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Stephen_Colodner\windows code\Statistical_Analysis_Lambda_Catalog\"/>
    </mc:Choice>
  </mc:AlternateContent>
  <xr:revisionPtr revIDLastSave="0" documentId="13_ncr:1_{0039A6E1-ABBD-4E72-A7EE-1C846D0533BB}" xr6:coauthVersionLast="47" xr6:coauthVersionMax="47" xr10:uidLastSave="{00000000-0000-0000-0000-000000000000}"/>
  <bookViews>
    <workbookView xWindow="-120" yWindow="-120" windowWidth="29040" windowHeight="15720" activeTab="2" xr2:uid="{81B942E5-0033-4148-9F57-6D9B583AA62D}"/>
  </bookViews>
  <sheets>
    <sheet name="LAMBDA_functions" sheetId="1" r:id="rId1"/>
    <sheet name="Life Expectancy Data" sheetId="2" r:id="rId2"/>
    <sheet name="Regression" sheetId="3" r:id="rId3"/>
  </sheets>
  <definedNames>
    <definedName name="Adjusted_R2">_xlfn.LAMBDA(_xlpm.X_s,_xlpm.Y,_xlop.Allow_Intercept,_xlop.Filter,_xlfn.LET(_xlpm.allow_arg,IF(_xlfn.ISOMITTED(_xlpm.Allow_Intercept),TRUE,_xlpm.Allow_Intercept),_xlpm.filt_arg,IF(_xlfn.ISOMITTED(_xlpm.Filter),TRUE,_xlpm.Filter),1-(1-R_squared(_xlpm.X_s,_xlpm.Y,_xlpm.allow_arg,_xlpm.filt_arg))*DF_Total(_xlpm.Y,_xlpm.allow_arg,_xlpm.filt_arg)/DF_Residual(_xlpm.X_s,_xlpm.Y,_xlpm.allow_arg,_xlpm.filt_arg)))</definedName>
    <definedName name="A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+2*_xlpm.p))</definedName>
    <definedName name="AIC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aic,_xlpm.n*LN(_xlpm.ssr/_xlpm.n)+2*_xlpm.p,_xlpm.aic+2*_xlpm.p*(_xlpm.p+1)/(_xlpm.n-_xlpm.p-1)))</definedName>
    <definedName name="All_Xs" localSheetId="2">LifeExpectancyData[[Adult Mortality]:[Schooling]]</definedName>
    <definedName name="Allow_Intercept" localSheetId="2">Regression!$B$2</definedName>
    <definedName name="alpha" localSheetId="2">Regression!$M$12</definedName>
    <definedName name="BIC">_xlfn.LAMBDA(_xlpm.X_s,_xlpm.Y,_xlop.Allow_Intercept,_xlop.Filter,_xlfn.LET(_xlpm.allow_arg,IF(_xlfn.ISOMITTED(_xlpm.Allow_Intercept),TRUE,_xlpm.Allow_Intercept),_xlpm.filt_arg,IF(_xlfn.ISOMITTED(_xlpm.Filter),TRUE,_xlpm.Filter),_xlpm.n,Observations(_xlpm.Y,_xlpm.filt_arg),_xlpm.ssr,SS_Residual(_xlpm.X_s,_xlpm.Y,_xlpm.allow_arg,_xlpm.filt_arg),_xlpm.p,DF_Regression(_xlpm.X_s)+IF(_xlpm.allow_arg,1,0),_xlpm.n*LN(_xlpm.ssr/_xlpm.n)+_xlpm.p*LN(_xlpm.n)))</definedName>
    <definedName name="CI_Low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Filter,_xlop.Alpha,_xlfn.LET(_xlpm.allow_arg,IF(_xlfn.ISOMITTED(_xlpm.Allow_Intercept),TRUE,_xlpm.Allow_Intercept),_xlpm.filt_arg,IF(_xlfn.ISOMITTED(_xlpm.Filter),TRUE,_xlpm.Filter),_xlpm.alpha_arg,IF(_xlfn.ISOMITTED(_xlpm.Alpha),0.05,_xlpm.Alpha),Coefficients(_xlpm.X_s,_xlpm.Y,_xlpm.allow_arg,_xlpm.filt_arg)+_xlfn.T.INV.2T(_xlpm.alpha_arg,DF_Residual(_xlpm.X_s,_xlpm.Y,_xlpm.allow_arg,_xlpm.filt_arg))*SE_Coefficients(_xlpm.X_s,_xlpm.Y,_xlpm.allow_arg,_xlpm.filt_arg)))</definedName>
    <definedName name="Coefficient_Name_Col" localSheetId="2">_xlfn.LAMBDA(_xlpm.All_Xs,TRANSPOSE(_xlfn.CHOOSECOLS(OFFSET(_xlpm.All_Xs,-1,0,1,COLUMNS(_xlpm.All_Xs)),Regression!Selected_Col_Nums(_xlpm.All_Xs))))</definedName>
    <definedName name="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Cooks_Distance">_xlfn.LAMBDA(_xlpm.X_s,_xlpm.Y,_xlop.Allow_Intercept,_xlop.Filter,_xlfn.LET(_xlpm.allow_arg,IF(_xlfn.ISOMITTED(_xlpm.Allow_Intercept),TRUE,_xlpm.Allow_Intercept),_xlpm.filt_arg,IF(_xlfn.ISOMITTED(_xlpm.Filter),TRUE,_xlpm.Filter),_xlpm.r,Studentized_Residuals(_xlpm.X_s,_xlpm.Y,_xlpm.allow_arg,_xlpm.filt_arg),_xlpm.h,Hat_diagonal(_xlpm.X_s,_xlpm.allow_arg,_xlpm.filt_arg),_xlpm.p,COLUMNS(Design_Matrix(_xlpm.X_s,_xlpm.allow_arg,_xlpm.filt_arg)),_xlpm.r^2*_xlpm.h/((1-_xlpm.h)*_xlpm.p)))</definedName>
    <definedName name="Correlation_Matrix">_xlfn.LAMBDA(_xlpm.X_s,_xlop.Filter,_xlfn.LET(_xlpm.filt_arg,IF(_xlfn.ISOMITTED(_xlpm.Filter),TRUE,_xlpm.Filter),_xlpm.xf,_xlfn._xlws.FILTER(_xlpm.X_s,_xlpm.filt_arg),_xlpm.k,COLUMNS(_xlpm.X_s),_xlfn.MAKEARRAY(_xlpm.k,_xlpm.k,_xlfn.LAMBDA(_xlpm.r,_xlpm.c,CORREL(_xlfn.CHOOSECOLS(_xlpm.xf,_xlpm.r),_xlfn.CHOOSECOLS(_xlpm.xf,_xlpm.c))))))</definedName>
    <definedName name="Design_Matrix">_xlfn.LAMBDA(_xlpm.X_s,_xlop.Allow_Intercept,_xlop.Filter,_xlfn.LET(_xlpm.allow_arg,IF(_xlfn.ISOMITTED(_xlpm.Allow_Intercept),TRUE,_xlpm.Allow_Intercept),_xlpm.filt_arg,IF(_xlfn.ISOMITTED(_xlpm.Filter),TRUE,_xlpm.Filter),_xlpm.x_filt,_xlfn._xlws.FILTER(_xlpm.X_s,_xlpm.filt_arg),IF(_xlpm.allow_arg,_xlfn.HSTACK(_xlfn.SEQUENCE(ROWS(_xlpm.x_filt),,1,0),_xlpm.x_filt),_xlpm.x_filt)))</definedName>
    <definedName name="DF_Regression">_xlfn.LAMBDA(_xlpm.X_s,COLUMNS(_xlpm.X_s))</definedName>
    <definedName name="DF_Residual">_xlfn.LAMBDA(_xlpm.X_s,_xlpm.Y,_xlop.Allow_Intercept,_xlop.Filter,_xlfn.LET(_xlpm.allow_arg,IF(_xlfn.ISOMITTED(_xlpm.Allow_Intercept),TRUE,_xlpm.Allow_Intercept),_xlpm.filt_arg,IF(_xlfn.ISOMITTED(_xlpm.Filter),TRUE,_xlpm.Filter),DF_Total(_xlpm.Y,_xlpm.allow_arg,_xlpm.filt_arg)-DF_Regression(_xlpm.X_s)))</definedName>
    <definedName name="DF_Total">_xlfn.LAMBDA(_xlpm.Y,_xlop.Allow_Intercept,_xlop.Filter,_xlfn.LET(_xlpm.allow_arg,IF(_xlfn.ISOMITTED(_xlpm.Allow_Intercept),TRUE,_xlpm.Allow_Intercept),_xlpm.filt_arg,IF(_xlfn.ISOMITTED(_xlpm.Filter),TRUE,_xlpm.Filter),_xlpm.n,Observations(_xlpm.Y,_xlpm.filt_arg),IF(_xlpm.allow_arg,_xlpm.n-1,_xlpm.n)))</definedName>
    <definedName name="Durbin_Watson">_xlfn.LAMBDA(_xlpm.X_s,_xlpm.Y,_xlop.Allow_Intercept,_xlop.Filter,_xlfn.LET(_xlpm.allow_arg,IF(_xlfn.ISOMITTED(_xlpm.Allow_Intercept),TRUE,_xlpm.Allow_Intercept),_xlpm.filt_arg,IF(_xlfn.ISOMITTED(_xlpm.Filter),TRUE,_xlpm.Filter),_xlpm.e,Residuals(_xlpm.X_s,_xlpm.Y,_xlpm.allow_arg,_xlpm.filt_arg),SUM((_xlfn.DROP(_xlpm.e,1)-_xlfn.DROP(_xlpm.e,-1))^2)/SUM(_xlpm.e^2)))</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_xlfn.LAMBDA(_xlpm.X_s,_xlpm.Y,_xlop.Allow_Intercept,_xlop.Filter,_xlfn.LET(_xlpm.allow_arg,IF(_xlfn.ISOMITTED(_xlpm.Allow_Intercept),TRUE,_xlpm.Allow_Intercept),_xlpm.filt_arg,IF(_xlfn.ISOMITTED(_xlpm.Filter),TRUE,_xlpm.Filter),SS_Regression(_xlpm.X_s,_xlpm.Y,_xlpm.allow_arg,_xlpm.filt_arg)/DF_Regression(_xlpm.X_s)/(SS_Residual(_xlpm.X_s,_xlpm.Y,_xlpm.allow_arg,_xlpm.filt_arg)/DF_Residual(_xlpm.X_s,_xlpm.Y,_xlpm.allow_arg,_xlpm.filt_arg))))</definedName>
    <definedName name="fil" localSheetId="2">LifeExpectancyData[Full_Data]</definedName>
    <definedName name="Gram_Inverse">_xlfn.LAMBDA(_xlpm.X,MINVERSE(MMULT(TRANSPOSE(_xlpm.X),_xlpm.X)))</definedName>
    <definedName name="Hat_diagonal">_xlfn.LAMBDA(_xlpm.X_s,_xlop.Allow_Intercept,_xlop.Filter,_xlfn.LET(_xlpm.allow_arg,IF(_xlfn.ISOMITTED(_xlpm.Allow_Intercept),TRUE,_xlpm.Allow_Intercept),_xlpm.filt_arg,IF(_xlfn.ISOMITTED(_xlpm.Filter),TRUE,_xlpm.Filter),_xlpm.X_design,Design_Matrix(_xlpm.X_s,_xlpm.allow_arg,_xlpm.filt_arg),_xlpm.p,COLUMNS(_xlpm.X_design),_xlpm.XtX_inv,Gram_Inverse(_xlpm.X_design),_xlpm.Z,MMULT(_xlpm.X_design,_xlpm.XtX_inv),MMULT(_xlpm.Z*_xlpm.X_design,_xlfn.SEQUENCE(_xlpm.p,1,1,0))))</definedName>
    <definedName name="Kurtosis">_xlfn.LAMBDA(_xlpm.X_s,_xlop.Filter,_xlfn.LET(_xlpm.filt_arg,IF(_xlfn.ISOMITTED(_xlpm.Filter),TRUE,_xlpm.Filter),_xlpm.xf,_xlfn._xlws.FILTER(_xlpm.X_s,_xlpm.filt_arg),_xlfn.MAKEARRAY(COLUMNS(_xlpm.X_s),1,_xlfn.LAMBDA(_xlpm.r,_xlpm.c,KURT(_xlfn.CHOOSECOLS(_xlpm.xf,_xlpm.r))))))</definedName>
    <definedName name="LOO_prediction">_xlfn.LAMBDA(_xlpm.X_s,_xlpm.Y,_xlpm.n,_xlop.Allow_Intercept,_xlop.Filter,_xlfn.LET(_xlpm.allow_arg,IF(_xlfn.ISOMITTED(_xlpm.Allow_Intercept),TRUE,_xlpm.Allow_Intercept),_xlpm.filt_arg,IF(_xlfn.ISOMITTED(_xlpm.Filter),TRUE,_xlpm.Filter),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Filter,_xlfn.LET(_xlpm.allow_arg,IF(_xlfn.ISOMITTED(_xlpm.Allow_Intercept),TRUE,_xlpm.Allow_Intercept),_xlpm.filt_arg,IF(_xlfn.ISOMITTED(_xlpm.Filter),TRUE,_xlpm.Filter),_xlpm.yhat,Predictions(_xlpm.X_s,_xlpm.Y,_xlpm.allow_arg,_xlpm.filt_arg),_xlpm.e,_xlfn._xlws.FILTER(_xlpm.Y,_xlpm.filt_arg)-_xlpm.yhat,_xlpm.h,Hat_diagonal(_xlpm.X_s,_xlpm.allow_arg,_xlpm.filt_arg),_xlpm.yhat-_xlpm.h*_xlpm.e/(1-_xlpm.h)))</definedName>
    <definedName name="MS_Regression">_xlfn.LAMBDA(_xlpm.X_s,_xlpm.Y,_xlop.Allow_Intercept,_xlop.Filter,_xlfn.LET(_xlpm.allow_arg,IF(_xlfn.ISOMITTED(_xlpm.Allow_Intercept),TRUE,_xlpm.Allow_Intercept),_xlpm.filt_arg,IF(_xlfn.ISOMITTED(_xlpm.Filter),TRUE,_xlpm.Filter),SS_Regression(_xlpm.X_s,_xlpm.Y,_xlpm.allow_arg,_xlpm.filt_arg)/DF_Regression(_xlpm.X_s)))</definedName>
    <definedName name="MS_Residual">_xlfn.LAMBDA(_xlpm.X_s,_xlpm.Y,_xlop.Allow_Intercept,_xlop.Filter,_xlfn.LET(_xlpm.allow_arg,IF(_xlfn.ISOMITTED(_xlpm.Allow_Intercept),TRUE,_xlpm.Allow_Intercept),_xlpm.filt_arg,IF(_xlfn.ISOMITTED(_xlpm.Filter),TRUE,_xlpm.Filter),SS_Residual(_xlpm.X_s,_xlpm.Y,_xlpm.allow_arg,_xlpm.filt_arg)/DF_Residual(_xlpm.X_s,_xlpm.Y,_xlpm.allow_arg,_xlpm.filt_arg)))</definedName>
    <definedName name="Multiple_R">_xlfn.LAMBDA(_xlpm.X_s,_xlpm.Y,_xlop.Allow_Intercept,_xlop.Filter,_xlfn.LET(_xlpm.allow_arg,IF(_xlfn.ISOMITTED(_xlpm.Allow_Intercept),TRUE,_xlpm.Allow_Intercept),_xlpm.filt_arg,IF(_xlfn.ISOMITTED(_xlpm.Filter),TRUE,_xlpm.Filter),SQRT(R_squared(_xlpm.X_s,_xlpm.Y,_xlpm.allow_arg,_xlpm.filt_arg))))</definedName>
    <definedName name="Normal_Scores">_xlfn.LAMBDA(_xlpm.Y,_xlop.Filter,_xlfn.LET(_xlpm.filtered,_xlfn._xlws.FILTER(_xlpm.Y,IF(_xlfn.ISOMITTED(_xlpm.Filter),TRUE,_xlpm.Filter)),_xlpm.n,ROWS(_xlpm.filtered),_xlfn.NORM.S.INV((_xlfn.BYROW(_xlpm.filtered,_xlfn.LAMBDA(_xlpm.v,SUMPRODUCT((_xlpm.filtered&lt;_xlpm.v)*1)))+0.5)/_xlpm.n)))</definedName>
    <definedName name="Observation_Num">_xlfn.LAMBDA(_xlpm.Y,_xlop.Filter,_xlfn.SEQUENCE(ROWS(_xlfn._xlws.FILTER(_xlpm.Y,IF(_xlfn.ISOMITTED(_xlpm.Filter),TRUE,_xlpm.Filter)))))</definedName>
    <definedName name="Observations">_xlfn.LAMBDA(_xlpm.Y,_xlop.Filter,_xlfn.LET(_xlpm.filt_arg,IF(_xlfn.ISOMITTED(_xlpm.Filter),TRUE,_xlpm.Filter),ROWS(_xlfn._xlws.FILTER(_xlpm.Y,_xlpm.filt_arg))))</definedName>
    <definedName name="P_Value_F">_xlfn.LAMBDA(_xlpm.X_s,_xlpm.Y,_xlop.Allow_Intercept,_xlop.Filter,_xlfn.LET(_xlpm.allow_arg,IF(_xlfn.ISOMITTED(_xlpm.Allow_Intercept),TRUE,_xlpm.Allow_Intercept),_xlpm.filt_arg,IF(_xlfn.ISOMITTED(_xlpm.Filter),TRUE,_xlpm.Filter),_xlfn.F.DIST.RT(F_Stat(_xlpm.X_s,_xlpm.Y,_xlpm.allow_arg,_xlpm.filt_arg),DF_Regression(_xlpm.X_s),DF_Residual(_xlpm.X_s,_xlpm.Y,_xlpm.allow_arg,_xlpm.filt_arg))))</definedName>
    <definedName name="P_Values">_xlfn.LAMBDA(_xlpm.X_s,_xlpm.Y,_xlop.Allow_Intercept,_xlop.Filter,_xlfn.LET(_xlpm.allow_arg,IF(_xlfn.ISOMITTED(_xlpm.Allow_Intercept),TRUE,_xlpm.Allow_Intercept),_xlpm.filt_arg,IF(_xlfn.ISOMITTED(_xlpm.Filter),TRUE,_xlpm.Filter),_xlfn.T.DIST.2T(ABS(T_Stats(_xlpm.X_s,_xlpm.Y,_xlpm.allow_arg,_xlpm.filt_arg)),DF_Residual(_xlpm.X_s,_xlpm.Y,_xlpm.allow_arg,_xlpm.filt_arg))))</definedName>
    <definedName name="Partial_Correlation">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SQRT(_xlpm.t^2+_xlpm.df)))</definedName>
    <definedName name="Partial_R2">_xlfn.LAMBDA(_xlpm.X_s,_xlpm.Y,_xlop.Allow_Intercept,_xlop.Filter,_xlfn.LET(_xlpm.allow_arg,IF(_xlfn.ISOMITTED(_xlpm.Allow_Intercept),TRUE,_xlpm.Allow_Intercept),_xlpm.filt_arg,IF(_xlfn.ISOMITTED(_xlpm.Filter),TRUE,_xlpm.Filter),_xlpm.t,T_Stats(_xlpm.X_s,_xlpm.Y,_xlpm.allow_arg,_xlpm.filt_arg),_xlpm.df,DF_Residual(_xlpm.X_s,_xlpm.Y,_xlpm.allow_arg,_xlpm.filt_arg),_xlpm.t^2/(_xlpm.t^2+_xlpm.df)))</definedName>
    <definedName name="Pearson_R">_xlfn.LAMBDA(_xlpm.X_s,_xlpm.Y,_xlop.Filter,_xlfn.LET(_xlpm.filt_arg,IF(_xlfn.ISOMITTED(_xlpm.Filter),TRUE,_xlpm.Filter),_xlpm.xf,_xlfn._xlws.FILTER(_xlpm.X_s,_xlpm.filt_arg),_xlpm.yf,_xlfn._xlws.FILTER(_xlpm.Y,_xlpm.filt_arg),_xlfn.MAKEARRAY(COLUMNS(_xlpm.X_s),1,_xlfn.LAMBDA(_xlpm.r,_xlpm.c,CORREL(_xlfn.CHOOSECOLS(_xlpm.xf,_xlpm.r),_xlpm.yf)))))</definedName>
    <definedName name="pred_input" localSheetId="2">Regression!$U$12:INDEX(Regression!$U:$U,12+COLUMNS(Regression!x_s))</definedName>
    <definedName name="Prediction_Interval">_xlfn.LAMBDA(_xlpm.X_s,_xlpm.Y,_xlpm.X_new,_xlop.Allow_Intercept,_xlop.Filter,_xlop.alpha,_xlfn.LET(_xlpm.allow_arg,IF(_xlfn.ISOMITTED(_xlpm.Allow_Intercept),TRUE,_xlpm.Allow_Intercept),_xlpm.filt_arg,IF(_xlfn.ISOMITTED(_xlpm.Filter),TRUE,_xlpm.Filter),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_xlfn.LAMBDA(_xlpm.X_s,_xlpm.Y,_xlop.Allow_Intercept,_xlop.Filter,_xlfn.LET(_xlpm.allow_arg,IF(_xlfn.ISOMITTED(_xlpm.Allow_Intercept),TRUE,_xlpm.Allow_Intercept),_xlpm.filt_arg,IF(_xlfn.ISOMITTED(_xlpm.Filter),TRUE,_xlpm.Filter),MMULT(Design_Matrix(_xlpm.X_s,_xlpm.allow_arg,_xlpm.filt_arg),Coefficients(_xlpm.X_s,_xlpm.Y,_xlpm.allow_arg,_xlpm.filt_arg))))</definedName>
    <definedName name="PRESS">_xlfn.LAMBDA(_xlpm.X_s,_xlpm.Y,_xlop.Allow_Intercept,_xlop.Filter,_xlfn.LET(_xlpm.allow_arg,IF(_xlfn.ISOMITTED(_xlpm.Allow_Intercept),TRUE,_xlpm.Allow_Intercept),_xlpm.filt_arg,IF(_xlfn.ISOMITTED(_xlpm.Filter),TRUE,_xlpm.Filter),_xlpm.e,Residuals(_xlpm.X_s,_xlpm.Y,_xlpm.allow_arg,_xlpm.filt_arg),_xlpm.h,Hat_diagonal(_xlpm.X_s,_xlpm.allow_arg,_xlpm.filt_arg),SUMSQ(_xlpm.e/(1-_xlpm.h))))</definedName>
    <definedName name="QQ_Correlation">_xlfn.LAMBDA(_xlpm.X_s,_xlpm.Y,_xlop.Allow_Intercept,_xlop.Filter,_xlfn.LET(_xlpm.allow_arg,IF(_xlfn.ISOMITTED(_xlpm.Allow_Intercept),TRUE,_xlpm.Allow_Intercept),_xlpm.filt_arg,IF(_xlfn.ISOMITTED(_xlpm.Filter),TRUE,_xlpm.Filter),_xlpm.sr,Scaled_Residuals_Ranked(_xlpm.X_s,_xlpm.Y,_xlpm.allow_arg,_xlpm.filt_arg),_xlpm.n,ROWS(_xlpm.sr),_xlpm.ns,_xlfn.NORM.S.INV((_xlfn.SEQUENCE(_xlpm.n)-0.5)/_xlpm.n),CORREL(_xlpm.sr,_xlpm.ns)))</definedName>
    <definedName name="R_squared">_xlfn.LAMBDA(_xlpm.X_s,_xlpm.Y,_xlop.Allow_Intercept,_xlop.Filter,_xlfn.LET(_xlpm.allow_arg,IF(_xlfn.ISOMITTED(_xlpm.Allow_Intercept),TRUE,_xlpm.Allow_Intercept),_xlpm.filt_arg,IF(_xlfn.ISOMITTED(_xlpm.Filter),TRUE,_xlpm.Filter),INDEX(LINEST(_xlfn._xlws.FILTER(_xlpm.Y,_xlpm.filt_arg),_xlfn._xlws.FILTER(_xlpm.X_s,_xlpm.filt_arg),_xlpm.allow_arg,TRUE),3,1)))</definedName>
    <definedName name="Rank_Fraction">_xlfn.LAMBDA(_xlpm.Y,_xlop.Filter,_xlfn.LET(_xlpm.filtered,_xlfn._xlws.FILTER(_xlpm.Y,IF(_xlfn.ISOMITTED(_xlpm.Filter),TRUE,_xlpm.Filter)),_xlpm.n,ROWS(_xlpm.filtered),_xlfn.BYROW(_xlpm.filtered,_xlfn.LAMBDA(_xlpm.v,SUMPRODUCT((_xlpm.filtered&lt;=_xlpm.v)*1)))/_xlpm.n))</definedName>
    <definedName name="Residuals">_xlfn.LAMBDA(_xlpm.X_s,_xlpm.Y,_xlop.Allow_Intercept,_xlop.Filter,_xlfn.LET(_xlpm.allow_arg,IF(_xlfn.ISOMITTED(_xlpm.Allow_Intercept),TRUE,_xlpm.Allow_Intercept),_xlpm.filt_arg,IF(_xlfn.ISOMITTED(_xlpm.Filter),TRUE,_xlpm.Filter),_xlfn._xlws.FILTER(_xlpm.Y,_xlpm.filt_arg)-Predictions(_xlpm.X_s,_xlpm.Y,_xlpm.allow_arg,_xlpm.filt_arg)))</definedName>
    <definedName name="Scaled_Residuals">_xlfn.LAMBDA(_xlpm.X_s,_xlpm.Y,_xlop.Allow_Intercept,_xlop.Filter,_xlfn.LET(_xlpm.allow_arg,IF(_xlfn.ISOMITTED(_xlpm.Allow_Intercept),TRUE,_xlpm.Allow_Intercept),_xlpm.filt_arg,IF(_xlfn.ISOMITTED(_xlpm.Filter),TRUE,_xlpm.Filter),Residuals(_xlpm.X_s,_xlpm.Y,_xlpm.allow_arg,_xlpm.filt_arg)/SE_Regression(_xlpm.X_s,_xlpm.Y,_xlpm.allow_arg,_xlpm.filt_arg)))</definedName>
    <definedName name="Scaled_Residuals_Ranked">_xlfn.LAMBDA(_xlpm.X_s,_xlpm.Y,_xlop.Allow_Intercept,_xlop.Filter,_xlfn.LET(_xlpm.allow_arg,IF(_xlfn.ISOMITTED(_xlpm.Allow_Intercept),TRUE,_xlpm.Allow_Intercept),_xlpm.filt_arg,IF(_xlfn.ISOMITTED(_xlpm.Filter),TRUE,_xlpm.Filter),_xlfn._xlws.SORT(Scaled_Residuals(_xlpm.X_s,_xlpm.Y,_xlpm.allow_arg,_xlpm.filt_arg))))</definedName>
    <definedName name="SE_Coefficients">_xlfn.LAMBDA(_xlpm.X_s,_xlpm.Y,_xlop.Allow_Intercept,_xlop.Filter,_xlfn.LET(_xlpm.allow_arg,IF(_xlfn.ISOMITTED(_xlpm.Allow_Intercept),TRUE,_xlpm.Allow_Intercept),_xlpm.filt_arg,IF(_xlfn.ISOMITTED(_xlpm.Filter),TRUE,_xlpm.Filter),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SE_Regression">_xlfn.LAMBDA(_xlpm.X_s,_xlpm.Y,_xlop.Allow_Intercept,_xlop.Filter,_xlfn.LET(_xlpm.allow_arg,IF(_xlfn.ISOMITTED(_xlpm.Allow_Intercept),TRUE,_xlpm.Allow_Intercept),_xlpm.filt_arg,IF(_xlfn.ISOMITTED(_xlpm.Filter),TRUE,_xlpm.Filter),SQRT(SS_Residual(_xlpm.X_s,_xlpm.Y,_xlpm.allow_arg,_xlpm.filt_arg)/DF_Residual(_xlpm.X_s,_xlpm.Y,_xlpm.allow_arg,_xlpm.filt_arg))))</definedName>
    <definedName name="Selected_Col_Nums" localSheetId="2">_xlfn.LAMBDA(_xlpm.All_Xs,_xlfn.LET(_xlpm.selected,_xlfn._xlws.FILTER(_xlfn.SEQUENCE(COLUMNS(_xlpm.All_Xs)),Regression!$B$3:INDEX(Regression!$B:$B,2+COLUMNS(_xlpm.All_Xs))),IFERROR(_xlpm.selected,1)))</definedName>
    <definedName name="Skewness">_xlfn.LAMBDA(_xlpm.X_s,_xlop.Filter,_xlfn.LET(_xlpm.filt_arg,IF(_xlfn.ISOMITTED(_xlpm.Filter),TRUE,_xlpm.Filter),_xlpm.xf,_xlfn._xlws.FILTER(_xlpm.X_s,_xlpm.filt_arg),_xlfn.MAKEARRAY(COLUMNS(_xlpm.X_s),1,_xlfn.LAMBDA(_xlpm.r,_xlpm.c,SKEW(_xlfn.CHOOSECOLS(_xlpm.xf,_xlpm.r))))))</definedName>
    <definedName name="Spearman_R">_xlfn.LAMBDA(_xlpm.X_s,_xlpm.Y,_xlop.Filter,_xlfn.LET(_xlpm.filt_arg,IF(_xlfn.ISOMITTED(_xlpm.Filter),TRUE,_xlpm.Filter),_xlpm.xf,_xlfn._xlws.FILTER(_xlpm.X_s,_xlpm.filt_arg),_xlpm.yf,_xlfn._xlws.FILTER(_xlpm.Y,_xlpm.filt_arg),_xlpm.ry,_xlfn.MAKEARRAY(ROWS(_xlpm.yf),1,_xlfn.LAMBDA(_xlpm.i,_xlpm.j,_xlfn.RANK.AVG(INDEX(_xlpm.yf,_xlpm.i),_xlpm.yf,1))),_xlfn.MAKEARRAY(COLUMNS(_xlpm.xf),1,_xlfn.LAMBDA(_xlpm.r,_xlpm.c,_xlfn.LET(_xlpm.col,_xlfn.CHOOSECOLS(_xlpm.xf,_xlpm.r),_xlpm.rx,_xlfn.MAKEARRAY(ROWS(_xlpm.col),1,_xlfn.LAMBDA(_xlpm.i,_xlpm.j,_xlfn.RANK.AVG(INDEX(_xlpm.col,_xlpm.i),_xlpm.col,1))),CORREL(_xlpm.rx,_xlpm.ry))))))</definedName>
    <definedName name="SS_Regression">_xlfn.LAMBDA(_xlpm.X_s,_xlpm.Y,_xlop.Allow_Intercept,_xlop.Filter,_xlfn.LET(_xlpm.allow_arg,IF(_xlfn.ISOMITTED(_xlpm.Allow_Intercept),TRUE,_xlpm.Allow_Intercept),_xlpm.filt_arg,IF(_xlfn.ISOMITTED(_xlpm.Filter),TRUE,_xlpm.Filter),SS_Total(_xlpm.Y,_xlpm.allow_arg,_xlpm.filt_arg)*R_squared(_xlpm.X_s,_xlpm.Y,_xlpm.allow_arg,_xlpm.filt_arg)))</definedName>
    <definedName name="SS_Residual">_xlfn.LAMBDA(_xlpm.X_s,_xlpm.Y,_xlop.Allow_Intercept,_xlop.Filter,_xlfn.LET(_xlpm.allow_arg,IF(_xlfn.ISOMITTED(_xlpm.Allow_Intercept),TRUE,_xlpm.Allow_Intercept),_xlpm.filt_arg,IF(_xlfn.ISOMITTED(_xlpm.Filter),TRUE,_xlpm.Filter),SS_Total(_xlpm.Y,_xlpm.allow_arg,_xlpm.filt_arg)*(1-R_squared(_xlpm.X_s,_xlpm.Y,_xlpm.allow_arg,_xlpm.filt_arg))))</definedName>
    <definedName name="SS_Total">_xlfn.LAMBDA(_xlpm.Y,_xlop.Allow_Intercept,_xlop.Filter,_xlfn.LET(_xlpm.allow_arg,IF(_xlfn.ISOMITTED(_xlpm.Allow_Intercept),TRUE,_xlpm.Allow_Intercept),_xlpm.filt_arg,IF(_xlfn.ISOMITTED(_xlpm.Filter),TRUE,_xlpm.Filter),_xlpm.y_filt,_xlfn._xlws.FILTER(_xlpm.Y,_xlpm.filt_arg),IF(_xlpm.allow_arg,DEVSQ(_xlpm.y_filt),SUMSQ(_xlpm.y_filt))))</definedName>
    <definedName name="Studentized_Residuals">_xlfn.LAMBDA(_xlpm.X_s,_xlpm.Y,_xlop.Allow_Intercept,_xlop.Filter,_xlfn.LET(_xlpm.allow_arg,IF(_xlfn.ISOMITTED(_xlpm.Allow_Intercept),TRUE,_xlpm.Allow_Intercept),_xlpm.filt_arg,IF(_xlfn.ISOMITTED(_xlpm.Filter),TRUE,_xlpm.Filter),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Filter,_xlfn.LET(_xlpm.allow_arg,IF(_xlfn.ISOMITTED(_xlpm.Allow_Intercept),TRUE,_xlpm.Allow_Intercept),_xlpm.filt_arg,IF(_xlfn.ISOMITTED(_xlpm.Filter),TRUE,_xlpm.Filter),_xlfn._xlws.SORT(Studentized_Residuals(_xlpm.X_s,_xlpm.Y,_xlpm.allow_arg,_xlpm.filt_arg))))</definedName>
    <definedName name="T_Stats">_xlfn.LAMBDA(_xlpm.X_s,_xlpm.Y,_xlop.Allow_Intercept,_xlop.Filter,_xlfn.LET(_xlpm.allow_arg,IF(_xlfn.ISOMITTED(_xlpm.Allow_Intercept),TRUE,_xlpm.Allow_Intercept),_xlpm.filt_arg,IF(_xlfn.ISOMITTED(_xlpm.Filter),TRUE,_xlpm.Filter),Coefficients(_xlpm.X_s,_xlpm.Y,_xlpm.allow_arg,_xlpm.filt_arg)/SE_Coefficients(_xlpm.X_s,_xlpm.Y,_xlpm.allow_arg,_xlpm.filt_arg)))</definedName>
    <definedName name="This_row">_xlfn.LAMBDA(_xlpm.array,_xlfn.SEQUENCE(ROWS(_xlpm.array)))</definedName>
    <definedName name="Tolerance">_xlfn.LAMBDA(_xlpm.X_s,_xlop.Allow_Intercept,_xlop.Filter,1/VIF(_xlpm.X_s,_xlpm.Allow_Intercept,_xlpm.Filter))</definedName>
    <definedName name="VIF">_xlfn.LAMBDA(_xlpm.X_s,_xlop.Allow_Intercept,_xlop.Filter,_xlfn.LET(_xlpm.filt_arg,IF(_xlfn.ISOMITTED(_xlpm.Filter),TRUE,_xlpm.Filter),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x_s" localSheetId="2">_xlfn.CHOOSECOLS(Regression!All_Xs,Regression!Selected_Col_Nums(Regression!All_Xs))</definedName>
    <definedName name="y" localSheetId="2">LifeExpectancyData[Life expectancy]</definedName>
    <definedName name="Y_Ranked">_xlfn.LAMBDA(_xlpm.Y,_xlop.Filter,_xlfn._xlws.SORT(_xlfn._xlws.FILTER(_xlpm.Y,IF(_xlfn.ISOMITTED(_xlpm.Filter),TRUE,_xlpm.Filter))))</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I3" i="3" l="1" a="1"/>
  <c r="AH3" i="3" a="1"/>
  <c r="AG3" i="3" a="1"/>
  <c r="AF3" i="3" a="1"/>
  <c r="AE3" i="3" a="1"/>
  <c r="AD3" i="3" a="1"/>
  <c r="AC3" i="3" a="1"/>
  <c r="AB3" i="3" a="1"/>
  <c r="AA3" i="3" a="1"/>
  <c r="Z3" i="3" a="1"/>
  <c r="Y3" i="3" a="1"/>
  <c r="X3" i="3" a="1"/>
  <c r="W3" i="3" a="1"/>
  <c r="U12" i="3"/>
  <c r="U8" i="3" a="1"/>
  <c r="U7" i="3" a="1"/>
  <c r="U6" i="3" a="1"/>
  <c r="U5" i="3" a="1"/>
  <c r="U4" i="3" a="1"/>
  <c r="U3" i="3" a="1"/>
  <c r="R21" i="3" a="1"/>
  <c r="Q21" i="3" a="1"/>
  <c r="P21" i="3" a="1"/>
  <c r="O21" i="3" a="1"/>
  <c r="N21" i="3" a="1"/>
  <c r="M21" i="3" a="1"/>
  <c r="L21" i="3" a="1"/>
  <c r="N17" i="3" a="1"/>
  <c r="M17" i="3" a="1"/>
  <c r="O16" i="3" a="1"/>
  <c r="N16" i="3" a="1"/>
  <c r="M16" i="3" a="1"/>
  <c r="Q15" i="3" a="1"/>
  <c r="P15" i="3" a="1"/>
  <c r="O15" i="3" a="1"/>
  <c r="N15" i="3" a="1"/>
  <c r="M15" i="3" a="1"/>
  <c r="P10" i="3" a="1"/>
  <c r="P9" i="3" a="1"/>
  <c r="P8" i="3" a="1"/>
  <c r="P7" i="3" a="1"/>
  <c r="P6" i="3" a="1"/>
  <c r="P5" i="3" a="1"/>
  <c r="P4" i="3" a="1"/>
  <c r="M8" i="3" a="1"/>
  <c r="M7" i="3" a="1"/>
  <c r="M6" i="3" a="1"/>
  <c r="M5" i="3" a="1"/>
  <c r="M4" i="3" a="1"/>
  <c r="J3" i="3" a="1"/>
  <c r="I3" i="3" a="1"/>
  <c r="H3" i="3" a="1"/>
  <c r="G3" i="3" a="1"/>
  <c r="F3" i="3" a="1"/>
  <c r="E3" i="3" a="1"/>
  <c r="D3" i="3" a="1"/>
  <c r="W2"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c r="W749" i="2"/>
  <c r="W750" i="2"/>
  <c r="W751" i="2"/>
  <c r="W752" i="2"/>
  <c r="W753" i="2"/>
  <c r="W754" i="2"/>
  <c r="W755" i="2"/>
  <c r="W756" i="2"/>
  <c r="W757" i="2"/>
  <c r="W758" i="2"/>
  <c r="W759" i="2"/>
  <c r="W760" i="2"/>
  <c r="W761" i="2"/>
  <c r="W762" i="2"/>
  <c r="W763" i="2"/>
  <c r="W764" i="2"/>
  <c r="W765" i="2"/>
  <c r="W766" i="2"/>
  <c r="W767" i="2"/>
  <c r="W768" i="2"/>
  <c r="W769" i="2"/>
  <c r="W770" i="2"/>
  <c r="W771" i="2"/>
  <c r="W772" i="2"/>
  <c r="W773" i="2"/>
  <c r="W774" i="2"/>
  <c r="W775" i="2"/>
  <c r="W776" i="2"/>
  <c r="W777" i="2"/>
  <c r="W778" i="2"/>
  <c r="W779" i="2"/>
  <c r="W780" i="2"/>
  <c r="W781" i="2"/>
  <c r="W782" i="2"/>
  <c r="W783" i="2"/>
  <c r="W784" i="2"/>
  <c r="W785" i="2"/>
  <c r="W786" i="2"/>
  <c r="W787" i="2"/>
  <c r="W788" i="2"/>
  <c r="W789" i="2"/>
  <c r="W790" i="2"/>
  <c r="W791" i="2"/>
  <c r="W792" i="2"/>
  <c r="W793" i="2"/>
  <c r="W794" i="2"/>
  <c r="W795" i="2"/>
  <c r="W796" i="2"/>
  <c r="W797" i="2"/>
  <c r="W798" i="2"/>
  <c r="W799" i="2"/>
  <c r="W800" i="2"/>
  <c r="W801" i="2"/>
  <c r="W802" i="2"/>
  <c r="W803" i="2"/>
  <c r="W804" i="2"/>
  <c r="W805" i="2"/>
  <c r="W806" i="2"/>
  <c r="W807" i="2"/>
  <c r="W808" i="2"/>
  <c r="W809" i="2"/>
  <c r="W810" i="2"/>
  <c r="W811" i="2"/>
  <c r="W812" i="2"/>
  <c r="W813" i="2"/>
  <c r="W814" i="2"/>
  <c r="W815" i="2"/>
  <c r="W816" i="2"/>
  <c r="W817" i="2"/>
  <c r="W818" i="2"/>
  <c r="W819" i="2"/>
  <c r="W820" i="2"/>
  <c r="W821" i="2"/>
  <c r="W822" i="2"/>
  <c r="W823" i="2"/>
  <c r="W824" i="2"/>
  <c r="W825" i="2"/>
  <c r="W826" i="2"/>
  <c r="W827" i="2"/>
  <c r="W828" i="2"/>
  <c r="W829" i="2"/>
  <c r="W830" i="2"/>
  <c r="W831" i="2"/>
  <c r="W832" i="2"/>
  <c r="W833" i="2"/>
  <c r="W834" i="2"/>
  <c r="W835" i="2"/>
  <c r="W836" i="2"/>
  <c r="W837" i="2"/>
  <c r="W838" i="2"/>
  <c r="W839" i="2"/>
  <c r="W840" i="2"/>
  <c r="W841" i="2"/>
  <c r="W842" i="2"/>
  <c r="W843" i="2"/>
  <c r="W844" i="2"/>
  <c r="W845" i="2"/>
  <c r="W846" i="2"/>
  <c r="W847" i="2"/>
  <c r="W848" i="2"/>
  <c r="W849" i="2"/>
  <c r="W850" i="2"/>
  <c r="W851" i="2"/>
  <c r="W852" i="2"/>
  <c r="W853" i="2"/>
  <c r="W854" i="2"/>
  <c r="W855" i="2"/>
  <c r="W856" i="2"/>
  <c r="W857" i="2"/>
  <c r="W858" i="2"/>
  <c r="W859" i="2"/>
  <c r="W860" i="2"/>
  <c r="W861" i="2"/>
  <c r="W862" i="2"/>
  <c r="W863" i="2"/>
  <c r="W864" i="2"/>
  <c r="W865" i="2"/>
  <c r="W866" i="2"/>
  <c r="W867" i="2"/>
  <c r="W868" i="2"/>
  <c r="W869" i="2"/>
  <c r="W870" i="2"/>
  <c r="W871" i="2"/>
  <c r="W872" i="2"/>
  <c r="W873" i="2"/>
  <c r="W874" i="2"/>
  <c r="W875" i="2"/>
  <c r="W876" i="2"/>
  <c r="W877" i="2"/>
  <c r="W878" i="2"/>
  <c r="W879" i="2"/>
  <c r="W880" i="2"/>
  <c r="W881" i="2"/>
  <c r="W882" i="2"/>
  <c r="W883" i="2"/>
  <c r="W884" i="2"/>
  <c r="W885" i="2"/>
  <c r="W886" i="2"/>
  <c r="W887" i="2"/>
  <c r="W888" i="2"/>
  <c r="W889" i="2"/>
  <c r="W890" i="2"/>
  <c r="W891" i="2"/>
  <c r="W892" i="2"/>
  <c r="W893" i="2"/>
  <c r="W894" i="2"/>
  <c r="W895" i="2"/>
  <c r="W896" i="2"/>
  <c r="W897" i="2"/>
  <c r="W898" i="2"/>
  <c r="W899" i="2"/>
  <c r="W900" i="2"/>
  <c r="W901" i="2"/>
  <c r="W902" i="2"/>
  <c r="W903" i="2"/>
  <c r="W904" i="2"/>
  <c r="W905" i="2"/>
  <c r="W906" i="2"/>
  <c r="W907" i="2"/>
  <c r="W908" i="2"/>
  <c r="W909" i="2"/>
  <c r="W910" i="2"/>
  <c r="W911" i="2"/>
  <c r="W912" i="2"/>
  <c r="W913" i="2"/>
  <c r="W914" i="2"/>
  <c r="W915" i="2"/>
  <c r="W916" i="2"/>
  <c r="W917" i="2"/>
  <c r="W918" i="2"/>
  <c r="W919" i="2"/>
  <c r="W920" i="2"/>
  <c r="W921" i="2"/>
  <c r="W922" i="2"/>
  <c r="W923" i="2"/>
  <c r="W924" i="2"/>
  <c r="W925" i="2"/>
  <c r="W926" i="2"/>
  <c r="W927" i="2"/>
  <c r="W928" i="2"/>
  <c r="W929" i="2"/>
  <c r="W930" i="2"/>
  <c r="W931" i="2"/>
  <c r="W932" i="2"/>
  <c r="W933" i="2"/>
  <c r="W934" i="2"/>
  <c r="W935" i="2"/>
  <c r="W936" i="2"/>
  <c r="W937" i="2"/>
  <c r="W938" i="2"/>
  <c r="W939" i="2"/>
  <c r="W940" i="2"/>
  <c r="W941" i="2"/>
  <c r="W942" i="2"/>
  <c r="W943" i="2"/>
  <c r="W944" i="2"/>
  <c r="W945" i="2"/>
  <c r="W946" i="2"/>
  <c r="W947" i="2"/>
  <c r="W948" i="2"/>
  <c r="W949" i="2"/>
  <c r="W950" i="2"/>
  <c r="W951" i="2"/>
  <c r="W952" i="2"/>
  <c r="W953" i="2"/>
  <c r="W954" i="2"/>
  <c r="W955" i="2"/>
  <c r="W956" i="2"/>
  <c r="W957" i="2"/>
  <c r="W958" i="2"/>
  <c r="W959" i="2"/>
  <c r="W960" i="2"/>
  <c r="W961" i="2"/>
  <c r="W962" i="2"/>
  <c r="W963" i="2"/>
  <c r="W964" i="2"/>
  <c r="W965" i="2"/>
  <c r="W966" i="2"/>
  <c r="W967" i="2"/>
  <c r="W968" i="2"/>
  <c r="W969" i="2"/>
  <c r="W970" i="2"/>
  <c r="W971" i="2"/>
  <c r="W972" i="2"/>
  <c r="W973" i="2"/>
  <c r="W974" i="2"/>
  <c r="W975" i="2"/>
  <c r="W976" i="2"/>
  <c r="W977" i="2"/>
  <c r="W978" i="2"/>
  <c r="W979" i="2"/>
  <c r="W980" i="2"/>
  <c r="W981" i="2"/>
  <c r="W982" i="2"/>
  <c r="W983" i="2"/>
  <c r="W984" i="2"/>
  <c r="W985" i="2"/>
  <c r="W986" i="2"/>
  <c r="W987" i="2"/>
  <c r="W988" i="2"/>
  <c r="W989" i="2"/>
  <c r="W990" i="2"/>
  <c r="W991" i="2"/>
  <c r="W992" i="2"/>
  <c r="W993" i="2"/>
  <c r="W994" i="2"/>
  <c r="W995" i="2"/>
  <c r="W996" i="2"/>
  <c r="W997" i="2"/>
  <c r="W998" i="2"/>
  <c r="W999" i="2"/>
  <c r="W1000" i="2"/>
  <c r="W1001" i="2"/>
  <c r="W1002" i="2"/>
  <c r="W1003" i="2"/>
  <c r="W1004" i="2"/>
  <c r="W1005" i="2"/>
  <c r="W1006" i="2"/>
  <c r="W1007" i="2"/>
  <c r="W1008" i="2"/>
  <c r="W1009" i="2"/>
  <c r="W1010" i="2"/>
  <c r="W1011" i="2"/>
  <c r="W1012" i="2"/>
  <c r="W1013" i="2"/>
  <c r="W1014" i="2"/>
  <c r="W1015" i="2"/>
  <c r="W1016" i="2"/>
  <c r="W1017" i="2"/>
  <c r="W1018" i="2"/>
  <c r="W1019" i="2"/>
  <c r="W1020" i="2"/>
  <c r="W1021" i="2"/>
  <c r="W1022" i="2"/>
  <c r="W1023" i="2"/>
  <c r="W1024" i="2"/>
  <c r="W1025" i="2"/>
  <c r="W1026" i="2"/>
  <c r="W1027" i="2"/>
  <c r="W1028" i="2"/>
  <c r="W1029" i="2"/>
  <c r="W1030" i="2"/>
  <c r="W1031" i="2"/>
  <c r="W1032" i="2"/>
  <c r="W1033" i="2"/>
  <c r="W1034" i="2"/>
  <c r="W1035" i="2"/>
  <c r="W1036" i="2"/>
  <c r="W1037" i="2"/>
  <c r="W1038" i="2"/>
  <c r="W1039" i="2"/>
  <c r="W1040" i="2"/>
  <c r="W1041" i="2"/>
  <c r="W1042" i="2"/>
  <c r="W1043" i="2"/>
  <c r="W1044" i="2"/>
  <c r="W1045" i="2"/>
  <c r="W1046" i="2"/>
  <c r="W1047" i="2"/>
  <c r="W1048" i="2"/>
  <c r="W1049" i="2"/>
  <c r="W1050" i="2"/>
  <c r="W1051" i="2"/>
  <c r="W1052" i="2"/>
  <c r="W1053" i="2"/>
  <c r="W1054" i="2"/>
  <c r="W1055" i="2"/>
  <c r="W1056" i="2"/>
  <c r="W1057" i="2"/>
  <c r="W1058" i="2"/>
  <c r="W1059" i="2"/>
  <c r="W1060" i="2"/>
  <c r="W1061" i="2"/>
  <c r="W1062" i="2"/>
  <c r="W1063" i="2"/>
  <c r="W1064" i="2"/>
  <c r="W1065" i="2"/>
  <c r="W1066" i="2"/>
  <c r="W1067" i="2"/>
  <c r="W1068" i="2"/>
  <c r="W1069" i="2"/>
  <c r="W1070" i="2"/>
  <c r="W1071" i="2"/>
  <c r="W1072" i="2"/>
  <c r="W1073" i="2"/>
  <c r="W1074" i="2"/>
  <c r="W1075" i="2"/>
  <c r="W1076" i="2"/>
  <c r="W1077" i="2"/>
  <c r="W1078" i="2"/>
  <c r="W1079" i="2"/>
  <c r="W1080" i="2"/>
  <c r="W1081" i="2"/>
  <c r="W1082" i="2"/>
  <c r="W1083" i="2"/>
  <c r="W1084" i="2"/>
  <c r="W1085" i="2"/>
  <c r="W1086" i="2"/>
  <c r="W1087" i="2"/>
  <c r="W1088" i="2"/>
  <c r="W1089" i="2"/>
  <c r="W1090" i="2"/>
  <c r="W1091" i="2"/>
  <c r="W1092" i="2"/>
  <c r="W1093" i="2"/>
  <c r="W1094" i="2"/>
  <c r="W1095" i="2"/>
  <c r="W1096" i="2"/>
  <c r="W1097" i="2"/>
  <c r="W1098" i="2"/>
  <c r="W1099" i="2"/>
  <c r="W1100" i="2"/>
  <c r="W1101" i="2"/>
  <c r="W1102" i="2"/>
  <c r="W1103" i="2"/>
  <c r="W1104" i="2"/>
  <c r="W1105" i="2"/>
  <c r="W1106" i="2"/>
  <c r="W1107" i="2"/>
  <c r="W1108" i="2"/>
  <c r="W1109" i="2"/>
  <c r="W1110" i="2"/>
  <c r="W1111" i="2"/>
  <c r="W1112" i="2"/>
  <c r="W1113" i="2"/>
  <c r="W1114" i="2"/>
  <c r="W1115" i="2"/>
  <c r="W1116" i="2"/>
  <c r="W1117" i="2"/>
  <c r="W1118" i="2"/>
  <c r="W1119" i="2"/>
  <c r="W1120" i="2"/>
  <c r="W1121" i="2"/>
  <c r="W1122" i="2"/>
  <c r="W1123" i="2"/>
  <c r="W1124" i="2"/>
  <c r="W1125" i="2"/>
  <c r="W1126" i="2"/>
  <c r="W1127" i="2"/>
  <c r="W1128" i="2"/>
  <c r="W1129" i="2"/>
  <c r="W1130" i="2"/>
  <c r="W1131" i="2"/>
  <c r="W1132" i="2"/>
  <c r="W1133" i="2"/>
  <c r="W1134" i="2"/>
  <c r="W1135" i="2"/>
  <c r="W1136" i="2"/>
  <c r="W1137" i="2"/>
  <c r="W1138" i="2"/>
  <c r="W1139" i="2"/>
  <c r="W1140" i="2"/>
  <c r="W1141" i="2"/>
  <c r="W1142" i="2"/>
  <c r="W1143" i="2"/>
  <c r="W1144" i="2"/>
  <c r="W1145" i="2"/>
  <c r="W1146" i="2"/>
  <c r="W1147" i="2"/>
  <c r="W1148" i="2"/>
  <c r="W1149" i="2"/>
  <c r="W1150" i="2"/>
  <c r="W1151" i="2"/>
  <c r="W1152" i="2"/>
  <c r="W1153" i="2"/>
  <c r="W1154" i="2"/>
  <c r="W1155" i="2"/>
  <c r="W1156" i="2"/>
  <c r="W1157" i="2"/>
  <c r="W1158" i="2"/>
  <c r="W1159" i="2"/>
  <c r="W1160" i="2"/>
  <c r="W1161" i="2"/>
  <c r="W1162" i="2"/>
  <c r="W1163" i="2"/>
  <c r="W1164" i="2"/>
  <c r="W1165" i="2"/>
  <c r="W1166" i="2"/>
  <c r="W1167" i="2"/>
  <c r="W1168" i="2"/>
  <c r="W1169" i="2"/>
  <c r="W1170" i="2"/>
  <c r="W1171" i="2"/>
  <c r="W1172" i="2"/>
  <c r="W1173" i="2"/>
  <c r="W1174" i="2"/>
  <c r="W1175" i="2"/>
  <c r="W1176" i="2"/>
  <c r="W1177" i="2"/>
  <c r="W1178" i="2"/>
  <c r="W1179" i="2"/>
  <c r="W1180" i="2"/>
  <c r="W1181" i="2"/>
  <c r="W1182" i="2"/>
  <c r="W1183" i="2"/>
  <c r="W1184" i="2"/>
  <c r="W1185" i="2"/>
  <c r="W1186" i="2"/>
  <c r="W1187" i="2"/>
  <c r="W1188" i="2"/>
  <c r="W1189" i="2"/>
  <c r="W1190" i="2"/>
  <c r="W1191" i="2"/>
  <c r="W1192" i="2"/>
  <c r="W1193" i="2"/>
  <c r="W1194" i="2"/>
  <c r="W1195" i="2"/>
  <c r="W1196" i="2"/>
  <c r="W1197" i="2"/>
  <c r="W1198" i="2"/>
  <c r="W1199" i="2"/>
  <c r="W1200" i="2"/>
  <c r="W1201" i="2"/>
  <c r="W1202" i="2"/>
  <c r="W1203" i="2"/>
  <c r="W1204" i="2"/>
  <c r="W1205" i="2"/>
  <c r="W1206" i="2"/>
  <c r="W1207" i="2"/>
  <c r="W1208" i="2"/>
  <c r="W1209" i="2"/>
  <c r="W1210" i="2"/>
  <c r="W1211" i="2"/>
  <c r="W1212" i="2"/>
  <c r="W1213" i="2"/>
  <c r="W1214" i="2"/>
  <c r="W1215" i="2"/>
  <c r="W1216" i="2"/>
  <c r="W1217" i="2"/>
  <c r="W1218" i="2"/>
  <c r="W1219" i="2"/>
  <c r="W1220" i="2"/>
  <c r="W1221" i="2"/>
  <c r="W1222" i="2"/>
  <c r="W1223" i="2"/>
  <c r="W1224" i="2"/>
  <c r="W1225" i="2"/>
  <c r="W1226" i="2"/>
  <c r="W1227" i="2"/>
  <c r="W1228" i="2"/>
  <c r="W1229" i="2"/>
  <c r="W1230" i="2"/>
  <c r="W1231" i="2"/>
  <c r="W1232" i="2"/>
  <c r="W1233" i="2"/>
  <c r="W1234" i="2"/>
  <c r="W1235" i="2"/>
  <c r="W1236" i="2"/>
  <c r="W1237" i="2"/>
  <c r="W1238" i="2"/>
  <c r="W1239" i="2"/>
  <c r="W1240" i="2"/>
  <c r="W1241" i="2"/>
  <c r="W1242" i="2"/>
  <c r="W1243" i="2"/>
  <c r="W1244" i="2"/>
  <c r="W1245" i="2"/>
  <c r="W1246" i="2"/>
  <c r="W1247" i="2"/>
  <c r="W1248" i="2"/>
  <c r="W1249" i="2"/>
  <c r="W1250" i="2"/>
  <c r="W1251" i="2"/>
  <c r="W1252" i="2"/>
  <c r="W1253" i="2"/>
  <c r="W1254" i="2"/>
  <c r="W1255" i="2"/>
  <c r="W1256" i="2"/>
  <c r="W1257" i="2"/>
  <c r="W1258" i="2"/>
  <c r="W1259" i="2"/>
  <c r="W1260" i="2"/>
  <c r="W1261" i="2"/>
  <c r="W1262" i="2"/>
  <c r="W1263" i="2"/>
  <c r="W1264" i="2"/>
  <c r="W1265" i="2"/>
  <c r="W1266" i="2"/>
  <c r="W1267" i="2"/>
  <c r="W1268" i="2"/>
  <c r="W1269" i="2"/>
  <c r="W1270" i="2"/>
  <c r="W1271" i="2"/>
  <c r="W1272" i="2"/>
  <c r="W1273" i="2"/>
  <c r="W1274" i="2"/>
  <c r="W1275" i="2"/>
  <c r="W1276" i="2"/>
  <c r="W1277" i="2"/>
  <c r="W1278" i="2"/>
  <c r="W1279" i="2"/>
  <c r="W1280" i="2"/>
  <c r="W1281" i="2"/>
  <c r="W1282" i="2"/>
  <c r="W1283" i="2"/>
  <c r="W1284" i="2"/>
  <c r="W1285" i="2"/>
  <c r="W1286" i="2"/>
  <c r="W1287" i="2"/>
  <c r="W1288" i="2"/>
  <c r="W1289" i="2"/>
  <c r="W1290" i="2"/>
  <c r="W1291" i="2"/>
  <c r="W1292" i="2"/>
  <c r="W1293" i="2"/>
  <c r="W1294" i="2"/>
  <c r="W1295" i="2"/>
  <c r="W1296" i="2"/>
  <c r="W1297" i="2"/>
  <c r="W1298" i="2"/>
  <c r="W1299" i="2"/>
  <c r="W1300" i="2"/>
  <c r="W1301" i="2"/>
  <c r="W1302" i="2"/>
  <c r="W1303" i="2"/>
  <c r="W1304" i="2"/>
  <c r="W1305" i="2"/>
  <c r="W1306" i="2"/>
  <c r="W1307" i="2"/>
  <c r="W1308" i="2"/>
  <c r="W1309" i="2"/>
  <c r="W1310" i="2"/>
  <c r="W1311" i="2"/>
  <c r="W1312" i="2"/>
  <c r="W1313" i="2"/>
  <c r="W1314" i="2"/>
  <c r="W1315" i="2"/>
  <c r="W1316" i="2"/>
  <c r="W1317" i="2"/>
  <c r="W1318" i="2"/>
  <c r="W1319" i="2"/>
  <c r="W1320" i="2"/>
  <c r="W1321" i="2"/>
  <c r="W1322" i="2"/>
  <c r="W1323" i="2"/>
  <c r="W1324" i="2"/>
  <c r="W1325" i="2"/>
  <c r="W1326" i="2"/>
  <c r="W1327" i="2"/>
  <c r="W1328" i="2"/>
  <c r="W1329" i="2"/>
  <c r="W1330" i="2"/>
  <c r="W1331" i="2"/>
  <c r="W1332" i="2"/>
  <c r="W1333" i="2"/>
  <c r="W1334" i="2"/>
  <c r="W1335" i="2"/>
  <c r="W1336" i="2"/>
  <c r="W1337" i="2"/>
  <c r="W1338" i="2"/>
  <c r="W1339" i="2"/>
  <c r="W1340" i="2"/>
  <c r="W1341" i="2"/>
  <c r="W1342" i="2"/>
  <c r="W1343" i="2"/>
  <c r="W1344" i="2"/>
  <c r="W1345" i="2"/>
  <c r="W1346" i="2"/>
  <c r="W1347" i="2"/>
  <c r="W1348" i="2"/>
  <c r="W1349" i="2"/>
  <c r="W1350" i="2"/>
  <c r="W1351" i="2"/>
  <c r="W1352" i="2"/>
  <c r="W1353" i="2"/>
  <c r="W1354" i="2"/>
  <c r="W1355" i="2"/>
  <c r="W1356" i="2"/>
  <c r="W1357" i="2"/>
  <c r="W1358" i="2"/>
  <c r="W1359" i="2"/>
  <c r="W1360" i="2"/>
  <c r="W1361" i="2"/>
  <c r="W1362" i="2"/>
  <c r="W1363" i="2"/>
  <c r="W1364" i="2"/>
  <c r="W1365" i="2"/>
  <c r="W1366" i="2"/>
  <c r="W1367" i="2"/>
  <c r="W1368" i="2"/>
  <c r="W1369" i="2"/>
  <c r="W1370" i="2"/>
  <c r="W1371" i="2"/>
  <c r="W1372" i="2"/>
  <c r="W1373" i="2"/>
  <c r="W1374" i="2"/>
  <c r="W1375" i="2"/>
  <c r="W1376" i="2"/>
  <c r="W1377" i="2"/>
  <c r="W1378" i="2"/>
  <c r="W1379" i="2"/>
  <c r="W1380" i="2"/>
  <c r="W1381" i="2"/>
  <c r="W1382" i="2"/>
  <c r="W1383" i="2"/>
  <c r="W1384" i="2"/>
  <c r="W1385" i="2"/>
  <c r="W1386" i="2"/>
  <c r="W1387" i="2"/>
  <c r="W1388" i="2"/>
  <c r="W1389" i="2"/>
  <c r="W1390" i="2"/>
  <c r="W1391" i="2"/>
  <c r="W1392" i="2"/>
  <c r="W1393" i="2"/>
  <c r="W1394" i="2"/>
  <c r="W1395" i="2"/>
  <c r="W1396" i="2"/>
  <c r="W1397" i="2"/>
  <c r="W1398" i="2"/>
  <c r="W1399" i="2"/>
  <c r="W1400" i="2"/>
  <c r="W1401" i="2"/>
  <c r="W1402" i="2"/>
  <c r="W1403" i="2"/>
  <c r="W1404" i="2"/>
  <c r="W1405" i="2"/>
  <c r="W1406" i="2"/>
  <c r="W1407" i="2"/>
  <c r="W1408" i="2"/>
  <c r="W1409" i="2"/>
  <c r="W1410" i="2"/>
  <c r="W1411" i="2"/>
  <c r="W1412" i="2"/>
  <c r="W1413" i="2"/>
  <c r="W1414" i="2"/>
  <c r="W1415" i="2"/>
  <c r="W1416" i="2"/>
  <c r="W1417" i="2"/>
  <c r="W1418" i="2"/>
  <c r="W1419" i="2"/>
  <c r="W1420" i="2"/>
  <c r="W1421" i="2"/>
  <c r="W1422" i="2"/>
  <c r="W1423" i="2"/>
  <c r="W1424" i="2"/>
  <c r="W1425" i="2"/>
  <c r="W1426" i="2"/>
  <c r="W1427" i="2"/>
  <c r="W1428" i="2"/>
  <c r="W1429" i="2"/>
  <c r="W1430" i="2"/>
  <c r="W1431" i="2"/>
  <c r="W1432" i="2"/>
  <c r="W1433" i="2"/>
  <c r="W1434" i="2"/>
  <c r="W1435" i="2"/>
  <c r="W1436" i="2"/>
  <c r="W1437" i="2"/>
  <c r="W1438" i="2"/>
  <c r="W1439" i="2"/>
  <c r="W1440" i="2"/>
  <c r="W1441" i="2"/>
  <c r="W1442" i="2"/>
  <c r="W1443" i="2"/>
  <c r="W1444" i="2"/>
  <c r="W1445" i="2"/>
  <c r="W1446" i="2"/>
  <c r="W1447" i="2"/>
  <c r="W1448" i="2"/>
  <c r="W1449" i="2"/>
  <c r="W1450" i="2"/>
  <c r="W1451" i="2"/>
  <c r="W1452" i="2"/>
  <c r="W1453" i="2"/>
  <c r="W1454" i="2"/>
  <c r="W1455" i="2"/>
  <c r="W1456" i="2"/>
  <c r="W1457" i="2"/>
  <c r="W1458" i="2"/>
  <c r="W1459" i="2"/>
  <c r="W1460" i="2"/>
  <c r="W1461" i="2"/>
  <c r="W1462" i="2"/>
  <c r="W1463" i="2"/>
  <c r="W1464" i="2"/>
  <c r="W1465" i="2"/>
  <c r="W1466" i="2"/>
  <c r="W1467" i="2"/>
  <c r="W1468" i="2"/>
  <c r="W1469" i="2"/>
  <c r="W1470" i="2"/>
  <c r="W1471" i="2"/>
  <c r="W1472" i="2"/>
  <c r="W1473" i="2"/>
  <c r="W1474" i="2"/>
  <c r="W1475" i="2"/>
  <c r="W1476" i="2"/>
  <c r="W1477" i="2"/>
  <c r="W1478" i="2"/>
  <c r="W1479" i="2"/>
  <c r="W1480" i="2"/>
  <c r="W1481" i="2"/>
  <c r="W1482" i="2"/>
  <c r="W1483" i="2"/>
  <c r="W1484" i="2"/>
  <c r="W1485" i="2"/>
  <c r="W1486" i="2"/>
  <c r="W1487" i="2"/>
  <c r="W1488" i="2"/>
  <c r="W1489" i="2"/>
  <c r="W1490" i="2"/>
  <c r="W1491" i="2"/>
  <c r="W1492" i="2"/>
  <c r="W1493" i="2"/>
  <c r="W1494" i="2"/>
  <c r="W1495" i="2"/>
  <c r="W1496" i="2"/>
  <c r="W1497" i="2"/>
  <c r="W1498" i="2"/>
  <c r="W1499" i="2"/>
  <c r="W1500" i="2"/>
  <c r="W1501" i="2"/>
  <c r="W1502" i="2"/>
  <c r="W1503" i="2"/>
  <c r="W1504" i="2"/>
  <c r="W1505" i="2"/>
  <c r="W1506" i="2"/>
  <c r="W1507" i="2"/>
  <c r="W1508" i="2"/>
  <c r="W1509" i="2"/>
  <c r="W1510" i="2"/>
  <c r="W1511" i="2"/>
  <c r="W1512" i="2"/>
  <c r="W1513" i="2"/>
  <c r="W1514" i="2"/>
  <c r="W1515" i="2"/>
  <c r="W1516" i="2"/>
  <c r="W1517" i="2"/>
  <c r="W1518" i="2"/>
  <c r="W1519" i="2"/>
  <c r="W1520" i="2"/>
  <c r="W1521" i="2"/>
  <c r="W1522" i="2"/>
  <c r="W1523" i="2"/>
  <c r="W1524" i="2"/>
  <c r="W1525" i="2"/>
  <c r="W1526" i="2"/>
  <c r="W1527" i="2"/>
  <c r="W1528" i="2"/>
  <c r="W1529" i="2"/>
  <c r="W1530" i="2"/>
  <c r="W1531" i="2"/>
  <c r="W1532" i="2"/>
  <c r="W1533" i="2"/>
  <c r="W1534" i="2"/>
  <c r="W1535" i="2"/>
  <c r="W1536" i="2"/>
  <c r="W1537" i="2"/>
  <c r="W1538" i="2"/>
  <c r="W1539" i="2"/>
  <c r="W1540" i="2"/>
  <c r="W1541" i="2"/>
  <c r="W1542" i="2"/>
  <c r="W1543" i="2"/>
  <c r="W1544" i="2"/>
  <c r="W1545" i="2"/>
  <c r="W1546" i="2"/>
  <c r="W1547" i="2"/>
  <c r="W1548" i="2"/>
  <c r="W1549" i="2"/>
  <c r="W1550" i="2"/>
  <c r="W1551" i="2"/>
  <c r="W1552" i="2"/>
  <c r="W1553" i="2"/>
  <c r="W1554" i="2"/>
  <c r="W1555" i="2"/>
  <c r="W1556" i="2"/>
  <c r="W1557" i="2"/>
  <c r="W1558" i="2"/>
  <c r="W1559" i="2"/>
  <c r="W1560" i="2"/>
  <c r="W1561" i="2"/>
  <c r="W1562" i="2"/>
  <c r="W1563" i="2"/>
  <c r="W1564" i="2"/>
  <c r="W1565" i="2"/>
  <c r="W1566" i="2"/>
  <c r="W1567" i="2"/>
  <c r="W1568" i="2"/>
  <c r="W1569" i="2"/>
  <c r="W1570" i="2"/>
  <c r="W1571" i="2"/>
  <c r="W1572" i="2"/>
  <c r="W1573" i="2"/>
  <c r="W1574" i="2"/>
  <c r="W1575" i="2"/>
  <c r="W1576" i="2"/>
  <c r="W1577" i="2"/>
  <c r="W1578" i="2"/>
  <c r="W1579" i="2"/>
  <c r="W1580" i="2"/>
  <c r="W1581" i="2"/>
  <c r="W1582" i="2"/>
  <c r="W1583" i="2"/>
  <c r="W1584" i="2"/>
  <c r="W1585" i="2"/>
  <c r="W1586" i="2"/>
  <c r="W1587" i="2"/>
  <c r="W1588" i="2"/>
  <c r="W1589" i="2"/>
  <c r="W1590" i="2"/>
  <c r="W1591" i="2"/>
  <c r="W1592" i="2"/>
  <c r="W1593" i="2"/>
  <c r="W1594" i="2"/>
  <c r="W1595" i="2"/>
  <c r="W1596" i="2"/>
  <c r="W1597" i="2"/>
  <c r="W1598" i="2"/>
  <c r="W1599" i="2"/>
  <c r="W1600" i="2"/>
  <c r="W1601" i="2"/>
  <c r="W1602" i="2"/>
  <c r="W1603" i="2"/>
  <c r="W1604" i="2"/>
  <c r="W1605" i="2"/>
  <c r="W1606" i="2"/>
  <c r="W1607" i="2"/>
  <c r="W1608" i="2"/>
  <c r="W1609" i="2"/>
  <c r="W1610" i="2"/>
  <c r="W1611" i="2"/>
  <c r="W1612" i="2"/>
  <c r="W1613" i="2"/>
  <c r="W1614" i="2"/>
  <c r="W1615" i="2"/>
  <c r="W1616" i="2"/>
  <c r="W1617" i="2"/>
  <c r="W1618" i="2"/>
  <c r="W1619" i="2"/>
  <c r="W1620" i="2"/>
  <c r="W1621" i="2"/>
  <c r="W1622" i="2"/>
  <c r="W1623" i="2"/>
  <c r="W1624" i="2"/>
  <c r="W1625" i="2"/>
  <c r="W1626" i="2"/>
  <c r="W1627" i="2"/>
  <c r="W1628" i="2"/>
  <c r="W1629" i="2"/>
  <c r="W1630" i="2"/>
  <c r="W1631" i="2"/>
  <c r="W1632" i="2"/>
  <c r="W1633" i="2"/>
  <c r="W1634" i="2"/>
  <c r="W1635" i="2"/>
  <c r="W1636" i="2"/>
  <c r="W1637" i="2"/>
  <c r="W1638" i="2"/>
  <c r="W1639" i="2"/>
  <c r="W1640" i="2"/>
  <c r="W1641" i="2"/>
  <c r="W1642" i="2"/>
  <c r="W1643" i="2"/>
  <c r="W1644" i="2"/>
  <c r="W1645" i="2"/>
  <c r="W1646" i="2"/>
  <c r="W1647" i="2"/>
  <c r="W1648" i="2"/>
  <c r="W1649" i="2"/>
  <c r="W1650" i="2"/>
  <c r="W1651" i="2"/>
  <c r="W1652" i="2"/>
  <c r="W1653" i="2"/>
  <c r="W1654" i="2"/>
  <c r="W1655" i="2"/>
  <c r="W1656" i="2"/>
  <c r="W1657" i="2"/>
  <c r="W1658" i="2"/>
  <c r="W1659" i="2"/>
  <c r="W1660" i="2"/>
  <c r="W1661" i="2"/>
  <c r="W1662" i="2"/>
  <c r="W1663" i="2"/>
  <c r="W1664" i="2"/>
  <c r="W1665" i="2"/>
  <c r="W1666" i="2"/>
  <c r="W1667" i="2"/>
  <c r="W1668" i="2"/>
  <c r="W1669" i="2"/>
  <c r="W1670" i="2"/>
  <c r="W1671" i="2"/>
  <c r="W1672" i="2"/>
  <c r="W1673" i="2"/>
  <c r="W1674" i="2"/>
  <c r="W1675" i="2"/>
  <c r="W1676" i="2"/>
  <c r="W1677" i="2"/>
  <c r="W1678" i="2"/>
  <c r="W1679" i="2"/>
  <c r="W1680" i="2"/>
  <c r="W1681" i="2"/>
  <c r="W1682" i="2"/>
  <c r="W1683" i="2"/>
  <c r="W1684" i="2"/>
  <c r="W1685" i="2"/>
  <c r="W1686" i="2"/>
  <c r="W1687" i="2"/>
  <c r="W1688" i="2"/>
  <c r="W1689" i="2"/>
  <c r="W1690" i="2"/>
  <c r="W1691" i="2"/>
  <c r="W1692" i="2"/>
  <c r="W1693" i="2"/>
  <c r="W1694" i="2"/>
  <c r="W1695" i="2"/>
  <c r="W1696" i="2"/>
  <c r="W1697" i="2"/>
  <c r="W1698" i="2"/>
  <c r="W1699" i="2"/>
  <c r="W1700" i="2"/>
  <c r="W1701" i="2"/>
  <c r="W1702" i="2"/>
  <c r="W1703" i="2"/>
  <c r="W1704" i="2"/>
  <c r="W1705" i="2"/>
  <c r="W1706" i="2"/>
  <c r="W1707" i="2"/>
  <c r="W1708" i="2"/>
  <c r="W1709" i="2"/>
  <c r="W1710" i="2"/>
  <c r="W1711" i="2"/>
  <c r="W1712" i="2"/>
  <c r="W1713" i="2"/>
  <c r="W1714" i="2"/>
  <c r="W1715" i="2"/>
  <c r="W1716" i="2"/>
  <c r="W1717" i="2"/>
  <c r="W1718" i="2"/>
  <c r="W1719" i="2"/>
  <c r="W1720" i="2"/>
  <c r="W1721" i="2"/>
  <c r="W1722" i="2"/>
  <c r="W1723" i="2"/>
  <c r="W1724" i="2"/>
  <c r="W1725" i="2"/>
  <c r="W1726" i="2"/>
  <c r="W1727" i="2"/>
  <c r="W1728" i="2"/>
  <c r="W1729" i="2"/>
  <c r="W1730" i="2"/>
  <c r="W1731" i="2"/>
  <c r="W1732" i="2"/>
  <c r="W1733" i="2"/>
  <c r="W1734" i="2"/>
  <c r="W1735" i="2"/>
  <c r="W1736" i="2"/>
  <c r="W1737" i="2"/>
  <c r="W1738" i="2"/>
  <c r="W1739" i="2"/>
  <c r="W1740" i="2"/>
  <c r="W1741" i="2"/>
  <c r="W1742" i="2"/>
  <c r="W1743" i="2"/>
  <c r="W1744" i="2"/>
  <c r="W1745" i="2"/>
  <c r="W1746" i="2"/>
  <c r="W1747" i="2"/>
  <c r="W1748" i="2"/>
  <c r="W1749" i="2"/>
  <c r="W1750" i="2"/>
  <c r="W1751" i="2"/>
  <c r="W1752" i="2"/>
  <c r="W1753" i="2"/>
  <c r="W1754" i="2"/>
  <c r="W1755" i="2"/>
  <c r="W1756" i="2"/>
  <c r="W1757" i="2"/>
  <c r="W1758" i="2"/>
  <c r="W1759" i="2"/>
  <c r="W1760" i="2"/>
  <c r="W1761" i="2"/>
  <c r="W1762" i="2"/>
  <c r="W1763" i="2"/>
  <c r="W1764" i="2"/>
  <c r="W1765" i="2"/>
  <c r="W1766" i="2"/>
  <c r="W1767" i="2"/>
  <c r="W1768" i="2"/>
  <c r="W1769" i="2"/>
  <c r="W1770" i="2"/>
  <c r="W1771" i="2"/>
  <c r="W1772" i="2"/>
  <c r="W1773" i="2"/>
  <c r="W1774" i="2"/>
  <c r="W1775" i="2"/>
  <c r="W1776" i="2"/>
  <c r="W1777" i="2"/>
  <c r="W1778" i="2"/>
  <c r="W1779" i="2"/>
  <c r="W1780" i="2"/>
  <c r="W1781" i="2"/>
  <c r="W1782" i="2"/>
  <c r="W1783" i="2"/>
  <c r="W1784" i="2"/>
  <c r="W1785" i="2"/>
  <c r="W1786" i="2"/>
  <c r="W1787" i="2"/>
  <c r="W1788" i="2"/>
  <c r="W1789" i="2"/>
  <c r="W1790" i="2"/>
  <c r="W1791" i="2"/>
  <c r="W1792" i="2"/>
  <c r="W1793" i="2"/>
  <c r="W1794" i="2"/>
  <c r="W1795" i="2"/>
  <c r="W1796" i="2"/>
  <c r="W1797" i="2"/>
  <c r="W1798" i="2"/>
  <c r="W1799" i="2"/>
  <c r="W1800" i="2"/>
  <c r="W1801" i="2"/>
  <c r="W1802" i="2"/>
  <c r="W1803" i="2"/>
  <c r="W1804" i="2"/>
  <c r="W1805" i="2"/>
  <c r="W1806" i="2"/>
  <c r="W1807" i="2"/>
  <c r="W1808" i="2"/>
  <c r="W1809" i="2"/>
  <c r="W1810" i="2"/>
  <c r="W1811" i="2"/>
  <c r="W1812" i="2"/>
  <c r="W1813" i="2"/>
  <c r="W1814" i="2"/>
  <c r="W1815" i="2"/>
  <c r="W1816" i="2"/>
  <c r="W1817" i="2"/>
  <c r="W1818" i="2"/>
  <c r="W1819" i="2"/>
  <c r="W1820" i="2"/>
  <c r="W1821" i="2"/>
  <c r="W1822" i="2"/>
  <c r="W1823" i="2"/>
  <c r="W1824" i="2"/>
  <c r="W1825" i="2"/>
  <c r="W1826" i="2"/>
  <c r="W1827" i="2"/>
  <c r="W1828" i="2"/>
  <c r="W1829" i="2"/>
  <c r="W1830" i="2"/>
  <c r="W1831" i="2"/>
  <c r="W1832" i="2"/>
  <c r="W1833" i="2"/>
  <c r="W1834" i="2"/>
  <c r="W1835" i="2"/>
  <c r="W1836" i="2"/>
  <c r="W1837" i="2"/>
  <c r="W1838" i="2"/>
  <c r="W1839" i="2"/>
  <c r="W1840" i="2"/>
  <c r="W1841" i="2"/>
  <c r="W1842" i="2"/>
  <c r="W1843" i="2"/>
  <c r="W1844" i="2"/>
  <c r="W1845" i="2"/>
  <c r="W1846" i="2"/>
  <c r="W1847" i="2"/>
  <c r="W1848" i="2"/>
  <c r="W1849" i="2"/>
  <c r="W1850" i="2"/>
  <c r="W1851" i="2"/>
  <c r="W1852" i="2"/>
  <c r="W1853" i="2"/>
  <c r="W1854" i="2"/>
  <c r="W1855" i="2"/>
  <c r="W1856" i="2"/>
  <c r="W1857" i="2"/>
  <c r="W1858" i="2"/>
  <c r="W1859" i="2"/>
  <c r="W1860" i="2"/>
  <c r="W1861" i="2"/>
  <c r="W1862" i="2"/>
  <c r="W1863" i="2"/>
  <c r="W1864" i="2"/>
  <c r="W1865" i="2"/>
  <c r="W1866" i="2"/>
  <c r="W1867" i="2"/>
  <c r="W1868" i="2"/>
  <c r="W1869" i="2"/>
  <c r="W1870" i="2"/>
  <c r="W1871" i="2"/>
  <c r="W1872" i="2"/>
  <c r="W1873" i="2"/>
  <c r="W1874" i="2"/>
  <c r="W1875" i="2"/>
  <c r="W1876" i="2"/>
  <c r="W1877" i="2"/>
  <c r="W1878" i="2"/>
  <c r="W1879" i="2"/>
  <c r="W1880" i="2"/>
  <c r="W1881" i="2"/>
  <c r="W1882" i="2"/>
  <c r="W1883" i="2"/>
  <c r="W1884" i="2"/>
  <c r="W1885" i="2"/>
  <c r="W1886" i="2"/>
  <c r="W1887" i="2"/>
  <c r="W1888" i="2"/>
  <c r="W1889" i="2"/>
  <c r="W1890" i="2"/>
  <c r="W1891" i="2"/>
  <c r="W1892" i="2"/>
  <c r="W1893" i="2"/>
  <c r="W1894" i="2"/>
  <c r="W1895" i="2"/>
  <c r="W1896" i="2"/>
  <c r="W1897" i="2"/>
  <c r="W1898" i="2"/>
  <c r="W1899" i="2"/>
  <c r="W1900" i="2"/>
  <c r="W1901" i="2"/>
  <c r="W1902" i="2"/>
  <c r="W1903" i="2"/>
  <c r="W1904" i="2"/>
  <c r="W1905" i="2"/>
  <c r="W1906" i="2"/>
  <c r="W1907" i="2"/>
  <c r="W1908" i="2"/>
  <c r="W1909" i="2"/>
  <c r="W1910" i="2"/>
  <c r="W1911" i="2"/>
  <c r="W1912" i="2"/>
  <c r="W1913" i="2"/>
  <c r="W1914" i="2"/>
  <c r="W1915" i="2"/>
  <c r="W1916" i="2"/>
  <c r="W1917" i="2"/>
  <c r="W1918" i="2"/>
  <c r="W1919" i="2"/>
  <c r="W1920" i="2"/>
  <c r="W1921" i="2"/>
  <c r="W1922" i="2"/>
  <c r="W1923" i="2"/>
  <c r="W1924" i="2"/>
  <c r="W1925" i="2"/>
  <c r="W1926" i="2"/>
  <c r="W1927" i="2"/>
  <c r="W1928" i="2"/>
  <c r="W1929" i="2"/>
  <c r="W1930" i="2"/>
  <c r="W1931" i="2"/>
  <c r="W1932" i="2"/>
  <c r="W1933" i="2"/>
  <c r="W1934" i="2"/>
  <c r="W1935" i="2"/>
  <c r="W1936" i="2"/>
  <c r="W1937" i="2"/>
  <c r="W1938" i="2"/>
  <c r="W1939" i="2"/>
  <c r="W1940" i="2"/>
  <c r="W1941" i="2"/>
  <c r="W1942" i="2"/>
  <c r="W1943" i="2"/>
  <c r="W1944" i="2"/>
  <c r="W1945" i="2"/>
  <c r="W1946" i="2"/>
  <c r="W1947" i="2"/>
  <c r="W1948" i="2"/>
  <c r="W1949" i="2"/>
  <c r="W1950" i="2"/>
  <c r="W1951" i="2"/>
  <c r="W1952" i="2"/>
  <c r="W1953" i="2"/>
  <c r="W1954" i="2"/>
  <c r="W1955" i="2"/>
  <c r="W1956" i="2"/>
  <c r="W1957" i="2"/>
  <c r="W1958" i="2"/>
  <c r="W1959" i="2"/>
  <c r="W1960" i="2"/>
  <c r="W1961" i="2"/>
  <c r="W1962" i="2"/>
  <c r="W1963" i="2"/>
  <c r="W1964" i="2"/>
  <c r="W1965" i="2"/>
  <c r="W1966" i="2"/>
  <c r="W1967" i="2"/>
  <c r="W1968" i="2"/>
  <c r="W1969" i="2"/>
  <c r="W1970" i="2"/>
  <c r="W1971" i="2"/>
  <c r="W1972" i="2"/>
  <c r="W1973" i="2"/>
  <c r="W1974" i="2"/>
  <c r="W1975" i="2"/>
  <c r="W1976" i="2"/>
  <c r="W1977" i="2"/>
  <c r="W1978" i="2"/>
  <c r="W1979" i="2"/>
  <c r="W1980" i="2"/>
  <c r="W1981" i="2"/>
  <c r="W1982" i="2"/>
  <c r="W1983" i="2"/>
  <c r="W1984" i="2"/>
  <c r="W1985" i="2"/>
  <c r="W1986" i="2"/>
  <c r="W1987" i="2"/>
  <c r="W1988" i="2"/>
  <c r="W1989" i="2"/>
  <c r="W1990" i="2"/>
  <c r="W1991" i="2"/>
  <c r="W1992" i="2"/>
  <c r="W1993" i="2"/>
  <c r="W1994" i="2"/>
  <c r="W1995" i="2"/>
  <c r="W1996" i="2"/>
  <c r="W1997" i="2"/>
  <c r="W1998" i="2"/>
  <c r="W1999" i="2"/>
  <c r="W2000" i="2"/>
  <c r="W2001" i="2"/>
  <c r="W2002" i="2"/>
  <c r="W2003" i="2"/>
  <c r="W2004" i="2"/>
  <c r="W2005" i="2"/>
  <c r="W2006" i="2"/>
  <c r="W2007" i="2"/>
  <c r="W2008" i="2"/>
  <c r="W2009" i="2"/>
  <c r="W2010" i="2"/>
  <c r="W2011" i="2"/>
  <c r="W2012" i="2"/>
  <c r="W2013" i="2"/>
  <c r="W2014" i="2"/>
  <c r="W2015" i="2"/>
  <c r="W2016" i="2"/>
  <c r="W2017" i="2"/>
  <c r="W2018" i="2"/>
  <c r="W2019" i="2"/>
  <c r="W2020" i="2"/>
  <c r="W2021" i="2"/>
  <c r="W2022" i="2"/>
  <c r="W2023" i="2"/>
  <c r="W2024" i="2"/>
  <c r="W2025" i="2"/>
  <c r="W2026" i="2"/>
  <c r="W2027" i="2"/>
  <c r="W2028" i="2"/>
  <c r="W2029" i="2"/>
  <c r="W2030" i="2"/>
  <c r="W2031" i="2"/>
  <c r="W2032" i="2"/>
  <c r="W2033" i="2"/>
  <c r="W2034" i="2"/>
  <c r="W2035" i="2"/>
  <c r="W2036" i="2"/>
  <c r="W2037" i="2"/>
  <c r="W2038" i="2"/>
  <c r="W2039" i="2"/>
  <c r="W2040" i="2"/>
  <c r="W2041" i="2"/>
  <c r="W2042" i="2"/>
  <c r="W2043" i="2"/>
  <c r="W2044" i="2"/>
  <c r="W2045" i="2"/>
  <c r="W2046" i="2"/>
  <c r="W2047" i="2"/>
  <c r="W2048" i="2"/>
  <c r="W2049" i="2"/>
  <c r="W2050" i="2"/>
  <c r="W2051" i="2"/>
  <c r="W2052" i="2"/>
  <c r="W2053" i="2"/>
  <c r="W2054" i="2"/>
  <c r="W2055" i="2"/>
  <c r="W2056" i="2"/>
  <c r="W2057" i="2"/>
  <c r="W2058" i="2"/>
  <c r="W2059" i="2"/>
  <c r="W2060" i="2"/>
  <c r="W2061" i="2"/>
  <c r="W2062" i="2"/>
  <c r="W2063" i="2"/>
  <c r="W2064" i="2"/>
  <c r="W2065" i="2"/>
  <c r="W2066" i="2"/>
  <c r="W2067" i="2"/>
  <c r="W2068" i="2"/>
  <c r="W2069" i="2"/>
  <c r="W2070" i="2"/>
  <c r="W2071" i="2"/>
  <c r="W2072" i="2"/>
  <c r="W2073" i="2"/>
  <c r="W2074" i="2"/>
  <c r="W2075" i="2"/>
  <c r="W2076" i="2"/>
  <c r="W2077" i="2"/>
  <c r="W2078" i="2"/>
  <c r="W2079" i="2"/>
  <c r="W2080" i="2"/>
  <c r="W2081" i="2"/>
  <c r="W2082" i="2"/>
  <c r="W2083" i="2"/>
  <c r="W2084" i="2"/>
  <c r="W2085" i="2"/>
  <c r="W2086" i="2"/>
  <c r="W2087" i="2"/>
  <c r="W2088" i="2"/>
  <c r="W2089" i="2"/>
  <c r="W2090" i="2"/>
  <c r="W2091" i="2"/>
  <c r="W2092" i="2"/>
  <c r="W2093" i="2"/>
  <c r="W2094" i="2"/>
  <c r="W2095" i="2"/>
  <c r="W2096" i="2"/>
  <c r="W2097" i="2"/>
  <c r="W2098" i="2"/>
  <c r="W2099" i="2"/>
  <c r="W2100" i="2"/>
  <c r="W2101" i="2"/>
  <c r="W2102" i="2"/>
  <c r="W2103" i="2"/>
  <c r="W2104" i="2"/>
  <c r="W2105" i="2"/>
  <c r="W2106" i="2"/>
  <c r="W2107" i="2"/>
  <c r="W2108" i="2"/>
  <c r="W2109" i="2"/>
  <c r="W2110" i="2"/>
  <c r="W2111" i="2"/>
  <c r="W2112" i="2"/>
  <c r="W2113" i="2"/>
  <c r="W2114" i="2"/>
  <c r="W2115" i="2"/>
  <c r="W2116" i="2"/>
  <c r="W2117" i="2"/>
  <c r="W2118" i="2"/>
  <c r="W2119" i="2"/>
  <c r="W2120" i="2"/>
  <c r="W2121" i="2"/>
  <c r="W2122" i="2"/>
  <c r="W2123" i="2"/>
  <c r="W2124" i="2"/>
  <c r="W2125" i="2"/>
  <c r="W2126" i="2"/>
  <c r="W2127" i="2"/>
  <c r="W2128" i="2"/>
  <c r="W2129" i="2"/>
  <c r="W2130" i="2"/>
  <c r="W2131" i="2"/>
  <c r="W2132" i="2"/>
  <c r="W2133" i="2"/>
  <c r="W2134" i="2"/>
  <c r="W2135" i="2"/>
  <c r="W2136" i="2"/>
  <c r="W2137" i="2"/>
  <c r="W2138" i="2"/>
  <c r="W2139" i="2"/>
  <c r="W2140" i="2"/>
  <c r="W2141" i="2"/>
  <c r="W2142" i="2"/>
  <c r="W2143" i="2"/>
  <c r="W2144" i="2"/>
  <c r="W2145" i="2"/>
  <c r="W2146" i="2"/>
  <c r="W2147" i="2"/>
  <c r="W2148" i="2"/>
  <c r="W2149" i="2"/>
  <c r="W2150" i="2"/>
  <c r="W2151" i="2"/>
  <c r="W2152" i="2"/>
  <c r="W2153" i="2"/>
  <c r="W2154" i="2"/>
  <c r="W2155" i="2"/>
  <c r="W2156" i="2"/>
  <c r="W2157" i="2"/>
  <c r="W2158" i="2"/>
  <c r="W2159" i="2"/>
  <c r="W2160" i="2"/>
  <c r="W2161" i="2"/>
  <c r="W2162" i="2"/>
  <c r="W2163" i="2"/>
  <c r="W2164" i="2"/>
  <c r="W2165" i="2"/>
  <c r="W2166" i="2"/>
  <c r="W2167" i="2"/>
  <c r="W2168" i="2"/>
  <c r="W2169" i="2"/>
  <c r="W2170" i="2"/>
  <c r="W2171" i="2"/>
  <c r="W2172" i="2"/>
  <c r="W2173" i="2"/>
  <c r="W2174" i="2"/>
  <c r="W2175" i="2"/>
  <c r="W2176" i="2"/>
  <c r="W2177" i="2"/>
  <c r="W2178" i="2"/>
  <c r="W2179" i="2"/>
  <c r="W2180" i="2"/>
  <c r="W2181" i="2"/>
  <c r="W2182" i="2"/>
  <c r="W2183" i="2"/>
  <c r="W2184" i="2"/>
  <c r="W2185" i="2"/>
  <c r="W2186" i="2"/>
  <c r="W2187" i="2"/>
  <c r="W2188" i="2"/>
  <c r="W2189" i="2"/>
  <c r="W2190" i="2"/>
  <c r="W2191" i="2"/>
  <c r="W2192" i="2"/>
  <c r="W2193" i="2"/>
  <c r="W2194" i="2"/>
  <c r="W2195" i="2"/>
  <c r="W2196" i="2"/>
  <c r="W2197" i="2"/>
  <c r="W2198" i="2"/>
  <c r="W2199" i="2"/>
  <c r="W2200" i="2"/>
  <c r="W2201" i="2"/>
  <c r="W2202" i="2"/>
  <c r="W2203" i="2"/>
  <c r="W2204" i="2"/>
  <c r="W2205" i="2"/>
  <c r="W2206" i="2"/>
  <c r="W2207" i="2"/>
  <c r="W2208" i="2"/>
  <c r="W2209" i="2"/>
  <c r="W2210" i="2"/>
  <c r="W2211" i="2"/>
  <c r="W2212" i="2"/>
  <c r="W2213" i="2"/>
  <c r="W2214" i="2"/>
  <c r="W2215" i="2"/>
  <c r="W2216" i="2"/>
  <c r="W2217" i="2"/>
  <c r="W2218" i="2"/>
  <c r="W2219" i="2"/>
  <c r="W2220" i="2"/>
  <c r="W2221" i="2"/>
  <c r="W2222" i="2"/>
  <c r="W2223" i="2"/>
  <c r="W2224" i="2"/>
  <c r="W2225" i="2"/>
  <c r="W2226" i="2"/>
  <c r="W2227" i="2"/>
  <c r="W2228" i="2"/>
  <c r="W2229" i="2"/>
  <c r="W2230" i="2"/>
  <c r="W2231" i="2"/>
  <c r="W2232" i="2"/>
  <c r="W2233" i="2"/>
  <c r="W2234" i="2"/>
  <c r="W2235" i="2"/>
  <c r="W2236" i="2"/>
  <c r="W2237" i="2"/>
  <c r="W2238" i="2"/>
  <c r="W2239" i="2"/>
  <c r="W2240" i="2"/>
  <c r="W2241" i="2"/>
  <c r="W2242" i="2"/>
  <c r="W2243" i="2"/>
  <c r="W2244" i="2"/>
  <c r="W2245" i="2"/>
  <c r="W2246" i="2"/>
  <c r="W2247" i="2"/>
  <c r="W2248" i="2"/>
  <c r="W2249" i="2"/>
  <c r="W2250" i="2"/>
  <c r="W2251" i="2"/>
  <c r="W2252" i="2"/>
  <c r="W2253" i="2"/>
  <c r="W2254" i="2"/>
  <c r="W2255" i="2"/>
  <c r="W2256" i="2"/>
  <c r="W2257" i="2"/>
  <c r="W2258" i="2"/>
  <c r="W2259" i="2"/>
  <c r="W2260" i="2"/>
  <c r="W2261" i="2"/>
  <c r="W2262" i="2"/>
  <c r="W2263" i="2"/>
  <c r="W2264" i="2"/>
  <c r="W2265" i="2"/>
  <c r="W2266" i="2"/>
  <c r="W2267" i="2"/>
  <c r="W2268" i="2"/>
  <c r="W2269" i="2"/>
  <c r="W2270" i="2"/>
  <c r="W2271" i="2"/>
  <c r="W2272" i="2"/>
  <c r="W2273" i="2"/>
  <c r="W2274" i="2"/>
  <c r="W2275" i="2"/>
  <c r="W2276" i="2"/>
  <c r="W2277" i="2"/>
  <c r="W2278" i="2"/>
  <c r="W2279" i="2"/>
  <c r="W2280" i="2"/>
  <c r="W2281" i="2"/>
  <c r="W2282" i="2"/>
  <c r="W2283" i="2"/>
  <c r="W2284" i="2"/>
  <c r="W2285" i="2"/>
  <c r="W2286" i="2"/>
  <c r="W2287" i="2"/>
  <c r="W2288" i="2"/>
  <c r="W2289" i="2"/>
  <c r="W2290" i="2"/>
  <c r="W2291" i="2"/>
  <c r="W2292" i="2"/>
  <c r="W2293" i="2"/>
  <c r="W2294" i="2"/>
  <c r="W2295" i="2"/>
  <c r="W2296" i="2"/>
  <c r="W2297" i="2"/>
  <c r="W2298" i="2"/>
  <c r="W2299" i="2"/>
  <c r="W2300" i="2"/>
  <c r="W2301" i="2"/>
  <c r="W2302" i="2"/>
  <c r="W2303" i="2"/>
  <c r="W2304" i="2"/>
  <c r="W2305" i="2"/>
  <c r="W2306" i="2"/>
  <c r="W2307" i="2"/>
  <c r="W2308" i="2"/>
  <c r="W2309" i="2"/>
  <c r="W2310" i="2"/>
  <c r="W2311" i="2"/>
  <c r="W2312" i="2"/>
  <c r="W2313" i="2"/>
  <c r="W2314" i="2"/>
  <c r="W2315" i="2"/>
  <c r="W2316" i="2"/>
  <c r="W2317" i="2"/>
  <c r="W2318" i="2"/>
  <c r="W2319" i="2"/>
  <c r="W2320" i="2"/>
  <c r="W2321" i="2"/>
  <c r="W2322" i="2"/>
  <c r="W2323" i="2"/>
  <c r="W2324" i="2"/>
  <c r="W2325" i="2"/>
  <c r="W2326" i="2"/>
  <c r="W2327" i="2"/>
  <c r="W2328" i="2"/>
  <c r="W2329" i="2"/>
  <c r="W2330" i="2"/>
  <c r="W2331" i="2"/>
  <c r="W2332" i="2"/>
  <c r="W2333" i="2"/>
  <c r="W2334" i="2"/>
  <c r="W2335" i="2"/>
  <c r="W2336" i="2"/>
  <c r="W2337" i="2"/>
  <c r="W2338" i="2"/>
  <c r="W2339" i="2"/>
  <c r="W2340" i="2"/>
  <c r="W2341" i="2"/>
  <c r="W2342" i="2"/>
  <c r="W2343" i="2"/>
  <c r="W2344" i="2"/>
  <c r="W2345" i="2"/>
  <c r="W2346" i="2"/>
  <c r="W2347" i="2"/>
  <c r="W2348" i="2"/>
  <c r="W2349" i="2"/>
  <c r="W2350" i="2"/>
  <c r="W2351" i="2"/>
  <c r="W2352" i="2"/>
  <c r="W2353" i="2"/>
  <c r="W2354" i="2"/>
  <c r="W2355" i="2"/>
  <c r="W2356" i="2"/>
  <c r="W2357" i="2"/>
  <c r="W2358" i="2"/>
  <c r="W2359" i="2"/>
  <c r="W2360" i="2"/>
  <c r="W2361" i="2"/>
  <c r="W2362" i="2"/>
  <c r="W2363" i="2"/>
  <c r="W2364" i="2"/>
  <c r="W2365" i="2"/>
  <c r="W2366" i="2"/>
  <c r="W2367" i="2"/>
  <c r="W2368" i="2"/>
  <c r="W2369" i="2"/>
  <c r="W2370" i="2"/>
  <c r="W2371" i="2"/>
  <c r="W2372" i="2"/>
  <c r="W2373" i="2"/>
  <c r="W2374" i="2"/>
  <c r="W2375" i="2"/>
  <c r="W2376" i="2"/>
  <c r="W2377" i="2"/>
  <c r="W2378" i="2"/>
  <c r="W2379" i="2"/>
  <c r="W2380" i="2"/>
  <c r="W2381" i="2"/>
  <c r="W2382" i="2"/>
  <c r="W2383" i="2"/>
  <c r="W2384" i="2"/>
  <c r="W2385" i="2"/>
  <c r="W2386" i="2"/>
  <c r="W2387" i="2"/>
  <c r="W2388" i="2"/>
  <c r="W2389" i="2"/>
  <c r="W2390" i="2"/>
  <c r="W2391" i="2"/>
  <c r="W2392" i="2"/>
  <c r="W2393" i="2"/>
  <c r="W2394" i="2"/>
  <c r="W2395" i="2"/>
  <c r="W2396" i="2"/>
  <c r="W2397" i="2"/>
  <c r="W2398" i="2"/>
  <c r="W2399" i="2"/>
  <c r="W2400" i="2"/>
  <c r="W2401" i="2"/>
  <c r="W2402" i="2"/>
  <c r="W2403" i="2"/>
  <c r="W2404" i="2"/>
  <c r="W2405" i="2"/>
  <c r="W2406" i="2"/>
  <c r="W2407" i="2"/>
  <c r="W2408" i="2"/>
  <c r="W2409" i="2"/>
  <c r="W2410" i="2"/>
  <c r="W2411" i="2"/>
  <c r="W2412" i="2"/>
  <c r="W2413" i="2"/>
  <c r="W2414" i="2"/>
  <c r="W2415" i="2"/>
  <c r="W2416" i="2"/>
  <c r="W2417" i="2"/>
  <c r="W2418" i="2"/>
  <c r="W2419" i="2"/>
  <c r="W2420" i="2"/>
  <c r="W2421" i="2"/>
  <c r="W2422" i="2"/>
  <c r="W2423" i="2"/>
  <c r="W2424" i="2"/>
  <c r="W2425" i="2"/>
  <c r="W2426" i="2"/>
  <c r="W2427" i="2"/>
  <c r="W2428" i="2"/>
  <c r="W2429" i="2"/>
  <c r="W2430" i="2"/>
  <c r="W2431" i="2"/>
  <c r="W2432" i="2"/>
  <c r="W2433" i="2"/>
  <c r="W2434" i="2"/>
  <c r="W2435" i="2"/>
  <c r="W2436" i="2"/>
  <c r="W2437" i="2"/>
  <c r="W2438" i="2"/>
  <c r="W2439" i="2"/>
  <c r="W2440" i="2"/>
  <c r="W2441" i="2"/>
  <c r="W2442" i="2"/>
  <c r="W2443" i="2"/>
  <c r="W2444" i="2"/>
  <c r="W2445" i="2"/>
  <c r="W2446" i="2"/>
  <c r="W2447" i="2"/>
  <c r="W2448" i="2"/>
  <c r="W2449" i="2"/>
  <c r="W2450" i="2"/>
  <c r="W2451" i="2"/>
  <c r="W2452" i="2"/>
  <c r="W2453" i="2"/>
  <c r="W2454" i="2"/>
  <c r="W2455" i="2"/>
  <c r="W2456" i="2"/>
  <c r="W2457" i="2"/>
  <c r="W2458" i="2"/>
  <c r="W2459" i="2"/>
  <c r="W2460" i="2"/>
  <c r="W2461" i="2"/>
  <c r="W2462" i="2"/>
  <c r="W2463" i="2"/>
  <c r="W2464" i="2"/>
  <c r="W2465" i="2"/>
  <c r="W2466" i="2"/>
  <c r="W2467" i="2"/>
  <c r="W2468" i="2"/>
  <c r="W2469" i="2"/>
  <c r="W2470" i="2"/>
  <c r="W2471" i="2"/>
  <c r="W2472" i="2"/>
  <c r="W2473" i="2"/>
  <c r="W2474" i="2"/>
  <c r="W2475" i="2"/>
  <c r="W2476" i="2"/>
  <c r="W2477" i="2"/>
  <c r="W2478" i="2"/>
  <c r="W2479" i="2"/>
  <c r="W2480" i="2"/>
  <c r="W2481" i="2"/>
  <c r="W2482" i="2"/>
  <c r="W2483" i="2"/>
  <c r="W2484" i="2"/>
  <c r="W2485" i="2"/>
  <c r="W2486" i="2"/>
  <c r="W2487" i="2"/>
  <c r="W2488" i="2"/>
  <c r="W2489" i="2"/>
  <c r="W2490" i="2"/>
  <c r="W2491" i="2"/>
  <c r="W2492" i="2"/>
  <c r="W2493" i="2"/>
  <c r="W2494" i="2"/>
  <c r="W2495" i="2"/>
  <c r="W2496" i="2"/>
  <c r="W2497" i="2"/>
  <c r="W2498" i="2"/>
  <c r="W2499" i="2"/>
  <c r="W2500" i="2"/>
  <c r="W2501" i="2"/>
  <c r="W2502" i="2"/>
  <c r="W2503" i="2"/>
  <c r="W2504" i="2"/>
  <c r="W2505" i="2"/>
  <c r="W2506" i="2"/>
  <c r="W2507" i="2"/>
  <c r="W2508" i="2"/>
  <c r="W2509" i="2"/>
  <c r="W2510" i="2"/>
  <c r="W2511" i="2"/>
  <c r="W2512" i="2"/>
  <c r="W2513" i="2"/>
  <c r="W2514" i="2"/>
  <c r="W2515" i="2"/>
  <c r="W2516" i="2"/>
  <c r="W2517" i="2"/>
  <c r="W2518" i="2"/>
  <c r="W2519" i="2"/>
  <c r="W2520" i="2"/>
  <c r="W2521" i="2"/>
  <c r="W2522" i="2"/>
  <c r="W2523" i="2"/>
  <c r="W2524" i="2"/>
  <c r="W2525" i="2"/>
  <c r="W2526" i="2"/>
  <c r="W2527" i="2"/>
  <c r="W2528" i="2"/>
  <c r="W2529" i="2"/>
  <c r="W2530" i="2"/>
  <c r="W2531" i="2"/>
  <c r="W2532" i="2"/>
  <c r="W2533" i="2"/>
  <c r="W2534" i="2"/>
  <c r="W2535" i="2"/>
  <c r="W2536" i="2"/>
  <c r="W2537" i="2"/>
  <c r="W2538" i="2"/>
  <c r="W2539" i="2"/>
  <c r="W2540" i="2"/>
  <c r="W2541" i="2"/>
  <c r="W2542" i="2"/>
  <c r="W2543" i="2"/>
  <c r="W2544" i="2"/>
  <c r="W2545" i="2"/>
  <c r="W2546" i="2"/>
  <c r="W2547" i="2"/>
  <c r="W2548" i="2"/>
  <c r="W2549" i="2"/>
  <c r="W2550" i="2"/>
  <c r="W2551" i="2"/>
  <c r="W2552" i="2"/>
  <c r="W2553" i="2"/>
  <c r="W2554" i="2"/>
  <c r="W2555" i="2"/>
  <c r="W2556" i="2"/>
  <c r="W2557" i="2"/>
  <c r="W2558" i="2"/>
  <c r="W2559" i="2"/>
  <c r="W2560" i="2"/>
  <c r="W2561" i="2"/>
  <c r="W2562" i="2"/>
  <c r="W2563" i="2"/>
  <c r="W2564" i="2"/>
  <c r="W2565" i="2"/>
  <c r="W2566" i="2"/>
  <c r="W2567" i="2"/>
  <c r="W2568" i="2"/>
  <c r="W2569" i="2"/>
  <c r="W2570" i="2"/>
  <c r="W2571" i="2"/>
  <c r="W2572" i="2"/>
  <c r="W2573" i="2"/>
  <c r="W2574" i="2"/>
  <c r="W2575" i="2"/>
  <c r="W2576" i="2"/>
  <c r="W2577" i="2"/>
  <c r="W2578" i="2"/>
  <c r="W2579" i="2"/>
  <c r="W2580" i="2"/>
  <c r="W2581" i="2"/>
  <c r="W2582" i="2"/>
  <c r="W2583" i="2"/>
  <c r="W2584" i="2"/>
  <c r="W2585" i="2"/>
  <c r="W2586" i="2"/>
  <c r="W2587" i="2"/>
  <c r="W2588" i="2"/>
  <c r="W2589" i="2"/>
  <c r="W2590" i="2"/>
  <c r="W2591" i="2"/>
  <c r="W2592" i="2"/>
  <c r="W2593" i="2"/>
  <c r="W2594" i="2"/>
  <c r="W2595" i="2"/>
  <c r="W2596" i="2"/>
  <c r="W2597" i="2"/>
  <c r="W2598" i="2"/>
  <c r="W2599" i="2"/>
  <c r="W2600" i="2"/>
  <c r="W2601" i="2"/>
  <c r="W2602" i="2"/>
  <c r="W2603" i="2"/>
  <c r="W2604" i="2"/>
  <c r="W2605" i="2"/>
  <c r="W2606" i="2"/>
  <c r="W2607" i="2"/>
  <c r="W2608" i="2"/>
  <c r="W2609" i="2"/>
  <c r="W2610" i="2"/>
  <c r="W2611" i="2"/>
  <c r="W2612" i="2"/>
  <c r="W2613" i="2"/>
  <c r="W2614" i="2"/>
  <c r="W2615" i="2"/>
  <c r="W2616" i="2"/>
  <c r="W2617" i="2"/>
  <c r="W2618" i="2"/>
  <c r="W2619" i="2"/>
  <c r="W2620" i="2"/>
  <c r="W2621" i="2"/>
  <c r="W2622" i="2"/>
  <c r="W2623" i="2"/>
  <c r="W2624" i="2"/>
  <c r="W2625" i="2"/>
  <c r="W2626" i="2"/>
  <c r="W2627" i="2"/>
  <c r="W2628" i="2"/>
  <c r="W2629" i="2"/>
  <c r="W2630" i="2"/>
  <c r="W2631" i="2"/>
  <c r="W2632" i="2"/>
  <c r="W2633" i="2"/>
  <c r="W2634" i="2"/>
  <c r="W2635" i="2"/>
  <c r="W2636" i="2"/>
  <c r="W2637" i="2"/>
  <c r="W2638" i="2"/>
  <c r="W2639" i="2"/>
  <c r="W2640" i="2"/>
  <c r="W2641" i="2"/>
  <c r="W2642" i="2"/>
  <c r="W2643" i="2"/>
  <c r="W2644" i="2"/>
  <c r="W2645" i="2"/>
  <c r="W2646" i="2"/>
  <c r="W2647" i="2"/>
  <c r="W2648" i="2"/>
  <c r="W2649" i="2"/>
  <c r="W2650" i="2"/>
  <c r="W2651" i="2"/>
  <c r="W2652" i="2"/>
  <c r="W2653" i="2"/>
  <c r="W2654" i="2"/>
  <c r="W2655" i="2"/>
  <c r="W2656" i="2"/>
  <c r="W2657" i="2"/>
  <c r="W2658" i="2"/>
  <c r="W2659" i="2"/>
  <c r="W2660" i="2"/>
  <c r="W2661" i="2"/>
  <c r="W2662" i="2"/>
  <c r="W2663" i="2"/>
  <c r="W2664" i="2"/>
  <c r="W2665" i="2"/>
  <c r="W2666" i="2"/>
  <c r="W2667" i="2"/>
  <c r="W2668" i="2"/>
  <c r="W2669" i="2"/>
  <c r="W2670" i="2"/>
  <c r="W2671" i="2"/>
  <c r="W2672" i="2"/>
  <c r="W2673" i="2"/>
  <c r="W2674" i="2"/>
  <c r="W2675" i="2"/>
  <c r="W2676" i="2"/>
  <c r="W2677" i="2"/>
  <c r="W2678" i="2"/>
  <c r="W2679" i="2"/>
  <c r="W2680" i="2"/>
  <c r="W2681" i="2"/>
  <c r="W2682" i="2"/>
  <c r="W2683" i="2"/>
  <c r="W2684" i="2"/>
  <c r="W2685" i="2"/>
  <c r="W2686" i="2"/>
  <c r="W2687" i="2"/>
  <c r="W2688" i="2"/>
  <c r="W2689" i="2"/>
  <c r="W2690" i="2"/>
  <c r="W2691" i="2"/>
  <c r="W2692" i="2"/>
  <c r="W2693" i="2"/>
  <c r="W2694" i="2"/>
  <c r="W2695" i="2"/>
  <c r="W2696" i="2"/>
  <c r="W2697" i="2"/>
  <c r="W2698" i="2"/>
  <c r="W2699" i="2"/>
  <c r="W2700" i="2"/>
  <c r="W2701" i="2"/>
  <c r="W2702" i="2"/>
  <c r="W2703" i="2"/>
  <c r="W2704" i="2"/>
  <c r="W2705" i="2"/>
  <c r="W2706" i="2"/>
  <c r="W2707" i="2"/>
  <c r="W2708" i="2"/>
  <c r="W2709" i="2"/>
  <c r="W2710" i="2"/>
  <c r="W2711" i="2"/>
  <c r="W2712" i="2"/>
  <c r="W2713" i="2"/>
  <c r="W2714" i="2"/>
  <c r="W2715" i="2"/>
  <c r="W2716" i="2"/>
  <c r="W2717" i="2"/>
  <c r="W2718" i="2"/>
  <c r="W2719" i="2"/>
  <c r="W2720" i="2"/>
  <c r="W2721" i="2"/>
  <c r="W2722" i="2"/>
  <c r="W2723" i="2"/>
  <c r="W2724" i="2"/>
  <c r="W2725" i="2"/>
  <c r="W2726" i="2"/>
  <c r="W2727" i="2"/>
  <c r="W2728" i="2"/>
  <c r="W2729" i="2"/>
  <c r="W2730" i="2"/>
  <c r="W2731" i="2"/>
  <c r="W2732" i="2"/>
  <c r="W2733" i="2"/>
  <c r="W2734" i="2"/>
  <c r="W2735" i="2"/>
  <c r="W2736" i="2"/>
  <c r="W2737" i="2"/>
  <c r="W2738" i="2"/>
  <c r="W2739" i="2"/>
  <c r="W2740" i="2"/>
  <c r="W2741" i="2"/>
  <c r="W2742" i="2"/>
  <c r="W2743" i="2"/>
  <c r="W2744" i="2"/>
  <c r="W2745" i="2"/>
  <c r="W2746" i="2"/>
  <c r="W2747" i="2"/>
  <c r="W2748" i="2"/>
  <c r="W2749" i="2"/>
  <c r="W2750" i="2"/>
  <c r="W2751" i="2"/>
  <c r="W2752" i="2"/>
  <c r="W2753" i="2"/>
  <c r="W2754" i="2"/>
  <c r="W2755" i="2"/>
  <c r="W2756" i="2"/>
  <c r="W2757" i="2"/>
  <c r="W2758" i="2"/>
  <c r="W2759" i="2"/>
  <c r="W2760" i="2"/>
  <c r="W2761" i="2"/>
  <c r="W2762" i="2"/>
  <c r="W2763" i="2"/>
  <c r="W2764" i="2"/>
  <c r="W2765" i="2"/>
  <c r="W2766" i="2"/>
  <c r="W2767" i="2"/>
  <c r="W2768" i="2"/>
  <c r="W2769" i="2"/>
  <c r="W2770" i="2"/>
  <c r="W2771" i="2"/>
  <c r="W2772" i="2"/>
  <c r="W2773" i="2"/>
  <c r="W2774" i="2"/>
  <c r="W2775" i="2"/>
  <c r="W2776" i="2"/>
  <c r="W2777" i="2"/>
  <c r="W2778" i="2"/>
  <c r="W2779" i="2"/>
  <c r="W2780" i="2"/>
  <c r="W2781" i="2"/>
  <c r="W2782" i="2"/>
  <c r="W2783" i="2"/>
  <c r="W2784" i="2"/>
  <c r="W2785" i="2"/>
  <c r="W2786" i="2"/>
  <c r="W2787" i="2"/>
  <c r="W2788" i="2"/>
  <c r="W2789" i="2"/>
  <c r="W2790" i="2"/>
  <c r="W2791" i="2"/>
  <c r="W2792" i="2"/>
  <c r="W2793" i="2"/>
  <c r="W2794" i="2"/>
  <c r="W2795" i="2"/>
  <c r="W2796" i="2"/>
  <c r="W2797" i="2"/>
  <c r="W2798" i="2"/>
  <c r="W2799" i="2"/>
  <c r="W2800" i="2"/>
  <c r="W2801" i="2"/>
  <c r="W2802" i="2"/>
  <c r="W2803" i="2"/>
  <c r="W2804" i="2"/>
  <c r="W2805" i="2"/>
  <c r="W2806" i="2"/>
  <c r="W2807" i="2"/>
  <c r="W2808" i="2"/>
  <c r="W2809" i="2"/>
  <c r="W2810" i="2"/>
  <c r="W2811" i="2"/>
  <c r="W2812" i="2"/>
  <c r="W2813" i="2"/>
  <c r="W2814" i="2"/>
  <c r="W2815" i="2"/>
  <c r="W2816" i="2"/>
  <c r="W2817" i="2"/>
  <c r="W2818" i="2"/>
  <c r="W2819" i="2"/>
  <c r="W2820" i="2"/>
  <c r="W2821" i="2"/>
  <c r="W2822" i="2"/>
  <c r="W2823" i="2"/>
  <c r="W2824" i="2"/>
  <c r="W2825" i="2"/>
  <c r="W2826" i="2"/>
  <c r="W2827" i="2"/>
  <c r="W2828" i="2"/>
  <c r="W2829" i="2"/>
  <c r="W2830" i="2"/>
  <c r="W2831" i="2"/>
  <c r="W2832" i="2"/>
  <c r="W2833" i="2"/>
  <c r="W2834" i="2"/>
  <c r="W2835" i="2"/>
  <c r="W2836" i="2"/>
  <c r="W2837" i="2"/>
  <c r="W2838" i="2"/>
  <c r="W2839" i="2"/>
  <c r="W2840" i="2"/>
  <c r="W2841" i="2"/>
  <c r="W2842" i="2"/>
  <c r="W2843" i="2"/>
  <c r="W2844" i="2"/>
  <c r="W2845" i="2"/>
  <c r="W2846" i="2"/>
  <c r="W2847" i="2"/>
  <c r="W2848" i="2"/>
  <c r="W2849" i="2"/>
  <c r="W2850" i="2"/>
  <c r="W2851" i="2"/>
  <c r="W2852" i="2"/>
  <c r="W2853" i="2"/>
  <c r="W2854" i="2"/>
  <c r="W2855" i="2"/>
  <c r="W2856" i="2"/>
  <c r="W2857" i="2"/>
  <c r="W2858" i="2"/>
  <c r="W2859" i="2"/>
  <c r="W2860" i="2"/>
  <c r="W2861" i="2"/>
  <c r="W2862" i="2"/>
  <c r="W2863" i="2"/>
  <c r="W2864" i="2"/>
  <c r="W2865" i="2"/>
  <c r="W2866" i="2"/>
  <c r="W2867" i="2"/>
  <c r="W2868" i="2"/>
  <c r="W2869" i="2"/>
  <c r="W2870" i="2"/>
  <c r="W2871" i="2"/>
  <c r="W2872" i="2"/>
  <c r="W2873" i="2"/>
  <c r="W2874" i="2"/>
  <c r="W2875" i="2"/>
  <c r="W2876" i="2"/>
  <c r="W2877" i="2"/>
  <c r="W2878" i="2"/>
  <c r="W2879" i="2"/>
  <c r="W2880" i="2"/>
  <c r="W2881" i="2"/>
  <c r="W2882" i="2"/>
  <c r="W2883" i="2"/>
  <c r="W2884" i="2"/>
  <c r="W2885" i="2"/>
  <c r="W2886" i="2"/>
  <c r="W2887" i="2"/>
  <c r="W2888" i="2"/>
  <c r="W2889" i="2"/>
  <c r="W2890" i="2"/>
  <c r="W2891" i="2"/>
  <c r="W2892" i="2"/>
  <c r="W2893" i="2"/>
  <c r="W2894" i="2"/>
  <c r="W2895" i="2"/>
  <c r="W2896" i="2"/>
  <c r="W2897" i="2"/>
  <c r="W2898" i="2"/>
  <c r="W2899" i="2"/>
  <c r="W2900" i="2"/>
  <c r="W2901" i="2"/>
  <c r="W2902" i="2"/>
  <c r="W2903" i="2"/>
  <c r="W2904" i="2"/>
  <c r="W2905" i="2"/>
  <c r="W2906" i="2"/>
  <c r="W2907" i="2"/>
  <c r="W2908" i="2"/>
  <c r="W2909" i="2"/>
  <c r="W2910" i="2"/>
  <c r="W2911" i="2"/>
  <c r="W2912" i="2"/>
  <c r="W2913" i="2"/>
  <c r="W2914" i="2"/>
  <c r="W2915" i="2"/>
  <c r="W2916" i="2"/>
  <c r="W2917" i="2"/>
  <c r="W2918" i="2"/>
  <c r="W2919" i="2"/>
  <c r="W2920" i="2"/>
  <c r="W2921" i="2"/>
  <c r="W2922" i="2"/>
  <c r="W2923" i="2"/>
  <c r="W2924" i="2"/>
  <c r="W2925" i="2"/>
  <c r="W2926" i="2"/>
  <c r="W2927" i="2"/>
  <c r="W2928" i="2"/>
  <c r="W2929" i="2"/>
  <c r="W2930" i="2"/>
  <c r="W2931" i="2"/>
  <c r="W2932" i="2"/>
  <c r="W2933" i="2"/>
  <c r="W2934" i="2"/>
  <c r="W2935" i="2"/>
  <c r="W2936" i="2"/>
  <c r="W2937" i="2"/>
  <c r="W2938" i="2"/>
  <c r="W2939"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<sst xmlns="http://schemas.openxmlformats.org/spreadsheetml/2006/main" count="6293" uniqueCount="524">
  <si>
    <t>Function Name</t>
  </si>
  <si>
    <t>Definition</t>
  </si>
  <si>
    <t>Arguments</t>
  </si>
  <si>
    <t>Yields</t>
  </si>
  <si>
    <t>Description</t>
  </si>
  <si>
    <t>Observations</t>
  </si>
  <si>
    <t>=LAMBDA(Y, [Filter],
  LET(
    filt_arg, IF(ISOMITTED(Filter), TRUE, Filter),
    ROWS(FILTER(Y, filt_arg))
  ))</t>
  </si>
  <si>
    <t>Y: single-column outcome range
[Filter]: boolean array — TRUE includes the row, FALSE excludes it</t>
  </si>
  <si>
    <t>n — count of rows used in the regression as a scalar integer</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</si>
  <si>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</si>
  <si>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</si>
  <si>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</si>
  <si>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</si>
  <si>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</si>
  <si>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df_regression is the number of degrees of freedom attributable to the regression model — equal to k, the number of predictor columns. The intercept term (if any) is not counted here; it is accounted for implicitly in df_total.
Returns COLUMNS(X_s). Filter and Allow_Intercept do not affect this value.</t>
  </si>
  <si>
    <t>DF_Total</t>
  </si>
  <si>
    <t>=LAMBDA(Y, [Allow_Intercept], [Filter],
  LET(
    allow_arg, IF(ISOMITTED(Allow_Intercept), TRUE, Allow_Intercept),
    filt_arg,  IF(ISOMITTED(Filter),          TRUE, Filter),
    n,         Observations(Y, filt_arg),
    IF(allow_arg, n - 1, n)
  ))</t>
  </si>
  <si>
    <t>Y: single-column outcome range
[Allow_Intercept]: TRUE/FALSE — fit intercept? Default TRUE
[Filter]: boolean array — TRUE includes the row, FALSE excludes it</t>
  </si>
  <si>
    <t>df_total (n-1 with intercept, n without) as a scalar integer</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</si>
  <si>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</si>
  <si>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</si>
  <si>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[Filter],
  LET(
    allow_arg, IF(ISOMITTED(Allow_Intercept), TRUE, Allow_Intercept),
    filt_arg,  IF(ISOMITTED(Filter),          TRUE, Filter),
    INDEX(LINEST(FILTER(Y, filt_arg), FILTER(X_s, filt_arg), allow_arg, TRUE), 3, 1)
  ))</t>
  </si>
  <si>
    <t>X_s: column range of predictors (single or multi-column)
Y: single-column outcome range
[Allow_Intercept]: TRUE/FALSE — fit intercept? Default TRUE
[Filter]: boolean array — TRUE includes the row, FALSE excludes it</t>
  </si>
  <si>
    <t>R² (coefficient of determination) as a scalar in [0, 1]</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</si>
  <si>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</si>
  <si>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</si>
  <si>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[Filter],
  LET(
    allow_arg, IF(ISOMITTED(Allow_Intercept), TRUE, Allow_Intercept),
    filt_arg,  IF(ISOMITTED(Filter),          TRUE, Filter),
    DF_Total(Y, allow_arg, filt_arg) - DF_Regression(X_s)
  ))</t>
  </si>
  <si>
    <t>df_residual (n-k-1 with intercept, n-k without) as a scalar integer</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</si>
  <si>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</si>
  <si>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</si>
  <si>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[Filter],
  LET(
    allow_arg, IF(ISOMITTED(Allow_Intercept), TRUE, Allow_Intercept),
    filt_arg,  IF(ISOMITTED(Filter),          TRUE, Filter),
    SQRT(R_squared(X_s, Y, allow_arg, filt_arg))
  ))</t>
  </si>
  <si>
    <t>Multiple R (correlation coefficient) as a scalar in [0, 1]</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</si>
  <si>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</si>
  <si>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</si>
  <si>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[Filter],
  LET(
    allow_arg, IF(ISOMITTED(Allow_Intercept), TRUE, Allow_Intercept),
    filt_arg,  IF(ISOMITTED(Filter),          TRUE, Filter),
    1 - (1 - R_squared(X_s, Y, allow_arg, filt_arg))
      * DF_Total(Y, allow_arg, filt_arg)
      / DF_Residual(X_s, Y, allow_arg, filt_arg)
  ))</t>
  </si>
  <si>
    <t>Adjusted R² as a scalar, typically in [0, 1] but can be negative</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</si>
  <si>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</si>
  <si>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</si>
  <si>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[Filter],
  LET(
    allow_arg, IF(ISOMITTED(Allow_Intercept), TRUE, Allow_Intercept),
    filt_arg,  IF(ISOMITTED(Filter),          TRUE, Filter),
    y_filt, FILTER(Y, filt_arg),
    IF(allow_arg, DEVSQ(y_filt), SUMSQ(y_filt))
  ))</t>
  </si>
  <si>
    <t>SS_total (total sum of squares) as a scalar</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</si>
  <si>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</si>
  <si>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</si>
  <si>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[Filter],
  LET(
    allow_arg, IF(ISOMITTED(Allow_Intercept), TRUE, Allow_Intercept),
    filt_arg,  IF(ISOMITTED(Filter),          TRUE, Filter),
    SS_Total(Y, allow_arg, filt_arg) * (1 - R_squared(X_s, Y, allow_arg, filt_arg))
  ))</t>
  </si>
  <si>
    <t>SS_residual (residual/error sum of squares) as a scalar</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</si>
  <si>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</si>
  <si>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</si>
  <si>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[Filter],
  LET(
    allow_arg, IF(ISOMITTED(Allow_Intercept), TRUE, Allow_Intercept),
    filt_arg,  IF(ISOMITTED(Filter),          TRUE, Filter),
    SS_Total(Y, allow_arg, filt_arg) * R_squared(X_s, Y, allow_arg, filt_arg)
  ))</t>
  </si>
  <si>
    <t>SS_regression (explained/model sum of squares) as a scalar</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</si>
  <si>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</si>
  <si>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</si>
  <si>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[Filter],
  LET(
    allow_arg, IF(ISOMITTED(Allow_Intercept), TRUE, Allow_Intercept),
    filt_arg,  IF(ISOMITTED(Filter),          TRUE, Filter),
    SS_Regression(X_s, Y, allow_arg, filt_arg) / DF_Regression(X_s)
  ))</t>
  </si>
  <si>
    <t>mean square for regression (MS_regression = SS_regression / df_regression) as a scalar</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</si>
  <si>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</si>
  <si>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</si>
  <si>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[Filter],
  LET(
    allow_arg, IF(ISOMITTED(Allow_Intercept), TRUE, Allow_Intercept),
    filt_arg,  IF(ISOMITTED(Filter),          TRUE, Filter),
    SS_Residual(X_s, Y, allow_arg, filt_arg) / DF_Residual(X_s, Y, allow_arg, filt_arg)
  ))</t>
  </si>
  <si>
    <t>mean square for residual error (MS_residual = SS_residual / df_residual) as a scalar</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</si>
  <si>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</si>
  <si>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</si>
  <si>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[Filter],
  LET(
    allow_arg, IF(ISOMITTED(Allow_Intercept), TRUE, Allow_Intercept),
    filt_arg,  IF(ISOMITTED(Filter),          TRUE, Filter),
    SQRT(SS_Residual(X_s, Y, allow_arg, filt_arg) / DF_Residual(X_s, Y, allow_arg, filt_arg))
  ))</t>
  </si>
  <si>
    <t>SE_regression (standard error of the regression) as a scalar</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</si>
  <si>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</si>
  <si>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</si>
  <si>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[Filter],
  LET(
    allow_arg, IF(ISOMITTED(Allow_Intercept), TRUE, Allow_Intercept),
    filt_arg,  IF(ISOMITTED(Filter),          TRUE, Filter),
    e,         Residuals(X_s, Y, allow_arg, filt_arg),
    h,         Hat_diagonal(X_s, allow_arg, filt_arg),
    SUMSQ(e / (1 - h))
  ))</t>
  </si>
  <si>
    <t>PRESS (Prediction Residual Error Sum of Squares) as a scalar</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</si>
  <si>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</si>
  <si>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</si>
  <si>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[Filter],
  LET(
    allow_arg, IF(ISOMITTED(Allow_Intercept), TRUE, Allow_Intercept),
    filt_arg,  IF(ISOMITTED(Filter), TRUE, Filter),
    n,   Observations(Y, filt_arg),
    ssr, SS_Residual(X_s, Y, allow_arg, filt_arg),
    p,   DF_Regression(X_s) + IF(allow_arg, 1, 0),
    n * LN(ssr / n) + 2 * p
  ))</t>
  </si>
  <si>
    <t>Akaike Information Criterion (AIC) scalar</t>
  </si>
  <si>
    <t>AIC = n·ln(SSR/n) + 2p, where p = number of regression parameters (predictors + intercept when Allow_Intercept is TRUE). Smaller values indicate better-fitting models; compare across models on the same dataset.</t>
  </si>
  <si>
    <t>BIC</t>
  </si>
  <si>
    <t>=LAMBDA(X_s, Y, [Allow_Intercept], [Filter],
  LET(
    allow_arg, IF(ISOMITTED(Allow_Intercept), TRUE, Allow_Intercept),
    filt_arg,  IF(ISOMITTED(Filter), TRUE, Filter),
    n,   Observations(Y, filt_arg),
    ssr, SS_Residual(X_s, Y, allow_arg, filt_arg),
    p,   DF_Regression(X_s) + IF(allow_arg, 1, 0),
    n * LN(ssr / n) + p * LN(n)
  ))</t>
  </si>
  <si>
    <t>Bayesian Information Criterion (BIC) scalar</t>
  </si>
  <si>
    <t>BIC = n·ln(SSR/n) + p·ln(n), where p = number of regression parameters. Applies a heavier penalty than AIC for additional parameters, favouring sparser models in large samples.</t>
  </si>
  <si>
    <t>AICc</t>
  </si>
  <si>
    <t>=LAMBDA(X_s, Y, [Allow_Intercept], [Filter],
  LET(
    allow_arg, IF(ISOMITTED(Allow_Intercept), TRUE, Allow_Intercept),
    filt_arg,  IF(ISOMITTED(Filter), TRUE, Filter),
    n,   Observations(Y, filt_arg),
    ssr, SS_Residual(X_s, Y, allow_arg, filt_arg),
    p,   DF_Regression(X_s) + IF(allow_arg, 1, 0),
    aic, n * LN(ssr / n) + 2 * p,
    aic + 2 * p * (p + 1) / (n - p - 1)
  ))</t>
  </si>
  <si>
    <t>Corrected Akaike Information Criterion (AICc) scalar</t>
  </si>
  <si>
    <t>AICc = AIC + 2p(p+1)/(n−p−1). The small-sample correction reduces upward bias in AIC when n/p &lt; 40. Converges to AIC as n → ∞.</t>
  </si>
  <si>
    <t>Durbin_Watson</t>
  </si>
  <si>
    <t>=LAMBDA(X_s, Y, [Allow_Intercept], [Filter],
  LET(
    allow_arg, IF(ISOMITTED(Allow_Intercept), TRUE, Allow_Intercept),
    filt_arg,  IF(ISOMITTED(Filter),          TRUE, Filter),
    e,         Residuals(X_s, Y, allow_arg, filt_arg),
    SUM((DROP(e, 1) - DROP(e, -1))^2) / SUM(e^2)
  ))</t>
  </si>
  <si>
    <t>Durbin-Watson statistic as a scalar</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</si>
  <si>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</si>
  <si>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</si>
  <si>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[Filter],
  LET(
    allow_arg, IF(ISOMITTED(Allow_Intercept), TRUE, Allow_Intercept),
    filt_arg,  IF(ISOMITTED(Filter), TRUE, Filter),
    sr,        Scaled_Residuals_Ranked(X_s, Y, allow_arg, filt_arg),
    n,         ROWS(sr),
    ns,        NORM.S.INV((SEQUENCE(n) - 0.5) / n),
    CORREL(sr, ns)
  ))</t>
  </si>
  <si>
    <t>Filliben Q-Q correlation coefficient (normality statistic) scalar</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</si>
  <si>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</si>
  <si>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</si>
  <si>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[Filter],
  LET(
    allow_arg, IF(ISOMITTED(Allow_Intercept), TRUE, Allow_Intercept),
    filt_arg,  IF(ISOMITTED(Filter),          TRUE, Filter),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</si>
  <si>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</si>
  <si>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</si>
  <si>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</si>
  <si>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[Filter],
  LET(
    allow_arg, IF(ISOMITTED(Allow_Intercept), TRUE, Allow_Intercept),
    filt_arg,  IF(ISOMITTED(Filter),          TRUE, Filter),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</si>
  <si>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</si>
  <si>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</si>
  <si>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</si>
  <si>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[Filter],
  LET(
    allow_arg, IF(ISOMITTED(Allow_Intercept), TRUE, Allow_Intercept),
    filt_arg,  IF(ISOMITTED(Filter),          TRUE, Filter),
    Coefficients(X_s, Y, allow_arg, filt_arg) / SE_Coefficients(X_s, Y, allow_arg, filt_arg)
  ))</t>
  </si>
  <si>
    <t>vertical array of t-statistics for each coefficient (coefficient / standard error)</t>
  </si>
  <si>
    <t>Returns a vertical spill array of t-statistics for each OLS coefficient. Each element equals the corresponding Coefficients value divided by its SE_Coefficients value.
Computed as Coefficients(...) / SE_Coefficients(...).</t>
  </si>
  <si>
    <t>P_Values</t>
  </si>
  <si>
    <t>=LAMBDA(X_s, Y, [Allow_Intercept], [Filter],
  LET(
    allow_arg, IF(ISOMITTED(Allow_Intercept), TRUE, Allow_Intercept),
    filt_arg,  IF(ISOMITTED(Filter),          TRUE, Filter),
    T.DIST.2T(ABS(T_Stats(X_s, Y, allow_arg, filt_arg)), DF_Residual(X_s, Y, allow_arg, filt_arg))
  ))</t>
  </si>
  <si>
    <t>vertical array of two-tailed p-values for each coefficient</t>
  </si>
  <si>
    <t>Returns a vertical spill array of two-tailed p-values for each OLS coefficient, testing the null hypothesis that the true coefficient equals zero.
Computed as T.DIST.2T(ABS(T_Stats(...)), DF_Residual(...)).</t>
  </si>
  <si>
    <t>CI_Lower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</si>
  <si>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</si>
  <si>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[Filter]: boolean array — TRUE includes the row, FALSE excludes it
[Alpha]: significance level (0–1); default 0.05 yields 95% CIs.</t>
  </si>
  <si>
    <t>vertical array of lower confidence interval bounds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</si>
  <si>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</si>
  <si>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</si>
  <si>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[Filter], [Alpha],
  LET(
    allow_arg,   IF(ISOMITTED(Allow_Intercept), TRUE, Allow_Intercept),
    filt_arg,    IF(ISOMITTED(Filter),          TRUE, Filter),
    alpha_arg,   IF(ISOMITTED(Alpha),           0.05, Alpha),
    Coefficients(X_s, Y, allow_arg, filt_arg)
      + T.INV.2T(alpha_arg, DF_Residual(X_s, Y, allow_arg, filt_arg))
        * SE_Coefficients(X_s, Y, allow_arg, filt_arg)
  ))</t>
  </si>
  <si>
    <t>vertical array of upper confidence interval bounds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</si>
  <si>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</si>
  <si>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</si>
  <si>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[Filter],
  LET(
    allow_arg, IF(ISOMITTED(Allow_Intercept), TRUE, Allow_Intercept),
    filt_arg,  IF(ISOMITTED(Filter),          TRUE, Filter),
    t,         T_Stats(X_s, Y, allow_arg, filt_arg),
    df,        DF_Residual(X_s, Y, allow_arg, filt_arg),
    t^2 / (t^2 + df)
  ))</t>
  </si>
  <si>
    <t>vertical array of partial R² values — same order as Coefficients (intercept first when included)</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</si>
  <si>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</si>
  <si>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</si>
  <si>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[Filter],
  LET(
    allow_arg, IF(ISOMITTED(Allow_Intercept), TRUE, Allow_Intercept),
    filt_arg,  IF(ISOMITTED(Filter),          TRUE, Filter),
    t,         T_Stats(X_s, Y, allow_arg, filt_arg),
    df,        DF_Residual(X_s, Y, allow_arg, filt_arg),
    t / SQRT(t^2 + df)
  ))</t>
  </si>
  <si>
    <t>vertical array of partial correlation coefficients — same order as Coefficients (intercept first when included)</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</si>
  <si>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</si>
  <si>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VIF</t>
  </si>
  <si>
    <t>=LAMBDA(X_s, [Allow_Intercept], [Filter],
  LET(
    filt_arg, IF(ISOMITTED(Filter), TRUE, Filter),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</si>
  <si>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[Filter]: boolean array — TRUE includes the row, FALSE excludes it</t>
  </si>
  <si>
    <t>k×1 column vector of VIF values, one per predictor (does not include an intercept row)</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</si>
  <si>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</si>
  <si>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</si>
  <si>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[Filter],
  1 / VIF(X_s, Allow_Intercept, Filter)
)</t>
  </si>
  <si>
    <t>X_s: column range of predictors (single or multi-column)
[Allow_Intercept]: TRUE/FALSE — passed through to VIF; included for interface consistency
[Filter]: boolean array — TRUE includes the row, FALSE excludes it</t>
  </si>
  <si>
    <t>k×1 column vector of Tolerance values (= 1/VIF), one per predictor</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</si>
  <si>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</si>
  <si>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</si>
  <si>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[Filter], [alpha],
  LET(
    allow_arg,     IF(ISOMITTED(Allow_Intercept), TRUE, Allow_Intercept),
    filt_arg,      IF(ISOMITTED(Filter),          TRUE, Filter),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</si>
  <si>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[Filter]: boolean array — TRUE includes the row, FALSE excludes it
[alpha]: significance level (0–1); default 0.05 yields 95% prediction intervals</t>
  </si>
  <si>
    <t>6-element vertical array: [Point Estimate, SE Prediction, t Critical, Lower bound, Upper bound, Confidence Level]</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</si>
  <si>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</si>
  <si>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</si>
  <si>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[Filter],
  SEQUENCE(ROWS(FILTER(Y, IF(ISOMITTED(Filter), TRUE, Filter))))
)</t>
  </si>
  <si>
    <t>1..n observation index as a spilled vector</t>
  </si>
  <si>
    <t>Spills 1..n, where n is the number of filtered observations.</t>
  </si>
  <si>
    <t>Rank_Fraction</t>
  </si>
  <si>
    <t>=LAMBDA(Y, [Filter],
  LET(
    filtered, FILTER(Y, IF(ISOMITTED(Filter), TRUE, Filter)),
    n,        ROWS(filtered),
    BYROW(filtered, LAMBDA(v, SUMPRODUCT((filtered &lt;= v) * 1))) / n
  ))</t>
  </si>
  <si>
    <t>empirical-CDF fractions as a spilled vector, in original data order</t>
  </si>
  <si>
    <t>Empirical CDF: fraction of filtered observations with value &lt;= each observation. Equivalent to SUMPRODUCT((filtered&lt;=v)*1)/n for each v. Output is in original data order.</t>
  </si>
  <si>
    <t>Y_Ranked</t>
  </si>
  <si>
    <t>=LAMBDA(Y, [Filter],
  SORT(FILTER(Y, IF(ISOMITTED(Filter), TRUE, Filter)))
)</t>
  </si>
  <si>
    <t>sorted filtered Y values as a spilled vector</t>
  </si>
  <si>
    <t>Useful for empirical distribution/probability plots of the response variable.</t>
  </si>
  <si>
    <t>Normal_Scores</t>
  </si>
  <si>
    <t>=LAMBDA(Y, [Filter],
  LET(
    filtered, FILTER(Y, IF(ISOMITTED(Filter), TRUE, Filter)),
    n,        ROWS(filtered),
    NORM.S.INV(
      (BYROW(filtered, LAMBDA(v, SUMPRODUCT((filtered &lt; v) * 1))) + 0.5) / n
    )
  ))</t>
  </si>
  <si>
    <t>theoretical standard-normal scores as a spilled vector</t>
  </si>
  <si>
    <t>Intended for normal probability plot x-values.</t>
  </si>
  <si>
    <t>Design_Matrix</t>
  </si>
  <si>
    <t>=LAMBDA(X_s, [Allow_Intercept], [Filter],
  LET(
    allow_arg, IF(ISOMITTED(Allow_Intercept), TRUE, Allow_Intercept),
    filt_arg,  IF(ISOMITTED(Filter), TRUE, Filter),
    x_filt,    FILTER(X_s, filt_arg),
    IF(
      allow_arg,
      HSTACK(SEQUENCE(ROWS(x_filt), , 1, 0), x_filt),
      x_filt
    )
  ))</t>
  </si>
  <si>
    <t>X_s: column range of predictors (single or multi-column)
[Allow_Intercept]: TRUE/FALSE — fit intercept? Default TRUE
[Filter]: boolean array — TRUE includes the row, FALSE excludes it</t>
  </si>
  <si>
    <t>filtered numeric design matrix as spilled array</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</si>
  <si>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</si>
  <si>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</si>
  <si>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</si>
  <si>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</si>
  <si>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</si>
  <si>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</si>
  <si>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</si>
  <si>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[Filter],
  LET(
    allow_arg, IF(ISOMITTED(Allow_Intercept), TRUE, Allow_Intercept),
    filt_arg,  IF(ISOMITTED(Filter), TRUE, Filter),
    MMULT(
      Design_Matrix(X_s, allow_arg, filt_arg),
      Coefficients(X_s, Y, allow_arg, filt_arg)
    )
  ))</t>
  </si>
  <si>
    <t>fitted Y values as a spilled vector</t>
  </si>
  <si>
    <t>Computes X_design * beta using MMULT.</t>
  </si>
  <si>
    <t>Residuals</t>
  </si>
  <si>
    <t>=LAMBDA(X_s, Y, [Allow_Intercept], [Filter],
  LET(
    allow_arg, IF(ISOMITTED(Allow_Intercept), TRUE, Allow_Intercept),
    filt_arg,  IF(ISOMITTED(Filter), TRUE, Filter),
    FILTER(Y, filt_arg) - Predictions(X_s, Y, allow_arg, filt_arg)
  ))</t>
  </si>
  <si>
    <t>raw residuals as a spilled vector</t>
  </si>
  <si>
    <t>Residuals are Y - fitted Y.</t>
  </si>
  <si>
    <t>Scaled_Residuals</t>
  </si>
  <si>
    <t>=LAMBDA(X_s, Y, [Allow_Intercept], [Filter],
  LET(
    allow_arg, IF(ISOMITTED(Allow_Intercept), TRUE, Allow_Intercept),
    filt_arg,  IF(ISOMITTED(Filter), TRUE, Filter),
    Residuals(X_s, Y, allow_arg, filt_arg)
      / SE_Regression(X_s, Y, allow_arg, filt_arg)
  ))</t>
  </si>
  <si>
    <t>residual divided by SE_Regression as a spilled vector</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</si>
  <si>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</si>
  <si>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</si>
  <si>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</si>
  <si>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</si>
  <si>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</si>
  <si>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</si>
  <si>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</si>
  <si>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</si>
  <si>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</si>
  <si>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</si>
  <si>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</si>
  <si>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</si>
  <si>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[Filter],
  LET(
    allow_arg, IF(ISOMITTED(Allow_Intercept), TRUE, Allow_Intercept),
    filt_arg,  IF(ISOMITTED(Filter),          TRUE, Filter),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</si>
  <si>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[Filter]: boolean array — TRUE includes the row, FALSE excludes it</t>
  </si>
  <si>
    <t>scalar LOO prediction for observation n — the fitted value from a model trained on all rows except n, evaluated at row n of X_s</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</si>
  <si>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</si>
  <si>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</si>
  <si>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[Filter],
  LET(
    allow_arg, IF(ISOMITTED(Allow_Intercept), TRUE, Allow_Intercept),
    filt_arg,  IF(ISOMITTED(Filter),          TRUE, Filter),
    yhat,      Predictions(X_s, Y, allow_arg, filt_arg),
    e,         FILTER(Y, filt_arg) - yhat,
    h,         Hat_diagonal(X_s, allow_arg, filt_arg),
    yhat - h * e / (1 - h)
  )
)</t>
  </si>
  <si>
    <t>n-element spill vector of LOO predictions for every filtered observation</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</si>
  <si>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</si>
  <si>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</si>
  <si>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[Filter],
  LET(
    allow_arg, IF(ISOMITTED(Allow_Intercept), TRUE, Allow_Intercept),
    filt_arg,  IF(ISOMITTED(Filter), TRUE, Filter),
    X_design,  Design_Matrix(X_s, allow_arg, filt_arg),
    p,         COLUMNS(X_design),
    XtX_inv,   Gram_Inverse(X_design),
    Z,         MMULT(X_design, XtX_inv),
    MMULT(Z * X_design, SEQUENCE(p, 1, 1, 0))
  ))</t>
  </si>
  <si>
    <t>n-element hat-matrix diagonal (leverage values) as spilled vector</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</si>
  <si>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</si>
  <si>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</si>
  <si>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[Filter],
  LET(
    allow_arg, IF(ISOMITTED(Allow_Intercept), TRUE, Allow_Intercept),
    filt_arg,  IF(ISOMITTED(Filter), TRUE, Filter),
    e,         Residuals(X_s, Y, allow_arg, filt_arg),
    se,        SE_Regression(X_s, Y, allow_arg, filt_arg),
    h,         Hat_diagonal(X_s, allow_arg, filt_arg),
    e / (se * SQRT(1 - h))
  ))</t>
  </si>
  <si>
    <t>n-element vector of internally studentized residuals</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</si>
  <si>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</si>
  <si>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</si>
  <si>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[Filter],
  LET(
    allow_arg, IF(ISOMITTED(Allow_Intercept), TRUE, Allow_Intercept),
    filt_arg,  IF(ISOMITTED(Filter), TRUE, Filter),
    SORT(Studentized_Residuals(X_s, Y, allow_arg, filt_arg))
  ))</t>
  </si>
  <si>
    <t>sorted studentized residuals as spilled vector</t>
  </si>
  <si>
    <t>Ascending sort of Studentized_Residuals. Paired with Normal_Scores gives a leverage-corrected Q-Q plot; paired with Percentile gives a cumulative distribution plot.</t>
  </si>
  <si>
    <t>Cooks_Distance</t>
  </si>
  <si>
    <t>=LAMBDA(X_s, Y, [Allow_Intercept], [Filter],
  LET(
    allow_arg, IF(ISOMITTED(Allow_Intercept), TRUE, Allow_Intercept),
    filt_arg,  IF(ISOMITTED(Filter), TRUE, Filter),
    r,         Studentized_Residuals(X_s, Y, allow_arg, filt_arg),
    h,         Hat_diagonal(X_s, allow_arg, filt_arg),
    p,         COLUMNS(Design_Matrix(X_s, allow_arg, filt_arg)),
    r ^ 2 * h / ((1 - h) * p)
  ))</t>
  </si>
  <si>
    <t>n-element vector of Cook’s distances</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</si>
  <si>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</si>
  <si>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</si>
  <si>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[Filter],
  LET(
    allow_arg, IF(ISOMITTED(Allow_Intercept), TRUE, Allow_Intercept),
    filt_arg,  IF(ISOMITTED(Filter), TRUE, Filter),
    SORT(Scaled_Residuals(X_s, Y, allow_arg, filt_arg))
  ))</t>
  </si>
  <si>
    <t>sorted scaled residuals as spilled vector</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</si>
  <si>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</si>
  <si>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</si>
  <si>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</si>
  <si>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</si>
  <si>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</si>
  <si>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</si>
  <si>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</si>
  <si>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</si>
  <si>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</si>
  <si>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</si>
  <si>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Produces a ready-made Filter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</si>
  <si>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Pearson_R</t>
  </si>
  <si>
    <t>=LAMBDA(X_s, Y, [Filter],
  LET(
    filt_arg, IF(ISOMITTED(Filter), TRUE, Filter),
    xf, FILTER(X_s, filt_arg),
    yf, FILTER(Y,   filt_arg),
    MAKEARRAY(COLUMNS(X_s), 1, LAMBDA(r, c, CORREL(CHOOSECOLS(xf, r), yf)))
  ))</t>
  </si>
  <si>
    <t>X_s: predictor column range (single or multi-column); returns one correlation per column
Y: single-column outcome range
[Filter]: boolean array — TRUE includes the row, FALSE excludes it</t>
  </si>
  <si>
    <t>k×1 column vector of Pearson correlations between each predictor and Y</t>
  </si>
  <si>
    <t>Pearson_R computes the linear (Pearson product-moment) correlation between each column of X_s and Y, after applying the optional filter.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</si>
  <si>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</si>
  <si>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k×1 column vector of Spearman rank correlations between each predictor and Y</t>
  </si>
  <si>
    <t>Skewness</t>
  </si>
  <si>
    <t>=LAMBDA(X_s, [Filter],
  LET(
    filt_arg, IF(ISOMITTED(Filter), TRUE, Filter),
    xf, FILTER(X_s, filt_arg),
    MAKEARRAY(COLUMNS(X_s), 1, LAMBDA(r, c, SKEW(CHOOSECOLS(xf, r))))
  ))</t>
  </si>
  <si>
    <t>X_s: column range to summarize (single or multi-column); returns one value per column
[Filter]: boolean array — TRUE includes the row, FALSE excludes it</t>
  </si>
  <si>
    <t>k×1 column vector of sample skewness values (one per column of X_s)</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</si>
  <si>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</si>
  <si>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</si>
  <si>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[Filter],
  LET(
    filt_arg, IF(ISOMITTED(Filter), TRUE, Filter),
    xf, FILTER(X_s, filt_arg),
    MAKEARRAY(COLUMNS(X_s), 1, LAMBDA(r, c, KURT(CHOOSECOLS(xf, r))))
  ))</t>
  </si>
  <si>
    <t>k×1 column vector of excess kurtosis values (one per column of X_s)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</si>
  <si>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</si>
  <si>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</si>
  <si>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[Filter],
  LET(
    allow_arg, IF(ISOMITTED(Allow_Intercept), TRUE, Allow_Intercept),
    filt_arg,  IF(ISOMITTED(Filter),          TRUE, Filter),
    SS_Regression(X_s, Y, allow_arg, filt_arg) / DF_Regression(X_s) /
    (SS_Residual(X_s, Y, allow_arg, filt_arg) / DF_Residual(X_s, Y, allow_arg, filt_arg))
  ))</t>
  </si>
  <si>
    <t>F-statistic for the overall regression model as a scalar</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</si>
  <si>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</si>
  <si>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</si>
  <si>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[Filter],
  LET(
    allow_arg, IF(ISOMITTED(Allow_Intercept), TRUE, Allow_Intercept),
    filt_arg,  IF(ISOMITTED(Filter),          TRUE, Filter),
    F.DIST.RT(
      F_Stat(X_s, Y, allow_arg, filt_arg),
      DF_Regression(X_s),
      DF_Residual(X_s, Y, allow_arg, filt_arg)
    )
  ))</t>
  </si>
  <si>
    <t>p-value for the overall F-test (right-tail probability of the F distribution)</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</si>
  <si>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</si>
  <si>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</si>
  <si>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[Filter],
  LET(
    filt_arg, IF(ISOMITTED(Filter), TRUE, Filter),
    xf, FILTER(X_s, filt_arg),
    k,  COLUMNS(X_s),
    MAKEARRAY(k, k, LAMBDA(r, c, CORREL(CHOOSECOLS(xf, r), CHOOSECOLS(xf, c))))
  ))</t>
  </si>
  <si>
    <t>X_s: column range of variables (single or multi-column); returns a k×k symmetric matrix
[Filter]: boolean array — TRUE includes the row, FALSE excludes it</t>
  </si>
  <si>
    <t>k×k symmetric matrix of pairwise Pearson correlations (diagonal = 1)</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</si>
  <si>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</si>
  <si>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</si>
  <si>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</si>
  <si>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</si>
  <si>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</si>
  <si>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</si>
  <si>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</si>
  <si>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</si>
  <si>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</si>
  <si>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</si>
  <si>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</si>
  <si>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</si>
  <si>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</si>
  <si>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</si>
  <si>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</si>
  <si>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</si>
  <si>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</si>
  <si>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</si>
  <si>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</si>
  <si>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</si>
  <si>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</si>
  <si>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</si>
  <si>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</si>
  <si>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</si>
  <si>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</si>
  <si>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</si>
  <si>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</si>
  <si>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</si>
  <si>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</si>
  <si>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</si>
  <si>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</si>
  <si>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</si>
  <si>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</si>
  <si>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</si>
  <si>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</si>
  <si>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</si>
  <si>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</si>
  <si>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</si>
  <si>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</si>
  <si>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</si>
  <si>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</si>
  <si>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</si>
  <si>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</si>
  <si>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</si>
  <si>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</si>
  <si>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</si>
  <si>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</si>
  <si>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</si>
  <si>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</si>
  <si>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</si>
  <si>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</si>
  <si>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</si>
  <si>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</si>
  <si>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</si>
  <si>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</si>
  <si>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</si>
  <si>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</si>
  <si>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</si>
  <si>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</si>
  <si>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</si>
  <si>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</si>
  <si>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</si>
  <si>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</si>
  <si>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</si>
  <si>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</si>
  <si>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</si>
  <si>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</si>
  <si>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</si>
  <si>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</si>
  <si>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</si>
  <si>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</si>
  <si>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</si>
  <si>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</si>
  <si>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</si>
  <si>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</si>
  <si>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</si>
  <si>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</si>
  <si>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</si>
  <si>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</si>
  <si>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</si>
  <si>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</si>
  <si>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</si>
  <si>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</si>
  <si>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</si>
  <si>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</si>
  <si>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</si>
  <si>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</si>
  <si>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</si>
  <si>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</si>
  <si>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</si>
  <si>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</si>
  <si>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</si>
  <si>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</si>
  <si>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</si>
  <si>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</si>
  <si>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</si>
  <si>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</si>
  <si>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</si>
  <si>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</si>
  <si>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</si>
  <si>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</si>
  <si>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</si>
  <si>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</si>
  <si>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</si>
  <si>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</si>
  <si>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</si>
  <si>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</si>
  <si>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</si>
  <si>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</si>
  <si>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</si>
  <si>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</si>
  <si>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</si>
  <si>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</si>
  <si>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</si>
  <si>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</si>
  <si>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</si>
  <si>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</si>
  <si>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</si>
  <si>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</si>
  <si>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</si>
  <si>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</si>
  <si>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</si>
  <si>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</si>
  <si>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</si>
  <si>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</si>
  <si>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</si>
  <si>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</si>
  <si>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</si>
  <si>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</si>
  <si>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</si>
  <si>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</si>
  <si>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</si>
  <si>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</si>
  <si>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</si>
  <si>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</si>
  <si>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</si>
  <si>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</si>
  <si>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</si>
  <si>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</si>
  <si>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</si>
  <si>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</si>
  <si>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</si>
  <si>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</si>
  <si>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</si>
  <si>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</si>
  <si>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</si>
  <si>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</si>
  <si>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</si>
  <si>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</si>
  <si>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</si>
  <si>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</si>
  <si>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</si>
  <si>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</si>
  <si>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</si>
  <si>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</si>
  <si>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</si>
  <si>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</si>
  <si>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</si>
  <si>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</si>
  <si>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</si>
  <si>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</si>
  <si>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</si>
  <si>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</si>
  <si>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</si>
  <si>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</si>
  <si>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</si>
  <si>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</si>
  <si>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</si>
  <si>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</si>
  <si>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</si>
  <si>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</si>
  <si>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</si>
  <si>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</si>
  <si>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</si>
  <si>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</si>
  <si>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</si>
  <si>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</si>
  <si>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</si>
  <si>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</si>
  <si>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</si>
  <si>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</si>
  <si>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</si>
  <si>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</si>
  <si>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</si>
  <si>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</si>
  <si>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</si>
  <si>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</si>
  <si>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</si>
  <si>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</si>
  <si>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</si>
  <si>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</si>
  <si>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</si>
  <si>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</si>
  <si>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</si>
  <si>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</si>
  <si>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</si>
  <si>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</si>
  <si>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</si>
  <si>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</si>
  <si>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</si>
  <si>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</si>
  <si>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</si>
  <si>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</si>
  <si>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</si>
  <si>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</si>
  <si>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</si>
  <si>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</si>
  <si>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</si>
  <si>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</si>
  <si>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</si>
  <si>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</si>
  <si>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</si>
  <si>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</si>
  <si>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</si>
  <si>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</si>
  <si>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</si>
  <si>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</si>
  <si>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</si>
  <si>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</si>
  <si>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PREDICTION INPUTS</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</si>
  <si>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</si>
  <si>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</si>
  <si>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</si>
  <si>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</si>
  <si>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</si>
  <si>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</si>
  <si>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</si>
  <si>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</si>
  <si>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</si>
  <si>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</si>
  <si>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</si>
  <si>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</si>
  <si>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PRESS R²</t>
  </si>
  <si>
    <t>Mean Leverage</t>
  </si>
  <si>
    <t>QQ Correlation</t>
  </si>
  <si>
    <t>Alpha</t>
  </si>
  <si>
    <t>ANOVA TABLE</t>
  </si>
  <si>
    <t>df</t>
  </si>
  <si>
    <t>SS</t>
  </si>
  <si>
    <t>MS</t>
  </si>
  <si>
    <t>F</t>
  </si>
  <si>
    <t>Significance F</t>
  </si>
  <si>
    <t>Regression</t>
  </si>
  <si>
    <t>Residual</t>
  </si>
  <si>
    <t>Total</t>
  </si>
  <si>
    <t>COEFFICIENTS</t>
  </si>
  <si>
    <t>Std Error</t>
  </si>
  <si>
    <t>t Stat</t>
  </si>
  <si>
    <t>P-value</t>
  </si>
  <si>
    <t>Lower 95%</t>
  </si>
  <si>
    <t>Upper 95%</t>
  </si>
  <si>
    <t>PREDICTION OUTPUTS</t>
  </si>
  <si>
    <t>PREDICTION INTERVAL</t>
  </si>
  <si>
    <t>Point Estimate</t>
  </si>
  <si>
    <t>SE Prediction</t>
  </si>
  <si>
    <t>t Critical</t>
  </si>
  <si>
    <t>Confidence Level</t>
  </si>
  <si>
    <t>Predictor</t>
  </si>
  <si>
    <t>Prediction Value</t>
  </si>
  <si>
    <t>Intercept</t>
  </si>
  <si>
    <t>RESIDUAL OUTPUT</t>
  </si>
  <si>
    <t>Observation</t>
  </si>
  <si>
    <t>Predicted Y</t>
  </si>
  <si>
    <t>LOOCV Prediction</t>
  </si>
  <si>
    <t>Rank Fraction</t>
  </si>
  <si>
    <t>Y Ranked</t>
  </si>
  <si>
    <t>Normal Scores</t>
  </si>
  <si>
    <t>Scaled Residuals</t>
  </si>
  <si>
    <t>Scaled Residuals Ranked</t>
  </si>
  <si>
    <t>Hat Diagonal</t>
  </si>
  <si>
    <t>Studentized Residuals</t>
  </si>
  <si>
    <t>Studentized Residuals Ranked</t>
  </si>
  <si>
    <t>Cook's Distance</t>
  </si>
  <si>
    <t>=LAMBDA(xf, yf, [Filter],
  LET(
    baseFilter, IF(ISOMITTED(Filter), TRUE, Filter),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</si>
  <si>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[Filter]: boolean array — TRUE includes the row, FALSE excludes it</t>
  </si>
  <si>
    <t>Spearman_R computes the rank (Spearman) correlation between each column of xf and yf. For each predictor column, rows are kept where both that column and yf are numeric (and pass the optional Filter).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</si>
</sst>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2" x14ac:knownFonts="1">
    <font>
      <sz val="11"/>
      <color theme="1"/>
      <name val="Aptos Narrow"/>
      <family val="2"/>
      <scheme val="minor"/>
    </font>
    <font>
      <b/>
      <sz val="11"/>
      <color theme="1"/>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rgb="FFFFC000"/>
        <bgColor indexed="64"/>
      </patternFill>
    </fill>
  </fills>
  <borders count="9">
    <border>
      <left/>
      <right/>
      <top/>
      <bottom/>
      <diagonal/>
    </border>
    <border>
      <left/>
      <right/>
      <top style="thin">
        <color indexed="64"/>
      </top>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auto="1"/>
      </left>
      <right/>
      <top/>
      <bottom/>
      <diagonal/>
    </border>
    <border>
      <left style="thin">
        <color auto="1"/>
      </left>
      <right/>
      <top style="thin">
        <color indexed="64"/>
      </top>
      <bottom/>
      <diagonal/>
    </border>
    <border>
      <left style="thin">
        <color auto="1"/>
      </left>
      <right/>
      <top/>
      <bottom style="thin">
        <color indexed="64"/>
      </bottom>
      <diagonal/>
    </border>
  </borders>
  <cellStyleXfs count="1">
    <xf numFmtId="0" fontId="0" fillId="0" borderId="0"/>
  </cellStyleXfs>
  <cellXfs count="20">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1" fillId="2" borderId="0" xfId="0" applyFont="1" applyFill="1"/>
    <xf numFmtId="0" fontId="0" fillId="3" borderId="0" xfId="0" applyFill="1"/>
    <xf numFmtId="164" fontId="0" fillId="0" borderId="0" xfId="0" applyNumberFormat="1"/>
    <xf numFmtId="2"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1" fillId="0" borderId="4" xfId="0" applyFont="1" applyBorder="1"/>
    <xf numFmtId="0" fontId="0" fillId="0" borderId="6" xfId="0" applyBorder="1"/>
    <xf numFmtId="0" fontId="1" fillId="2" borderId="7" xfId="0" applyFont="1" applyFill="1" applyBorder="1"/>
    <xf numFmtId="0" fontId="0" fillId="0" borderId="8" xfId="0" applyBorder="1"/>
    <xf numFmtId="0" fontId="0" fillId="0" borderId="0" xfId="0" applyBorder="1"/>
    <xf numFmtId="0" fontId="1" fillId="0" borderId="6" xfId="0" applyFont="1" applyBorder="1"/>
    <xf numFmtId="0" fontId="1" fillId="0" borderId="0" xfId="0" applyFont="1" applyBorder="1"/>
  </cellXfs>
  <cellStyles count="1">
    <cellStyle name="Normal" xfId="0" builtinId="0"/>
  </cellStyles>
  <dxfs count="7">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alcChain" Target="calcChai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1</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41AC6E-62D7-4EE5-885F-CA484F175935}" name="LAMBDAFunctionsCatalog" displayName="LAMBDAFunctionsCatalog" ref="A1:E58" totalsRowShown="0" headerRowDxfId="1" dataDxfId="0">
  <autoFilter ref="A1:E58" xr:uid="{F541AC6E-62D7-4EE5-885F-CA484F175935}"/>
  <tableColumns count="5">
    <tableColumn id="1" xr3:uid="{FE595C90-3046-4216-A533-E3959F619201}" name="Function Name" dataDxfId="6"/>
    <tableColumn id="2" xr3:uid="{0FC72F44-7A9F-4330-8337-88C718962249}" name="Definition" dataDxfId="5"/>
    <tableColumn id="3" xr3:uid="{86A05441-5666-4626-A0C3-08FF446B4B3C}" name="Arguments" dataDxfId="4"/>
    <tableColumn id="4" xr3:uid="{C1F260F6-7E25-4309-BBD1-07A668184134}" name="Yields" dataDxfId="3"/>
    <tableColumn id="5" xr3:uid="{D38F1E69-BEC8-41C8-8C9E-D039CB68CA8E}" name="Description" dataDxfId="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9BAA00E-3346-48B2-9C0D-7C7ECE4E0B15}" name="LifeExpectancyData" displayName="LifeExpectancyData" ref="A1:W2939" totalsRowShown="0">
  <autoFilter ref="A1:W2939" xr:uid="{89BAA00E-3346-48B2-9C0D-7C7ECE4E0B15}"/>
  <tableColumns count="23">
    <tableColumn id="1" xr3:uid="{D2D1454F-9E77-4E36-B706-D79F798245D1}" name="Country"/>
    <tableColumn id="2" xr3:uid="{26EC17D8-BA6C-4833-A695-923CB856CFDA}" name="Year"/>
    <tableColumn id="3" xr3:uid="{C7BE1FA2-CC8A-4DF6-99F4-8E37E9FA98E4}" name="Status"/>
    <tableColumn id="4" xr3:uid="{0EC81FF1-9A10-4BA4-A476-AA2ED5B34140}" name="Life expectancy"/>
    <tableColumn id="5" xr3:uid="{A203093A-707A-470F-9DA0-ACE26A689006}" name="Adult Mortality"/>
    <tableColumn id="6" xr3:uid="{E4AB1E5B-A23F-4DD2-89ED-7DE2E2FF709F}" name="infant deaths"/>
    <tableColumn id="7" xr3:uid="{97525189-0C0F-4880-9610-2D4FD82FC798}" name="Alcohol"/>
    <tableColumn id="8" xr3:uid="{3D18B03D-C091-447A-B700-FDC07FFA1D01}" name="percentage expenditure"/>
    <tableColumn id="9" xr3:uid="{A4BD4FEC-1B3B-4C04-894F-D2224F2F4357}" name="Hepatitis B"/>
    <tableColumn id="10" xr3:uid="{A834C33B-9875-4D70-BFD3-7A21984696C9}" name="Measles"/>
    <tableColumn id="11" xr3:uid="{18C82A4E-2DA4-4324-94D4-458A428127DF}" name="BMI"/>
    <tableColumn id="12" xr3:uid="{0ECC7295-87CF-4F7C-A635-0090164B52BA}" name="under-five deaths"/>
    <tableColumn id="13" xr3:uid="{721697C4-A38E-4679-8F75-8293A8753AE6}" name="Polio"/>
    <tableColumn id="14" xr3:uid="{755360B3-7FB2-4386-886F-E1B885193C18}" name="Total expenditure"/>
    <tableColumn id="15" xr3:uid="{949CCBD7-138C-4B56-A7F2-E73477B2301A}" name="Diphtheria"/>
    <tableColumn id="16" xr3:uid="{7E0FE4F4-A00B-475F-98C4-5273A3CB1018}" name="HIV/AIDS"/>
    <tableColumn id="17" xr3:uid="{DD67A069-4FDA-47B3-9739-53F5515D9935}" name="GDP"/>
    <tableColumn id="18" xr3:uid="{61C997E8-05EF-4320-9346-885BD8621E5C}" name="Population"/>
    <tableColumn id="19" xr3:uid="{BC0C54D6-ACBB-4A8C-B8F9-6E1C171FFFFA}" name="thinness 1-19 years"/>
    <tableColumn id="20" xr3:uid="{7BD28557-ED41-4ACE-A01B-0C9B5D5EB9CD}" name="thinness 5-9 years"/>
    <tableColumn id="21" xr3:uid="{EBBCC893-AFF7-40D2-A3C9-8D9CB0CC9A69}" name="Income composition of resources"/>
    <tableColumn id="22" xr3:uid="{52B636DB-56A2-46FC-AA17-93E42982D049}" name="Schooling"/>
    <tableColumn id="23" xr3:uid="{F3F51FD8-A48B-40FD-9D05-8BC73E8B0363}" name="Full_Data">
      <calculatedColumnFormula>COUNT(LifeExpectancyData[[#This Row],[Life expectancy]:[Schooling]])=19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EFD7-C746-458B-9F76-170306C925A6}">
  <dimension ref="A1:E58"/>
  <sheetViews>
    <sheetView workbookViewId="0">
      <pane ySplit="1" topLeftCell="A2" activePane="bottomLeft" state="frozenSplit"/>
      <selection pane="bottomLeft"/>
    </sheetView>
  </sheetViews>
  <sheetFormatPr defaultRowHeight="15" x14ac:dyDescent="0.25"/>
  <cols>
    <col min="1" max="1" width="18.7109375" customWidth="1"/>
    <col min="2" max="2" width="72.7109375" customWidth="1"/>
    <col min="3" max="3" width="30.7109375" customWidth="1"/>
    <col min="4" max="4" width="15.7109375" customWidth="1"/>
    <col min="5" max="5" width="66.7109375" customWidth="1"/>
  </cols>
  <sheetData>
    <row r="1" spans="1:5" x14ac:dyDescent="0.25">
      <c r="A1" s="2" t="s">
        <v>0</v>
      </c>
      <c r="B1" s="2" t="s">
        <v>1</v>
      </c>
      <c r="C1" s="2" t="s">
        <v>2</v>
      </c>
      <c r="D1" s="2" t="s">
        <v>3</v>
      </c>
      <c r="E1" s="2" t="s">
        <v>4</v>
      </c>
    </row>
    <row r="2" spans="1:5" ht="90" x14ac:dyDescent="0.25">
      <c r="A2" s="2" t="s">
        <v>5</v>
      </c>
      <c r="B2" s="1" t="s">
        <v>6</v>
      </c>
      <c r="C2" s="2" t="s">
        <v>7</v>
      </c>
      <c r="D2" s="2" t="s">
        <v>8</v>
      </c>
      <c r="E2" s="2" t="s">
        <v>9</v>
      </c>
    </row>
    <row r="3" spans="1:5" ht="105" x14ac:dyDescent="0.25">
      <c r="A3" s="2" t="s">
        <v>10</v>
      </c>
      <c r="B3" s="1" t="s">
        <v>11</v>
      </c>
      <c r="C3" s="2" t="s">
        <v>12</v>
      </c>
      <c r="D3" s="2" t="s">
        <v>13</v>
      </c>
      <c r="E3" s="2" t="s">
        <v>14</v>
      </c>
    </row>
    <row r="4" spans="1:5" ht="105" x14ac:dyDescent="0.25">
      <c r="A4" s="2" t="s">
        <v>15</v>
      </c>
      <c r="B4" s="1" t="s">
        <v>16</v>
      </c>
      <c r="C4" s="2" t="s">
        <v>17</v>
      </c>
      <c r="D4" s="2" t="s">
        <v>18</v>
      </c>
      <c r="E4" s="2" t="s">
        <v>19</v>
      </c>
    </row>
    <row r="5" spans="1:5" ht="120" x14ac:dyDescent="0.25">
      <c r="A5" s="2" t="s">
        <v>20</v>
      </c>
      <c r="B5" s="1" t="s">
        <v>21</v>
      </c>
      <c r="C5" s="2" t="s">
        <v>22</v>
      </c>
      <c r="D5" s="2" t="s">
        <v>23</v>
      </c>
      <c r="E5" s="2" t="s">
        <v>24</v>
      </c>
    </row>
    <row r="6" spans="1:5" ht="120" x14ac:dyDescent="0.25">
      <c r="A6" s="2" t="s">
        <v>25</v>
      </c>
      <c r="B6" s="1" t="s">
        <v>26</v>
      </c>
      <c r="C6" s="2" t="s">
        <v>22</v>
      </c>
      <c r="D6" s="2" t="s">
        <v>27</v>
      </c>
      <c r="E6" s="2" t="s">
        <v>28</v>
      </c>
    </row>
    <row r="7" spans="1:5" ht="120" x14ac:dyDescent="0.25">
      <c r="A7" s="2" t="s">
        <v>29</v>
      </c>
      <c r="B7" s="1" t="s">
        <v>30</v>
      </c>
      <c r="C7" s="2" t="s">
        <v>22</v>
      </c>
      <c r="D7" s="2" t="s">
        <v>31</v>
      </c>
      <c r="E7" s="2" t="s">
        <v>32</v>
      </c>
    </row>
    <row r="8" spans="1:5" ht="150" x14ac:dyDescent="0.25">
      <c r="A8" s="2" t="s">
        <v>33</v>
      </c>
      <c r="B8" s="1" t="s">
        <v>34</v>
      </c>
      <c r="C8" s="2" t="s">
        <v>22</v>
      </c>
      <c r="D8" s="2" t="s">
        <v>35</v>
      </c>
      <c r="E8" s="2" t="s">
        <v>36</v>
      </c>
    </row>
    <row r="9" spans="1:5" ht="120" x14ac:dyDescent="0.25">
      <c r="A9" s="2" t="s">
        <v>37</v>
      </c>
      <c r="B9" s="1" t="s">
        <v>38</v>
      </c>
      <c r="C9" s="2" t="s">
        <v>17</v>
      </c>
      <c r="D9" s="2" t="s">
        <v>39</v>
      </c>
      <c r="E9" s="2" t="s">
        <v>40</v>
      </c>
    </row>
    <row r="10" spans="1:5" ht="120" x14ac:dyDescent="0.25">
      <c r="A10" s="2" t="s">
        <v>41</v>
      </c>
      <c r="B10" s="1" t="s">
        <v>42</v>
      </c>
      <c r="C10" s="2" t="s">
        <v>22</v>
      </c>
      <c r="D10" s="2" t="s">
        <v>43</v>
      </c>
      <c r="E10" s="2" t="s">
        <v>44</v>
      </c>
    </row>
    <row r="11" spans="1:5" ht="120" x14ac:dyDescent="0.25">
      <c r="A11" s="2" t="s">
        <v>45</v>
      </c>
      <c r="B11" s="1" t="s">
        <v>46</v>
      </c>
      <c r="C11" s="2" t="s">
        <v>22</v>
      </c>
      <c r="D11" s="2" t="s">
        <v>47</v>
      </c>
      <c r="E11" s="2" t="s">
        <v>48</v>
      </c>
    </row>
    <row r="12" spans="1:5" ht="120" x14ac:dyDescent="0.25">
      <c r="A12" s="2" t="s">
        <v>49</v>
      </c>
      <c r="B12" s="1" t="s">
        <v>50</v>
      </c>
      <c r="C12" s="2" t="s">
        <v>22</v>
      </c>
      <c r="D12" s="2" t="s">
        <v>51</v>
      </c>
      <c r="E12" s="2" t="s">
        <v>52</v>
      </c>
    </row>
    <row r="13" spans="1:5" ht="120" x14ac:dyDescent="0.25">
      <c r="A13" s="2" t="s">
        <v>53</v>
      </c>
      <c r="B13" s="1" t="s">
        <v>54</v>
      </c>
      <c r="C13" s="2" t="s">
        <v>22</v>
      </c>
      <c r="D13" s="2" t="s">
        <v>55</v>
      </c>
      <c r="E13" s="2" t="s">
        <v>56</v>
      </c>
    </row>
    <row r="14" spans="1:5" ht="120" x14ac:dyDescent="0.25">
      <c r="A14" s="2" t="s">
        <v>57</v>
      </c>
      <c r="B14" s="1" t="s">
        <v>58</v>
      </c>
      <c r="C14" s="2" t="s">
        <v>22</v>
      </c>
      <c r="D14" s="2" t="s">
        <v>59</v>
      </c>
      <c r="E14" s="2" t="s">
        <v>60</v>
      </c>
    </row>
    <row r="15" spans="1:5" ht="135" x14ac:dyDescent="0.25">
      <c r="A15" s="2" t="s">
        <v>61</v>
      </c>
      <c r="B15" s="1" t="s">
        <v>62</v>
      </c>
      <c r="C15" s="2" t="s">
        <v>22</v>
      </c>
      <c r="D15" s="2" t="s">
        <v>63</v>
      </c>
      <c r="E15" s="2" t="s">
        <v>64</v>
      </c>
    </row>
    <row r="16" spans="1:5" ht="135" x14ac:dyDescent="0.25">
      <c r="A16" s="2" t="s">
        <v>65</v>
      </c>
      <c r="B16" s="1" t="s">
        <v>66</v>
      </c>
      <c r="C16" s="2" t="s">
        <v>22</v>
      </c>
      <c r="D16" s="2" t="s">
        <v>67</v>
      </c>
      <c r="E16" s="2" t="s">
        <v>68</v>
      </c>
    </row>
    <row r="17" spans="1:5" ht="135" x14ac:dyDescent="0.25">
      <c r="A17" s="2" t="s">
        <v>69</v>
      </c>
      <c r="B17" s="1" t="s">
        <v>70</v>
      </c>
      <c r="C17" s="2" t="s">
        <v>22</v>
      </c>
      <c r="D17" s="2" t="s">
        <v>71</v>
      </c>
      <c r="E17" s="2" t="s">
        <v>72</v>
      </c>
    </row>
    <row r="18" spans="1:5" ht="150" x14ac:dyDescent="0.25">
      <c r="A18" s="2" t="s">
        <v>73</v>
      </c>
      <c r="B18" s="1" t="s">
        <v>74</v>
      </c>
      <c r="C18" s="2" t="s">
        <v>22</v>
      </c>
      <c r="D18" s="2" t="s">
        <v>75</v>
      </c>
      <c r="E18" s="2" t="s">
        <v>76</v>
      </c>
    </row>
    <row r="19" spans="1:5" ht="135" x14ac:dyDescent="0.25">
      <c r="A19" s="2" t="s">
        <v>77</v>
      </c>
      <c r="B19" s="1" t="s">
        <v>78</v>
      </c>
      <c r="C19" s="2" t="s">
        <v>22</v>
      </c>
      <c r="D19" s="2" t="s">
        <v>79</v>
      </c>
      <c r="E19" s="2" t="s">
        <v>80</v>
      </c>
    </row>
    <row r="20" spans="1:5" ht="135" x14ac:dyDescent="0.25">
      <c r="A20" s="2" t="s">
        <v>81</v>
      </c>
      <c r="B20" s="1" t="s">
        <v>82</v>
      </c>
      <c r="C20" s="2" t="s">
        <v>22</v>
      </c>
      <c r="D20" s="2" t="s">
        <v>83</v>
      </c>
      <c r="E20" s="2" t="s">
        <v>84</v>
      </c>
    </row>
    <row r="21" spans="1:5" ht="165" x14ac:dyDescent="0.25">
      <c r="A21" s="2" t="s">
        <v>85</v>
      </c>
      <c r="B21" s="1" t="s">
        <v>86</v>
      </c>
      <c r="C21" s="2" t="s">
        <v>22</v>
      </c>
      <c r="D21" s="2" t="s">
        <v>87</v>
      </c>
      <c r="E21" s="2" t="s">
        <v>88</v>
      </c>
    </row>
    <row r="22" spans="1:5" ht="180" x14ac:dyDescent="0.25">
      <c r="A22" s="2" t="s">
        <v>89</v>
      </c>
      <c r="B22" s="1" t="s">
        <v>90</v>
      </c>
      <c r="C22" s="2" t="s">
        <v>22</v>
      </c>
      <c r="D22" s="2" t="s">
        <v>91</v>
      </c>
      <c r="E22" s="2" t="s">
        <v>92</v>
      </c>
    </row>
    <row r="23" spans="1:5" ht="120" x14ac:dyDescent="0.25">
      <c r="A23" s="2" t="s">
        <v>93</v>
      </c>
      <c r="B23" s="1" t="s">
        <v>94</v>
      </c>
      <c r="C23" s="2" t="s">
        <v>22</v>
      </c>
      <c r="D23" s="2" t="s">
        <v>95</v>
      </c>
      <c r="E23" s="2" t="s">
        <v>96</v>
      </c>
    </row>
    <row r="24" spans="1:5" ht="120" x14ac:dyDescent="0.25">
      <c r="A24" s="2" t="s">
        <v>97</v>
      </c>
      <c r="B24" s="1" t="s">
        <v>98</v>
      </c>
      <c r="C24" s="2" t="s">
        <v>22</v>
      </c>
      <c r="D24" s="2" t="s">
        <v>99</v>
      </c>
      <c r="E24" s="2" t="s">
        <v>100</v>
      </c>
    </row>
    <row r="25" spans="1:5" ht="150" x14ac:dyDescent="0.25">
      <c r="A25" s="2" t="s">
        <v>101</v>
      </c>
      <c r="B25" s="1" t="s">
        <v>102</v>
      </c>
      <c r="C25" s="2" t="s">
        <v>103</v>
      </c>
      <c r="D25" s="2" t="s">
        <v>104</v>
      </c>
      <c r="E25" s="2" t="s">
        <v>105</v>
      </c>
    </row>
    <row r="26" spans="1:5" ht="150" x14ac:dyDescent="0.25">
      <c r="A26" s="2" t="s">
        <v>106</v>
      </c>
      <c r="B26" s="1" t="s">
        <v>107</v>
      </c>
      <c r="C26" s="2" t="s">
        <v>103</v>
      </c>
      <c r="D26" s="2" t="s">
        <v>108</v>
      </c>
      <c r="E26" s="2" t="s">
        <v>109</v>
      </c>
    </row>
    <row r="27" spans="1:5" ht="120" x14ac:dyDescent="0.25">
      <c r="A27" s="2" t="s">
        <v>110</v>
      </c>
      <c r="B27" s="1" t="s">
        <v>111</v>
      </c>
      <c r="C27" s="2" t="s">
        <v>22</v>
      </c>
      <c r="D27" s="2" t="s">
        <v>112</v>
      </c>
      <c r="E27" s="2" t="s">
        <v>113</v>
      </c>
    </row>
    <row r="28" spans="1:5" ht="120" x14ac:dyDescent="0.25">
      <c r="A28" s="2" t="s">
        <v>114</v>
      </c>
      <c r="B28" s="1" t="s">
        <v>115</v>
      </c>
      <c r="C28" s="2" t="s">
        <v>22</v>
      </c>
      <c r="D28" s="2" t="s">
        <v>116</v>
      </c>
      <c r="E28" s="2" t="s">
        <v>117</v>
      </c>
    </row>
    <row r="29" spans="1:5" ht="300" x14ac:dyDescent="0.25">
      <c r="A29" s="2" t="s">
        <v>118</v>
      </c>
      <c r="B29" s="1" t="s">
        <v>119</v>
      </c>
      <c r="C29" s="2" t="s">
        <v>120</v>
      </c>
      <c r="D29" s="2" t="s">
        <v>121</v>
      </c>
      <c r="E29" s="2" t="s">
        <v>122</v>
      </c>
    </row>
    <row r="30" spans="1:5" ht="120" x14ac:dyDescent="0.25">
      <c r="A30" s="2" t="s">
        <v>123</v>
      </c>
      <c r="B30" s="1" t="s">
        <v>124</v>
      </c>
      <c r="C30" s="2" t="s">
        <v>125</v>
      </c>
      <c r="D30" s="2" t="s">
        <v>126</v>
      </c>
      <c r="E30" s="2" t="s">
        <v>127</v>
      </c>
    </row>
    <row r="31" spans="1:5" ht="405" x14ac:dyDescent="0.25">
      <c r="A31" s="2" t="s">
        <v>128</v>
      </c>
      <c r="B31" s="1" t="s">
        <v>129</v>
      </c>
      <c r="C31" s="2" t="s">
        <v>130</v>
      </c>
      <c r="D31" s="2" t="s">
        <v>131</v>
      </c>
      <c r="E31" s="2" t="s">
        <v>132</v>
      </c>
    </row>
    <row r="32" spans="1:5" ht="60" x14ac:dyDescent="0.25">
      <c r="A32" s="2" t="s">
        <v>133</v>
      </c>
      <c r="B32" s="1" t="s">
        <v>134</v>
      </c>
      <c r="C32" s="2" t="s">
        <v>7</v>
      </c>
      <c r="D32" s="2" t="s">
        <v>135</v>
      </c>
      <c r="E32" s="2" t="s">
        <v>136</v>
      </c>
    </row>
    <row r="33" spans="1:5" ht="90" x14ac:dyDescent="0.25">
      <c r="A33" s="2" t="s">
        <v>137</v>
      </c>
      <c r="B33" s="1" t="s">
        <v>138</v>
      </c>
      <c r="C33" s="2" t="s">
        <v>7</v>
      </c>
      <c r="D33" s="2" t="s">
        <v>139</v>
      </c>
      <c r="E33" s="2" t="s">
        <v>140</v>
      </c>
    </row>
    <row r="34" spans="1:5" ht="60" x14ac:dyDescent="0.25">
      <c r="A34" s="2" t="s">
        <v>141</v>
      </c>
      <c r="B34" s="1" t="s">
        <v>142</v>
      </c>
      <c r="C34" s="2" t="s">
        <v>7</v>
      </c>
      <c r="D34" s="2" t="s">
        <v>143</v>
      </c>
      <c r="E34" s="2" t="s">
        <v>144</v>
      </c>
    </row>
    <row r="35" spans="1:5" ht="120" x14ac:dyDescent="0.25">
      <c r="A35" s="2" t="s">
        <v>145</v>
      </c>
      <c r="B35" s="1" t="s">
        <v>146</v>
      </c>
      <c r="C35" s="2" t="s">
        <v>7</v>
      </c>
      <c r="D35" s="2" t="s">
        <v>147</v>
      </c>
      <c r="E35" s="2" t="s">
        <v>148</v>
      </c>
    </row>
    <row r="36" spans="1:5" ht="165" x14ac:dyDescent="0.25">
      <c r="A36" s="2" t="s">
        <v>149</v>
      </c>
      <c r="B36" s="1" t="s">
        <v>150</v>
      </c>
      <c r="C36" s="2" t="s">
        <v>151</v>
      </c>
      <c r="D36" s="2" t="s">
        <v>152</v>
      </c>
      <c r="E36" s="2" t="s">
        <v>153</v>
      </c>
    </row>
    <row r="37" spans="1:5" ht="105" x14ac:dyDescent="0.25">
      <c r="A37" s="2" t="s">
        <v>154</v>
      </c>
      <c r="B37" s="1" t="s">
        <v>155</v>
      </c>
      <c r="C37" s="2" t="s">
        <v>156</v>
      </c>
      <c r="D37" s="2" t="s">
        <v>157</v>
      </c>
      <c r="E37" s="2" t="s">
        <v>158</v>
      </c>
    </row>
    <row r="38" spans="1:5" ht="135" x14ac:dyDescent="0.25">
      <c r="A38" s="2" t="s">
        <v>159</v>
      </c>
      <c r="B38" s="1" t="s">
        <v>160</v>
      </c>
      <c r="C38" s="2" t="s">
        <v>22</v>
      </c>
      <c r="D38" s="2" t="s">
        <v>161</v>
      </c>
      <c r="E38" s="2" t="s">
        <v>162</v>
      </c>
    </row>
    <row r="39" spans="1:5" ht="120" x14ac:dyDescent="0.25">
      <c r="A39" s="2" t="s">
        <v>163</v>
      </c>
      <c r="B39" s="1" t="s">
        <v>164</v>
      </c>
      <c r="C39" s="2" t="s">
        <v>22</v>
      </c>
      <c r="D39" s="2" t="s">
        <v>165</v>
      </c>
      <c r="E39" s="2" t="s">
        <v>166</v>
      </c>
    </row>
    <row r="40" spans="1:5" ht="120" x14ac:dyDescent="0.25">
      <c r="A40" s="2" t="s">
        <v>167</v>
      </c>
      <c r="B40" s="1" t="s">
        <v>168</v>
      </c>
      <c r="C40" s="2" t="s">
        <v>22</v>
      </c>
      <c r="D40" s="2" t="s">
        <v>169</v>
      </c>
      <c r="E40" s="2" t="s">
        <v>170</v>
      </c>
    </row>
    <row r="41" spans="1:5" ht="105" x14ac:dyDescent="0.25">
      <c r="A41" s="2" t="s">
        <v>171</v>
      </c>
      <c r="B41" s="1" t="s">
        <v>172</v>
      </c>
      <c r="C41" s="2" t="s">
        <v>173</v>
      </c>
      <c r="D41" s="2" t="s">
        <v>174</v>
      </c>
      <c r="E41" s="2" t="s">
        <v>175</v>
      </c>
    </row>
    <row r="42" spans="1:5" ht="210" x14ac:dyDescent="0.25">
      <c r="A42" s="2" t="s">
        <v>176</v>
      </c>
      <c r="B42" s="1" t="s">
        <v>177</v>
      </c>
      <c r="C42" s="2" t="s">
        <v>178</v>
      </c>
      <c r="D42" s="2" t="s">
        <v>179</v>
      </c>
      <c r="E42" s="2" t="s">
        <v>180</v>
      </c>
    </row>
    <row r="43" spans="1:5" ht="195" x14ac:dyDescent="0.25">
      <c r="A43" s="2" t="s">
        <v>181</v>
      </c>
      <c r="B43" s="1" t="s">
        <v>182</v>
      </c>
      <c r="C43" s="2" t="s">
        <v>183</v>
      </c>
      <c r="D43" s="2" t="s">
        <v>184</v>
      </c>
      <c r="E43" s="2" t="s">
        <v>185</v>
      </c>
    </row>
    <row r="44" spans="1:5" ht="150" x14ac:dyDescent="0.25">
      <c r="A44" s="2" t="s">
        <v>186</v>
      </c>
      <c r="B44" s="1" t="s">
        <v>187</v>
      </c>
      <c r="C44" s="2" t="s">
        <v>22</v>
      </c>
      <c r="D44" s="2" t="s">
        <v>188</v>
      </c>
      <c r="E44" s="2" t="s">
        <v>189</v>
      </c>
    </row>
    <row r="45" spans="1:5" ht="150" x14ac:dyDescent="0.25">
      <c r="A45" s="2" t="s">
        <v>190</v>
      </c>
      <c r="B45" s="1" t="s">
        <v>191</v>
      </c>
      <c r="C45" s="2" t="s">
        <v>151</v>
      </c>
      <c r="D45" s="2" t="s">
        <v>192</v>
      </c>
      <c r="E45" s="2" t="s">
        <v>193</v>
      </c>
    </row>
    <row r="46" spans="1:5" ht="135" x14ac:dyDescent="0.25">
      <c r="A46" s="2" t="s">
        <v>194</v>
      </c>
      <c r="B46" s="1" t="s">
        <v>195</v>
      </c>
      <c r="C46" s="2" t="s">
        <v>22</v>
      </c>
      <c r="D46" s="2" t="s">
        <v>196</v>
      </c>
      <c r="E46" s="2" t="s">
        <v>197</v>
      </c>
    </row>
    <row r="47" spans="1:5" ht="120" x14ac:dyDescent="0.25">
      <c r="A47" s="2" t="s">
        <v>198</v>
      </c>
      <c r="B47" s="1" t="s">
        <v>199</v>
      </c>
      <c r="C47" s="2" t="s">
        <v>22</v>
      </c>
      <c r="D47" s="2" t="s">
        <v>200</v>
      </c>
      <c r="E47" s="2" t="s">
        <v>201</v>
      </c>
    </row>
    <row r="48" spans="1:5" ht="135" x14ac:dyDescent="0.25">
      <c r="A48" s="2" t="s">
        <v>202</v>
      </c>
      <c r="B48" s="1" t="s">
        <v>203</v>
      </c>
      <c r="C48" s="2" t="s">
        <v>22</v>
      </c>
      <c r="D48" s="2" t="s">
        <v>204</v>
      </c>
      <c r="E48" s="2" t="s">
        <v>205</v>
      </c>
    </row>
    <row r="49" spans="1:5" ht="120" x14ac:dyDescent="0.25">
      <c r="A49" s="2" t="s">
        <v>206</v>
      </c>
      <c r="B49" s="1" t="s">
        <v>207</v>
      </c>
      <c r="C49" s="2" t="s">
        <v>22</v>
      </c>
      <c r="D49" s="2" t="s">
        <v>208</v>
      </c>
      <c r="E49" s="2" t="s">
        <v>209</v>
      </c>
    </row>
    <row r="50" spans="1:5" ht="135" x14ac:dyDescent="0.25">
      <c r="A50" s="2" t="s">
        <v>210</v>
      </c>
      <c r="B50" s="1" t="s">
        <v>211</v>
      </c>
      <c r="C50" s="2" t="s">
        <v>212</v>
      </c>
      <c r="D50" s="2" t="s">
        <v>213</v>
      </c>
      <c r="E50" s="2" t="s">
        <v>214</v>
      </c>
    </row>
    <row r="51" spans="1:5" ht="150" x14ac:dyDescent="0.25">
      <c r="A51" s="2" t="s">
        <v>215</v>
      </c>
      <c r="B51" s="1" t="s">
        <v>216</v>
      </c>
      <c r="C51" s="2" t="s">
        <v>217</v>
      </c>
      <c r="D51" s="2" t="s">
        <v>218</v>
      </c>
      <c r="E51" s="2" t="s">
        <v>219</v>
      </c>
    </row>
    <row r="52" spans="1:5" ht="150" x14ac:dyDescent="0.25">
      <c r="A52" s="2" t="s">
        <v>220</v>
      </c>
      <c r="B52" s="1" t="s">
        <v>221</v>
      </c>
      <c r="C52" s="2" t="s">
        <v>222</v>
      </c>
      <c r="D52" s="2" t="s">
        <v>223</v>
      </c>
      <c r="E52" s="2" t="s">
        <v>224</v>
      </c>
    </row>
    <row r="53" spans="1:5" ht="315" x14ac:dyDescent="0.25">
      <c r="A53" s="2" t="s">
        <v>225</v>
      </c>
      <c r="B53" s="1" t="s">
        <v>521</v>
      </c>
      <c r="C53" s="2" t="s">
        <v>522</v>
      </c>
      <c r="D53" s="2" t="s">
        <v>226</v>
      </c>
      <c r="E53" s="2" t="s">
        <v>523</v>
      </c>
    </row>
    <row r="54" spans="1:5" ht="135" x14ac:dyDescent="0.25">
      <c r="A54" s="2" t="s">
        <v>227</v>
      </c>
      <c r="B54" s="1" t="s">
        <v>228</v>
      </c>
      <c r="C54" s="2" t="s">
        <v>229</v>
      </c>
      <c r="D54" s="2" t="s">
        <v>230</v>
      </c>
      <c r="E54" s="2" t="s">
        <v>231</v>
      </c>
    </row>
    <row r="55" spans="1:5" ht="150" x14ac:dyDescent="0.25">
      <c r="A55" s="2" t="s">
        <v>232</v>
      </c>
      <c r="B55" s="1" t="s">
        <v>233</v>
      </c>
      <c r="C55" s="2" t="s">
        <v>229</v>
      </c>
      <c r="D55" s="2" t="s">
        <v>234</v>
      </c>
      <c r="E55" s="2" t="s">
        <v>235</v>
      </c>
    </row>
    <row r="56" spans="1:5" ht="165" x14ac:dyDescent="0.25">
      <c r="A56" s="2" t="s">
        <v>236</v>
      </c>
      <c r="B56" s="1" t="s">
        <v>237</v>
      </c>
      <c r="C56" s="2" t="s">
        <v>22</v>
      </c>
      <c r="D56" s="2" t="s">
        <v>238</v>
      </c>
      <c r="E56" s="2" t="s">
        <v>239</v>
      </c>
    </row>
    <row r="57" spans="1:5" ht="150" x14ac:dyDescent="0.25">
      <c r="A57" s="2" t="s">
        <v>240</v>
      </c>
      <c r="B57" s="1" t="s">
        <v>241</v>
      </c>
      <c r="C57" s="2" t="s">
        <v>22</v>
      </c>
      <c r="D57" s="2" t="s">
        <v>242</v>
      </c>
      <c r="E57" s="2" t="s">
        <v>243</v>
      </c>
    </row>
    <row r="58" spans="1:5" ht="150" x14ac:dyDescent="0.25">
      <c r="A58" s="2" t="s">
        <v>244</v>
      </c>
      <c r="B58" s="1" t="s">
        <v>245</v>
      </c>
      <c r="C58" s="2" t="s">
        <v>246</v>
      </c>
      <c r="D58" s="2" t="s">
        <v>247</v>
      </c>
      <c r="E58" s="2" t="s">
        <v>248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39AB9-8F3F-4C35-92C5-46F51479B684}">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249</v>
      </c>
      <c r="B1" t="s">
        <v>250</v>
      </c>
      <c r="C1" t="s">
        <v>251</v>
      </c>
      <c r="D1" t="s">
        <v>252</v>
      </c>
      <c r="E1" t="s">
        <v>253</v>
      </c>
      <c r="F1" t="s">
        <v>254</v>
      </c>
      <c r="G1" t="s">
        <v>255</v>
      </c>
      <c r="H1" t="s">
        <v>256</v>
      </c>
      <c r="I1" t="s">
        <v>257</v>
      </c>
      <c r="J1" t="s">
        <v>258</v>
      </c>
      <c r="K1" t="s">
        <v>259</v>
      </c>
      <c r="L1" t="s">
        <v>260</v>
      </c>
      <c r="M1" t="s">
        <v>261</v>
      </c>
      <c r="N1" t="s">
        <v>262</v>
      </c>
      <c r="O1" t="s">
        <v>263</v>
      </c>
      <c r="P1" t="s">
        <v>264</v>
      </c>
      <c r="Q1" t="s">
        <v>265</v>
      </c>
      <c r="R1" t="s">
        <v>266</v>
      </c>
      <c r="S1" t="s">
        <v>267</v>
      </c>
      <c r="T1" t="s">
        <v>268</v>
      </c>
      <c r="U1" t="s">
        <v>269</v>
      </c>
      <c r="V1" t="s">
        <v>270</v>
      </c>
      <c r="W1" t="s">
        <v>271</v>
      </c>
    </row>
    <row r="2" spans="1:23" x14ac:dyDescent="0.25">
      <c r="A2" t="s">
        <v>272</v>
      </c>
      <c r="B2">
        <v>2015</v>
      </c>
      <c r="C2" t="s">
        <v>273</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COUNT(LifeExpectancyData[[#This Row],[Life expectancy]:[Schooling]])=19</f>
        <v>1</v>
      </c>
    </row>
    <row r="3" spans="1:23" x14ac:dyDescent="0.25">
      <c r="A3" t="s">
        <v>272</v>
      </c>
      <c r="B3">
        <v>2014</v>
      </c>
      <c r="C3" t="s">
        <v>273</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COUNT(LifeExpectancyData[[#This Row],[Life expectancy]:[Schooling]])=19</f>
        <v>1</v>
      </c>
    </row>
    <row r="4" spans="1:23" x14ac:dyDescent="0.25">
      <c r="A4" t="s">
        <v>272</v>
      </c>
      <c r="B4">
        <v>2013</v>
      </c>
      <c r="C4" t="s">
        <v>273</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COUNT(LifeExpectancyData[[#This Row],[Life expectancy]:[Schooling]])=19</f>
        <v>1</v>
      </c>
    </row>
    <row r="5" spans="1:23" x14ac:dyDescent="0.25">
      <c r="A5" t="s">
        <v>272</v>
      </c>
      <c r="B5">
        <v>2012</v>
      </c>
      <c r="C5" t="s">
        <v>273</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COUNT(LifeExpectancyData[[#This Row],[Life expectancy]:[Schooling]])=19</f>
        <v>1</v>
      </c>
    </row>
    <row r="6" spans="1:23" x14ac:dyDescent="0.25">
      <c r="A6" t="s">
        <v>272</v>
      </c>
      <c r="B6">
        <v>2011</v>
      </c>
      <c r="C6" t="s">
        <v>273</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COUNT(LifeExpectancyData[[#This Row],[Life expectancy]:[Schooling]])=19</f>
        <v>1</v>
      </c>
    </row>
    <row r="7" spans="1:23" x14ac:dyDescent="0.25">
      <c r="A7" t="s">
        <v>272</v>
      </c>
      <c r="B7">
        <v>2010</v>
      </c>
      <c r="C7" t="s">
        <v>273</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COUNT(LifeExpectancyData[[#This Row],[Life expectancy]:[Schooling]])=19</f>
        <v>1</v>
      </c>
    </row>
    <row r="8" spans="1:23" x14ac:dyDescent="0.25">
      <c r="A8" t="s">
        <v>272</v>
      </c>
      <c r="B8">
        <v>2009</v>
      </c>
      <c r="C8" t="s">
        <v>273</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COUNT(LifeExpectancyData[[#This Row],[Life expectancy]:[Schooling]])=19</f>
        <v>1</v>
      </c>
    </row>
    <row r="9" spans="1:23" x14ac:dyDescent="0.25">
      <c r="A9" t="s">
        <v>272</v>
      </c>
      <c r="B9">
        <v>2008</v>
      </c>
      <c r="C9" t="s">
        <v>273</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COUNT(LifeExpectancyData[[#This Row],[Life expectancy]:[Schooling]])=19</f>
        <v>1</v>
      </c>
    </row>
    <row r="10" spans="1:23" x14ac:dyDescent="0.25">
      <c r="A10" t="s">
        <v>272</v>
      </c>
      <c r="B10">
        <v>2007</v>
      </c>
      <c r="C10" t="s">
        <v>273</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COUNT(LifeExpectancyData[[#This Row],[Life expectancy]:[Schooling]])=19</f>
        <v>1</v>
      </c>
    </row>
    <row r="11" spans="1:23" x14ac:dyDescent="0.25">
      <c r="A11" t="s">
        <v>272</v>
      </c>
      <c r="B11">
        <v>2006</v>
      </c>
      <c r="C11" t="s">
        <v>273</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COUNT(LifeExpectancyData[[#This Row],[Life expectancy]:[Schooling]])=19</f>
        <v>1</v>
      </c>
    </row>
    <row r="12" spans="1:23" x14ac:dyDescent="0.25">
      <c r="A12" t="s">
        <v>272</v>
      </c>
      <c r="B12">
        <v>2005</v>
      </c>
      <c r="C12" t="s">
        <v>273</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COUNT(LifeExpectancyData[[#This Row],[Life expectancy]:[Schooling]])=19</f>
        <v>1</v>
      </c>
    </row>
    <row r="13" spans="1:23" x14ac:dyDescent="0.25">
      <c r="A13" t="s">
        <v>272</v>
      </c>
      <c r="B13">
        <v>2004</v>
      </c>
      <c r="C13" t="s">
        <v>273</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COUNT(LifeExpectancyData[[#This Row],[Life expectancy]:[Schooling]])=19</f>
        <v>1</v>
      </c>
    </row>
    <row r="14" spans="1:23" x14ac:dyDescent="0.25">
      <c r="A14" t="s">
        <v>272</v>
      </c>
      <c r="B14">
        <v>2003</v>
      </c>
      <c r="C14" t="s">
        <v>273</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COUNT(LifeExpectancyData[[#This Row],[Life expectancy]:[Schooling]])=19</f>
        <v>1</v>
      </c>
    </row>
    <row r="15" spans="1:23" x14ac:dyDescent="0.25">
      <c r="A15" t="s">
        <v>272</v>
      </c>
      <c r="B15">
        <v>2002</v>
      </c>
      <c r="C15" t="s">
        <v>273</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COUNT(LifeExpectancyData[[#This Row],[Life expectancy]:[Schooling]])=19</f>
        <v>1</v>
      </c>
    </row>
    <row r="16" spans="1:23" x14ac:dyDescent="0.25">
      <c r="A16" t="s">
        <v>272</v>
      </c>
      <c r="B16">
        <v>2001</v>
      </c>
      <c r="C16" t="s">
        <v>273</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COUNT(LifeExpectancyData[[#This Row],[Life expectancy]:[Schooling]])=19</f>
        <v>1</v>
      </c>
    </row>
    <row r="17" spans="1:23" x14ac:dyDescent="0.25">
      <c r="A17" t="s">
        <v>272</v>
      </c>
      <c r="B17">
        <v>2000</v>
      </c>
      <c r="C17" t="s">
        <v>273</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COUNT(LifeExpectancyData[[#This Row],[Life expectancy]:[Schooling]])=19</f>
        <v>1</v>
      </c>
    </row>
    <row r="18" spans="1:23" x14ac:dyDescent="0.25">
      <c r="A18" t="s">
        <v>274</v>
      </c>
      <c r="B18">
        <v>2015</v>
      </c>
      <c r="C18" t="s">
        <v>273</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COUNT(LifeExpectancyData[[#This Row],[Life expectancy]:[Schooling]])=19</f>
        <v>1</v>
      </c>
    </row>
    <row r="19" spans="1:23" x14ac:dyDescent="0.25">
      <c r="A19" t="s">
        <v>274</v>
      </c>
      <c r="B19">
        <v>2014</v>
      </c>
      <c r="C19" t="s">
        <v>273</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COUNT(LifeExpectancyData[[#This Row],[Life expectancy]:[Schooling]])=19</f>
        <v>1</v>
      </c>
    </row>
    <row r="20" spans="1:23" x14ac:dyDescent="0.25">
      <c r="A20" t="s">
        <v>274</v>
      </c>
      <c r="B20">
        <v>2013</v>
      </c>
      <c r="C20" t="s">
        <v>273</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COUNT(LifeExpectancyData[[#This Row],[Life expectancy]:[Schooling]])=19</f>
        <v>1</v>
      </c>
    </row>
    <row r="21" spans="1:23" x14ac:dyDescent="0.25">
      <c r="A21" t="s">
        <v>274</v>
      </c>
      <c r="B21">
        <v>2012</v>
      </c>
      <c r="C21" t="s">
        <v>273</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COUNT(LifeExpectancyData[[#This Row],[Life expectancy]:[Schooling]])=19</f>
        <v>1</v>
      </c>
    </row>
    <row r="22" spans="1:23" x14ac:dyDescent="0.25">
      <c r="A22" t="s">
        <v>274</v>
      </c>
      <c r="B22">
        <v>2011</v>
      </c>
      <c r="C22" t="s">
        <v>273</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COUNT(LifeExpectancyData[[#This Row],[Life expectancy]:[Schooling]])=19</f>
        <v>1</v>
      </c>
    </row>
    <row r="23" spans="1:23" x14ac:dyDescent="0.25">
      <c r="A23" t="s">
        <v>274</v>
      </c>
      <c r="B23">
        <v>2010</v>
      </c>
      <c r="C23" t="s">
        <v>273</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COUNT(LifeExpectancyData[[#This Row],[Life expectancy]:[Schooling]])=19</f>
        <v>1</v>
      </c>
    </row>
    <row r="24" spans="1:23" x14ac:dyDescent="0.25">
      <c r="A24" t="s">
        <v>274</v>
      </c>
      <c r="B24">
        <v>2009</v>
      </c>
      <c r="C24" t="s">
        <v>273</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COUNT(LifeExpectancyData[[#This Row],[Life expectancy]:[Schooling]])=19</f>
        <v>1</v>
      </c>
    </row>
    <row r="25" spans="1:23" x14ac:dyDescent="0.25">
      <c r="A25" t="s">
        <v>274</v>
      </c>
      <c r="B25">
        <v>2008</v>
      </c>
      <c r="C25" t="s">
        <v>273</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COUNT(LifeExpectancyData[[#This Row],[Life expectancy]:[Schooling]])=19</f>
        <v>1</v>
      </c>
    </row>
    <row r="26" spans="1:23" x14ac:dyDescent="0.25">
      <c r="A26" t="s">
        <v>274</v>
      </c>
      <c r="B26">
        <v>2007</v>
      </c>
      <c r="C26" t="s">
        <v>273</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COUNT(LifeExpectancyData[[#This Row],[Life expectancy]:[Schooling]])=19</f>
        <v>1</v>
      </c>
    </row>
    <row r="27" spans="1:23" x14ac:dyDescent="0.25">
      <c r="A27" t="s">
        <v>274</v>
      </c>
      <c r="B27">
        <v>2006</v>
      </c>
      <c r="C27" t="s">
        <v>273</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COUNT(LifeExpectancyData[[#This Row],[Life expectancy]:[Schooling]])=19</f>
        <v>1</v>
      </c>
    </row>
    <row r="28" spans="1:23" x14ac:dyDescent="0.25">
      <c r="A28" t="s">
        <v>274</v>
      </c>
      <c r="B28">
        <v>2005</v>
      </c>
      <c r="C28" t="s">
        <v>273</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COUNT(LifeExpectancyData[[#This Row],[Life expectancy]:[Schooling]])=19</f>
        <v>1</v>
      </c>
    </row>
    <row r="29" spans="1:23" x14ac:dyDescent="0.25">
      <c r="A29" t="s">
        <v>274</v>
      </c>
      <c r="B29">
        <v>2004</v>
      </c>
      <c r="C29" t="s">
        <v>273</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COUNT(LifeExpectancyData[[#This Row],[Life expectancy]:[Schooling]])=19</f>
        <v>1</v>
      </c>
    </row>
    <row r="30" spans="1:23" x14ac:dyDescent="0.25">
      <c r="A30" t="s">
        <v>274</v>
      </c>
      <c r="B30">
        <v>2003</v>
      </c>
      <c r="C30" t="s">
        <v>273</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COUNT(LifeExpectancyData[[#This Row],[Life expectancy]:[Schooling]])=19</f>
        <v>1</v>
      </c>
    </row>
    <row r="31" spans="1:23" x14ac:dyDescent="0.25">
      <c r="A31" t="s">
        <v>274</v>
      </c>
      <c r="B31">
        <v>2002</v>
      </c>
      <c r="C31" t="s">
        <v>273</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COUNT(LifeExpectancyData[[#This Row],[Life expectancy]:[Schooling]])=19</f>
        <v>1</v>
      </c>
    </row>
    <row r="32" spans="1:23" x14ac:dyDescent="0.25">
      <c r="A32" t="s">
        <v>274</v>
      </c>
      <c r="B32">
        <v>2001</v>
      </c>
      <c r="C32" t="s">
        <v>273</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COUNT(LifeExpectancyData[[#This Row],[Life expectancy]:[Schooling]])=19</f>
        <v>1</v>
      </c>
    </row>
    <row r="33" spans="1:23" x14ac:dyDescent="0.25">
      <c r="A33" t="s">
        <v>274</v>
      </c>
      <c r="B33">
        <v>2000</v>
      </c>
      <c r="C33" t="s">
        <v>273</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COUNT(LifeExpectancyData[[#This Row],[Life expectancy]:[Schooling]])=19</f>
        <v>1</v>
      </c>
    </row>
    <row r="34" spans="1:23" x14ac:dyDescent="0.25">
      <c r="A34" t="s">
        <v>275</v>
      </c>
      <c r="B34">
        <v>2015</v>
      </c>
      <c r="C34" t="s">
        <v>273</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COUNT(LifeExpectancyData[[#This Row],[Life expectancy]:[Schooling]])=19</f>
        <v>0</v>
      </c>
    </row>
    <row r="35" spans="1:23" x14ac:dyDescent="0.25">
      <c r="A35" t="s">
        <v>275</v>
      </c>
      <c r="B35">
        <v>2014</v>
      </c>
      <c r="C35" t="s">
        <v>273</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COUNT(LifeExpectancyData[[#This Row],[Life expectancy]:[Schooling]])=19</f>
        <v>1</v>
      </c>
    </row>
    <row r="36" spans="1:23" x14ac:dyDescent="0.25">
      <c r="A36" t="s">
        <v>275</v>
      </c>
      <c r="B36">
        <v>2013</v>
      </c>
      <c r="C36" t="s">
        <v>273</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COUNT(LifeExpectancyData[[#This Row],[Life expectancy]:[Schooling]])=19</f>
        <v>1</v>
      </c>
    </row>
    <row r="37" spans="1:23" x14ac:dyDescent="0.25">
      <c r="A37" t="s">
        <v>275</v>
      </c>
      <c r="B37">
        <v>2012</v>
      </c>
      <c r="C37" t="s">
        <v>273</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COUNT(LifeExpectancyData[[#This Row],[Life expectancy]:[Schooling]])=19</f>
        <v>1</v>
      </c>
    </row>
    <row r="38" spans="1:23" x14ac:dyDescent="0.25">
      <c r="A38" t="s">
        <v>275</v>
      </c>
      <c r="B38">
        <v>2011</v>
      </c>
      <c r="C38" t="s">
        <v>273</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COUNT(LifeExpectancyData[[#This Row],[Life expectancy]:[Schooling]])=19</f>
        <v>1</v>
      </c>
    </row>
    <row r="39" spans="1:23" x14ac:dyDescent="0.25">
      <c r="A39" t="s">
        <v>275</v>
      </c>
      <c r="B39">
        <v>2010</v>
      </c>
      <c r="C39" t="s">
        <v>273</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COUNT(LifeExpectancyData[[#This Row],[Life expectancy]:[Schooling]])=19</f>
        <v>1</v>
      </c>
    </row>
    <row r="40" spans="1:23" x14ac:dyDescent="0.25">
      <c r="A40" t="s">
        <v>275</v>
      </c>
      <c r="B40">
        <v>2009</v>
      </c>
      <c r="C40" t="s">
        <v>273</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COUNT(LifeExpectancyData[[#This Row],[Life expectancy]:[Schooling]])=19</f>
        <v>1</v>
      </c>
    </row>
    <row r="41" spans="1:23" x14ac:dyDescent="0.25">
      <c r="A41" t="s">
        <v>275</v>
      </c>
      <c r="B41">
        <v>2008</v>
      </c>
      <c r="C41" t="s">
        <v>273</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COUNT(LifeExpectancyData[[#This Row],[Life expectancy]:[Schooling]])=19</f>
        <v>1</v>
      </c>
    </row>
    <row r="42" spans="1:23" x14ac:dyDescent="0.25">
      <c r="A42" t="s">
        <v>275</v>
      </c>
      <c r="B42">
        <v>2007</v>
      </c>
      <c r="C42" t="s">
        <v>273</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COUNT(LifeExpectancyData[[#This Row],[Life expectancy]:[Schooling]])=19</f>
        <v>1</v>
      </c>
    </row>
    <row r="43" spans="1:23" x14ac:dyDescent="0.25">
      <c r="A43" t="s">
        <v>275</v>
      </c>
      <c r="B43">
        <v>2006</v>
      </c>
      <c r="C43" t="s">
        <v>273</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COUNT(LifeExpectancyData[[#This Row],[Life expectancy]:[Schooling]])=19</f>
        <v>1</v>
      </c>
    </row>
    <row r="44" spans="1:23" x14ac:dyDescent="0.25">
      <c r="A44" t="s">
        <v>275</v>
      </c>
      <c r="B44">
        <v>2005</v>
      </c>
      <c r="C44" t="s">
        <v>273</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COUNT(LifeExpectancyData[[#This Row],[Life expectancy]:[Schooling]])=19</f>
        <v>1</v>
      </c>
    </row>
    <row r="45" spans="1:23" x14ac:dyDescent="0.25">
      <c r="A45" t="s">
        <v>275</v>
      </c>
      <c r="B45">
        <v>2004</v>
      </c>
      <c r="C45" t="s">
        <v>273</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COUNT(LifeExpectancyData[[#This Row],[Life expectancy]:[Schooling]])=19</f>
        <v>1</v>
      </c>
    </row>
    <row r="46" spans="1:23" x14ac:dyDescent="0.25">
      <c r="A46" t="s">
        <v>275</v>
      </c>
      <c r="B46">
        <v>2003</v>
      </c>
      <c r="C46" t="s">
        <v>273</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COUNT(LifeExpectancyData[[#This Row],[Life expectancy]:[Schooling]])=19</f>
        <v>0</v>
      </c>
    </row>
    <row r="47" spans="1:23" x14ac:dyDescent="0.25">
      <c r="A47" t="s">
        <v>275</v>
      </c>
      <c r="B47">
        <v>2002</v>
      </c>
      <c r="C47" t="s">
        <v>273</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COUNT(LifeExpectancyData[[#This Row],[Life expectancy]:[Schooling]])=19</f>
        <v>0</v>
      </c>
    </row>
    <row r="48" spans="1:23" x14ac:dyDescent="0.25">
      <c r="A48" t="s">
        <v>275</v>
      </c>
      <c r="B48">
        <v>2001</v>
      </c>
      <c r="C48" t="s">
        <v>273</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COUNT(LifeExpectancyData[[#This Row],[Life expectancy]:[Schooling]])=19</f>
        <v>0</v>
      </c>
    </row>
    <row r="49" spans="1:23" x14ac:dyDescent="0.25">
      <c r="A49" t="s">
        <v>275</v>
      </c>
      <c r="B49">
        <v>2000</v>
      </c>
      <c r="C49" t="s">
        <v>273</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COUNT(LifeExpectancyData[[#This Row],[Life expectancy]:[Schooling]])=19</f>
        <v>0</v>
      </c>
    </row>
    <row r="50" spans="1:23" x14ac:dyDescent="0.25">
      <c r="A50" t="s">
        <v>276</v>
      </c>
      <c r="B50">
        <v>2015</v>
      </c>
      <c r="C50" t="s">
        <v>273</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COUNT(LifeExpectancyData[[#This Row],[Life expectancy]:[Schooling]])=19</f>
        <v>0</v>
      </c>
    </row>
    <row r="51" spans="1:23" x14ac:dyDescent="0.25">
      <c r="A51" t="s">
        <v>276</v>
      </c>
      <c r="B51">
        <v>2014</v>
      </c>
      <c r="C51" t="s">
        <v>273</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COUNT(LifeExpectancyData[[#This Row],[Life expectancy]:[Schooling]])=19</f>
        <v>1</v>
      </c>
    </row>
    <row r="52" spans="1:23" x14ac:dyDescent="0.25">
      <c r="A52" t="s">
        <v>276</v>
      </c>
      <c r="B52">
        <v>2013</v>
      </c>
      <c r="C52" t="s">
        <v>273</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COUNT(LifeExpectancyData[[#This Row],[Life expectancy]:[Schooling]])=19</f>
        <v>1</v>
      </c>
    </row>
    <row r="53" spans="1:23" x14ac:dyDescent="0.25">
      <c r="A53" t="s">
        <v>276</v>
      </c>
      <c r="B53">
        <v>2012</v>
      </c>
      <c r="C53" t="s">
        <v>273</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COUNT(LifeExpectancyData[[#This Row],[Life expectancy]:[Schooling]])=19</f>
        <v>1</v>
      </c>
    </row>
    <row r="54" spans="1:23" x14ac:dyDescent="0.25">
      <c r="A54" t="s">
        <v>276</v>
      </c>
      <c r="B54">
        <v>2011</v>
      </c>
      <c r="C54" t="s">
        <v>273</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COUNT(LifeExpectancyData[[#This Row],[Life expectancy]:[Schooling]])=19</f>
        <v>1</v>
      </c>
    </row>
    <row r="55" spans="1:23" x14ac:dyDescent="0.25">
      <c r="A55" t="s">
        <v>276</v>
      </c>
      <c r="B55">
        <v>2010</v>
      </c>
      <c r="C55" t="s">
        <v>273</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COUNT(LifeExpectancyData[[#This Row],[Life expectancy]:[Schooling]])=19</f>
        <v>1</v>
      </c>
    </row>
    <row r="56" spans="1:23" x14ac:dyDescent="0.25">
      <c r="A56" t="s">
        <v>276</v>
      </c>
      <c r="B56">
        <v>2009</v>
      </c>
      <c r="C56" t="s">
        <v>273</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COUNT(LifeExpectancyData[[#This Row],[Life expectancy]:[Schooling]])=19</f>
        <v>1</v>
      </c>
    </row>
    <row r="57" spans="1:23" x14ac:dyDescent="0.25">
      <c r="A57" t="s">
        <v>276</v>
      </c>
      <c r="B57">
        <v>2008</v>
      </c>
      <c r="C57" t="s">
        <v>273</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COUNT(LifeExpectancyData[[#This Row],[Life expectancy]:[Schooling]])=19</f>
        <v>1</v>
      </c>
    </row>
    <row r="58" spans="1:23" x14ac:dyDescent="0.25">
      <c r="A58" t="s">
        <v>276</v>
      </c>
      <c r="B58">
        <v>2007</v>
      </c>
      <c r="C58" t="s">
        <v>273</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COUNT(LifeExpectancyData[[#This Row],[Life expectancy]:[Schooling]])=19</f>
        <v>1</v>
      </c>
    </row>
    <row r="59" spans="1:23" x14ac:dyDescent="0.25">
      <c r="A59" t="s">
        <v>276</v>
      </c>
      <c r="B59">
        <v>2006</v>
      </c>
      <c r="C59" t="s">
        <v>273</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COUNT(LifeExpectancyData[[#This Row],[Life expectancy]:[Schooling]])=19</f>
        <v>0</v>
      </c>
    </row>
    <row r="60" spans="1:23" x14ac:dyDescent="0.25">
      <c r="A60" t="s">
        <v>276</v>
      </c>
      <c r="B60">
        <v>2005</v>
      </c>
      <c r="C60" t="s">
        <v>273</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COUNT(LifeExpectancyData[[#This Row],[Life expectancy]:[Schooling]])=19</f>
        <v>0</v>
      </c>
    </row>
    <row r="61" spans="1:23" x14ac:dyDescent="0.25">
      <c r="A61" t="s">
        <v>276</v>
      </c>
      <c r="B61">
        <v>2004</v>
      </c>
      <c r="C61" t="s">
        <v>273</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COUNT(LifeExpectancyData[[#This Row],[Life expectancy]:[Schooling]])=19</f>
        <v>0</v>
      </c>
    </row>
    <row r="62" spans="1:23" x14ac:dyDescent="0.25">
      <c r="A62" t="s">
        <v>276</v>
      </c>
      <c r="B62">
        <v>2003</v>
      </c>
      <c r="C62" t="s">
        <v>273</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COUNT(LifeExpectancyData[[#This Row],[Life expectancy]:[Schooling]])=19</f>
        <v>0</v>
      </c>
    </row>
    <row r="63" spans="1:23" x14ac:dyDescent="0.25">
      <c r="A63" t="s">
        <v>276</v>
      </c>
      <c r="B63">
        <v>2002</v>
      </c>
      <c r="C63" t="s">
        <v>273</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COUNT(LifeExpectancyData[[#This Row],[Life expectancy]:[Schooling]])=19</f>
        <v>0</v>
      </c>
    </row>
    <row r="64" spans="1:23" x14ac:dyDescent="0.25">
      <c r="A64" t="s">
        <v>276</v>
      </c>
      <c r="B64">
        <v>2001</v>
      </c>
      <c r="C64" t="s">
        <v>273</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COUNT(LifeExpectancyData[[#This Row],[Life expectancy]:[Schooling]])=19</f>
        <v>0</v>
      </c>
    </row>
    <row r="65" spans="1:23" x14ac:dyDescent="0.25">
      <c r="A65" t="s">
        <v>276</v>
      </c>
      <c r="B65">
        <v>2000</v>
      </c>
      <c r="C65" t="s">
        <v>273</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COUNT(LifeExpectancyData[[#This Row],[Life expectancy]:[Schooling]])=19</f>
        <v>0</v>
      </c>
    </row>
    <row r="66" spans="1:23" x14ac:dyDescent="0.25">
      <c r="A66" t="s">
        <v>277</v>
      </c>
      <c r="B66">
        <v>2015</v>
      </c>
      <c r="C66" t="s">
        <v>273</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COUNT(LifeExpectancyData[[#This Row],[Life expectancy]:[Schooling]])=19</f>
        <v>0</v>
      </c>
    </row>
    <row r="67" spans="1:23" x14ac:dyDescent="0.25">
      <c r="A67" t="s">
        <v>277</v>
      </c>
      <c r="B67">
        <v>2014</v>
      </c>
      <c r="C67" t="s">
        <v>273</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COUNT(LifeExpectancyData[[#This Row],[Life expectancy]:[Schooling]])=19</f>
        <v>0</v>
      </c>
    </row>
    <row r="68" spans="1:23" x14ac:dyDescent="0.25">
      <c r="A68" t="s">
        <v>277</v>
      </c>
      <c r="B68">
        <v>2013</v>
      </c>
      <c r="C68" t="s">
        <v>273</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COUNT(LifeExpectancyData[[#This Row],[Life expectancy]:[Schooling]])=19</f>
        <v>0</v>
      </c>
    </row>
    <row r="69" spans="1:23" x14ac:dyDescent="0.25">
      <c r="A69" t="s">
        <v>277</v>
      </c>
      <c r="B69">
        <v>2012</v>
      </c>
      <c r="C69" t="s">
        <v>273</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COUNT(LifeExpectancyData[[#This Row],[Life expectancy]:[Schooling]])=19</f>
        <v>0</v>
      </c>
    </row>
    <row r="70" spans="1:23" x14ac:dyDescent="0.25">
      <c r="A70" t="s">
        <v>277</v>
      </c>
      <c r="B70">
        <v>2011</v>
      </c>
      <c r="C70" t="s">
        <v>273</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COUNT(LifeExpectancyData[[#This Row],[Life expectancy]:[Schooling]])=19</f>
        <v>0</v>
      </c>
    </row>
    <row r="71" spans="1:23" x14ac:dyDescent="0.25">
      <c r="A71" t="s">
        <v>277</v>
      </c>
      <c r="B71">
        <v>2010</v>
      </c>
      <c r="C71" t="s">
        <v>273</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COUNT(LifeExpectancyData[[#This Row],[Life expectancy]:[Schooling]])=19</f>
        <v>0</v>
      </c>
    </row>
    <row r="72" spans="1:23" x14ac:dyDescent="0.25">
      <c r="A72" t="s">
        <v>277</v>
      </c>
      <c r="B72">
        <v>2009</v>
      </c>
      <c r="C72" t="s">
        <v>273</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COUNT(LifeExpectancyData[[#This Row],[Life expectancy]:[Schooling]])=19</f>
        <v>0</v>
      </c>
    </row>
    <row r="73" spans="1:23" x14ac:dyDescent="0.25">
      <c r="A73" t="s">
        <v>277</v>
      </c>
      <c r="B73">
        <v>2008</v>
      </c>
      <c r="C73" t="s">
        <v>273</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COUNT(LifeExpectancyData[[#This Row],[Life expectancy]:[Schooling]])=19</f>
        <v>0</v>
      </c>
    </row>
    <row r="74" spans="1:23" x14ac:dyDescent="0.25">
      <c r="A74" t="s">
        <v>277</v>
      </c>
      <c r="B74">
        <v>2007</v>
      </c>
      <c r="C74" t="s">
        <v>273</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COUNT(LifeExpectancyData[[#This Row],[Life expectancy]:[Schooling]])=19</f>
        <v>0</v>
      </c>
    </row>
    <row r="75" spans="1:23" x14ac:dyDescent="0.25">
      <c r="A75" t="s">
        <v>277</v>
      </c>
      <c r="B75">
        <v>2006</v>
      </c>
      <c r="C75" t="s">
        <v>273</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COUNT(LifeExpectancyData[[#This Row],[Life expectancy]:[Schooling]])=19</f>
        <v>0</v>
      </c>
    </row>
    <row r="76" spans="1:23" x14ac:dyDescent="0.25">
      <c r="A76" t="s">
        <v>277</v>
      </c>
      <c r="B76">
        <v>2005</v>
      </c>
      <c r="C76" t="s">
        <v>273</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COUNT(LifeExpectancyData[[#This Row],[Life expectancy]:[Schooling]])=19</f>
        <v>0</v>
      </c>
    </row>
    <row r="77" spans="1:23" x14ac:dyDescent="0.25">
      <c r="A77" t="s">
        <v>277</v>
      </c>
      <c r="B77">
        <v>2004</v>
      </c>
      <c r="C77" t="s">
        <v>273</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COUNT(LifeExpectancyData[[#This Row],[Life expectancy]:[Schooling]])=19</f>
        <v>0</v>
      </c>
    </row>
    <row r="78" spans="1:23" x14ac:dyDescent="0.25">
      <c r="A78" t="s">
        <v>277</v>
      </c>
      <c r="B78">
        <v>2003</v>
      </c>
      <c r="C78" t="s">
        <v>273</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COUNT(LifeExpectancyData[[#This Row],[Life expectancy]:[Schooling]])=19</f>
        <v>0</v>
      </c>
    </row>
    <row r="79" spans="1:23" x14ac:dyDescent="0.25">
      <c r="A79" t="s">
        <v>277</v>
      </c>
      <c r="B79">
        <v>2002</v>
      </c>
      <c r="C79" t="s">
        <v>273</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COUNT(LifeExpectancyData[[#This Row],[Life expectancy]:[Schooling]])=19</f>
        <v>0</v>
      </c>
    </row>
    <row r="80" spans="1:23" x14ac:dyDescent="0.25">
      <c r="A80" t="s">
        <v>277</v>
      </c>
      <c r="B80">
        <v>2001</v>
      </c>
      <c r="C80" t="s">
        <v>273</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COUNT(LifeExpectancyData[[#This Row],[Life expectancy]:[Schooling]])=19</f>
        <v>0</v>
      </c>
    </row>
    <row r="81" spans="1:23" x14ac:dyDescent="0.25">
      <c r="A81" t="s">
        <v>277</v>
      </c>
      <c r="B81">
        <v>2000</v>
      </c>
      <c r="C81" t="s">
        <v>273</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COUNT(LifeExpectancyData[[#This Row],[Life expectancy]:[Schooling]])=19</f>
        <v>0</v>
      </c>
    </row>
    <row r="82" spans="1:23" x14ac:dyDescent="0.25">
      <c r="A82" t="s">
        <v>278</v>
      </c>
      <c r="B82">
        <v>2015</v>
      </c>
      <c r="C82" t="s">
        <v>273</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COUNT(LifeExpectancyData[[#This Row],[Life expectancy]:[Schooling]])=19</f>
        <v>0</v>
      </c>
    </row>
    <row r="83" spans="1:23" x14ac:dyDescent="0.25">
      <c r="A83" t="s">
        <v>278</v>
      </c>
      <c r="B83">
        <v>2014</v>
      </c>
      <c r="C83" t="s">
        <v>273</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COUNT(LifeExpectancyData[[#This Row],[Life expectancy]:[Schooling]])=19</f>
        <v>1</v>
      </c>
    </row>
    <row r="84" spans="1:23" x14ac:dyDescent="0.25">
      <c r="A84" t="s">
        <v>278</v>
      </c>
      <c r="B84">
        <v>2013</v>
      </c>
      <c r="C84" t="s">
        <v>273</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COUNT(LifeExpectancyData[[#This Row],[Life expectancy]:[Schooling]])=19</f>
        <v>1</v>
      </c>
    </row>
    <row r="85" spans="1:23" x14ac:dyDescent="0.25">
      <c r="A85" t="s">
        <v>278</v>
      </c>
      <c r="B85">
        <v>2012</v>
      </c>
      <c r="C85" t="s">
        <v>273</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COUNT(LifeExpectancyData[[#This Row],[Life expectancy]:[Schooling]])=19</f>
        <v>1</v>
      </c>
    </row>
    <row r="86" spans="1:23" x14ac:dyDescent="0.25">
      <c r="A86" t="s">
        <v>278</v>
      </c>
      <c r="B86">
        <v>2011</v>
      </c>
      <c r="C86" t="s">
        <v>273</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COUNT(LifeExpectancyData[[#This Row],[Life expectancy]:[Schooling]])=19</f>
        <v>1</v>
      </c>
    </row>
    <row r="87" spans="1:23" x14ac:dyDescent="0.25">
      <c r="A87" t="s">
        <v>278</v>
      </c>
      <c r="B87">
        <v>2010</v>
      </c>
      <c r="C87" t="s">
        <v>273</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COUNT(LifeExpectancyData[[#This Row],[Life expectancy]:[Schooling]])=19</f>
        <v>1</v>
      </c>
    </row>
    <row r="88" spans="1:23" x14ac:dyDescent="0.25">
      <c r="A88" t="s">
        <v>278</v>
      </c>
      <c r="B88">
        <v>2009</v>
      </c>
      <c r="C88" t="s">
        <v>273</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COUNT(LifeExpectancyData[[#This Row],[Life expectancy]:[Schooling]])=19</f>
        <v>1</v>
      </c>
    </row>
    <row r="89" spans="1:23" x14ac:dyDescent="0.25">
      <c r="A89" t="s">
        <v>278</v>
      </c>
      <c r="B89">
        <v>2008</v>
      </c>
      <c r="C89" t="s">
        <v>273</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COUNT(LifeExpectancyData[[#This Row],[Life expectancy]:[Schooling]])=19</f>
        <v>1</v>
      </c>
    </row>
    <row r="90" spans="1:23" x14ac:dyDescent="0.25">
      <c r="A90" t="s">
        <v>278</v>
      </c>
      <c r="B90">
        <v>2007</v>
      </c>
      <c r="C90" t="s">
        <v>273</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COUNT(LifeExpectancyData[[#This Row],[Life expectancy]:[Schooling]])=19</f>
        <v>1</v>
      </c>
    </row>
    <row r="91" spans="1:23" x14ac:dyDescent="0.25">
      <c r="A91" t="s">
        <v>278</v>
      </c>
      <c r="B91">
        <v>2006</v>
      </c>
      <c r="C91" t="s">
        <v>273</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COUNT(LifeExpectancyData[[#This Row],[Life expectancy]:[Schooling]])=19</f>
        <v>1</v>
      </c>
    </row>
    <row r="92" spans="1:23" x14ac:dyDescent="0.25">
      <c r="A92" t="s">
        <v>278</v>
      </c>
      <c r="B92">
        <v>2005</v>
      </c>
      <c r="C92" t="s">
        <v>273</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COUNT(LifeExpectancyData[[#This Row],[Life expectancy]:[Schooling]])=19</f>
        <v>1</v>
      </c>
    </row>
    <row r="93" spans="1:23" x14ac:dyDescent="0.25">
      <c r="A93" t="s">
        <v>278</v>
      </c>
      <c r="B93">
        <v>2004</v>
      </c>
      <c r="C93" t="s">
        <v>273</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COUNT(LifeExpectancyData[[#This Row],[Life expectancy]:[Schooling]])=19</f>
        <v>1</v>
      </c>
    </row>
    <row r="94" spans="1:23" x14ac:dyDescent="0.25">
      <c r="A94" t="s">
        <v>278</v>
      </c>
      <c r="B94">
        <v>2003</v>
      </c>
      <c r="C94" t="s">
        <v>273</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COUNT(LifeExpectancyData[[#This Row],[Life expectancy]:[Schooling]])=19</f>
        <v>1</v>
      </c>
    </row>
    <row r="95" spans="1:23" x14ac:dyDescent="0.25">
      <c r="A95" t="s">
        <v>278</v>
      </c>
      <c r="B95">
        <v>2002</v>
      </c>
      <c r="C95" t="s">
        <v>273</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COUNT(LifeExpectancyData[[#This Row],[Life expectancy]:[Schooling]])=19</f>
        <v>1</v>
      </c>
    </row>
    <row r="96" spans="1:23" x14ac:dyDescent="0.25">
      <c r="A96" t="s">
        <v>278</v>
      </c>
      <c r="B96">
        <v>2001</v>
      </c>
      <c r="C96" t="s">
        <v>273</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COUNT(LifeExpectancyData[[#This Row],[Life expectancy]:[Schooling]])=19</f>
        <v>0</v>
      </c>
    </row>
    <row r="97" spans="1:23" x14ac:dyDescent="0.25">
      <c r="A97" t="s">
        <v>278</v>
      </c>
      <c r="B97">
        <v>2000</v>
      </c>
      <c r="C97" t="s">
        <v>273</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COUNT(LifeExpectancyData[[#This Row],[Life expectancy]:[Schooling]])=19</f>
        <v>0</v>
      </c>
    </row>
    <row r="98" spans="1:23" x14ac:dyDescent="0.25">
      <c r="A98" t="s">
        <v>279</v>
      </c>
      <c r="B98">
        <v>2015</v>
      </c>
      <c r="C98" t="s">
        <v>273</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COUNT(LifeExpectancyData[[#This Row],[Life expectancy]:[Schooling]])=19</f>
        <v>0</v>
      </c>
    </row>
    <row r="99" spans="1:23" x14ac:dyDescent="0.25">
      <c r="A99" t="s">
        <v>279</v>
      </c>
      <c r="B99">
        <v>2014</v>
      </c>
      <c r="C99" t="s">
        <v>273</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COUNT(LifeExpectancyData[[#This Row],[Life expectancy]:[Schooling]])=19</f>
        <v>1</v>
      </c>
    </row>
    <row r="100" spans="1:23" x14ac:dyDescent="0.25">
      <c r="A100" t="s">
        <v>279</v>
      </c>
      <c r="B100">
        <v>2013</v>
      </c>
      <c r="C100" t="s">
        <v>273</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COUNT(LifeExpectancyData[[#This Row],[Life expectancy]:[Schooling]])=19</f>
        <v>1</v>
      </c>
    </row>
    <row r="101" spans="1:23" x14ac:dyDescent="0.25">
      <c r="A101" t="s">
        <v>279</v>
      </c>
      <c r="B101">
        <v>2012</v>
      </c>
      <c r="C101" t="s">
        <v>273</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COUNT(LifeExpectancyData[[#This Row],[Life expectancy]:[Schooling]])=19</f>
        <v>1</v>
      </c>
    </row>
    <row r="102" spans="1:23" x14ac:dyDescent="0.25">
      <c r="A102" t="s">
        <v>279</v>
      </c>
      <c r="B102">
        <v>2011</v>
      </c>
      <c r="C102" t="s">
        <v>273</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COUNT(LifeExpectancyData[[#This Row],[Life expectancy]:[Schooling]])=19</f>
        <v>1</v>
      </c>
    </row>
    <row r="103" spans="1:23" x14ac:dyDescent="0.25">
      <c r="A103" t="s">
        <v>279</v>
      </c>
      <c r="B103">
        <v>2010</v>
      </c>
      <c r="C103" t="s">
        <v>273</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COUNT(LifeExpectancyData[[#This Row],[Life expectancy]:[Schooling]])=19</f>
        <v>1</v>
      </c>
    </row>
    <row r="104" spans="1:23" x14ac:dyDescent="0.25">
      <c r="A104" t="s">
        <v>279</v>
      </c>
      <c r="B104">
        <v>2009</v>
      </c>
      <c r="C104" t="s">
        <v>273</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COUNT(LifeExpectancyData[[#This Row],[Life expectancy]:[Schooling]])=19</f>
        <v>1</v>
      </c>
    </row>
    <row r="105" spans="1:23" x14ac:dyDescent="0.25">
      <c r="A105" t="s">
        <v>279</v>
      </c>
      <c r="B105">
        <v>2008</v>
      </c>
      <c r="C105" t="s">
        <v>273</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COUNT(LifeExpectancyData[[#This Row],[Life expectancy]:[Schooling]])=19</f>
        <v>1</v>
      </c>
    </row>
    <row r="106" spans="1:23" x14ac:dyDescent="0.25">
      <c r="A106" t="s">
        <v>279</v>
      </c>
      <c r="B106">
        <v>2007</v>
      </c>
      <c r="C106" t="s">
        <v>273</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COUNT(LifeExpectancyData[[#This Row],[Life expectancy]:[Schooling]])=19</f>
        <v>1</v>
      </c>
    </row>
    <row r="107" spans="1:23" x14ac:dyDescent="0.25">
      <c r="A107" t="s">
        <v>279</v>
      </c>
      <c r="B107">
        <v>2006</v>
      </c>
      <c r="C107" t="s">
        <v>273</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COUNT(LifeExpectancyData[[#This Row],[Life expectancy]:[Schooling]])=19</f>
        <v>1</v>
      </c>
    </row>
    <row r="108" spans="1:23" x14ac:dyDescent="0.25">
      <c r="A108" t="s">
        <v>279</v>
      </c>
      <c r="B108">
        <v>2005</v>
      </c>
      <c r="C108" t="s">
        <v>273</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COUNT(LifeExpectancyData[[#This Row],[Life expectancy]:[Schooling]])=19</f>
        <v>1</v>
      </c>
    </row>
    <row r="109" spans="1:23" x14ac:dyDescent="0.25">
      <c r="A109" t="s">
        <v>279</v>
      </c>
      <c r="B109">
        <v>2004</v>
      </c>
      <c r="C109" t="s">
        <v>273</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COUNT(LifeExpectancyData[[#This Row],[Life expectancy]:[Schooling]])=19</f>
        <v>1</v>
      </c>
    </row>
    <row r="110" spans="1:23" x14ac:dyDescent="0.25">
      <c r="A110" t="s">
        <v>279</v>
      </c>
      <c r="B110">
        <v>2003</v>
      </c>
      <c r="C110" t="s">
        <v>273</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COUNT(LifeExpectancyData[[#This Row],[Life expectancy]:[Schooling]])=19</f>
        <v>1</v>
      </c>
    </row>
    <row r="111" spans="1:23" x14ac:dyDescent="0.25">
      <c r="A111" t="s">
        <v>279</v>
      </c>
      <c r="B111">
        <v>2002</v>
      </c>
      <c r="C111" t="s">
        <v>273</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COUNT(LifeExpectancyData[[#This Row],[Life expectancy]:[Schooling]])=19</f>
        <v>1</v>
      </c>
    </row>
    <row r="112" spans="1:23" x14ac:dyDescent="0.25">
      <c r="A112" t="s">
        <v>279</v>
      </c>
      <c r="B112">
        <v>2001</v>
      </c>
      <c r="C112" t="s">
        <v>273</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COUNT(LifeExpectancyData[[#This Row],[Life expectancy]:[Schooling]])=19</f>
        <v>1</v>
      </c>
    </row>
    <row r="113" spans="1:23" x14ac:dyDescent="0.25">
      <c r="A113" t="s">
        <v>279</v>
      </c>
      <c r="B113">
        <v>2000</v>
      </c>
      <c r="C113" t="s">
        <v>273</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COUNT(LifeExpectancyData[[#This Row],[Life expectancy]:[Schooling]])=19</f>
        <v>1</v>
      </c>
    </row>
    <row r="114" spans="1:23" x14ac:dyDescent="0.25">
      <c r="A114" t="s">
        <v>280</v>
      </c>
      <c r="B114">
        <v>2015</v>
      </c>
      <c r="C114" t="s">
        <v>281</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COUNT(LifeExpectancyData[[#This Row],[Life expectancy]:[Schooling]])=19</f>
        <v>0</v>
      </c>
    </row>
    <row r="115" spans="1:23" x14ac:dyDescent="0.25">
      <c r="A115" t="s">
        <v>280</v>
      </c>
      <c r="B115">
        <v>2014</v>
      </c>
      <c r="C115" t="s">
        <v>281</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COUNT(LifeExpectancyData[[#This Row],[Life expectancy]:[Schooling]])=19</f>
        <v>1</v>
      </c>
    </row>
    <row r="116" spans="1:23" x14ac:dyDescent="0.25">
      <c r="A116" t="s">
        <v>280</v>
      </c>
      <c r="B116">
        <v>2013</v>
      </c>
      <c r="C116" t="s">
        <v>281</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COUNT(LifeExpectancyData[[#This Row],[Life expectancy]:[Schooling]])=19</f>
        <v>1</v>
      </c>
    </row>
    <row r="117" spans="1:23" x14ac:dyDescent="0.25">
      <c r="A117" t="s">
        <v>280</v>
      </c>
      <c r="B117">
        <v>2012</v>
      </c>
      <c r="C117" t="s">
        <v>281</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COUNT(LifeExpectancyData[[#This Row],[Life expectancy]:[Schooling]])=19</f>
        <v>1</v>
      </c>
    </row>
    <row r="118" spans="1:23" x14ac:dyDescent="0.25">
      <c r="A118" t="s">
        <v>280</v>
      </c>
      <c r="B118">
        <v>2011</v>
      </c>
      <c r="C118" t="s">
        <v>281</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COUNT(LifeExpectancyData[[#This Row],[Life expectancy]:[Schooling]])=19</f>
        <v>1</v>
      </c>
    </row>
    <row r="119" spans="1:23" x14ac:dyDescent="0.25">
      <c r="A119" t="s">
        <v>280</v>
      </c>
      <c r="B119">
        <v>2010</v>
      </c>
      <c r="C119" t="s">
        <v>281</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COUNT(LifeExpectancyData[[#This Row],[Life expectancy]:[Schooling]])=19</f>
        <v>1</v>
      </c>
    </row>
    <row r="120" spans="1:23" x14ac:dyDescent="0.25">
      <c r="A120" t="s">
        <v>280</v>
      </c>
      <c r="B120">
        <v>2009</v>
      </c>
      <c r="C120" t="s">
        <v>281</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COUNT(LifeExpectancyData[[#This Row],[Life expectancy]:[Schooling]])=19</f>
        <v>1</v>
      </c>
    </row>
    <row r="121" spans="1:23" x14ac:dyDescent="0.25">
      <c r="A121" t="s">
        <v>280</v>
      </c>
      <c r="B121">
        <v>2008</v>
      </c>
      <c r="C121" t="s">
        <v>281</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COUNT(LifeExpectancyData[[#This Row],[Life expectancy]:[Schooling]])=19</f>
        <v>1</v>
      </c>
    </row>
    <row r="122" spans="1:23" x14ac:dyDescent="0.25">
      <c r="A122" t="s">
        <v>280</v>
      </c>
      <c r="B122">
        <v>2007</v>
      </c>
      <c r="C122" t="s">
        <v>281</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COUNT(LifeExpectancyData[[#This Row],[Life expectancy]:[Schooling]])=19</f>
        <v>1</v>
      </c>
    </row>
    <row r="123" spans="1:23" x14ac:dyDescent="0.25">
      <c r="A123" t="s">
        <v>280</v>
      </c>
      <c r="B123">
        <v>2006</v>
      </c>
      <c r="C123" t="s">
        <v>281</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COUNT(LifeExpectancyData[[#This Row],[Life expectancy]:[Schooling]])=19</f>
        <v>1</v>
      </c>
    </row>
    <row r="124" spans="1:23" x14ac:dyDescent="0.25">
      <c r="A124" t="s">
        <v>280</v>
      </c>
      <c r="B124">
        <v>2005</v>
      </c>
      <c r="C124" t="s">
        <v>281</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COUNT(LifeExpectancyData[[#This Row],[Life expectancy]:[Schooling]])=19</f>
        <v>1</v>
      </c>
    </row>
    <row r="125" spans="1:23" x14ac:dyDescent="0.25">
      <c r="A125" t="s">
        <v>280</v>
      </c>
      <c r="B125">
        <v>2004</v>
      </c>
      <c r="C125" t="s">
        <v>281</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COUNT(LifeExpectancyData[[#This Row],[Life expectancy]:[Schooling]])=19</f>
        <v>1</v>
      </c>
    </row>
    <row r="126" spans="1:23" x14ac:dyDescent="0.25">
      <c r="A126" t="s">
        <v>280</v>
      </c>
      <c r="B126">
        <v>2003</v>
      </c>
      <c r="C126" t="s">
        <v>281</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COUNT(LifeExpectancyData[[#This Row],[Life expectancy]:[Schooling]])=19</f>
        <v>1</v>
      </c>
    </row>
    <row r="127" spans="1:23" x14ac:dyDescent="0.25">
      <c r="A127" t="s">
        <v>280</v>
      </c>
      <c r="B127">
        <v>2002</v>
      </c>
      <c r="C127" t="s">
        <v>281</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COUNT(LifeExpectancyData[[#This Row],[Life expectancy]:[Schooling]])=19</f>
        <v>1</v>
      </c>
    </row>
    <row r="128" spans="1:23" x14ac:dyDescent="0.25">
      <c r="A128" t="s">
        <v>280</v>
      </c>
      <c r="B128">
        <v>2001</v>
      </c>
      <c r="C128" t="s">
        <v>281</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COUNT(LifeExpectancyData[[#This Row],[Life expectancy]:[Schooling]])=19</f>
        <v>1</v>
      </c>
    </row>
    <row r="129" spans="1:23" x14ac:dyDescent="0.25">
      <c r="A129" t="s">
        <v>280</v>
      </c>
      <c r="B129">
        <v>2000</v>
      </c>
      <c r="C129" t="s">
        <v>281</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COUNT(LifeExpectancyData[[#This Row],[Life expectancy]:[Schooling]])=19</f>
        <v>0</v>
      </c>
    </row>
    <row r="130" spans="1:23" x14ac:dyDescent="0.25">
      <c r="A130" t="s">
        <v>282</v>
      </c>
      <c r="B130">
        <v>2015</v>
      </c>
      <c r="C130" t="s">
        <v>281</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COUNT(LifeExpectancyData[[#This Row],[Life expectancy]:[Schooling]])=19</f>
        <v>0</v>
      </c>
    </row>
    <row r="131" spans="1:23" x14ac:dyDescent="0.25">
      <c r="A131" t="s">
        <v>282</v>
      </c>
      <c r="B131">
        <v>2014</v>
      </c>
      <c r="C131" t="s">
        <v>281</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COUNT(LifeExpectancyData[[#This Row],[Life expectancy]:[Schooling]])=19</f>
        <v>1</v>
      </c>
    </row>
    <row r="132" spans="1:23" x14ac:dyDescent="0.25">
      <c r="A132" t="s">
        <v>282</v>
      </c>
      <c r="B132">
        <v>2013</v>
      </c>
      <c r="C132" t="s">
        <v>281</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COUNT(LifeExpectancyData[[#This Row],[Life expectancy]:[Schooling]])=19</f>
        <v>1</v>
      </c>
    </row>
    <row r="133" spans="1:23" x14ac:dyDescent="0.25">
      <c r="A133" t="s">
        <v>282</v>
      </c>
      <c r="B133">
        <v>2012</v>
      </c>
      <c r="C133" t="s">
        <v>281</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COUNT(LifeExpectancyData[[#This Row],[Life expectancy]:[Schooling]])=19</f>
        <v>1</v>
      </c>
    </row>
    <row r="134" spans="1:23" x14ac:dyDescent="0.25">
      <c r="A134" t="s">
        <v>282</v>
      </c>
      <c r="B134">
        <v>2011</v>
      </c>
      <c r="C134" t="s">
        <v>281</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COUNT(LifeExpectancyData[[#This Row],[Life expectancy]:[Schooling]])=19</f>
        <v>1</v>
      </c>
    </row>
    <row r="135" spans="1:23" x14ac:dyDescent="0.25">
      <c r="A135" t="s">
        <v>282</v>
      </c>
      <c r="B135">
        <v>2010</v>
      </c>
      <c r="C135" t="s">
        <v>281</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COUNT(LifeExpectancyData[[#This Row],[Life expectancy]:[Schooling]])=19</f>
        <v>1</v>
      </c>
    </row>
    <row r="136" spans="1:23" x14ac:dyDescent="0.25">
      <c r="A136" t="s">
        <v>282</v>
      </c>
      <c r="B136">
        <v>2009</v>
      </c>
      <c r="C136" t="s">
        <v>281</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COUNT(LifeExpectancyData[[#This Row],[Life expectancy]:[Schooling]])=19</f>
        <v>1</v>
      </c>
    </row>
    <row r="137" spans="1:23" x14ac:dyDescent="0.25">
      <c r="A137" t="s">
        <v>282</v>
      </c>
      <c r="B137">
        <v>2008</v>
      </c>
      <c r="C137" t="s">
        <v>281</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COUNT(LifeExpectancyData[[#This Row],[Life expectancy]:[Schooling]])=19</f>
        <v>1</v>
      </c>
    </row>
    <row r="138" spans="1:23" x14ac:dyDescent="0.25">
      <c r="A138" t="s">
        <v>282</v>
      </c>
      <c r="B138">
        <v>2007</v>
      </c>
      <c r="C138" t="s">
        <v>281</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COUNT(LifeExpectancyData[[#This Row],[Life expectancy]:[Schooling]])=19</f>
        <v>1</v>
      </c>
    </row>
    <row r="139" spans="1:23" x14ac:dyDescent="0.25">
      <c r="A139" t="s">
        <v>282</v>
      </c>
      <c r="B139">
        <v>2006</v>
      </c>
      <c r="C139" t="s">
        <v>281</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COUNT(LifeExpectancyData[[#This Row],[Life expectancy]:[Schooling]])=19</f>
        <v>1</v>
      </c>
    </row>
    <row r="140" spans="1:23" x14ac:dyDescent="0.25">
      <c r="A140" t="s">
        <v>282</v>
      </c>
      <c r="B140">
        <v>2005</v>
      </c>
      <c r="C140" t="s">
        <v>281</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COUNT(LifeExpectancyData[[#This Row],[Life expectancy]:[Schooling]])=19</f>
        <v>1</v>
      </c>
    </row>
    <row r="141" spans="1:23" x14ac:dyDescent="0.25">
      <c r="A141" t="s">
        <v>282</v>
      </c>
      <c r="B141">
        <v>2004</v>
      </c>
      <c r="C141" t="s">
        <v>281</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COUNT(LifeExpectancyData[[#This Row],[Life expectancy]:[Schooling]])=19</f>
        <v>1</v>
      </c>
    </row>
    <row r="142" spans="1:23" x14ac:dyDescent="0.25">
      <c r="A142" t="s">
        <v>282</v>
      </c>
      <c r="B142">
        <v>2003</v>
      </c>
      <c r="C142" t="s">
        <v>281</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COUNT(LifeExpectancyData[[#This Row],[Life expectancy]:[Schooling]])=19</f>
        <v>1</v>
      </c>
    </row>
    <row r="143" spans="1:23" x14ac:dyDescent="0.25">
      <c r="A143" t="s">
        <v>282</v>
      </c>
      <c r="B143">
        <v>2002</v>
      </c>
      <c r="C143" t="s">
        <v>281</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COUNT(LifeExpectancyData[[#This Row],[Life expectancy]:[Schooling]])=19</f>
        <v>1</v>
      </c>
    </row>
    <row r="144" spans="1:23" x14ac:dyDescent="0.25">
      <c r="A144" t="s">
        <v>282</v>
      </c>
      <c r="B144">
        <v>2001</v>
      </c>
      <c r="C144" t="s">
        <v>281</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COUNT(LifeExpectancyData[[#This Row],[Life expectancy]:[Schooling]])=19</f>
        <v>1</v>
      </c>
    </row>
    <row r="145" spans="1:23" x14ac:dyDescent="0.25">
      <c r="A145" t="s">
        <v>282</v>
      </c>
      <c r="B145">
        <v>2000</v>
      </c>
      <c r="C145" t="s">
        <v>281</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COUNT(LifeExpectancyData[[#This Row],[Life expectancy]:[Schooling]])=19</f>
        <v>1</v>
      </c>
    </row>
    <row r="146" spans="1:23" x14ac:dyDescent="0.25">
      <c r="A146" t="s">
        <v>283</v>
      </c>
      <c r="B146">
        <v>2015</v>
      </c>
      <c r="C146" t="s">
        <v>273</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COUNT(LifeExpectancyData[[#This Row],[Life expectancy]:[Schooling]])=19</f>
        <v>0</v>
      </c>
    </row>
    <row r="147" spans="1:23" x14ac:dyDescent="0.25">
      <c r="A147" t="s">
        <v>283</v>
      </c>
      <c r="B147">
        <v>2014</v>
      </c>
      <c r="C147" t="s">
        <v>273</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COUNT(LifeExpectancyData[[#This Row],[Life expectancy]:[Schooling]])=19</f>
        <v>1</v>
      </c>
    </row>
    <row r="148" spans="1:23" x14ac:dyDescent="0.25">
      <c r="A148" t="s">
        <v>283</v>
      </c>
      <c r="B148">
        <v>2013</v>
      </c>
      <c r="C148" t="s">
        <v>273</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COUNT(LifeExpectancyData[[#This Row],[Life expectancy]:[Schooling]])=19</f>
        <v>1</v>
      </c>
    </row>
    <row r="149" spans="1:23" x14ac:dyDescent="0.25">
      <c r="A149" t="s">
        <v>283</v>
      </c>
      <c r="B149">
        <v>2012</v>
      </c>
      <c r="C149" t="s">
        <v>273</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COUNT(LifeExpectancyData[[#This Row],[Life expectancy]:[Schooling]])=19</f>
        <v>1</v>
      </c>
    </row>
    <row r="150" spans="1:23" x14ac:dyDescent="0.25">
      <c r="A150" t="s">
        <v>283</v>
      </c>
      <c r="B150">
        <v>2011</v>
      </c>
      <c r="C150" t="s">
        <v>273</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COUNT(LifeExpectancyData[[#This Row],[Life expectancy]:[Schooling]])=19</f>
        <v>1</v>
      </c>
    </row>
    <row r="151" spans="1:23" x14ac:dyDescent="0.25">
      <c r="A151" t="s">
        <v>283</v>
      </c>
      <c r="B151">
        <v>2010</v>
      </c>
      <c r="C151" t="s">
        <v>273</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COUNT(LifeExpectancyData[[#This Row],[Life expectancy]:[Schooling]])=19</f>
        <v>1</v>
      </c>
    </row>
    <row r="152" spans="1:23" x14ac:dyDescent="0.25">
      <c r="A152" t="s">
        <v>283</v>
      </c>
      <c r="B152">
        <v>2009</v>
      </c>
      <c r="C152" t="s">
        <v>273</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COUNT(LifeExpectancyData[[#This Row],[Life expectancy]:[Schooling]])=19</f>
        <v>1</v>
      </c>
    </row>
    <row r="153" spans="1:23" x14ac:dyDescent="0.25">
      <c r="A153" t="s">
        <v>283</v>
      </c>
      <c r="B153">
        <v>2008</v>
      </c>
      <c r="C153" t="s">
        <v>273</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COUNT(LifeExpectancyData[[#This Row],[Life expectancy]:[Schooling]])=19</f>
        <v>1</v>
      </c>
    </row>
    <row r="154" spans="1:23" x14ac:dyDescent="0.25">
      <c r="A154" t="s">
        <v>283</v>
      </c>
      <c r="B154">
        <v>2007</v>
      </c>
      <c r="C154" t="s">
        <v>273</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COUNT(LifeExpectancyData[[#This Row],[Life expectancy]:[Schooling]])=19</f>
        <v>1</v>
      </c>
    </row>
    <row r="155" spans="1:23" x14ac:dyDescent="0.25">
      <c r="A155" t="s">
        <v>283</v>
      </c>
      <c r="B155">
        <v>2006</v>
      </c>
      <c r="C155" t="s">
        <v>273</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COUNT(LifeExpectancyData[[#This Row],[Life expectancy]:[Schooling]])=19</f>
        <v>1</v>
      </c>
    </row>
    <row r="156" spans="1:23" x14ac:dyDescent="0.25">
      <c r="A156" t="s">
        <v>283</v>
      </c>
      <c r="B156">
        <v>2005</v>
      </c>
      <c r="C156" t="s">
        <v>273</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COUNT(LifeExpectancyData[[#This Row],[Life expectancy]:[Schooling]])=19</f>
        <v>1</v>
      </c>
    </row>
    <row r="157" spans="1:23" x14ac:dyDescent="0.25">
      <c r="A157" t="s">
        <v>283</v>
      </c>
      <c r="B157">
        <v>2004</v>
      </c>
      <c r="C157" t="s">
        <v>273</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COUNT(LifeExpectancyData[[#This Row],[Life expectancy]:[Schooling]])=19</f>
        <v>1</v>
      </c>
    </row>
    <row r="158" spans="1:23" x14ac:dyDescent="0.25">
      <c r="A158" t="s">
        <v>283</v>
      </c>
      <c r="B158">
        <v>2003</v>
      </c>
      <c r="C158" t="s">
        <v>273</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COUNT(LifeExpectancyData[[#This Row],[Life expectancy]:[Schooling]])=19</f>
        <v>1</v>
      </c>
    </row>
    <row r="159" spans="1:23" x14ac:dyDescent="0.25">
      <c r="A159" t="s">
        <v>283</v>
      </c>
      <c r="B159">
        <v>2002</v>
      </c>
      <c r="C159" t="s">
        <v>273</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COUNT(LifeExpectancyData[[#This Row],[Life expectancy]:[Schooling]])=19</f>
        <v>1</v>
      </c>
    </row>
    <row r="160" spans="1:23" x14ac:dyDescent="0.25">
      <c r="A160" t="s">
        <v>283</v>
      </c>
      <c r="B160">
        <v>2001</v>
      </c>
      <c r="C160" t="s">
        <v>273</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COUNT(LifeExpectancyData[[#This Row],[Life expectancy]:[Schooling]])=19</f>
        <v>0</v>
      </c>
    </row>
    <row r="161" spans="1:23" x14ac:dyDescent="0.25">
      <c r="A161" t="s">
        <v>283</v>
      </c>
      <c r="B161">
        <v>2000</v>
      </c>
      <c r="C161" t="s">
        <v>273</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COUNT(LifeExpectancyData[[#This Row],[Life expectancy]:[Schooling]])=19</f>
        <v>0</v>
      </c>
    </row>
    <row r="162" spans="1:23" x14ac:dyDescent="0.25">
      <c r="A162" t="s">
        <v>284</v>
      </c>
      <c r="B162">
        <v>2015</v>
      </c>
      <c r="C162" t="s">
        <v>273</v>
      </c>
      <c r="D162">
        <v>76.099999999999994</v>
      </c>
      <c r="E162">
        <v>147</v>
      </c>
      <c r="F162">
        <v>0</v>
      </c>
      <c r="H162">
        <v>0</v>
      </c>
      <c r="I162">
        <v>95</v>
      </c>
      <c r="J162">
        <v>0</v>
      </c>
      <c r="K162">
        <v>64.5</v>
      </c>
      <c r="L162">
        <v>0</v>
      </c>
      <c r="M162">
        <v>95</v>
      </c>
      <c r="O162">
        <v>95</v>
      </c>
      <c r="P162">
        <v>0.1</v>
      </c>
      <c r="S162">
        <v>2.5</v>
      </c>
      <c r="T162">
        <v>2.5</v>
      </c>
      <c r="U162">
        <v>0.79</v>
      </c>
      <c r="V162">
        <v>12.6</v>
      </c>
      <c r="W162" t="b">
        <f>COUNT(LifeExpectancyData[[#This Row],[Life expectancy]:[Schooling]])=19</f>
        <v>0</v>
      </c>
    </row>
    <row r="163" spans="1:23" x14ac:dyDescent="0.25">
      <c r="A163" t="s">
        <v>284</v>
      </c>
      <c r="B163">
        <v>2014</v>
      </c>
      <c r="C163" t="s">
        <v>273</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COUNT(LifeExpectancyData[[#This Row],[Life expectancy]:[Schooling]])=19</f>
        <v>0</v>
      </c>
    </row>
    <row r="164" spans="1:23" x14ac:dyDescent="0.25">
      <c r="A164" t="s">
        <v>284</v>
      </c>
      <c r="B164">
        <v>2013</v>
      </c>
      <c r="C164" t="s">
        <v>273</v>
      </c>
      <c r="D164">
        <v>74.8</v>
      </c>
      <c r="E164">
        <v>172</v>
      </c>
      <c r="F164">
        <v>0</v>
      </c>
      <c r="G164">
        <v>9.42</v>
      </c>
      <c r="H164">
        <v>0</v>
      </c>
      <c r="I164">
        <v>97</v>
      </c>
      <c r="J164">
        <v>0</v>
      </c>
      <c r="K164">
        <v>63.2</v>
      </c>
      <c r="L164">
        <v>0</v>
      </c>
      <c r="M164">
        <v>97</v>
      </c>
      <c r="N164">
        <v>7.5</v>
      </c>
      <c r="O164">
        <v>97</v>
      </c>
      <c r="P164">
        <v>0.1</v>
      </c>
      <c r="S164">
        <v>2.5</v>
      </c>
      <c r="T164">
        <v>2.5</v>
      </c>
      <c r="U164">
        <v>0.79</v>
      </c>
      <c r="V164">
        <v>12.6</v>
      </c>
      <c r="W164" t="b">
        <f>COUNT(LifeExpectancyData[[#This Row],[Life expectancy]:[Schooling]])=19</f>
        <v>0</v>
      </c>
    </row>
    <row r="165" spans="1:23" x14ac:dyDescent="0.25">
      <c r="A165" t="s">
        <v>284</v>
      </c>
      <c r="B165">
        <v>2012</v>
      </c>
      <c r="C165" t="s">
        <v>273</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COUNT(LifeExpectancyData[[#This Row],[Life expectancy]:[Schooling]])=19</f>
        <v>0</v>
      </c>
    </row>
    <row r="166" spans="1:23" x14ac:dyDescent="0.25">
      <c r="A166" t="s">
        <v>284</v>
      </c>
      <c r="B166">
        <v>2011</v>
      </c>
      <c r="C166" t="s">
        <v>273</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COUNT(LifeExpectancyData[[#This Row],[Life expectancy]:[Schooling]])=19</f>
        <v>0</v>
      </c>
    </row>
    <row r="167" spans="1:23" x14ac:dyDescent="0.25">
      <c r="A167" t="s">
        <v>284</v>
      </c>
      <c r="B167">
        <v>2010</v>
      </c>
      <c r="C167" t="s">
        <v>273</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COUNT(LifeExpectancyData[[#This Row],[Life expectancy]:[Schooling]])=19</f>
        <v>0</v>
      </c>
    </row>
    <row r="168" spans="1:23" x14ac:dyDescent="0.25">
      <c r="A168" t="s">
        <v>284</v>
      </c>
      <c r="B168">
        <v>2009</v>
      </c>
      <c r="C168" t="s">
        <v>273</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COUNT(LifeExpectancyData[[#This Row],[Life expectancy]:[Schooling]])=19</f>
        <v>0</v>
      </c>
    </row>
    <row r="169" spans="1:23" x14ac:dyDescent="0.25">
      <c r="A169" t="s">
        <v>284</v>
      </c>
      <c r="B169">
        <v>2008</v>
      </c>
      <c r="C169" t="s">
        <v>273</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COUNT(LifeExpectancyData[[#This Row],[Life expectancy]:[Schooling]])=19</f>
        <v>0</v>
      </c>
    </row>
    <row r="170" spans="1:23" x14ac:dyDescent="0.25">
      <c r="A170" t="s">
        <v>284</v>
      </c>
      <c r="B170">
        <v>2007</v>
      </c>
      <c r="C170" t="s">
        <v>273</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COUNT(LifeExpectancyData[[#This Row],[Life expectancy]:[Schooling]])=19</f>
        <v>0</v>
      </c>
    </row>
    <row r="171" spans="1:23" x14ac:dyDescent="0.25">
      <c r="A171" t="s">
        <v>284</v>
      </c>
      <c r="B171">
        <v>2006</v>
      </c>
      <c r="C171" t="s">
        <v>273</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COUNT(LifeExpectancyData[[#This Row],[Life expectancy]:[Schooling]])=19</f>
        <v>0</v>
      </c>
    </row>
    <row r="172" spans="1:23" x14ac:dyDescent="0.25">
      <c r="A172" t="s">
        <v>284</v>
      </c>
      <c r="B172">
        <v>2005</v>
      </c>
      <c r="C172" t="s">
        <v>273</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COUNT(LifeExpectancyData[[#This Row],[Life expectancy]:[Schooling]])=19</f>
        <v>0</v>
      </c>
    </row>
    <row r="173" spans="1:23" x14ac:dyDescent="0.25">
      <c r="A173" t="s">
        <v>284</v>
      </c>
      <c r="B173">
        <v>2004</v>
      </c>
      <c r="C173" t="s">
        <v>273</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COUNT(LifeExpectancyData[[#This Row],[Life expectancy]:[Schooling]])=19</f>
        <v>0</v>
      </c>
    </row>
    <row r="174" spans="1:23" x14ac:dyDescent="0.25">
      <c r="A174" t="s">
        <v>284</v>
      </c>
      <c r="B174">
        <v>2003</v>
      </c>
      <c r="C174" t="s">
        <v>273</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COUNT(LifeExpectancyData[[#This Row],[Life expectancy]:[Schooling]])=19</f>
        <v>0</v>
      </c>
    </row>
    <row r="175" spans="1:23" x14ac:dyDescent="0.25">
      <c r="A175" t="s">
        <v>284</v>
      </c>
      <c r="B175">
        <v>2002</v>
      </c>
      <c r="C175" t="s">
        <v>273</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COUNT(LifeExpectancyData[[#This Row],[Life expectancy]:[Schooling]])=19</f>
        <v>0</v>
      </c>
    </row>
    <row r="176" spans="1:23" x14ac:dyDescent="0.25">
      <c r="A176" t="s">
        <v>284</v>
      </c>
      <c r="B176">
        <v>2001</v>
      </c>
      <c r="C176" t="s">
        <v>273</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COUNT(LifeExpectancyData[[#This Row],[Life expectancy]:[Schooling]])=19</f>
        <v>0</v>
      </c>
    </row>
    <row r="177" spans="1:23" x14ac:dyDescent="0.25">
      <c r="A177" t="s">
        <v>284</v>
      </c>
      <c r="B177">
        <v>2000</v>
      </c>
      <c r="C177" t="s">
        <v>273</v>
      </c>
      <c r="D177">
        <v>72.599999999999994</v>
      </c>
      <c r="E177">
        <v>192</v>
      </c>
      <c r="F177">
        <v>0</v>
      </c>
      <c r="G177">
        <v>12.15</v>
      </c>
      <c r="H177">
        <v>0</v>
      </c>
      <c r="J177">
        <v>0</v>
      </c>
      <c r="K177">
        <v>54.4</v>
      </c>
      <c r="L177">
        <v>0</v>
      </c>
      <c r="M177">
        <v>91</v>
      </c>
      <c r="N177">
        <v>5.21</v>
      </c>
      <c r="O177">
        <v>99</v>
      </c>
      <c r="P177">
        <v>0.1</v>
      </c>
      <c r="S177">
        <v>2.7</v>
      </c>
      <c r="T177">
        <v>2.6</v>
      </c>
      <c r="U177">
        <v>0</v>
      </c>
      <c r="V177">
        <v>12</v>
      </c>
      <c r="W177" t="b">
        <f>COUNT(LifeExpectancyData[[#This Row],[Life expectancy]:[Schooling]])=19</f>
        <v>0</v>
      </c>
    </row>
    <row r="178" spans="1:23" x14ac:dyDescent="0.25">
      <c r="A178" t="s">
        <v>285</v>
      </c>
      <c r="B178">
        <v>2015</v>
      </c>
      <c r="C178" t="s">
        <v>273</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COUNT(LifeExpectancyData[[#This Row],[Life expectancy]:[Schooling]])=19</f>
        <v>0</v>
      </c>
    </row>
    <row r="179" spans="1:23" x14ac:dyDescent="0.25">
      <c r="A179" t="s">
        <v>285</v>
      </c>
      <c r="B179">
        <v>2014</v>
      </c>
      <c r="C179" t="s">
        <v>273</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COUNT(LifeExpectancyData[[#This Row],[Life expectancy]:[Schooling]])=19</f>
        <v>0</v>
      </c>
    </row>
    <row r="180" spans="1:23" x14ac:dyDescent="0.25">
      <c r="A180" t="s">
        <v>285</v>
      </c>
      <c r="B180">
        <v>2013</v>
      </c>
      <c r="C180" t="s">
        <v>273</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COUNT(LifeExpectancyData[[#This Row],[Life expectancy]:[Schooling]])=19</f>
        <v>0</v>
      </c>
    </row>
    <row r="181" spans="1:23" x14ac:dyDescent="0.25">
      <c r="A181" t="s">
        <v>285</v>
      </c>
      <c r="B181">
        <v>2012</v>
      </c>
      <c r="C181" t="s">
        <v>273</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COUNT(LifeExpectancyData[[#This Row],[Life expectancy]:[Schooling]])=19</f>
        <v>0</v>
      </c>
    </row>
    <row r="182" spans="1:23" x14ac:dyDescent="0.25">
      <c r="A182" t="s">
        <v>285</v>
      </c>
      <c r="B182">
        <v>2011</v>
      </c>
      <c r="C182" t="s">
        <v>273</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COUNT(LifeExpectancyData[[#This Row],[Life expectancy]:[Schooling]])=19</f>
        <v>0</v>
      </c>
    </row>
    <row r="183" spans="1:23" x14ac:dyDescent="0.25">
      <c r="A183" t="s">
        <v>285</v>
      </c>
      <c r="B183">
        <v>2010</v>
      </c>
      <c r="C183" t="s">
        <v>273</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COUNT(LifeExpectancyData[[#This Row],[Life expectancy]:[Schooling]])=19</f>
        <v>0</v>
      </c>
    </row>
    <row r="184" spans="1:23" x14ac:dyDescent="0.25">
      <c r="A184" t="s">
        <v>285</v>
      </c>
      <c r="B184">
        <v>2009</v>
      </c>
      <c r="C184" t="s">
        <v>273</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COUNT(LifeExpectancyData[[#This Row],[Life expectancy]:[Schooling]])=19</f>
        <v>0</v>
      </c>
    </row>
    <row r="185" spans="1:23" x14ac:dyDescent="0.25">
      <c r="A185" t="s">
        <v>285</v>
      </c>
      <c r="B185">
        <v>2008</v>
      </c>
      <c r="C185" t="s">
        <v>273</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COUNT(LifeExpectancyData[[#This Row],[Life expectancy]:[Schooling]])=19</f>
        <v>0</v>
      </c>
    </row>
    <row r="186" spans="1:23" x14ac:dyDescent="0.25">
      <c r="A186" t="s">
        <v>285</v>
      </c>
      <c r="B186">
        <v>2007</v>
      </c>
      <c r="C186" t="s">
        <v>273</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COUNT(LifeExpectancyData[[#This Row],[Life expectancy]:[Schooling]])=19</f>
        <v>0</v>
      </c>
    </row>
    <row r="187" spans="1:23" x14ac:dyDescent="0.25">
      <c r="A187" t="s">
        <v>285</v>
      </c>
      <c r="B187">
        <v>2006</v>
      </c>
      <c r="C187" t="s">
        <v>273</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COUNT(LifeExpectancyData[[#This Row],[Life expectancy]:[Schooling]])=19</f>
        <v>0</v>
      </c>
    </row>
    <row r="188" spans="1:23" x14ac:dyDescent="0.25">
      <c r="A188" t="s">
        <v>285</v>
      </c>
      <c r="B188">
        <v>2005</v>
      </c>
      <c r="C188" t="s">
        <v>273</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COUNT(LifeExpectancyData[[#This Row],[Life expectancy]:[Schooling]])=19</f>
        <v>0</v>
      </c>
    </row>
    <row r="189" spans="1:23" x14ac:dyDescent="0.25">
      <c r="A189" t="s">
        <v>285</v>
      </c>
      <c r="B189">
        <v>2004</v>
      </c>
      <c r="C189" t="s">
        <v>273</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COUNT(LifeExpectancyData[[#This Row],[Life expectancy]:[Schooling]])=19</f>
        <v>0</v>
      </c>
    </row>
    <row r="190" spans="1:23" x14ac:dyDescent="0.25">
      <c r="A190" t="s">
        <v>285</v>
      </c>
      <c r="B190">
        <v>2003</v>
      </c>
      <c r="C190" t="s">
        <v>273</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COUNT(LifeExpectancyData[[#This Row],[Life expectancy]:[Schooling]])=19</f>
        <v>0</v>
      </c>
    </row>
    <row r="191" spans="1:23" x14ac:dyDescent="0.25">
      <c r="A191" t="s">
        <v>285</v>
      </c>
      <c r="B191">
        <v>2002</v>
      </c>
      <c r="C191" t="s">
        <v>273</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COUNT(LifeExpectancyData[[#This Row],[Life expectancy]:[Schooling]])=19</f>
        <v>0</v>
      </c>
    </row>
    <row r="192" spans="1:23" x14ac:dyDescent="0.25">
      <c r="A192" t="s">
        <v>285</v>
      </c>
      <c r="B192">
        <v>2001</v>
      </c>
      <c r="C192" t="s">
        <v>273</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COUNT(LifeExpectancyData[[#This Row],[Life expectancy]:[Schooling]])=19</f>
        <v>0</v>
      </c>
    </row>
    <row r="193" spans="1:23" x14ac:dyDescent="0.25">
      <c r="A193" t="s">
        <v>285</v>
      </c>
      <c r="B193">
        <v>2000</v>
      </c>
      <c r="C193" t="s">
        <v>273</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COUNT(LifeExpectancyData[[#This Row],[Life expectancy]:[Schooling]])=19</f>
        <v>0</v>
      </c>
    </row>
    <row r="194" spans="1:23" x14ac:dyDescent="0.25">
      <c r="A194" t="s">
        <v>286</v>
      </c>
      <c r="B194">
        <v>2015</v>
      </c>
      <c r="C194" t="s">
        <v>273</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COUNT(LifeExpectancyData[[#This Row],[Life expectancy]:[Schooling]])=19</f>
        <v>0</v>
      </c>
    </row>
    <row r="195" spans="1:23" x14ac:dyDescent="0.25">
      <c r="A195" t="s">
        <v>286</v>
      </c>
      <c r="B195">
        <v>2014</v>
      </c>
      <c r="C195" t="s">
        <v>273</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COUNT(LifeExpectancyData[[#This Row],[Life expectancy]:[Schooling]])=19</f>
        <v>1</v>
      </c>
    </row>
    <row r="196" spans="1:23" x14ac:dyDescent="0.25">
      <c r="A196" t="s">
        <v>286</v>
      </c>
      <c r="B196">
        <v>2013</v>
      </c>
      <c r="C196" t="s">
        <v>273</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COUNT(LifeExpectancyData[[#This Row],[Life expectancy]:[Schooling]])=19</f>
        <v>1</v>
      </c>
    </row>
    <row r="197" spans="1:23" x14ac:dyDescent="0.25">
      <c r="A197" t="s">
        <v>286</v>
      </c>
      <c r="B197">
        <v>2012</v>
      </c>
      <c r="C197" t="s">
        <v>273</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COUNT(LifeExpectancyData[[#This Row],[Life expectancy]:[Schooling]])=19</f>
        <v>1</v>
      </c>
    </row>
    <row r="198" spans="1:23" x14ac:dyDescent="0.25">
      <c r="A198" t="s">
        <v>286</v>
      </c>
      <c r="B198">
        <v>2011</v>
      </c>
      <c r="C198" t="s">
        <v>273</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COUNT(LifeExpectancyData[[#This Row],[Life expectancy]:[Schooling]])=19</f>
        <v>1</v>
      </c>
    </row>
    <row r="199" spans="1:23" x14ac:dyDescent="0.25">
      <c r="A199" t="s">
        <v>286</v>
      </c>
      <c r="B199">
        <v>2010</v>
      </c>
      <c r="C199" t="s">
        <v>273</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COUNT(LifeExpectancyData[[#This Row],[Life expectancy]:[Schooling]])=19</f>
        <v>1</v>
      </c>
    </row>
    <row r="200" spans="1:23" x14ac:dyDescent="0.25">
      <c r="A200" t="s">
        <v>286</v>
      </c>
      <c r="B200">
        <v>2009</v>
      </c>
      <c r="C200" t="s">
        <v>273</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COUNT(LifeExpectancyData[[#This Row],[Life expectancy]:[Schooling]])=19</f>
        <v>1</v>
      </c>
    </row>
    <row r="201" spans="1:23" x14ac:dyDescent="0.25">
      <c r="A201" t="s">
        <v>286</v>
      </c>
      <c r="B201">
        <v>2008</v>
      </c>
      <c r="C201" t="s">
        <v>273</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COUNT(LifeExpectancyData[[#This Row],[Life expectancy]:[Schooling]])=19</f>
        <v>1</v>
      </c>
    </row>
    <row r="202" spans="1:23" x14ac:dyDescent="0.25">
      <c r="A202" t="s">
        <v>286</v>
      </c>
      <c r="B202">
        <v>2007</v>
      </c>
      <c r="C202" t="s">
        <v>273</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COUNT(LifeExpectancyData[[#This Row],[Life expectancy]:[Schooling]])=19</f>
        <v>1</v>
      </c>
    </row>
    <row r="203" spans="1:23" x14ac:dyDescent="0.25">
      <c r="A203" t="s">
        <v>286</v>
      </c>
      <c r="B203">
        <v>2006</v>
      </c>
      <c r="C203" t="s">
        <v>273</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COUNT(LifeExpectancyData[[#This Row],[Life expectancy]:[Schooling]])=19</f>
        <v>1</v>
      </c>
    </row>
    <row r="204" spans="1:23" x14ac:dyDescent="0.25">
      <c r="A204" t="s">
        <v>286</v>
      </c>
      <c r="B204">
        <v>2005</v>
      </c>
      <c r="C204" t="s">
        <v>273</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COUNT(LifeExpectancyData[[#This Row],[Life expectancy]:[Schooling]])=19</f>
        <v>1</v>
      </c>
    </row>
    <row r="205" spans="1:23" x14ac:dyDescent="0.25">
      <c r="A205" t="s">
        <v>286</v>
      </c>
      <c r="B205">
        <v>2004</v>
      </c>
      <c r="C205" t="s">
        <v>273</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COUNT(LifeExpectancyData[[#This Row],[Life expectancy]:[Schooling]])=19</f>
        <v>1</v>
      </c>
    </row>
    <row r="206" spans="1:23" x14ac:dyDescent="0.25">
      <c r="A206" t="s">
        <v>286</v>
      </c>
      <c r="B206">
        <v>2003</v>
      </c>
      <c r="C206" t="s">
        <v>273</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COUNT(LifeExpectancyData[[#This Row],[Life expectancy]:[Schooling]])=19</f>
        <v>1</v>
      </c>
    </row>
    <row r="207" spans="1:23" x14ac:dyDescent="0.25">
      <c r="A207" t="s">
        <v>286</v>
      </c>
      <c r="B207">
        <v>2002</v>
      </c>
      <c r="C207" t="s">
        <v>273</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COUNT(LifeExpectancyData[[#This Row],[Life expectancy]:[Schooling]])=19</f>
        <v>0</v>
      </c>
    </row>
    <row r="208" spans="1:23" x14ac:dyDescent="0.25">
      <c r="A208" t="s">
        <v>286</v>
      </c>
      <c r="B208">
        <v>2001</v>
      </c>
      <c r="C208" t="s">
        <v>273</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COUNT(LifeExpectancyData[[#This Row],[Life expectancy]:[Schooling]])=19</f>
        <v>0</v>
      </c>
    </row>
    <row r="209" spans="1:23" x14ac:dyDescent="0.25">
      <c r="A209" t="s">
        <v>286</v>
      </c>
      <c r="B209">
        <v>2000</v>
      </c>
      <c r="C209" t="s">
        <v>273</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COUNT(LifeExpectancyData[[#This Row],[Life expectancy]:[Schooling]])=19</f>
        <v>0</v>
      </c>
    </row>
    <row r="210" spans="1:23" x14ac:dyDescent="0.25">
      <c r="A210" t="s">
        <v>287</v>
      </c>
      <c r="B210">
        <v>2015</v>
      </c>
      <c r="C210" t="s">
        <v>273</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COUNT(LifeExpectancyData[[#This Row],[Life expectancy]:[Schooling]])=19</f>
        <v>0</v>
      </c>
    </row>
    <row r="211" spans="1:23" x14ac:dyDescent="0.25">
      <c r="A211" t="s">
        <v>287</v>
      </c>
      <c r="B211">
        <v>2014</v>
      </c>
      <c r="C211" t="s">
        <v>273</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COUNT(LifeExpectancyData[[#This Row],[Life expectancy]:[Schooling]])=19</f>
        <v>0</v>
      </c>
    </row>
    <row r="212" spans="1:23" x14ac:dyDescent="0.25">
      <c r="A212" t="s">
        <v>287</v>
      </c>
      <c r="B212">
        <v>2013</v>
      </c>
      <c r="C212" t="s">
        <v>273</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COUNT(LifeExpectancyData[[#This Row],[Life expectancy]:[Schooling]])=19</f>
        <v>0</v>
      </c>
    </row>
    <row r="213" spans="1:23" x14ac:dyDescent="0.25">
      <c r="A213" t="s">
        <v>287</v>
      </c>
      <c r="B213">
        <v>2012</v>
      </c>
      <c r="C213" t="s">
        <v>273</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COUNT(LifeExpectancyData[[#This Row],[Life expectancy]:[Schooling]])=19</f>
        <v>0</v>
      </c>
    </row>
    <row r="214" spans="1:23" x14ac:dyDescent="0.25">
      <c r="A214" t="s">
        <v>287</v>
      </c>
      <c r="B214">
        <v>2011</v>
      </c>
      <c r="C214" t="s">
        <v>273</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COUNT(LifeExpectancyData[[#This Row],[Life expectancy]:[Schooling]])=19</f>
        <v>0</v>
      </c>
    </row>
    <row r="215" spans="1:23" x14ac:dyDescent="0.25">
      <c r="A215" t="s">
        <v>287</v>
      </c>
      <c r="B215">
        <v>2010</v>
      </c>
      <c r="C215" t="s">
        <v>273</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COUNT(LifeExpectancyData[[#This Row],[Life expectancy]:[Schooling]])=19</f>
        <v>0</v>
      </c>
    </row>
    <row r="216" spans="1:23" x14ac:dyDescent="0.25">
      <c r="A216" t="s">
        <v>287</v>
      </c>
      <c r="B216">
        <v>2009</v>
      </c>
      <c r="C216" t="s">
        <v>273</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COUNT(LifeExpectancyData[[#This Row],[Life expectancy]:[Schooling]])=19</f>
        <v>0</v>
      </c>
    </row>
    <row r="217" spans="1:23" x14ac:dyDescent="0.25">
      <c r="A217" t="s">
        <v>287</v>
      </c>
      <c r="B217">
        <v>2008</v>
      </c>
      <c r="C217" t="s">
        <v>273</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COUNT(LifeExpectancyData[[#This Row],[Life expectancy]:[Schooling]])=19</f>
        <v>0</v>
      </c>
    </row>
    <row r="218" spans="1:23" x14ac:dyDescent="0.25">
      <c r="A218" t="s">
        <v>287</v>
      </c>
      <c r="B218">
        <v>2007</v>
      </c>
      <c r="C218" t="s">
        <v>273</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COUNT(LifeExpectancyData[[#This Row],[Life expectancy]:[Schooling]])=19</f>
        <v>0</v>
      </c>
    </row>
    <row r="219" spans="1:23" x14ac:dyDescent="0.25">
      <c r="A219" t="s">
        <v>287</v>
      </c>
      <c r="B219">
        <v>2006</v>
      </c>
      <c r="C219" t="s">
        <v>273</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COUNT(LifeExpectancyData[[#This Row],[Life expectancy]:[Schooling]])=19</f>
        <v>0</v>
      </c>
    </row>
    <row r="220" spans="1:23" x14ac:dyDescent="0.25">
      <c r="A220" t="s">
        <v>287</v>
      </c>
      <c r="B220">
        <v>2005</v>
      </c>
      <c r="C220" t="s">
        <v>273</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COUNT(LifeExpectancyData[[#This Row],[Life expectancy]:[Schooling]])=19</f>
        <v>0</v>
      </c>
    </row>
    <row r="221" spans="1:23" x14ac:dyDescent="0.25">
      <c r="A221" t="s">
        <v>287</v>
      </c>
      <c r="B221">
        <v>2004</v>
      </c>
      <c r="C221" t="s">
        <v>273</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COUNT(LifeExpectancyData[[#This Row],[Life expectancy]:[Schooling]])=19</f>
        <v>0</v>
      </c>
    </row>
    <row r="222" spans="1:23" x14ac:dyDescent="0.25">
      <c r="A222" t="s">
        <v>287</v>
      </c>
      <c r="B222">
        <v>2003</v>
      </c>
      <c r="C222" t="s">
        <v>273</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COUNT(LifeExpectancyData[[#This Row],[Life expectancy]:[Schooling]])=19</f>
        <v>0</v>
      </c>
    </row>
    <row r="223" spans="1:23" x14ac:dyDescent="0.25">
      <c r="A223" t="s">
        <v>287</v>
      </c>
      <c r="B223">
        <v>2002</v>
      </c>
      <c r="C223" t="s">
        <v>273</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COUNT(LifeExpectancyData[[#This Row],[Life expectancy]:[Schooling]])=19</f>
        <v>0</v>
      </c>
    </row>
    <row r="224" spans="1:23" x14ac:dyDescent="0.25">
      <c r="A224" t="s">
        <v>287</v>
      </c>
      <c r="B224">
        <v>2001</v>
      </c>
      <c r="C224" t="s">
        <v>273</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COUNT(LifeExpectancyData[[#This Row],[Life expectancy]:[Schooling]])=19</f>
        <v>0</v>
      </c>
    </row>
    <row r="225" spans="1:23" x14ac:dyDescent="0.25">
      <c r="A225" t="s">
        <v>287</v>
      </c>
      <c r="B225">
        <v>2000</v>
      </c>
      <c r="C225" t="s">
        <v>273</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COUNT(LifeExpectancyData[[#This Row],[Life expectancy]:[Schooling]])=19</f>
        <v>0</v>
      </c>
    </row>
    <row r="226" spans="1:23" x14ac:dyDescent="0.25">
      <c r="A226" t="s">
        <v>288</v>
      </c>
      <c r="B226">
        <v>2015</v>
      </c>
      <c r="C226" t="s">
        <v>273</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COUNT(LifeExpectancyData[[#This Row],[Life expectancy]:[Schooling]])=19</f>
        <v>0</v>
      </c>
    </row>
    <row r="227" spans="1:23" x14ac:dyDescent="0.25">
      <c r="A227" t="s">
        <v>288</v>
      </c>
      <c r="B227">
        <v>2014</v>
      </c>
      <c r="C227" t="s">
        <v>273</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COUNT(LifeExpectancyData[[#This Row],[Life expectancy]:[Schooling]])=19</f>
        <v>1</v>
      </c>
    </row>
    <row r="228" spans="1:23" x14ac:dyDescent="0.25">
      <c r="A228" t="s">
        <v>288</v>
      </c>
      <c r="B228">
        <v>2013</v>
      </c>
      <c r="C228" t="s">
        <v>273</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COUNT(LifeExpectancyData[[#This Row],[Life expectancy]:[Schooling]])=19</f>
        <v>1</v>
      </c>
    </row>
    <row r="229" spans="1:23" x14ac:dyDescent="0.25">
      <c r="A229" t="s">
        <v>288</v>
      </c>
      <c r="B229">
        <v>2012</v>
      </c>
      <c r="C229" t="s">
        <v>273</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COUNT(LifeExpectancyData[[#This Row],[Life expectancy]:[Schooling]])=19</f>
        <v>1</v>
      </c>
    </row>
    <row r="230" spans="1:23" x14ac:dyDescent="0.25">
      <c r="A230" t="s">
        <v>288</v>
      </c>
      <c r="B230">
        <v>2011</v>
      </c>
      <c r="C230" t="s">
        <v>273</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COUNT(LifeExpectancyData[[#This Row],[Life expectancy]:[Schooling]])=19</f>
        <v>1</v>
      </c>
    </row>
    <row r="231" spans="1:23" x14ac:dyDescent="0.25">
      <c r="A231" t="s">
        <v>288</v>
      </c>
      <c r="B231">
        <v>2010</v>
      </c>
      <c r="C231" t="s">
        <v>273</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COUNT(LifeExpectancyData[[#This Row],[Life expectancy]:[Schooling]])=19</f>
        <v>1</v>
      </c>
    </row>
    <row r="232" spans="1:23" x14ac:dyDescent="0.25">
      <c r="A232" t="s">
        <v>288</v>
      </c>
      <c r="B232">
        <v>2009</v>
      </c>
      <c r="C232" t="s">
        <v>273</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COUNT(LifeExpectancyData[[#This Row],[Life expectancy]:[Schooling]])=19</f>
        <v>1</v>
      </c>
    </row>
    <row r="233" spans="1:23" x14ac:dyDescent="0.25">
      <c r="A233" t="s">
        <v>288</v>
      </c>
      <c r="B233">
        <v>2008</v>
      </c>
      <c r="C233" t="s">
        <v>273</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COUNT(LifeExpectancyData[[#This Row],[Life expectancy]:[Schooling]])=19</f>
        <v>1</v>
      </c>
    </row>
    <row r="234" spans="1:23" x14ac:dyDescent="0.25">
      <c r="A234" t="s">
        <v>288</v>
      </c>
      <c r="B234">
        <v>2007</v>
      </c>
      <c r="C234" t="s">
        <v>273</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COUNT(LifeExpectancyData[[#This Row],[Life expectancy]:[Schooling]])=19</f>
        <v>1</v>
      </c>
    </row>
    <row r="235" spans="1:23" x14ac:dyDescent="0.25">
      <c r="A235" t="s">
        <v>288</v>
      </c>
      <c r="B235">
        <v>2006</v>
      </c>
      <c r="C235" t="s">
        <v>273</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COUNT(LifeExpectancyData[[#This Row],[Life expectancy]:[Schooling]])=19</f>
        <v>1</v>
      </c>
    </row>
    <row r="236" spans="1:23" x14ac:dyDescent="0.25">
      <c r="A236" t="s">
        <v>288</v>
      </c>
      <c r="B236">
        <v>2005</v>
      </c>
      <c r="C236" t="s">
        <v>273</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COUNT(LifeExpectancyData[[#This Row],[Life expectancy]:[Schooling]])=19</f>
        <v>1</v>
      </c>
    </row>
    <row r="237" spans="1:23" x14ac:dyDescent="0.25">
      <c r="A237" t="s">
        <v>288</v>
      </c>
      <c r="B237">
        <v>2004</v>
      </c>
      <c r="C237" t="s">
        <v>273</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COUNT(LifeExpectancyData[[#This Row],[Life expectancy]:[Schooling]])=19</f>
        <v>1</v>
      </c>
    </row>
    <row r="238" spans="1:23" x14ac:dyDescent="0.25">
      <c r="A238" t="s">
        <v>288</v>
      </c>
      <c r="B238">
        <v>2003</v>
      </c>
      <c r="C238" t="s">
        <v>273</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COUNT(LifeExpectancyData[[#This Row],[Life expectancy]:[Schooling]])=19</f>
        <v>1</v>
      </c>
    </row>
    <row r="239" spans="1:23" x14ac:dyDescent="0.25">
      <c r="A239" t="s">
        <v>288</v>
      </c>
      <c r="B239">
        <v>2002</v>
      </c>
      <c r="C239" t="s">
        <v>273</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COUNT(LifeExpectancyData[[#This Row],[Life expectancy]:[Schooling]])=19</f>
        <v>1</v>
      </c>
    </row>
    <row r="240" spans="1:23" x14ac:dyDescent="0.25">
      <c r="A240" t="s">
        <v>288</v>
      </c>
      <c r="B240">
        <v>2001</v>
      </c>
      <c r="C240" t="s">
        <v>273</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COUNT(LifeExpectancyData[[#This Row],[Life expectancy]:[Schooling]])=19</f>
        <v>1</v>
      </c>
    </row>
    <row r="241" spans="1:23" x14ac:dyDescent="0.25">
      <c r="A241" t="s">
        <v>288</v>
      </c>
      <c r="B241">
        <v>2000</v>
      </c>
      <c r="C241" t="s">
        <v>273</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COUNT(LifeExpectancyData[[#This Row],[Life expectancy]:[Schooling]])=19</f>
        <v>1</v>
      </c>
    </row>
    <row r="242" spans="1:23" x14ac:dyDescent="0.25">
      <c r="A242" t="s">
        <v>289</v>
      </c>
      <c r="B242">
        <v>2015</v>
      </c>
      <c r="C242" t="s">
        <v>281</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COUNT(LifeExpectancyData[[#This Row],[Life expectancy]:[Schooling]])=19</f>
        <v>0</v>
      </c>
    </row>
    <row r="243" spans="1:23" x14ac:dyDescent="0.25">
      <c r="A243" t="s">
        <v>289</v>
      </c>
      <c r="B243">
        <v>2014</v>
      </c>
      <c r="C243" t="s">
        <v>281</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COUNT(LifeExpectancyData[[#This Row],[Life expectancy]:[Schooling]])=19</f>
        <v>1</v>
      </c>
    </row>
    <row r="244" spans="1:23" x14ac:dyDescent="0.25">
      <c r="A244" t="s">
        <v>289</v>
      </c>
      <c r="B244">
        <v>2013</v>
      </c>
      <c r="C244" t="s">
        <v>281</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COUNT(LifeExpectancyData[[#This Row],[Life expectancy]:[Schooling]])=19</f>
        <v>1</v>
      </c>
    </row>
    <row r="245" spans="1:23" x14ac:dyDescent="0.25">
      <c r="A245" t="s">
        <v>289</v>
      </c>
      <c r="B245">
        <v>2012</v>
      </c>
      <c r="C245" t="s">
        <v>281</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COUNT(LifeExpectancyData[[#This Row],[Life expectancy]:[Schooling]])=19</f>
        <v>1</v>
      </c>
    </row>
    <row r="246" spans="1:23" x14ac:dyDescent="0.25">
      <c r="A246" t="s">
        <v>289</v>
      </c>
      <c r="B246">
        <v>2011</v>
      </c>
      <c r="C246" t="s">
        <v>281</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COUNT(LifeExpectancyData[[#This Row],[Life expectancy]:[Schooling]])=19</f>
        <v>1</v>
      </c>
    </row>
    <row r="247" spans="1:23" x14ac:dyDescent="0.25">
      <c r="A247" t="s">
        <v>289</v>
      </c>
      <c r="B247">
        <v>2010</v>
      </c>
      <c r="C247" t="s">
        <v>281</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COUNT(LifeExpectancyData[[#This Row],[Life expectancy]:[Schooling]])=19</f>
        <v>1</v>
      </c>
    </row>
    <row r="248" spans="1:23" x14ac:dyDescent="0.25">
      <c r="A248" t="s">
        <v>289</v>
      </c>
      <c r="B248">
        <v>2009</v>
      </c>
      <c r="C248" t="s">
        <v>281</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COUNT(LifeExpectancyData[[#This Row],[Life expectancy]:[Schooling]])=19</f>
        <v>1</v>
      </c>
    </row>
    <row r="249" spans="1:23" x14ac:dyDescent="0.25">
      <c r="A249" t="s">
        <v>289</v>
      </c>
      <c r="B249">
        <v>2008</v>
      </c>
      <c r="C249" t="s">
        <v>281</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COUNT(LifeExpectancyData[[#This Row],[Life expectancy]:[Schooling]])=19</f>
        <v>1</v>
      </c>
    </row>
    <row r="250" spans="1:23" x14ac:dyDescent="0.25">
      <c r="A250" t="s">
        <v>289</v>
      </c>
      <c r="B250">
        <v>2007</v>
      </c>
      <c r="C250" t="s">
        <v>281</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COUNT(LifeExpectancyData[[#This Row],[Life expectancy]:[Schooling]])=19</f>
        <v>1</v>
      </c>
    </row>
    <row r="251" spans="1:23" x14ac:dyDescent="0.25">
      <c r="A251" t="s">
        <v>289</v>
      </c>
      <c r="B251">
        <v>2006</v>
      </c>
      <c r="C251" t="s">
        <v>281</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COUNT(LifeExpectancyData[[#This Row],[Life expectancy]:[Schooling]])=19</f>
        <v>1</v>
      </c>
    </row>
    <row r="252" spans="1:23" x14ac:dyDescent="0.25">
      <c r="A252" t="s">
        <v>289</v>
      </c>
      <c r="B252">
        <v>2005</v>
      </c>
      <c r="C252" t="s">
        <v>281</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COUNT(LifeExpectancyData[[#This Row],[Life expectancy]:[Schooling]])=19</f>
        <v>1</v>
      </c>
    </row>
    <row r="253" spans="1:23" x14ac:dyDescent="0.25">
      <c r="A253" t="s">
        <v>289</v>
      </c>
      <c r="B253">
        <v>2004</v>
      </c>
      <c r="C253" t="s">
        <v>281</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COUNT(LifeExpectancyData[[#This Row],[Life expectancy]:[Schooling]])=19</f>
        <v>1</v>
      </c>
    </row>
    <row r="254" spans="1:23" x14ac:dyDescent="0.25">
      <c r="A254" t="s">
        <v>289</v>
      </c>
      <c r="B254">
        <v>2003</v>
      </c>
      <c r="C254" t="s">
        <v>281</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COUNT(LifeExpectancyData[[#This Row],[Life expectancy]:[Schooling]])=19</f>
        <v>1</v>
      </c>
    </row>
    <row r="255" spans="1:23" x14ac:dyDescent="0.25">
      <c r="A255" t="s">
        <v>289</v>
      </c>
      <c r="B255">
        <v>2002</v>
      </c>
      <c r="C255" t="s">
        <v>281</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COUNT(LifeExpectancyData[[#This Row],[Life expectancy]:[Schooling]])=19</f>
        <v>1</v>
      </c>
    </row>
    <row r="256" spans="1:23" x14ac:dyDescent="0.25">
      <c r="A256" t="s">
        <v>289</v>
      </c>
      <c r="B256">
        <v>2001</v>
      </c>
      <c r="C256" t="s">
        <v>281</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COUNT(LifeExpectancyData[[#This Row],[Life expectancy]:[Schooling]])=19</f>
        <v>1</v>
      </c>
    </row>
    <row r="257" spans="1:23" x14ac:dyDescent="0.25">
      <c r="A257" t="s">
        <v>289</v>
      </c>
      <c r="B257">
        <v>2000</v>
      </c>
      <c r="C257" t="s">
        <v>281</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COUNT(LifeExpectancyData[[#This Row],[Life expectancy]:[Schooling]])=19</f>
        <v>1</v>
      </c>
    </row>
    <row r="258" spans="1:23" x14ac:dyDescent="0.25">
      <c r="A258" t="s">
        <v>290</v>
      </c>
      <c r="B258">
        <v>2015</v>
      </c>
      <c r="C258" t="s">
        <v>273</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COUNT(LifeExpectancyData[[#This Row],[Life expectancy]:[Schooling]])=19</f>
        <v>0</v>
      </c>
    </row>
    <row r="259" spans="1:23" x14ac:dyDescent="0.25">
      <c r="A259" t="s">
        <v>290</v>
      </c>
      <c r="B259">
        <v>2014</v>
      </c>
      <c r="C259" t="s">
        <v>273</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COUNT(LifeExpectancyData[[#This Row],[Life expectancy]:[Schooling]])=19</f>
        <v>1</v>
      </c>
    </row>
    <row r="260" spans="1:23" x14ac:dyDescent="0.25">
      <c r="A260" t="s">
        <v>290</v>
      </c>
      <c r="B260">
        <v>2013</v>
      </c>
      <c r="C260" t="s">
        <v>273</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COUNT(LifeExpectancyData[[#This Row],[Life expectancy]:[Schooling]])=19</f>
        <v>1</v>
      </c>
    </row>
    <row r="261" spans="1:23" x14ac:dyDescent="0.25">
      <c r="A261" t="s">
        <v>290</v>
      </c>
      <c r="B261">
        <v>2012</v>
      </c>
      <c r="C261" t="s">
        <v>273</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COUNT(LifeExpectancyData[[#This Row],[Life expectancy]:[Schooling]])=19</f>
        <v>1</v>
      </c>
    </row>
    <row r="262" spans="1:23" x14ac:dyDescent="0.25">
      <c r="A262" t="s">
        <v>290</v>
      </c>
      <c r="B262">
        <v>2011</v>
      </c>
      <c r="C262" t="s">
        <v>273</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COUNT(LifeExpectancyData[[#This Row],[Life expectancy]:[Schooling]])=19</f>
        <v>1</v>
      </c>
    </row>
    <row r="263" spans="1:23" x14ac:dyDescent="0.25">
      <c r="A263" t="s">
        <v>290</v>
      </c>
      <c r="B263">
        <v>2010</v>
      </c>
      <c r="C263" t="s">
        <v>273</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COUNT(LifeExpectancyData[[#This Row],[Life expectancy]:[Schooling]])=19</f>
        <v>1</v>
      </c>
    </row>
    <row r="264" spans="1:23" x14ac:dyDescent="0.25">
      <c r="A264" t="s">
        <v>290</v>
      </c>
      <c r="B264">
        <v>2009</v>
      </c>
      <c r="C264" t="s">
        <v>273</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COUNT(LifeExpectancyData[[#This Row],[Life expectancy]:[Schooling]])=19</f>
        <v>1</v>
      </c>
    </row>
    <row r="265" spans="1:23" x14ac:dyDescent="0.25">
      <c r="A265" t="s">
        <v>290</v>
      </c>
      <c r="B265">
        <v>2008</v>
      </c>
      <c r="C265" t="s">
        <v>273</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COUNT(LifeExpectancyData[[#This Row],[Life expectancy]:[Schooling]])=19</f>
        <v>1</v>
      </c>
    </row>
    <row r="266" spans="1:23" x14ac:dyDescent="0.25">
      <c r="A266" t="s">
        <v>290</v>
      </c>
      <c r="B266">
        <v>2007</v>
      </c>
      <c r="C266" t="s">
        <v>273</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COUNT(LifeExpectancyData[[#This Row],[Life expectancy]:[Schooling]])=19</f>
        <v>1</v>
      </c>
    </row>
    <row r="267" spans="1:23" x14ac:dyDescent="0.25">
      <c r="A267" t="s">
        <v>290</v>
      </c>
      <c r="B267">
        <v>2006</v>
      </c>
      <c r="C267" t="s">
        <v>273</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COUNT(LifeExpectancyData[[#This Row],[Life expectancy]:[Schooling]])=19</f>
        <v>1</v>
      </c>
    </row>
    <row r="268" spans="1:23" x14ac:dyDescent="0.25">
      <c r="A268" t="s">
        <v>290</v>
      </c>
      <c r="B268">
        <v>2005</v>
      </c>
      <c r="C268" t="s">
        <v>273</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COUNT(LifeExpectancyData[[#This Row],[Life expectancy]:[Schooling]])=19</f>
        <v>1</v>
      </c>
    </row>
    <row r="269" spans="1:23" x14ac:dyDescent="0.25">
      <c r="A269" t="s">
        <v>290</v>
      </c>
      <c r="B269">
        <v>2004</v>
      </c>
      <c r="C269" t="s">
        <v>273</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COUNT(LifeExpectancyData[[#This Row],[Life expectancy]:[Schooling]])=19</f>
        <v>1</v>
      </c>
    </row>
    <row r="270" spans="1:23" x14ac:dyDescent="0.25">
      <c r="A270" t="s">
        <v>290</v>
      </c>
      <c r="B270">
        <v>2003</v>
      </c>
      <c r="C270" t="s">
        <v>273</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COUNT(LifeExpectancyData[[#This Row],[Life expectancy]:[Schooling]])=19</f>
        <v>1</v>
      </c>
    </row>
    <row r="271" spans="1:23" x14ac:dyDescent="0.25">
      <c r="A271" t="s">
        <v>290</v>
      </c>
      <c r="B271">
        <v>2002</v>
      </c>
      <c r="C271" t="s">
        <v>273</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COUNT(LifeExpectancyData[[#This Row],[Life expectancy]:[Schooling]])=19</f>
        <v>1</v>
      </c>
    </row>
    <row r="272" spans="1:23" x14ac:dyDescent="0.25">
      <c r="A272" t="s">
        <v>290</v>
      </c>
      <c r="B272">
        <v>2001</v>
      </c>
      <c r="C272" t="s">
        <v>273</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COUNT(LifeExpectancyData[[#This Row],[Life expectancy]:[Schooling]])=19</f>
        <v>1</v>
      </c>
    </row>
    <row r="273" spans="1:23" x14ac:dyDescent="0.25">
      <c r="A273" t="s">
        <v>290</v>
      </c>
      <c r="B273">
        <v>2000</v>
      </c>
      <c r="C273" t="s">
        <v>273</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COUNT(LifeExpectancyData[[#This Row],[Life expectancy]:[Schooling]])=19</f>
        <v>1</v>
      </c>
    </row>
    <row r="274" spans="1:23" x14ac:dyDescent="0.25">
      <c r="A274" t="s">
        <v>291</v>
      </c>
      <c r="B274">
        <v>2015</v>
      </c>
      <c r="C274" t="s">
        <v>273</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COUNT(LifeExpectancyData[[#This Row],[Life expectancy]:[Schooling]])=19</f>
        <v>0</v>
      </c>
    </row>
    <row r="275" spans="1:23" x14ac:dyDescent="0.25">
      <c r="A275" t="s">
        <v>291</v>
      </c>
      <c r="B275">
        <v>2014</v>
      </c>
      <c r="C275" t="s">
        <v>273</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COUNT(LifeExpectancyData[[#This Row],[Life expectancy]:[Schooling]])=19</f>
        <v>1</v>
      </c>
    </row>
    <row r="276" spans="1:23" x14ac:dyDescent="0.25">
      <c r="A276" t="s">
        <v>291</v>
      </c>
      <c r="B276">
        <v>2013</v>
      </c>
      <c r="C276" t="s">
        <v>273</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COUNT(LifeExpectancyData[[#This Row],[Life expectancy]:[Schooling]])=19</f>
        <v>1</v>
      </c>
    </row>
    <row r="277" spans="1:23" x14ac:dyDescent="0.25">
      <c r="A277" t="s">
        <v>291</v>
      </c>
      <c r="B277">
        <v>2012</v>
      </c>
      <c r="C277" t="s">
        <v>273</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COUNT(LifeExpectancyData[[#This Row],[Life expectancy]:[Schooling]])=19</f>
        <v>1</v>
      </c>
    </row>
    <row r="278" spans="1:23" x14ac:dyDescent="0.25">
      <c r="A278" t="s">
        <v>291</v>
      </c>
      <c r="B278">
        <v>2011</v>
      </c>
      <c r="C278" t="s">
        <v>273</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COUNT(LifeExpectancyData[[#This Row],[Life expectancy]:[Schooling]])=19</f>
        <v>1</v>
      </c>
    </row>
    <row r="279" spans="1:23" x14ac:dyDescent="0.25">
      <c r="A279" t="s">
        <v>291</v>
      </c>
      <c r="B279">
        <v>2010</v>
      </c>
      <c r="C279" t="s">
        <v>273</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COUNT(LifeExpectancyData[[#This Row],[Life expectancy]:[Schooling]])=19</f>
        <v>1</v>
      </c>
    </row>
    <row r="280" spans="1:23" x14ac:dyDescent="0.25">
      <c r="A280" t="s">
        <v>291</v>
      </c>
      <c r="B280">
        <v>2009</v>
      </c>
      <c r="C280" t="s">
        <v>273</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COUNT(LifeExpectancyData[[#This Row],[Life expectancy]:[Schooling]])=19</f>
        <v>1</v>
      </c>
    </row>
    <row r="281" spans="1:23" x14ac:dyDescent="0.25">
      <c r="A281" t="s">
        <v>291</v>
      </c>
      <c r="B281">
        <v>2008</v>
      </c>
      <c r="C281" t="s">
        <v>273</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COUNT(LifeExpectancyData[[#This Row],[Life expectancy]:[Schooling]])=19</f>
        <v>1</v>
      </c>
    </row>
    <row r="282" spans="1:23" x14ac:dyDescent="0.25">
      <c r="A282" t="s">
        <v>291</v>
      </c>
      <c r="B282">
        <v>2007</v>
      </c>
      <c r="C282" t="s">
        <v>273</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COUNT(LifeExpectancyData[[#This Row],[Life expectancy]:[Schooling]])=19</f>
        <v>1</v>
      </c>
    </row>
    <row r="283" spans="1:23" x14ac:dyDescent="0.25">
      <c r="A283" t="s">
        <v>291</v>
      </c>
      <c r="B283">
        <v>2006</v>
      </c>
      <c r="C283" t="s">
        <v>273</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COUNT(LifeExpectancyData[[#This Row],[Life expectancy]:[Schooling]])=19</f>
        <v>1</v>
      </c>
    </row>
    <row r="284" spans="1:23" x14ac:dyDescent="0.25">
      <c r="A284" t="s">
        <v>291</v>
      </c>
      <c r="B284">
        <v>2005</v>
      </c>
      <c r="C284" t="s">
        <v>273</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COUNT(LifeExpectancyData[[#This Row],[Life expectancy]:[Schooling]])=19</f>
        <v>1</v>
      </c>
    </row>
    <row r="285" spans="1:23" x14ac:dyDescent="0.25">
      <c r="A285" t="s">
        <v>291</v>
      </c>
      <c r="B285">
        <v>2004</v>
      </c>
      <c r="C285" t="s">
        <v>273</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COUNT(LifeExpectancyData[[#This Row],[Life expectancy]:[Schooling]])=19</f>
        <v>1</v>
      </c>
    </row>
    <row r="286" spans="1:23" x14ac:dyDescent="0.25">
      <c r="A286" t="s">
        <v>291</v>
      </c>
      <c r="B286">
        <v>2003</v>
      </c>
      <c r="C286" t="s">
        <v>273</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COUNT(LifeExpectancyData[[#This Row],[Life expectancy]:[Schooling]])=19</f>
        <v>1</v>
      </c>
    </row>
    <row r="287" spans="1:23" x14ac:dyDescent="0.25">
      <c r="A287" t="s">
        <v>291</v>
      </c>
      <c r="B287">
        <v>2002</v>
      </c>
      <c r="C287" t="s">
        <v>273</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COUNT(LifeExpectancyData[[#This Row],[Life expectancy]:[Schooling]])=19</f>
        <v>1</v>
      </c>
    </row>
    <row r="288" spans="1:23" x14ac:dyDescent="0.25">
      <c r="A288" t="s">
        <v>291</v>
      </c>
      <c r="B288">
        <v>2001</v>
      </c>
      <c r="C288" t="s">
        <v>273</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COUNT(LifeExpectancyData[[#This Row],[Life expectancy]:[Schooling]])=19</f>
        <v>0</v>
      </c>
    </row>
    <row r="289" spans="1:23" x14ac:dyDescent="0.25">
      <c r="A289" t="s">
        <v>291</v>
      </c>
      <c r="B289">
        <v>2000</v>
      </c>
      <c r="C289" t="s">
        <v>273</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COUNT(LifeExpectancyData[[#This Row],[Life expectancy]:[Schooling]])=19</f>
        <v>0</v>
      </c>
    </row>
    <row r="290" spans="1:23" x14ac:dyDescent="0.25">
      <c r="A290" t="s">
        <v>292</v>
      </c>
      <c r="B290">
        <v>2015</v>
      </c>
      <c r="C290" t="s">
        <v>273</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COUNT(LifeExpectancyData[[#This Row],[Life expectancy]:[Schooling]])=19</f>
        <v>0</v>
      </c>
    </row>
    <row r="291" spans="1:23" x14ac:dyDescent="0.25">
      <c r="A291" t="s">
        <v>292</v>
      </c>
      <c r="B291">
        <v>2014</v>
      </c>
      <c r="C291" t="s">
        <v>273</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COUNT(LifeExpectancyData[[#This Row],[Life expectancy]:[Schooling]])=19</f>
        <v>1</v>
      </c>
    </row>
    <row r="292" spans="1:23" x14ac:dyDescent="0.25">
      <c r="A292" t="s">
        <v>292</v>
      </c>
      <c r="B292">
        <v>2013</v>
      </c>
      <c r="C292" t="s">
        <v>273</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COUNT(LifeExpectancyData[[#This Row],[Life expectancy]:[Schooling]])=19</f>
        <v>1</v>
      </c>
    </row>
    <row r="293" spans="1:23" x14ac:dyDescent="0.25">
      <c r="A293" t="s">
        <v>292</v>
      </c>
      <c r="B293">
        <v>2012</v>
      </c>
      <c r="C293" t="s">
        <v>273</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COUNT(LifeExpectancyData[[#This Row],[Life expectancy]:[Schooling]])=19</f>
        <v>1</v>
      </c>
    </row>
    <row r="294" spans="1:23" x14ac:dyDescent="0.25">
      <c r="A294" t="s">
        <v>292</v>
      </c>
      <c r="B294">
        <v>2011</v>
      </c>
      <c r="C294" t="s">
        <v>273</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COUNT(LifeExpectancyData[[#This Row],[Life expectancy]:[Schooling]])=19</f>
        <v>1</v>
      </c>
    </row>
    <row r="295" spans="1:23" x14ac:dyDescent="0.25">
      <c r="A295" t="s">
        <v>292</v>
      </c>
      <c r="B295">
        <v>2010</v>
      </c>
      <c r="C295" t="s">
        <v>273</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COUNT(LifeExpectancyData[[#This Row],[Life expectancy]:[Schooling]])=19</f>
        <v>1</v>
      </c>
    </row>
    <row r="296" spans="1:23" x14ac:dyDescent="0.25">
      <c r="A296" t="s">
        <v>292</v>
      </c>
      <c r="B296">
        <v>2009</v>
      </c>
      <c r="C296" t="s">
        <v>273</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COUNT(LifeExpectancyData[[#This Row],[Life expectancy]:[Schooling]])=19</f>
        <v>1</v>
      </c>
    </row>
    <row r="297" spans="1:23" x14ac:dyDescent="0.25">
      <c r="A297" t="s">
        <v>292</v>
      </c>
      <c r="B297">
        <v>2008</v>
      </c>
      <c r="C297" t="s">
        <v>273</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COUNT(LifeExpectancyData[[#This Row],[Life expectancy]:[Schooling]])=19</f>
        <v>1</v>
      </c>
    </row>
    <row r="298" spans="1:23" x14ac:dyDescent="0.25">
      <c r="A298" t="s">
        <v>292</v>
      </c>
      <c r="B298">
        <v>2007</v>
      </c>
      <c r="C298" t="s">
        <v>273</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COUNT(LifeExpectancyData[[#This Row],[Life expectancy]:[Schooling]])=19</f>
        <v>1</v>
      </c>
    </row>
    <row r="299" spans="1:23" x14ac:dyDescent="0.25">
      <c r="A299" t="s">
        <v>292</v>
      </c>
      <c r="B299">
        <v>2006</v>
      </c>
      <c r="C299" t="s">
        <v>273</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COUNT(LifeExpectancyData[[#This Row],[Life expectancy]:[Schooling]])=19</f>
        <v>1</v>
      </c>
    </row>
    <row r="300" spans="1:23" x14ac:dyDescent="0.25">
      <c r="A300" t="s">
        <v>292</v>
      </c>
      <c r="B300">
        <v>2005</v>
      </c>
      <c r="C300" t="s">
        <v>273</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COUNT(LifeExpectancyData[[#This Row],[Life expectancy]:[Schooling]])=19</f>
        <v>1</v>
      </c>
    </row>
    <row r="301" spans="1:23" x14ac:dyDescent="0.25">
      <c r="A301" t="s">
        <v>292</v>
      </c>
      <c r="B301">
        <v>2004</v>
      </c>
      <c r="C301" t="s">
        <v>273</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COUNT(LifeExpectancyData[[#This Row],[Life expectancy]:[Schooling]])=19</f>
        <v>1</v>
      </c>
    </row>
    <row r="302" spans="1:23" x14ac:dyDescent="0.25">
      <c r="A302" t="s">
        <v>292</v>
      </c>
      <c r="B302">
        <v>2003</v>
      </c>
      <c r="C302" t="s">
        <v>273</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COUNT(LifeExpectancyData[[#This Row],[Life expectancy]:[Schooling]])=19</f>
        <v>1</v>
      </c>
    </row>
    <row r="303" spans="1:23" x14ac:dyDescent="0.25">
      <c r="A303" t="s">
        <v>292</v>
      </c>
      <c r="B303">
        <v>2002</v>
      </c>
      <c r="C303" t="s">
        <v>273</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COUNT(LifeExpectancyData[[#This Row],[Life expectancy]:[Schooling]])=19</f>
        <v>1</v>
      </c>
    </row>
    <row r="304" spans="1:23" x14ac:dyDescent="0.25">
      <c r="A304" t="s">
        <v>292</v>
      </c>
      <c r="B304">
        <v>2001</v>
      </c>
      <c r="C304" t="s">
        <v>273</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COUNT(LifeExpectancyData[[#This Row],[Life expectancy]:[Schooling]])=19</f>
        <v>1</v>
      </c>
    </row>
    <row r="305" spans="1:23" x14ac:dyDescent="0.25">
      <c r="A305" t="s">
        <v>292</v>
      </c>
      <c r="B305">
        <v>2000</v>
      </c>
      <c r="C305" t="s">
        <v>273</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COUNT(LifeExpectancyData[[#This Row],[Life expectancy]:[Schooling]])=19</f>
        <v>1</v>
      </c>
    </row>
    <row r="306" spans="1:23" x14ac:dyDescent="0.25">
      <c r="A306" t="s">
        <v>293</v>
      </c>
      <c r="B306">
        <v>2015</v>
      </c>
      <c r="C306" t="s">
        <v>273</v>
      </c>
      <c r="D306">
        <v>77</v>
      </c>
      <c r="E306">
        <v>186</v>
      </c>
      <c r="F306">
        <v>8</v>
      </c>
      <c r="H306">
        <v>0</v>
      </c>
      <c r="I306">
        <v>99</v>
      </c>
      <c r="J306">
        <v>0</v>
      </c>
      <c r="K306">
        <v>52.6</v>
      </c>
      <c r="L306">
        <v>10</v>
      </c>
      <c r="M306">
        <v>99</v>
      </c>
      <c r="O306">
        <v>99</v>
      </c>
      <c r="P306">
        <v>0.1</v>
      </c>
      <c r="S306">
        <v>1.2</v>
      </c>
      <c r="T306">
        <v>1.1000000000000001</v>
      </c>
      <c r="U306">
        <v>0.67100000000000004</v>
      </c>
      <c r="V306">
        <v>13.8</v>
      </c>
      <c r="W306" t="b">
        <f>COUNT(LifeExpectancyData[[#This Row],[Life expectancy]:[Schooling]])=19</f>
        <v>0</v>
      </c>
    </row>
    <row r="307" spans="1:23" x14ac:dyDescent="0.25">
      <c r="A307" t="s">
        <v>293</v>
      </c>
      <c r="B307">
        <v>2014</v>
      </c>
      <c r="C307" t="s">
        <v>273</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COUNT(LifeExpectancyData[[#This Row],[Life expectancy]:[Schooling]])=19</f>
        <v>0</v>
      </c>
    </row>
    <row r="308" spans="1:23" x14ac:dyDescent="0.25">
      <c r="A308" t="s">
        <v>293</v>
      </c>
      <c r="B308">
        <v>2013</v>
      </c>
      <c r="C308" t="s">
        <v>273</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COUNT(LifeExpectancyData[[#This Row],[Life expectancy]:[Schooling]])=19</f>
        <v>0</v>
      </c>
    </row>
    <row r="309" spans="1:23" x14ac:dyDescent="0.25">
      <c r="A309" t="s">
        <v>293</v>
      </c>
      <c r="B309">
        <v>2012</v>
      </c>
      <c r="C309" t="s">
        <v>273</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COUNT(LifeExpectancyData[[#This Row],[Life expectancy]:[Schooling]])=19</f>
        <v>0</v>
      </c>
    </row>
    <row r="310" spans="1:23" x14ac:dyDescent="0.25">
      <c r="A310" t="s">
        <v>293</v>
      </c>
      <c r="B310">
        <v>2011</v>
      </c>
      <c r="C310" t="s">
        <v>273</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COUNT(LifeExpectancyData[[#This Row],[Life expectancy]:[Schooling]])=19</f>
        <v>0</v>
      </c>
    </row>
    <row r="311" spans="1:23" x14ac:dyDescent="0.25">
      <c r="A311" t="s">
        <v>293</v>
      </c>
      <c r="B311">
        <v>2010</v>
      </c>
      <c r="C311" t="s">
        <v>273</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COUNT(LifeExpectancyData[[#This Row],[Life expectancy]:[Schooling]])=19</f>
        <v>0</v>
      </c>
    </row>
    <row r="312" spans="1:23" x14ac:dyDescent="0.25">
      <c r="A312" t="s">
        <v>293</v>
      </c>
      <c r="B312">
        <v>2009</v>
      </c>
      <c r="C312" t="s">
        <v>273</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COUNT(LifeExpectancyData[[#This Row],[Life expectancy]:[Schooling]])=19</f>
        <v>0</v>
      </c>
    </row>
    <row r="313" spans="1:23" x14ac:dyDescent="0.25">
      <c r="A313" t="s">
        <v>293</v>
      </c>
      <c r="B313">
        <v>2008</v>
      </c>
      <c r="C313" t="s">
        <v>273</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COUNT(LifeExpectancyData[[#This Row],[Life expectancy]:[Schooling]])=19</f>
        <v>0</v>
      </c>
    </row>
    <row r="314" spans="1:23" x14ac:dyDescent="0.25">
      <c r="A314" t="s">
        <v>293</v>
      </c>
      <c r="B314">
        <v>2007</v>
      </c>
      <c r="C314" t="s">
        <v>273</v>
      </c>
      <c r="D314">
        <v>66.8</v>
      </c>
      <c r="E314">
        <v>216</v>
      </c>
      <c r="F314">
        <v>11</v>
      </c>
      <c r="G314">
        <v>3.47</v>
      </c>
      <c r="H314">
        <v>0</v>
      </c>
      <c r="I314">
        <v>84</v>
      </c>
      <c r="J314">
        <v>0</v>
      </c>
      <c r="K314">
        <v>47.3</v>
      </c>
      <c r="L314">
        <v>14</v>
      </c>
      <c r="M314">
        <v>85</v>
      </c>
      <c r="N314">
        <v>4.96</v>
      </c>
      <c r="O314">
        <v>84</v>
      </c>
      <c r="P314">
        <v>0.2</v>
      </c>
      <c r="S314">
        <v>1.3</v>
      </c>
      <c r="T314">
        <v>1.2</v>
      </c>
      <c r="U314">
        <v>0.626</v>
      </c>
      <c r="V314">
        <v>14.1</v>
      </c>
      <c r="W314" t="b">
        <f>COUNT(LifeExpectancyData[[#This Row],[Life expectancy]:[Schooling]])=19</f>
        <v>0</v>
      </c>
    </row>
    <row r="315" spans="1:23" x14ac:dyDescent="0.25">
      <c r="A315" t="s">
        <v>293</v>
      </c>
      <c r="B315">
        <v>2006</v>
      </c>
      <c r="C315" t="s">
        <v>273</v>
      </c>
      <c r="D315">
        <v>66.2</v>
      </c>
      <c r="E315">
        <v>219</v>
      </c>
      <c r="F315">
        <v>11</v>
      </c>
      <c r="G315">
        <v>3.23</v>
      </c>
      <c r="H315">
        <v>0</v>
      </c>
      <c r="I315">
        <v>83</v>
      </c>
      <c r="J315">
        <v>0</v>
      </c>
      <c r="K315">
        <v>46.7</v>
      </c>
      <c r="L315">
        <v>15</v>
      </c>
      <c r="M315">
        <v>82</v>
      </c>
      <c r="N315">
        <v>5.19</v>
      </c>
      <c r="O315">
        <v>83</v>
      </c>
      <c r="P315">
        <v>0.2</v>
      </c>
      <c r="S315">
        <v>1.3</v>
      </c>
      <c r="T315">
        <v>1.2</v>
      </c>
      <c r="U315">
        <v>0.625</v>
      </c>
      <c r="V315">
        <v>14.3</v>
      </c>
      <c r="W315" t="b">
        <f>COUNT(LifeExpectancyData[[#This Row],[Life expectancy]:[Schooling]])=19</f>
        <v>0</v>
      </c>
    </row>
    <row r="316" spans="1:23" x14ac:dyDescent="0.25">
      <c r="A316" t="s">
        <v>293</v>
      </c>
      <c r="B316">
        <v>2005</v>
      </c>
      <c r="C316" t="s">
        <v>273</v>
      </c>
      <c r="D316">
        <v>65.7</v>
      </c>
      <c r="E316">
        <v>222</v>
      </c>
      <c r="F316">
        <v>12</v>
      </c>
      <c r="G316">
        <v>2.86</v>
      </c>
      <c r="H316">
        <v>0</v>
      </c>
      <c r="I316">
        <v>85</v>
      </c>
      <c r="J316">
        <v>0</v>
      </c>
      <c r="K316">
        <v>46</v>
      </c>
      <c r="L316">
        <v>16</v>
      </c>
      <c r="M316">
        <v>84</v>
      </c>
      <c r="N316">
        <v>5.67</v>
      </c>
      <c r="O316">
        <v>85</v>
      </c>
      <c r="P316">
        <v>0.2</v>
      </c>
      <c r="S316">
        <v>1.3</v>
      </c>
      <c r="T316">
        <v>1.2</v>
      </c>
      <c r="U316">
        <v>0.622</v>
      </c>
      <c r="V316">
        <v>14.4</v>
      </c>
      <c r="W316" t="b">
        <f>COUNT(LifeExpectancyData[[#This Row],[Life expectancy]:[Schooling]])=19</f>
        <v>0</v>
      </c>
    </row>
    <row r="317" spans="1:23" x14ac:dyDescent="0.25">
      <c r="A317" t="s">
        <v>293</v>
      </c>
      <c r="B317">
        <v>2004</v>
      </c>
      <c r="C317" t="s">
        <v>273</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COUNT(LifeExpectancyData[[#This Row],[Life expectancy]:[Schooling]])=19</f>
        <v>0</v>
      </c>
    </row>
    <row r="318" spans="1:23" x14ac:dyDescent="0.25">
      <c r="A318" t="s">
        <v>293</v>
      </c>
      <c r="B318">
        <v>2003</v>
      </c>
      <c r="C318" t="s">
        <v>273</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COUNT(LifeExpectancyData[[#This Row],[Life expectancy]:[Schooling]])=19</f>
        <v>0</v>
      </c>
    </row>
    <row r="319" spans="1:23" x14ac:dyDescent="0.25">
      <c r="A319" t="s">
        <v>293</v>
      </c>
      <c r="B319">
        <v>2002</v>
      </c>
      <c r="C319" t="s">
        <v>273</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COUNT(LifeExpectancyData[[#This Row],[Life expectancy]:[Schooling]])=19</f>
        <v>0</v>
      </c>
    </row>
    <row r="320" spans="1:23" x14ac:dyDescent="0.25">
      <c r="A320" t="s">
        <v>293</v>
      </c>
      <c r="B320">
        <v>2001</v>
      </c>
      <c r="C320" t="s">
        <v>273</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COUNT(LifeExpectancyData[[#This Row],[Life expectancy]:[Schooling]])=19</f>
        <v>0</v>
      </c>
    </row>
    <row r="321" spans="1:23" x14ac:dyDescent="0.25">
      <c r="A321" t="s">
        <v>293</v>
      </c>
      <c r="B321">
        <v>2000</v>
      </c>
      <c r="C321" t="s">
        <v>273</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COUNT(LifeExpectancyData[[#This Row],[Life expectancy]:[Schooling]])=19</f>
        <v>0</v>
      </c>
    </row>
    <row r="322" spans="1:23" x14ac:dyDescent="0.25">
      <c r="A322" t="s">
        <v>294</v>
      </c>
      <c r="B322">
        <v>2015</v>
      </c>
      <c r="C322" t="s">
        <v>273</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COUNT(LifeExpectancyData[[#This Row],[Life expectancy]:[Schooling]])=19</f>
        <v>0</v>
      </c>
    </row>
    <row r="323" spans="1:23" x14ac:dyDescent="0.25">
      <c r="A323" t="s">
        <v>294</v>
      </c>
      <c r="B323">
        <v>2014</v>
      </c>
      <c r="C323" t="s">
        <v>273</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COUNT(LifeExpectancyData[[#This Row],[Life expectancy]:[Schooling]])=19</f>
        <v>1</v>
      </c>
    </row>
    <row r="324" spans="1:23" x14ac:dyDescent="0.25">
      <c r="A324" t="s">
        <v>294</v>
      </c>
      <c r="B324">
        <v>2013</v>
      </c>
      <c r="C324" t="s">
        <v>273</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COUNT(LifeExpectancyData[[#This Row],[Life expectancy]:[Schooling]])=19</f>
        <v>1</v>
      </c>
    </row>
    <row r="325" spans="1:23" x14ac:dyDescent="0.25">
      <c r="A325" t="s">
        <v>294</v>
      </c>
      <c r="B325">
        <v>2012</v>
      </c>
      <c r="C325" t="s">
        <v>273</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COUNT(LifeExpectancyData[[#This Row],[Life expectancy]:[Schooling]])=19</f>
        <v>1</v>
      </c>
    </row>
    <row r="326" spans="1:23" x14ac:dyDescent="0.25">
      <c r="A326" t="s">
        <v>294</v>
      </c>
      <c r="B326">
        <v>2011</v>
      </c>
      <c r="C326" t="s">
        <v>273</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COUNT(LifeExpectancyData[[#This Row],[Life expectancy]:[Schooling]])=19</f>
        <v>1</v>
      </c>
    </row>
    <row r="327" spans="1:23" x14ac:dyDescent="0.25">
      <c r="A327" t="s">
        <v>294</v>
      </c>
      <c r="B327">
        <v>2010</v>
      </c>
      <c r="C327" t="s">
        <v>273</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COUNT(LifeExpectancyData[[#This Row],[Life expectancy]:[Schooling]])=19</f>
        <v>1</v>
      </c>
    </row>
    <row r="328" spans="1:23" x14ac:dyDescent="0.25">
      <c r="A328" t="s">
        <v>294</v>
      </c>
      <c r="B328">
        <v>2009</v>
      </c>
      <c r="C328" t="s">
        <v>273</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COUNT(LifeExpectancyData[[#This Row],[Life expectancy]:[Schooling]])=19</f>
        <v>1</v>
      </c>
    </row>
    <row r="329" spans="1:23" x14ac:dyDescent="0.25">
      <c r="A329" t="s">
        <v>294</v>
      </c>
      <c r="B329">
        <v>2008</v>
      </c>
      <c r="C329" t="s">
        <v>273</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COUNT(LifeExpectancyData[[#This Row],[Life expectancy]:[Schooling]])=19</f>
        <v>1</v>
      </c>
    </row>
    <row r="330" spans="1:23" x14ac:dyDescent="0.25">
      <c r="A330" t="s">
        <v>294</v>
      </c>
      <c r="B330">
        <v>2007</v>
      </c>
      <c r="C330" t="s">
        <v>273</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COUNT(LifeExpectancyData[[#This Row],[Life expectancy]:[Schooling]])=19</f>
        <v>1</v>
      </c>
    </row>
    <row r="331" spans="1:23" x14ac:dyDescent="0.25">
      <c r="A331" t="s">
        <v>294</v>
      </c>
      <c r="B331">
        <v>2006</v>
      </c>
      <c r="C331" t="s">
        <v>273</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COUNT(LifeExpectancyData[[#This Row],[Life expectancy]:[Schooling]])=19</f>
        <v>1</v>
      </c>
    </row>
    <row r="332" spans="1:23" x14ac:dyDescent="0.25">
      <c r="A332" t="s">
        <v>294</v>
      </c>
      <c r="B332">
        <v>2005</v>
      </c>
      <c r="C332" t="s">
        <v>273</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COUNT(LifeExpectancyData[[#This Row],[Life expectancy]:[Schooling]])=19</f>
        <v>1</v>
      </c>
    </row>
    <row r="333" spans="1:23" x14ac:dyDescent="0.25">
      <c r="A333" t="s">
        <v>294</v>
      </c>
      <c r="B333">
        <v>2004</v>
      </c>
      <c r="C333" t="s">
        <v>273</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COUNT(LifeExpectancyData[[#This Row],[Life expectancy]:[Schooling]])=19</f>
        <v>1</v>
      </c>
    </row>
    <row r="334" spans="1:23" x14ac:dyDescent="0.25">
      <c r="A334" t="s">
        <v>294</v>
      </c>
      <c r="B334">
        <v>2003</v>
      </c>
      <c r="C334" t="s">
        <v>273</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COUNT(LifeExpectancyData[[#This Row],[Life expectancy]:[Schooling]])=19</f>
        <v>0</v>
      </c>
    </row>
    <row r="335" spans="1:23" x14ac:dyDescent="0.25">
      <c r="A335" t="s">
        <v>294</v>
      </c>
      <c r="B335">
        <v>2002</v>
      </c>
      <c r="C335" t="s">
        <v>273</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COUNT(LifeExpectancyData[[#This Row],[Life expectancy]:[Schooling]])=19</f>
        <v>0</v>
      </c>
    </row>
    <row r="336" spans="1:23" x14ac:dyDescent="0.25">
      <c r="A336" t="s">
        <v>294</v>
      </c>
      <c r="B336">
        <v>2001</v>
      </c>
      <c r="C336" t="s">
        <v>273</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COUNT(LifeExpectancyData[[#This Row],[Life expectancy]:[Schooling]])=19</f>
        <v>0</v>
      </c>
    </row>
    <row r="337" spans="1:23" x14ac:dyDescent="0.25">
      <c r="A337" t="s">
        <v>294</v>
      </c>
      <c r="B337">
        <v>2000</v>
      </c>
      <c r="C337" t="s">
        <v>273</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COUNT(LifeExpectancyData[[#This Row],[Life expectancy]:[Schooling]])=19</f>
        <v>0</v>
      </c>
    </row>
    <row r="338" spans="1:23" x14ac:dyDescent="0.25">
      <c r="A338" t="s">
        <v>295</v>
      </c>
      <c r="B338">
        <v>2015</v>
      </c>
      <c r="C338" t="s">
        <v>273</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COUNT(LifeExpectancyData[[#This Row],[Life expectancy]:[Schooling]])=19</f>
        <v>0</v>
      </c>
    </row>
    <row r="339" spans="1:23" x14ac:dyDescent="0.25">
      <c r="A339" t="s">
        <v>295</v>
      </c>
      <c r="B339">
        <v>2014</v>
      </c>
      <c r="C339" t="s">
        <v>273</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COUNT(LifeExpectancyData[[#This Row],[Life expectancy]:[Schooling]])=19</f>
        <v>1</v>
      </c>
    </row>
    <row r="340" spans="1:23" x14ac:dyDescent="0.25">
      <c r="A340" t="s">
        <v>295</v>
      </c>
      <c r="B340">
        <v>2013</v>
      </c>
      <c r="C340" t="s">
        <v>273</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COUNT(LifeExpectancyData[[#This Row],[Life expectancy]:[Schooling]])=19</f>
        <v>1</v>
      </c>
    </row>
    <row r="341" spans="1:23" x14ac:dyDescent="0.25">
      <c r="A341" t="s">
        <v>295</v>
      </c>
      <c r="B341">
        <v>2012</v>
      </c>
      <c r="C341" t="s">
        <v>273</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COUNT(LifeExpectancyData[[#This Row],[Life expectancy]:[Schooling]])=19</f>
        <v>1</v>
      </c>
    </row>
    <row r="342" spans="1:23" x14ac:dyDescent="0.25">
      <c r="A342" t="s">
        <v>295</v>
      </c>
      <c r="B342">
        <v>2011</v>
      </c>
      <c r="C342" t="s">
        <v>273</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COUNT(LifeExpectancyData[[#This Row],[Life expectancy]:[Schooling]])=19</f>
        <v>1</v>
      </c>
    </row>
    <row r="343" spans="1:23" x14ac:dyDescent="0.25">
      <c r="A343" t="s">
        <v>295</v>
      </c>
      <c r="B343">
        <v>2010</v>
      </c>
      <c r="C343" t="s">
        <v>273</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COUNT(LifeExpectancyData[[#This Row],[Life expectancy]:[Schooling]])=19</f>
        <v>1</v>
      </c>
    </row>
    <row r="344" spans="1:23" x14ac:dyDescent="0.25">
      <c r="A344" t="s">
        <v>295</v>
      </c>
      <c r="B344">
        <v>2009</v>
      </c>
      <c r="C344" t="s">
        <v>273</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COUNT(LifeExpectancyData[[#This Row],[Life expectancy]:[Schooling]])=19</f>
        <v>1</v>
      </c>
    </row>
    <row r="345" spans="1:23" x14ac:dyDescent="0.25">
      <c r="A345" t="s">
        <v>295</v>
      </c>
      <c r="B345">
        <v>2008</v>
      </c>
      <c r="C345" t="s">
        <v>273</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COUNT(LifeExpectancyData[[#This Row],[Life expectancy]:[Schooling]])=19</f>
        <v>1</v>
      </c>
    </row>
    <row r="346" spans="1:23" x14ac:dyDescent="0.25">
      <c r="A346" t="s">
        <v>295</v>
      </c>
      <c r="B346">
        <v>2007</v>
      </c>
      <c r="C346" t="s">
        <v>273</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COUNT(LifeExpectancyData[[#This Row],[Life expectancy]:[Schooling]])=19</f>
        <v>1</v>
      </c>
    </row>
    <row r="347" spans="1:23" x14ac:dyDescent="0.25">
      <c r="A347" t="s">
        <v>295</v>
      </c>
      <c r="B347">
        <v>2006</v>
      </c>
      <c r="C347" t="s">
        <v>273</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COUNT(LifeExpectancyData[[#This Row],[Life expectancy]:[Schooling]])=19</f>
        <v>1</v>
      </c>
    </row>
    <row r="348" spans="1:23" x14ac:dyDescent="0.25">
      <c r="A348" t="s">
        <v>295</v>
      </c>
      <c r="B348">
        <v>2005</v>
      </c>
      <c r="C348" t="s">
        <v>273</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COUNT(LifeExpectancyData[[#This Row],[Life expectancy]:[Schooling]])=19</f>
        <v>1</v>
      </c>
    </row>
    <row r="349" spans="1:23" x14ac:dyDescent="0.25">
      <c r="A349" t="s">
        <v>295</v>
      </c>
      <c r="B349">
        <v>2004</v>
      </c>
      <c r="C349" t="s">
        <v>273</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COUNT(LifeExpectancyData[[#This Row],[Life expectancy]:[Schooling]])=19</f>
        <v>1</v>
      </c>
    </row>
    <row r="350" spans="1:23" x14ac:dyDescent="0.25">
      <c r="A350" t="s">
        <v>295</v>
      </c>
      <c r="B350">
        <v>2003</v>
      </c>
      <c r="C350" t="s">
        <v>273</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COUNT(LifeExpectancyData[[#This Row],[Life expectancy]:[Schooling]])=19</f>
        <v>1</v>
      </c>
    </row>
    <row r="351" spans="1:23" x14ac:dyDescent="0.25">
      <c r="A351" t="s">
        <v>295</v>
      </c>
      <c r="B351">
        <v>2002</v>
      </c>
      <c r="C351" t="s">
        <v>273</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COUNT(LifeExpectancyData[[#This Row],[Life expectancy]:[Schooling]])=19</f>
        <v>1</v>
      </c>
    </row>
    <row r="352" spans="1:23" x14ac:dyDescent="0.25">
      <c r="A352" t="s">
        <v>295</v>
      </c>
      <c r="B352">
        <v>2001</v>
      </c>
      <c r="C352" t="s">
        <v>273</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COUNT(LifeExpectancyData[[#This Row],[Life expectancy]:[Schooling]])=19</f>
        <v>1</v>
      </c>
    </row>
    <row r="353" spans="1:23" x14ac:dyDescent="0.25">
      <c r="A353" t="s">
        <v>295</v>
      </c>
      <c r="B353">
        <v>2000</v>
      </c>
      <c r="C353" t="s">
        <v>273</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COUNT(LifeExpectancyData[[#This Row],[Life expectancy]:[Schooling]])=19</f>
        <v>1</v>
      </c>
    </row>
    <row r="354" spans="1:23" x14ac:dyDescent="0.25">
      <c r="A354" t="s">
        <v>296</v>
      </c>
      <c r="B354">
        <v>2015</v>
      </c>
      <c r="C354" t="s">
        <v>273</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COUNT(LifeExpectancyData[[#This Row],[Life expectancy]:[Schooling]])=19</f>
        <v>0</v>
      </c>
    </row>
    <row r="355" spans="1:23" x14ac:dyDescent="0.25">
      <c r="A355" t="s">
        <v>296</v>
      </c>
      <c r="B355">
        <v>2014</v>
      </c>
      <c r="C355" t="s">
        <v>273</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COUNT(LifeExpectancyData[[#This Row],[Life expectancy]:[Schooling]])=19</f>
        <v>1</v>
      </c>
    </row>
    <row r="356" spans="1:23" x14ac:dyDescent="0.25">
      <c r="A356" t="s">
        <v>296</v>
      </c>
      <c r="B356">
        <v>2013</v>
      </c>
      <c r="C356" t="s">
        <v>273</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COUNT(LifeExpectancyData[[#This Row],[Life expectancy]:[Schooling]])=19</f>
        <v>1</v>
      </c>
    </row>
    <row r="357" spans="1:23" x14ac:dyDescent="0.25">
      <c r="A357" t="s">
        <v>296</v>
      </c>
      <c r="B357">
        <v>2012</v>
      </c>
      <c r="C357" t="s">
        <v>273</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COUNT(LifeExpectancyData[[#This Row],[Life expectancy]:[Schooling]])=19</f>
        <v>1</v>
      </c>
    </row>
    <row r="358" spans="1:23" x14ac:dyDescent="0.25">
      <c r="A358" t="s">
        <v>296</v>
      </c>
      <c r="B358">
        <v>2011</v>
      </c>
      <c r="C358" t="s">
        <v>273</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COUNT(LifeExpectancyData[[#This Row],[Life expectancy]:[Schooling]])=19</f>
        <v>1</v>
      </c>
    </row>
    <row r="359" spans="1:23" x14ac:dyDescent="0.25">
      <c r="A359" t="s">
        <v>296</v>
      </c>
      <c r="B359">
        <v>2010</v>
      </c>
      <c r="C359" t="s">
        <v>273</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COUNT(LifeExpectancyData[[#This Row],[Life expectancy]:[Schooling]])=19</f>
        <v>1</v>
      </c>
    </row>
    <row r="360" spans="1:23" x14ac:dyDescent="0.25">
      <c r="A360" t="s">
        <v>296</v>
      </c>
      <c r="B360">
        <v>2009</v>
      </c>
      <c r="C360" t="s">
        <v>273</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COUNT(LifeExpectancyData[[#This Row],[Life expectancy]:[Schooling]])=19</f>
        <v>1</v>
      </c>
    </row>
    <row r="361" spans="1:23" x14ac:dyDescent="0.25">
      <c r="A361" t="s">
        <v>296</v>
      </c>
      <c r="B361">
        <v>2008</v>
      </c>
      <c r="C361" t="s">
        <v>273</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COUNT(LifeExpectancyData[[#This Row],[Life expectancy]:[Schooling]])=19</f>
        <v>1</v>
      </c>
    </row>
    <row r="362" spans="1:23" x14ac:dyDescent="0.25">
      <c r="A362" t="s">
        <v>296</v>
      </c>
      <c r="B362">
        <v>2007</v>
      </c>
      <c r="C362" t="s">
        <v>273</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COUNT(LifeExpectancyData[[#This Row],[Life expectancy]:[Schooling]])=19</f>
        <v>1</v>
      </c>
    </row>
    <row r="363" spans="1:23" x14ac:dyDescent="0.25">
      <c r="A363" t="s">
        <v>296</v>
      </c>
      <c r="B363">
        <v>2006</v>
      </c>
      <c r="C363" t="s">
        <v>273</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COUNT(LifeExpectancyData[[#This Row],[Life expectancy]:[Schooling]])=19</f>
        <v>1</v>
      </c>
    </row>
    <row r="364" spans="1:23" x14ac:dyDescent="0.25">
      <c r="A364" t="s">
        <v>296</v>
      </c>
      <c r="B364">
        <v>2005</v>
      </c>
      <c r="C364" t="s">
        <v>273</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COUNT(LifeExpectancyData[[#This Row],[Life expectancy]:[Schooling]])=19</f>
        <v>1</v>
      </c>
    </row>
    <row r="365" spans="1:23" x14ac:dyDescent="0.25">
      <c r="A365" t="s">
        <v>296</v>
      </c>
      <c r="B365">
        <v>2004</v>
      </c>
      <c r="C365" t="s">
        <v>273</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COUNT(LifeExpectancyData[[#This Row],[Life expectancy]:[Schooling]])=19</f>
        <v>1</v>
      </c>
    </row>
    <row r="366" spans="1:23" x14ac:dyDescent="0.25">
      <c r="A366" t="s">
        <v>296</v>
      </c>
      <c r="B366">
        <v>2003</v>
      </c>
      <c r="C366" t="s">
        <v>273</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COUNT(LifeExpectancyData[[#This Row],[Life expectancy]:[Schooling]])=19</f>
        <v>1</v>
      </c>
    </row>
    <row r="367" spans="1:23" x14ac:dyDescent="0.25">
      <c r="A367" t="s">
        <v>296</v>
      </c>
      <c r="B367">
        <v>2002</v>
      </c>
      <c r="C367" t="s">
        <v>273</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COUNT(LifeExpectancyData[[#This Row],[Life expectancy]:[Schooling]])=19</f>
        <v>1</v>
      </c>
    </row>
    <row r="368" spans="1:23" x14ac:dyDescent="0.25">
      <c r="A368" t="s">
        <v>296</v>
      </c>
      <c r="B368">
        <v>2001</v>
      </c>
      <c r="C368" t="s">
        <v>273</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COUNT(LifeExpectancyData[[#This Row],[Life expectancy]:[Schooling]])=19</f>
        <v>1</v>
      </c>
    </row>
    <row r="369" spans="1:23" x14ac:dyDescent="0.25">
      <c r="A369" t="s">
        <v>296</v>
      </c>
      <c r="B369">
        <v>2000</v>
      </c>
      <c r="C369" t="s">
        <v>273</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COUNT(LifeExpectancyData[[#This Row],[Life expectancy]:[Schooling]])=19</f>
        <v>1</v>
      </c>
    </row>
    <row r="370" spans="1:23" x14ac:dyDescent="0.25">
      <c r="A370" t="s">
        <v>297</v>
      </c>
      <c r="B370">
        <v>2015</v>
      </c>
      <c r="C370" t="s">
        <v>273</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COUNT(LifeExpectancyData[[#This Row],[Life expectancy]:[Schooling]])=19</f>
        <v>0</v>
      </c>
    </row>
    <row r="371" spans="1:23" x14ac:dyDescent="0.25">
      <c r="A371" t="s">
        <v>297</v>
      </c>
      <c r="B371">
        <v>2014</v>
      </c>
      <c r="C371" t="s">
        <v>273</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COUNT(LifeExpectancyData[[#This Row],[Life expectancy]:[Schooling]])=19</f>
        <v>0</v>
      </c>
    </row>
    <row r="372" spans="1:23" x14ac:dyDescent="0.25">
      <c r="A372" t="s">
        <v>297</v>
      </c>
      <c r="B372">
        <v>2013</v>
      </c>
      <c r="C372" t="s">
        <v>273</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COUNT(LifeExpectancyData[[#This Row],[Life expectancy]:[Schooling]])=19</f>
        <v>0</v>
      </c>
    </row>
    <row r="373" spans="1:23" x14ac:dyDescent="0.25">
      <c r="A373" t="s">
        <v>297</v>
      </c>
      <c r="B373">
        <v>2012</v>
      </c>
      <c r="C373" t="s">
        <v>273</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COUNT(LifeExpectancyData[[#This Row],[Life expectancy]:[Schooling]])=19</f>
        <v>0</v>
      </c>
    </row>
    <row r="374" spans="1:23" x14ac:dyDescent="0.25">
      <c r="A374" t="s">
        <v>297</v>
      </c>
      <c r="B374">
        <v>2011</v>
      </c>
      <c r="C374" t="s">
        <v>273</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COUNT(LifeExpectancyData[[#This Row],[Life expectancy]:[Schooling]])=19</f>
        <v>0</v>
      </c>
    </row>
    <row r="375" spans="1:23" x14ac:dyDescent="0.25">
      <c r="A375" t="s">
        <v>297</v>
      </c>
      <c r="B375">
        <v>2010</v>
      </c>
      <c r="C375" t="s">
        <v>273</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COUNT(LifeExpectancyData[[#This Row],[Life expectancy]:[Schooling]])=19</f>
        <v>0</v>
      </c>
    </row>
    <row r="376" spans="1:23" x14ac:dyDescent="0.25">
      <c r="A376" t="s">
        <v>297</v>
      </c>
      <c r="B376">
        <v>2009</v>
      </c>
      <c r="C376" t="s">
        <v>273</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COUNT(LifeExpectancyData[[#This Row],[Life expectancy]:[Schooling]])=19</f>
        <v>0</v>
      </c>
    </row>
    <row r="377" spans="1:23" x14ac:dyDescent="0.25">
      <c r="A377" t="s">
        <v>297</v>
      </c>
      <c r="B377">
        <v>2008</v>
      </c>
      <c r="C377" t="s">
        <v>273</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COUNT(LifeExpectancyData[[#This Row],[Life expectancy]:[Schooling]])=19</f>
        <v>0</v>
      </c>
    </row>
    <row r="378" spans="1:23" x14ac:dyDescent="0.25">
      <c r="A378" t="s">
        <v>297</v>
      </c>
      <c r="B378">
        <v>2007</v>
      </c>
      <c r="C378" t="s">
        <v>273</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COUNT(LifeExpectancyData[[#This Row],[Life expectancy]:[Schooling]])=19</f>
        <v>0</v>
      </c>
    </row>
    <row r="379" spans="1:23" x14ac:dyDescent="0.25">
      <c r="A379" t="s">
        <v>297</v>
      </c>
      <c r="B379">
        <v>2006</v>
      </c>
      <c r="C379" t="s">
        <v>273</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COUNT(LifeExpectancyData[[#This Row],[Life expectancy]:[Schooling]])=19</f>
        <v>0</v>
      </c>
    </row>
    <row r="380" spans="1:23" x14ac:dyDescent="0.25">
      <c r="A380" t="s">
        <v>297</v>
      </c>
      <c r="B380">
        <v>2005</v>
      </c>
      <c r="C380" t="s">
        <v>273</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COUNT(LifeExpectancyData[[#This Row],[Life expectancy]:[Schooling]])=19</f>
        <v>0</v>
      </c>
    </row>
    <row r="381" spans="1:23" x14ac:dyDescent="0.25">
      <c r="A381" t="s">
        <v>297</v>
      </c>
      <c r="B381">
        <v>2004</v>
      </c>
      <c r="C381" t="s">
        <v>273</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COUNT(LifeExpectancyData[[#This Row],[Life expectancy]:[Schooling]])=19</f>
        <v>0</v>
      </c>
    </row>
    <row r="382" spans="1:23" x14ac:dyDescent="0.25">
      <c r="A382" t="s">
        <v>297</v>
      </c>
      <c r="B382">
        <v>2003</v>
      </c>
      <c r="C382" t="s">
        <v>273</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COUNT(LifeExpectancyData[[#This Row],[Life expectancy]:[Schooling]])=19</f>
        <v>0</v>
      </c>
    </row>
    <row r="383" spans="1:23" x14ac:dyDescent="0.25">
      <c r="A383" t="s">
        <v>297</v>
      </c>
      <c r="B383">
        <v>2002</v>
      </c>
      <c r="C383" t="s">
        <v>273</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COUNT(LifeExpectancyData[[#This Row],[Life expectancy]:[Schooling]])=19</f>
        <v>0</v>
      </c>
    </row>
    <row r="384" spans="1:23" x14ac:dyDescent="0.25">
      <c r="A384" t="s">
        <v>297</v>
      </c>
      <c r="B384">
        <v>2001</v>
      </c>
      <c r="C384" t="s">
        <v>273</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COUNT(LifeExpectancyData[[#This Row],[Life expectancy]:[Schooling]])=19</f>
        <v>0</v>
      </c>
    </row>
    <row r="385" spans="1:23" x14ac:dyDescent="0.25">
      <c r="A385" t="s">
        <v>297</v>
      </c>
      <c r="B385">
        <v>2000</v>
      </c>
      <c r="C385" t="s">
        <v>273</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COUNT(LifeExpectancyData[[#This Row],[Life expectancy]:[Schooling]])=19</f>
        <v>0</v>
      </c>
    </row>
    <row r="386" spans="1:23" x14ac:dyDescent="0.25">
      <c r="A386" t="s">
        <v>298</v>
      </c>
      <c r="B386">
        <v>2015</v>
      </c>
      <c r="C386" t="s">
        <v>281</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COUNT(LifeExpectancyData[[#This Row],[Life expectancy]:[Schooling]])=19</f>
        <v>0</v>
      </c>
    </row>
    <row r="387" spans="1:23" x14ac:dyDescent="0.25">
      <c r="A387" t="s">
        <v>298</v>
      </c>
      <c r="B387">
        <v>2014</v>
      </c>
      <c r="C387" t="s">
        <v>281</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COUNT(LifeExpectancyData[[#This Row],[Life expectancy]:[Schooling]])=19</f>
        <v>1</v>
      </c>
    </row>
    <row r="388" spans="1:23" x14ac:dyDescent="0.25">
      <c r="A388" t="s">
        <v>298</v>
      </c>
      <c r="B388">
        <v>2013</v>
      </c>
      <c r="C388" t="s">
        <v>281</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COUNT(LifeExpectancyData[[#This Row],[Life expectancy]:[Schooling]])=19</f>
        <v>1</v>
      </c>
    </row>
    <row r="389" spans="1:23" x14ac:dyDescent="0.25">
      <c r="A389" t="s">
        <v>298</v>
      </c>
      <c r="B389">
        <v>2012</v>
      </c>
      <c r="C389" t="s">
        <v>281</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COUNT(LifeExpectancyData[[#This Row],[Life expectancy]:[Schooling]])=19</f>
        <v>1</v>
      </c>
    </row>
    <row r="390" spans="1:23" x14ac:dyDescent="0.25">
      <c r="A390" t="s">
        <v>298</v>
      </c>
      <c r="B390">
        <v>2011</v>
      </c>
      <c r="C390" t="s">
        <v>281</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COUNT(LifeExpectancyData[[#This Row],[Life expectancy]:[Schooling]])=19</f>
        <v>1</v>
      </c>
    </row>
    <row r="391" spans="1:23" x14ac:dyDescent="0.25">
      <c r="A391" t="s">
        <v>298</v>
      </c>
      <c r="B391">
        <v>2010</v>
      </c>
      <c r="C391" t="s">
        <v>281</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COUNT(LifeExpectancyData[[#This Row],[Life expectancy]:[Schooling]])=19</f>
        <v>1</v>
      </c>
    </row>
    <row r="392" spans="1:23" x14ac:dyDescent="0.25">
      <c r="A392" t="s">
        <v>298</v>
      </c>
      <c r="B392">
        <v>2009</v>
      </c>
      <c r="C392" t="s">
        <v>281</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COUNT(LifeExpectancyData[[#This Row],[Life expectancy]:[Schooling]])=19</f>
        <v>1</v>
      </c>
    </row>
    <row r="393" spans="1:23" x14ac:dyDescent="0.25">
      <c r="A393" t="s">
        <v>298</v>
      </c>
      <c r="B393">
        <v>2008</v>
      </c>
      <c r="C393" t="s">
        <v>281</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COUNT(LifeExpectancyData[[#This Row],[Life expectancy]:[Schooling]])=19</f>
        <v>1</v>
      </c>
    </row>
    <row r="394" spans="1:23" x14ac:dyDescent="0.25">
      <c r="A394" t="s">
        <v>298</v>
      </c>
      <c r="B394">
        <v>2007</v>
      </c>
      <c r="C394" t="s">
        <v>281</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COUNT(LifeExpectancyData[[#This Row],[Life expectancy]:[Schooling]])=19</f>
        <v>1</v>
      </c>
    </row>
    <row r="395" spans="1:23" x14ac:dyDescent="0.25">
      <c r="A395" t="s">
        <v>298</v>
      </c>
      <c r="B395">
        <v>2006</v>
      </c>
      <c r="C395" t="s">
        <v>281</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COUNT(LifeExpectancyData[[#This Row],[Life expectancy]:[Schooling]])=19</f>
        <v>1</v>
      </c>
    </row>
    <row r="396" spans="1:23" x14ac:dyDescent="0.25">
      <c r="A396" t="s">
        <v>298</v>
      </c>
      <c r="B396">
        <v>2005</v>
      </c>
      <c r="C396" t="s">
        <v>281</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COUNT(LifeExpectancyData[[#This Row],[Life expectancy]:[Schooling]])=19</f>
        <v>1</v>
      </c>
    </row>
    <row r="397" spans="1:23" x14ac:dyDescent="0.25">
      <c r="A397" t="s">
        <v>298</v>
      </c>
      <c r="B397">
        <v>2004</v>
      </c>
      <c r="C397" t="s">
        <v>281</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COUNT(LifeExpectancyData[[#This Row],[Life expectancy]:[Schooling]])=19</f>
        <v>1</v>
      </c>
    </row>
    <row r="398" spans="1:23" x14ac:dyDescent="0.25">
      <c r="A398" t="s">
        <v>298</v>
      </c>
      <c r="B398">
        <v>2003</v>
      </c>
      <c r="C398" t="s">
        <v>281</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COUNT(LifeExpectancyData[[#This Row],[Life expectancy]:[Schooling]])=19</f>
        <v>1</v>
      </c>
    </row>
    <row r="399" spans="1:23" x14ac:dyDescent="0.25">
      <c r="A399" t="s">
        <v>298</v>
      </c>
      <c r="B399">
        <v>2002</v>
      </c>
      <c r="C399" t="s">
        <v>281</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COUNT(LifeExpectancyData[[#This Row],[Life expectancy]:[Schooling]])=19</f>
        <v>1</v>
      </c>
    </row>
    <row r="400" spans="1:23" x14ac:dyDescent="0.25">
      <c r="A400" t="s">
        <v>298</v>
      </c>
      <c r="B400">
        <v>2001</v>
      </c>
      <c r="C400" t="s">
        <v>281</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COUNT(LifeExpectancyData[[#This Row],[Life expectancy]:[Schooling]])=19</f>
        <v>1</v>
      </c>
    </row>
    <row r="401" spans="1:23" x14ac:dyDescent="0.25">
      <c r="A401" t="s">
        <v>298</v>
      </c>
      <c r="B401">
        <v>2000</v>
      </c>
      <c r="C401" t="s">
        <v>281</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COUNT(LifeExpectancyData[[#This Row],[Life expectancy]:[Schooling]])=19</f>
        <v>1</v>
      </c>
    </row>
    <row r="402" spans="1:23" x14ac:dyDescent="0.25">
      <c r="A402" t="s">
        <v>299</v>
      </c>
      <c r="B402">
        <v>2015</v>
      </c>
      <c r="C402" t="s">
        <v>273</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COUNT(LifeExpectancyData[[#This Row],[Life expectancy]:[Schooling]])=19</f>
        <v>0</v>
      </c>
    </row>
    <row r="403" spans="1:23" x14ac:dyDescent="0.25">
      <c r="A403" t="s">
        <v>299</v>
      </c>
      <c r="B403">
        <v>2014</v>
      </c>
      <c r="C403" t="s">
        <v>273</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COUNT(LifeExpectancyData[[#This Row],[Life expectancy]:[Schooling]])=19</f>
        <v>1</v>
      </c>
    </row>
    <row r="404" spans="1:23" x14ac:dyDescent="0.25">
      <c r="A404" t="s">
        <v>299</v>
      </c>
      <c r="B404">
        <v>2013</v>
      </c>
      <c r="C404" t="s">
        <v>273</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COUNT(LifeExpectancyData[[#This Row],[Life expectancy]:[Schooling]])=19</f>
        <v>1</v>
      </c>
    </row>
    <row r="405" spans="1:23" x14ac:dyDescent="0.25">
      <c r="A405" t="s">
        <v>299</v>
      </c>
      <c r="B405">
        <v>2012</v>
      </c>
      <c r="C405" t="s">
        <v>273</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COUNT(LifeExpectancyData[[#This Row],[Life expectancy]:[Schooling]])=19</f>
        <v>1</v>
      </c>
    </row>
    <row r="406" spans="1:23" x14ac:dyDescent="0.25">
      <c r="A406" t="s">
        <v>299</v>
      </c>
      <c r="B406">
        <v>2011</v>
      </c>
      <c r="C406" t="s">
        <v>273</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COUNT(LifeExpectancyData[[#This Row],[Life expectancy]:[Schooling]])=19</f>
        <v>1</v>
      </c>
    </row>
    <row r="407" spans="1:23" x14ac:dyDescent="0.25">
      <c r="A407" t="s">
        <v>299</v>
      </c>
      <c r="B407">
        <v>2010</v>
      </c>
      <c r="C407" t="s">
        <v>273</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COUNT(LifeExpectancyData[[#This Row],[Life expectancy]:[Schooling]])=19</f>
        <v>1</v>
      </c>
    </row>
    <row r="408" spans="1:23" x14ac:dyDescent="0.25">
      <c r="A408" t="s">
        <v>299</v>
      </c>
      <c r="B408">
        <v>2009</v>
      </c>
      <c r="C408" t="s">
        <v>273</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COUNT(LifeExpectancyData[[#This Row],[Life expectancy]:[Schooling]])=19</f>
        <v>1</v>
      </c>
    </row>
    <row r="409" spans="1:23" x14ac:dyDescent="0.25">
      <c r="A409" t="s">
        <v>299</v>
      </c>
      <c r="B409">
        <v>2008</v>
      </c>
      <c r="C409" t="s">
        <v>273</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COUNT(LifeExpectancyData[[#This Row],[Life expectancy]:[Schooling]])=19</f>
        <v>1</v>
      </c>
    </row>
    <row r="410" spans="1:23" x14ac:dyDescent="0.25">
      <c r="A410" t="s">
        <v>299</v>
      </c>
      <c r="B410">
        <v>2007</v>
      </c>
      <c r="C410" t="s">
        <v>273</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COUNT(LifeExpectancyData[[#This Row],[Life expectancy]:[Schooling]])=19</f>
        <v>1</v>
      </c>
    </row>
    <row r="411" spans="1:23" x14ac:dyDescent="0.25">
      <c r="A411" t="s">
        <v>299</v>
      </c>
      <c r="B411">
        <v>2006</v>
      </c>
      <c r="C411" t="s">
        <v>273</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COUNT(LifeExpectancyData[[#This Row],[Life expectancy]:[Schooling]])=19</f>
        <v>1</v>
      </c>
    </row>
    <row r="412" spans="1:23" x14ac:dyDescent="0.25">
      <c r="A412" t="s">
        <v>299</v>
      </c>
      <c r="B412">
        <v>2005</v>
      </c>
      <c r="C412" t="s">
        <v>273</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COUNT(LifeExpectancyData[[#This Row],[Life expectancy]:[Schooling]])=19</f>
        <v>0</v>
      </c>
    </row>
    <row r="413" spans="1:23" x14ac:dyDescent="0.25">
      <c r="A413" t="s">
        <v>299</v>
      </c>
      <c r="B413">
        <v>2004</v>
      </c>
      <c r="C413" t="s">
        <v>273</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COUNT(LifeExpectancyData[[#This Row],[Life expectancy]:[Schooling]])=19</f>
        <v>0</v>
      </c>
    </row>
    <row r="414" spans="1:23" x14ac:dyDescent="0.25">
      <c r="A414" t="s">
        <v>299</v>
      </c>
      <c r="B414">
        <v>2003</v>
      </c>
      <c r="C414" t="s">
        <v>273</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COUNT(LifeExpectancyData[[#This Row],[Life expectancy]:[Schooling]])=19</f>
        <v>0</v>
      </c>
    </row>
    <row r="415" spans="1:23" x14ac:dyDescent="0.25">
      <c r="A415" t="s">
        <v>299</v>
      </c>
      <c r="B415">
        <v>2002</v>
      </c>
      <c r="C415" t="s">
        <v>273</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COUNT(LifeExpectancyData[[#This Row],[Life expectancy]:[Schooling]])=19</f>
        <v>0</v>
      </c>
    </row>
    <row r="416" spans="1:23" x14ac:dyDescent="0.25">
      <c r="A416" t="s">
        <v>299</v>
      </c>
      <c r="B416">
        <v>2001</v>
      </c>
      <c r="C416" t="s">
        <v>273</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COUNT(LifeExpectancyData[[#This Row],[Life expectancy]:[Schooling]])=19</f>
        <v>0</v>
      </c>
    </row>
    <row r="417" spans="1:23" x14ac:dyDescent="0.25">
      <c r="A417" t="s">
        <v>299</v>
      </c>
      <c r="B417">
        <v>2000</v>
      </c>
      <c r="C417" t="s">
        <v>273</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COUNT(LifeExpectancyData[[#This Row],[Life expectancy]:[Schooling]])=19</f>
        <v>0</v>
      </c>
    </row>
    <row r="418" spans="1:23" x14ac:dyDescent="0.25">
      <c r="A418" t="s">
        <v>300</v>
      </c>
      <c r="B418">
        <v>2015</v>
      </c>
      <c r="C418" t="s">
        <v>273</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COUNT(LifeExpectancyData[[#This Row],[Life expectancy]:[Schooling]])=19</f>
        <v>0</v>
      </c>
    </row>
    <row r="419" spans="1:23" x14ac:dyDescent="0.25">
      <c r="A419" t="s">
        <v>300</v>
      </c>
      <c r="B419">
        <v>2014</v>
      </c>
      <c r="C419" t="s">
        <v>273</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COUNT(LifeExpectancyData[[#This Row],[Life expectancy]:[Schooling]])=19</f>
        <v>1</v>
      </c>
    </row>
    <row r="420" spans="1:23" x14ac:dyDescent="0.25">
      <c r="A420" t="s">
        <v>300</v>
      </c>
      <c r="B420">
        <v>2013</v>
      </c>
      <c r="C420" t="s">
        <v>273</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COUNT(LifeExpectancyData[[#This Row],[Life expectancy]:[Schooling]])=19</f>
        <v>1</v>
      </c>
    </row>
    <row r="421" spans="1:23" x14ac:dyDescent="0.25">
      <c r="A421" t="s">
        <v>300</v>
      </c>
      <c r="B421">
        <v>2012</v>
      </c>
      <c r="C421" t="s">
        <v>273</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COUNT(LifeExpectancyData[[#This Row],[Life expectancy]:[Schooling]])=19</f>
        <v>1</v>
      </c>
    </row>
    <row r="422" spans="1:23" x14ac:dyDescent="0.25">
      <c r="A422" t="s">
        <v>300</v>
      </c>
      <c r="B422">
        <v>2011</v>
      </c>
      <c r="C422" t="s">
        <v>273</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COUNT(LifeExpectancyData[[#This Row],[Life expectancy]:[Schooling]])=19</f>
        <v>1</v>
      </c>
    </row>
    <row r="423" spans="1:23" x14ac:dyDescent="0.25">
      <c r="A423" t="s">
        <v>300</v>
      </c>
      <c r="B423">
        <v>2010</v>
      </c>
      <c r="C423" t="s">
        <v>273</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COUNT(LifeExpectancyData[[#This Row],[Life expectancy]:[Schooling]])=19</f>
        <v>1</v>
      </c>
    </row>
    <row r="424" spans="1:23" x14ac:dyDescent="0.25">
      <c r="A424" t="s">
        <v>300</v>
      </c>
      <c r="B424">
        <v>2009</v>
      </c>
      <c r="C424" t="s">
        <v>273</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COUNT(LifeExpectancyData[[#This Row],[Life expectancy]:[Schooling]])=19</f>
        <v>1</v>
      </c>
    </row>
    <row r="425" spans="1:23" x14ac:dyDescent="0.25">
      <c r="A425" t="s">
        <v>300</v>
      </c>
      <c r="B425">
        <v>2008</v>
      </c>
      <c r="C425" t="s">
        <v>273</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COUNT(LifeExpectancyData[[#This Row],[Life expectancy]:[Schooling]])=19</f>
        <v>1</v>
      </c>
    </row>
    <row r="426" spans="1:23" x14ac:dyDescent="0.25">
      <c r="A426" t="s">
        <v>300</v>
      </c>
      <c r="B426">
        <v>2007</v>
      </c>
      <c r="C426" t="s">
        <v>273</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COUNT(LifeExpectancyData[[#This Row],[Life expectancy]:[Schooling]])=19</f>
        <v>1</v>
      </c>
    </row>
    <row r="427" spans="1:23" x14ac:dyDescent="0.25">
      <c r="A427" t="s">
        <v>300</v>
      </c>
      <c r="B427">
        <v>2006</v>
      </c>
      <c r="C427" t="s">
        <v>273</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COUNT(LifeExpectancyData[[#This Row],[Life expectancy]:[Schooling]])=19</f>
        <v>1</v>
      </c>
    </row>
    <row r="428" spans="1:23" x14ac:dyDescent="0.25">
      <c r="A428" t="s">
        <v>300</v>
      </c>
      <c r="B428">
        <v>2005</v>
      </c>
      <c r="C428" t="s">
        <v>273</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COUNT(LifeExpectancyData[[#This Row],[Life expectancy]:[Schooling]])=19</f>
        <v>1</v>
      </c>
    </row>
    <row r="429" spans="1:23" x14ac:dyDescent="0.25">
      <c r="A429" t="s">
        <v>300</v>
      </c>
      <c r="B429">
        <v>2004</v>
      </c>
      <c r="C429" t="s">
        <v>273</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COUNT(LifeExpectancyData[[#This Row],[Life expectancy]:[Schooling]])=19</f>
        <v>1</v>
      </c>
    </row>
    <row r="430" spans="1:23" x14ac:dyDescent="0.25">
      <c r="A430" t="s">
        <v>300</v>
      </c>
      <c r="B430">
        <v>2003</v>
      </c>
      <c r="C430" t="s">
        <v>273</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COUNT(LifeExpectancyData[[#This Row],[Life expectancy]:[Schooling]])=19</f>
        <v>0</v>
      </c>
    </row>
    <row r="431" spans="1:23" x14ac:dyDescent="0.25">
      <c r="A431" t="s">
        <v>300</v>
      </c>
      <c r="B431">
        <v>2002</v>
      </c>
      <c r="C431" t="s">
        <v>273</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COUNT(LifeExpectancyData[[#This Row],[Life expectancy]:[Schooling]])=19</f>
        <v>0</v>
      </c>
    </row>
    <row r="432" spans="1:23" x14ac:dyDescent="0.25">
      <c r="A432" t="s">
        <v>300</v>
      </c>
      <c r="B432">
        <v>2001</v>
      </c>
      <c r="C432" t="s">
        <v>273</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COUNT(LifeExpectancyData[[#This Row],[Life expectancy]:[Schooling]])=19</f>
        <v>0</v>
      </c>
    </row>
    <row r="433" spans="1:23" x14ac:dyDescent="0.25">
      <c r="A433" t="s">
        <v>300</v>
      </c>
      <c r="B433">
        <v>2000</v>
      </c>
      <c r="C433" t="s">
        <v>273</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COUNT(LifeExpectancyData[[#This Row],[Life expectancy]:[Schooling]])=19</f>
        <v>0</v>
      </c>
    </row>
    <row r="434" spans="1:23" x14ac:dyDescent="0.25">
      <c r="A434" t="s">
        <v>301</v>
      </c>
      <c r="B434">
        <v>2015</v>
      </c>
      <c r="C434" t="s">
        <v>273</v>
      </c>
      <c r="D434">
        <v>53.3</v>
      </c>
      <c r="E434">
        <v>397</v>
      </c>
      <c r="F434">
        <v>57</v>
      </c>
      <c r="H434">
        <v>0</v>
      </c>
      <c r="I434">
        <v>83</v>
      </c>
      <c r="J434">
        <v>65</v>
      </c>
      <c r="K434">
        <v>28</v>
      </c>
      <c r="L434">
        <v>79</v>
      </c>
      <c r="M434">
        <v>81</v>
      </c>
      <c r="O434">
        <v>83</v>
      </c>
      <c r="P434">
        <v>1.9</v>
      </c>
      <c r="S434">
        <v>5.5</v>
      </c>
      <c r="T434">
        <v>5.5</v>
      </c>
      <c r="W434" t="b">
        <f>COUNT(LifeExpectancyData[[#This Row],[Life expectancy]:[Schooling]])=19</f>
        <v>0</v>
      </c>
    </row>
    <row r="435" spans="1:23" x14ac:dyDescent="0.25">
      <c r="A435" t="s">
        <v>301</v>
      </c>
      <c r="B435">
        <v>2014</v>
      </c>
      <c r="C435" t="s">
        <v>273</v>
      </c>
      <c r="D435">
        <v>52.8</v>
      </c>
      <c r="E435">
        <v>47</v>
      </c>
      <c r="F435">
        <v>58</v>
      </c>
      <c r="G435">
        <v>0.01</v>
      </c>
      <c r="H435">
        <v>0</v>
      </c>
      <c r="I435">
        <v>76</v>
      </c>
      <c r="J435">
        <v>50</v>
      </c>
      <c r="K435">
        <v>27.4</v>
      </c>
      <c r="L435">
        <v>80</v>
      </c>
      <c r="M435">
        <v>76</v>
      </c>
      <c r="N435">
        <v>5.72</v>
      </c>
      <c r="O435">
        <v>76</v>
      </c>
      <c r="P435">
        <v>2</v>
      </c>
      <c r="S435">
        <v>5.6</v>
      </c>
      <c r="T435">
        <v>5.6</v>
      </c>
      <c r="W435" t="b">
        <f>COUNT(LifeExpectancyData[[#This Row],[Life expectancy]:[Schooling]])=19</f>
        <v>0</v>
      </c>
    </row>
    <row r="436" spans="1:23" x14ac:dyDescent="0.25">
      <c r="A436" t="s">
        <v>301</v>
      </c>
      <c r="B436">
        <v>2013</v>
      </c>
      <c r="C436" t="s">
        <v>273</v>
      </c>
      <c r="D436">
        <v>52.3</v>
      </c>
      <c r="E436">
        <v>412</v>
      </c>
      <c r="F436">
        <v>59</v>
      </c>
      <c r="G436">
        <v>3.15</v>
      </c>
      <c r="H436">
        <v>0</v>
      </c>
      <c r="I436">
        <v>8</v>
      </c>
      <c r="J436">
        <v>48</v>
      </c>
      <c r="K436">
        <v>26.8</v>
      </c>
      <c r="L436">
        <v>81</v>
      </c>
      <c r="M436">
        <v>79</v>
      </c>
      <c r="N436">
        <v>5.81</v>
      </c>
      <c r="O436">
        <v>8</v>
      </c>
      <c r="P436">
        <v>2.4</v>
      </c>
      <c r="S436">
        <v>5.8</v>
      </c>
      <c r="T436">
        <v>5.7</v>
      </c>
      <c r="W436" t="b">
        <f>COUNT(LifeExpectancyData[[#This Row],[Life expectancy]:[Schooling]])=19</f>
        <v>0</v>
      </c>
    </row>
    <row r="437" spans="1:23" x14ac:dyDescent="0.25">
      <c r="A437" t="s">
        <v>301</v>
      </c>
      <c r="B437">
        <v>2012</v>
      </c>
      <c r="C437" t="s">
        <v>273</v>
      </c>
      <c r="D437">
        <v>52</v>
      </c>
      <c r="E437">
        <v>415</v>
      </c>
      <c r="F437">
        <v>59</v>
      </c>
      <c r="G437">
        <v>3.24</v>
      </c>
      <c r="H437">
        <v>0</v>
      </c>
      <c r="I437">
        <v>82</v>
      </c>
      <c r="J437">
        <v>137</v>
      </c>
      <c r="K437">
        <v>26.2</v>
      </c>
      <c r="L437">
        <v>82</v>
      </c>
      <c r="M437">
        <v>83</v>
      </c>
      <c r="N437">
        <v>6.14</v>
      </c>
      <c r="O437">
        <v>82</v>
      </c>
      <c r="P437">
        <v>2.9</v>
      </c>
      <c r="S437">
        <v>5.9</v>
      </c>
      <c r="T437">
        <v>5.9</v>
      </c>
      <c r="W437" t="b">
        <f>COUNT(LifeExpectancyData[[#This Row],[Life expectancy]:[Schooling]])=19</f>
        <v>0</v>
      </c>
    </row>
    <row r="438" spans="1:23" x14ac:dyDescent="0.25">
      <c r="A438" t="s">
        <v>301</v>
      </c>
      <c r="B438">
        <v>2011</v>
      </c>
      <c r="C438" t="s">
        <v>273</v>
      </c>
      <c r="D438">
        <v>51.7</v>
      </c>
      <c r="E438">
        <v>419</v>
      </c>
      <c r="F438">
        <v>60</v>
      </c>
      <c r="G438">
        <v>3.13</v>
      </c>
      <c r="H438">
        <v>0</v>
      </c>
      <c r="I438">
        <v>62</v>
      </c>
      <c r="J438">
        <v>628</v>
      </c>
      <c r="K438">
        <v>25.6</v>
      </c>
      <c r="L438">
        <v>83</v>
      </c>
      <c r="M438">
        <v>58</v>
      </c>
      <c r="N438">
        <v>6.42</v>
      </c>
      <c r="O438">
        <v>62</v>
      </c>
      <c r="P438">
        <v>3.3</v>
      </c>
      <c r="S438">
        <v>6.1</v>
      </c>
      <c r="T438">
        <v>6</v>
      </c>
      <c r="W438" t="b">
        <f>COUNT(LifeExpectancyData[[#This Row],[Life expectancy]:[Schooling]])=19</f>
        <v>0</v>
      </c>
    </row>
    <row r="439" spans="1:23" x14ac:dyDescent="0.25">
      <c r="A439" t="s">
        <v>301</v>
      </c>
      <c r="B439">
        <v>2010</v>
      </c>
      <c r="C439" t="s">
        <v>273</v>
      </c>
      <c r="D439">
        <v>51.5</v>
      </c>
      <c r="E439">
        <v>417</v>
      </c>
      <c r="F439">
        <v>60</v>
      </c>
      <c r="G439">
        <v>3.15</v>
      </c>
      <c r="H439">
        <v>0</v>
      </c>
      <c r="I439">
        <v>85</v>
      </c>
      <c r="J439">
        <v>441</v>
      </c>
      <c r="K439">
        <v>25</v>
      </c>
      <c r="L439">
        <v>84</v>
      </c>
      <c r="M439">
        <v>81</v>
      </c>
      <c r="N439">
        <v>6.32</v>
      </c>
      <c r="O439">
        <v>85</v>
      </c>
      <c r="P439">
        <v>3.3</v>
      </c>
      <c r="S439">
        <v>6.3</v>
      </c>
      <c r="T439">
        <v>6.2</v>
      </c>
      <c r="W439" t="b">
        <f>COUNT(LifeExpectancyData[[#This Row],[Life expectancy]:[Schooling]])=19</f>
        <v>0</v>
      </c>
    </row>
    <row r="440" spans="1:23" x14ac:dyDescent="0.25">
      <c r="A440" t="s">
        <v>301</v>
      </c>
      <c r="B440">
        <v>2009</v>
      </c>
      <c r="C440" t="s">
        <v>273</v>
      </c>
      <c r="D440">
        <v>51</v>
      </c>
      <c r="E440">
        <v>426</v>
      </c>
      <c r="F440">
        <v>60</v>
      </c>
      <c r="G440">
        <v>2.92</v>
      </c>
      <c r="H440">
        <v>0</v>
      </c>
      <c r="I440">
        <v>81</v>
      </c>
      <c r="J440">
        <v>183</v>
      </c>
      <c r="K440">
        <v>24.4</v>
      </c>
      <c r="L440">
        <v>84</v>
      </c>
      <c r="M440">
        <v>77</v>
      </c>
      <c r="N440">
        <v>6.41</v>
      </c>
      <c r="O440">
        <v>81</v>
      </c>
      <c r="P440">
        <v>3.7</v>
      </c>
      <c r="S440">
        <v>6.5</v>
      </c>
      <c r="T440">
        <v>6.4</v>
      </c>
      <c r="W440" t="b">
        <f>COUNT(LifeExpectancyData[[#This Row],[Life expectancy]:[Schooling]])=19</f>
        <v>0</v>
      </c>
    </row>
    <row r="441" spans="1:23" x14ac:dyDescent="0.25">
      <c r="A441" t="s">
        <v>301</v>
      </c>
      <c r="B441">
        <v>2008</v>
      </c>
      <c r="C441" t="s">
        <v>273</v>
      </c>
      <c r="D441">
        <v>54</v>
      </c>
      <c r="E441">
        <v>437</v>
      </c>
      <c r="F441">
        <v>60</v>
      </c>
      <c r="G441">
        <v>2.69</v>
      </c>
      <c r="H441">
        <v>0</v>
      </c>
      <c r="I441">
        <v>74</v>
      </c>
      <c r="J441">
        <v>12</v>
      </c>
      <c r="K441">
        <v>23.8</v>
      </c>
      <c r="L441">
        <v>85</v>
      </c>
      <c r="M441">
        <v>58</v>
      </c>
      <c r="N441">
        <v>6.21</v>
      </c>
      <c r="O441">
        <v>74</v>
      </c>
      <c r="P441">
        <v>4.0999999999999996</v>
      </c>
      <c r="S441">
        <v>6.6</v>
      </c>
      <c r="T441">
        <v>6.6</v>
      </c>
      <c r="W441" t="b">
        <f>COUNT(LifeExpectancyData[[#This Row],[Life expectancy]:[Schooling]])=19</f>
        <v>0</v>
      </c>
    </row>
    <row r="442" spans="1:23" x14ac:dyDescent="0.25">
      <c r="A442" t="s">
        <v>301</v>
      </c>
      <c r="B442">
        <v>2007</v>
      </c>
      <c r="C442" t="s">
        <v>273</v>
      </c>
      <c r="D442">
        <v>49.9</v>
      </c>
      <c r="E442">
        <v>443</v>
      </c>
      <c r="F442">
        <v>61</v>
      </c>
      <c r="G442">
        <v>2.58</v>
      </c>
      <c r="H442">
        <v>0</v>
      </c>
      <c r="I442">
        <v>76</v>
      </c>
      <c r="J442">
        <v>5</v>
      </c>
      <c r="K442">
        <v>23.2</v>
      </c>
      <c r="L442">
        <v>87</v>
      </c>
      <c r="M442">
        <v>75</v>
      </c>
      <c r="N442">
        <v>6.35</v>
      </c>
      <c r="O442">
        <v>76</v>
      </c>
      <c r="P442">
        <v>5.3</v>
      </c>
      <c r="S442">
        <v>6.8</v>
      </c>
      <c r="T442">
        <v>6.7</v>
      </c>
      <c r="W442" t="b">
        <f>COUNT(LifeExpectancyData[[#This Row],[Life expectancy]:[Schooling]])=19</f>
        <v>0</v>
      </c>
    </row>
    <row r="443" spans="1:23" x14ac:dyDescent="0.25">
      <c r="A443" t="s">
        <v>301</v>
      </c>
      <c r="B443">
        <v>2006</v>
      </c>
      <c r="C443" t="s">
        <v>273</v>
      </c>
      <c r="D443">
        <v>49.4</v>
      </c>
      <c r="E443">
        <v>452</v>
      </c>
      <c r="F443">
        <v>62</v>
      </c>
      <c r="G443">
        <v>2.65</v>
      </c>
      <c r="H443">
        <v>0</v>
      </c>
      <c r="I443">
        <v>77</v>
      </c>
      <c r="J443">
        <v>11</v>
      </c>
      <c r="K443">
        <v>22.6</v>
      </c>
      <c r="L443">
        <v>89</v>
      </c>
      <c r="M443">
        <v>76</v>
      </c>
      <c r="N443">
        <v>5.87</v>
      </c>
      <c r="O443">
        <v>77</v>
      </c>
      <c r="P443">
        <v>5.8</v>
      </c>
      <c r="S443">
        <v>7</v>
      </c>
      <c r="T443">
        <v>6.9</v>
      </c>
      <c r="W443" t="b">
        <f>COUNT(LifeExpectancyData[[#This Row],[Life expectancy]:[Schooling]])=19</f>
        <v>0</v>
      </c>
    </row>
    <row r="444" spans="1:23" x14ac:dyDescent="0.25">
      <c r="A444" t="s">
        <v>301</v>
      </c>
      <c r="B444">
        <v>2005</v>
      </c>
      <c r="C444" t="s">
        <v>273</v>
      </c>
      <c r="D444">
        <v>48.7</v>
      </c>
      <c r="E444">
        <v>466</v>
      </c>
      <c r="F444">
        <v>63</v>
      </c>
      <c r="G444">
        <v>3.11</v>
      </c>
      <c r="H444">
        <v>0</v>
      </c>
      <c r="I444">
        <v>76</v>
      </c>
      <c r="J444">
        <v>115</v>
      </c>
      <c r="K444">
        <v>22.1</v>
      </c>
      <c r="L444">
        <v>90</v>
      </c>
      <c r="M444">
        <v>87</v>
      </c>
      <c r="N444">
        <v>5.39</v>
      </c>
      <c r="O444">
        <v>76</v>
      </c>
      <c r="P444">
        <v>6.1</v>
      </c>
      <c r="S444">
        <v>7.2</v>
      </c>
      <c r="T444">
        <v>7.1</v>
      </c>
      <c r="W444" t="b">
        <f>COUNT(LifeExpectancyData[[#This Row],[Life expectancy]:[Schooling]])=19</f>
        <v>0</v>
      </c>
    </row>
    <row r="445" spans="1:23" x14ac:dyDescent="0.25">
      <c r="A445" t="s">
        <v>301</v>
      </c>
      <c r="B445">
        <v>2004</v>
      </c>
      <c r="C445" t="s">
        <v>273</v>
      </c>
      <c r="D445">
        <v>48.2</v>
      </c>
      <c r="E445">
        <v>472</v>
      </c>
      <c r="F445">
        <v>64</v>
      </c>
      <c r="G445">
        <v>3.08</v>
      </c>
      <c r="H445">
        <v>0</v>
      </c>
      <c r="I445">
        <v>67</v>
      </c>
      <c r="J445">
        <v>3466</v>
      </c>
      <c r="K445">
        <v>21.5</v>
      </c>
      <c r="L445">
        <v>91</v>
      </c>
      <c r="M445">
        <v>76</v>
      </c>
      <c r="N445">
        <v>5.24</v>
      </c>
      <c r="O445">
        <v>67</v>
      </c>
      <c r="P445">
        <v>6.5</v>
      </c>
      <c r="S445">
        <v>7.3</v>
      </c>
      <c r="T445">
        <v>7.3</v>
      </c>
      <c r="W445" t="b">
        <f>COUNT(LifeExpectancyData[[#This Row],[Life expectancy]:[Schooling]])=19</f>
        <v>0</v>
      </c>
    </row>
    <row r="446" spans="1:23" x14ac:dyDescent="0.25">
      <c r="A446" t="s">
        <v>301</v>
      </c>
      <c r="B446">
        <v>2003</v>
      </c>
      <c r="C446" t="s">
        <v>273</v>
      </c>
      <c r="D446">
        <v>48</v>
      </c>
      <c r="E446">
        <v>473</v>
      </c>
      <c r="F446">
        <v>64</v>
      </c>
      <c r="G446">
        <v>3.12</v>
      </c>
      <c r="H446">
        <v>0</v>
      </c>
      <c r="I446">
        <v>63</v>
      </c>
      <c r="J446">
        <v>4770</v>
      </c>
      <c r="K446">
        <v>2.9</v>
      </c>
      <c r="L446">
        <v>92</v>
      </c>
      <c r="M446">
        <v>68</v>
      </c>
      <c r="N446">
        <v>4.6500000000000004</v>
      </c>
      <c r="O446">
        <v>61</v>
      </c>
      <c r="P446">
        <v>6.7</v>
      </c>
      <c r="S446">
        <v>7.5</v>
      </c>
      <c r="T446">
        <v>7.5</v>
      </c>
      <c r="W446" t="b">
        <f>COUNT(LifeExpectancyData[[#This Row],[Life expectancy]:[Schooling]])=19</f>
        <v>0</v>
      </c>
    </row>
    <row r="447" spans="1:23" x14ac:dyDescent="0.25">
      <c r="A447" t="s">
        <v>301</v>
      </c>
      <c r="B447">
        <v>2002</v>
      </c>
      <c r="C447" t="s">
        <v>273</v>
      </c>
      <c r="D447">
        <v>47.7</v>
      </c>
      <c r="E447">
        <v>473</v>
      </c>
      <c r="F447">
        <v>65</v>
      </c>
      <c r="G447">
        <v>3.13</v>
      </c>
      <c r="H447">
        <v>0</v>
      </c>
      <c r="I447">
        <v>48</v>
      </c>
      <c r="J447">
        <v>5882</v>
      </c>
      <c r="K447">
        <v>2.4</v>
      </c>
      <c r="L447">
        <v>93</v>
      </c>
      <c r="M447">
        <v>7</v>
      </c>
      <c r="N447">
        <v>4.47</v>
      </c>
      <c r="O447">
        <v>64</v>
      </c>
      <c r="P447">
        <v>6.9</v>
      </c>
      <c r="S447">
        <v>7.7</v>
      </c>
      <c r="T447">
        <v>7.7</v>
      </c>
      <c r="W447" t="b">
        <f>COUNT(LifeExpectancyData[[#This Row],[Life expectancy]:[Schooling]])=19</f>
        <v>0</v>
      </c>
    </row>
    <row r="448" spans="1:23" x14ac:dyDescent="0.25">
      <c r="A448" t="s">
        <v>301</v>
      </c>
      <c r="B448">
        <v>2001</v>
      </c>
      <c r="C448" t="s">
        <v>273</v>
      </c>
      <c r="D448">
        <v>47.8</v>
      </c>
      <c r="E448">
        <v>467</v>
      </c>
      <c r="F448">
        <v>65</v>
      </c>
      <c r="G448">
        <v>3.15</v>
      </c>
      <c r="H448">
        <v>0</v>
      </c>
      <c r="I448">
        <v>1</v>
      </c>
      <c r="J448">
        <v>5790</v>
      </c>
      <c r="K448">
        <v>19.899999999999999</v>
      </c>
      <c r="L448">
        <v>94</v>
      </c>
      <c r="M448">
        <v>7</v>
      </c>
      <c r="N448">
        <v>4.8499999999999996</v>
      </c>
      <c r="O448">
        <v>66</v>
      </c>
      <c r="P448">
        <v>7</v>
      </c>
      <c r="S448">
        <v>7.9</v>
      </c>
      <c r="T448">
        <v>7.9</v>
      </c>
      <c r="W448" t="b">
        <f>COUNT(LifeExpectancyData[[#This Row],[Life expectancy]:[Schooling]])=19</f>
        <v>0</v>
      </c>
    </row>
    <row r="449" spans="1:23" x14ac:dyDescent="0.25">
      <c r="A449" t="s">
        <v>301</v>
      </c>
      <c r="B449">
        <v>2000</v>
      </c>
      <c r="C449" t="s">
        <v>273</v>
      </c>
      <c r="D449">
        <v>47.9</v>
      </c>
      <c r="E449">
        <v>461</v>
      </c>
      <c r="F449">
        <v>67</v>
      </c>
      <c r="G449">
        <v>3.45</v>
      </c>
      <c r="H449">
        <v>0</v>
      </c>
      <c r="J449">
        <v>5729</v>
      </c>
      <c r="K449">
        <v>19.399999999999999</v>
      </c>
      <c r="L449">
        <v>95</v>
      </c>
      <c r="M449">
        <v>66</v>
      </c>
      <c r="N449">
        <v>6</v>
      </c>
      <c r="O449">
        <v>65</v>
      </c>
      <c r="P449">
        <v>7.1</v>
      </c>
      <c r="S449">
        <v>8.1</v>
      </c>
      <c r="T449">
        <v>8.1</v>
      </c>
      <c r="W449" t="b">
        <f>COUNT(LifeExpectancyData[[#This Row],[Life expectancy]:[Schooling]])=19</f>
        <v>0</v>
      </c>
    </row>
    <row r="450" spans="1:23" x14ac:dyDescent="0.25">
      <c r="A450" t="s">
        <v>302</v>
      </c>
      <c r="B450">
        <v>2015</v>
      </c>
      <c r="C450" t="s">
        <v>273</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COUNT(LifeExpectancyData[[#This Row],[Life expectancy]:[Schooling]])=19</f>
        <v>0</v>
      </c>
    </row>
    <row r="451" spans="1:23" x14ac:dyDescent="0.25">
      <c r="A451" t="s">
        <v>302</v>
      </c>
      <c r="B451">
        <v>2014</v>
      </c>
      <c r="C451" t="s">
        <v>273</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COUNT(LifeExpectancyData[[#This Row],[Life expectancy]:[Schooling]])=19</f>
        <v>1</v>
      </c>
    </row>
    <row r="452" spans="1:23" x14ac:dyDescent="0.25">
      <c r="A452" t="s">
        <v>302</v>
      </c>
      <c r="B452">
        <v>2013</v>
      </c>
      <c r="C452" t="s">
        <v>273</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COUNT(LifeExpectancyData[[#This Row],[Life expectancy]:[Schooling]])=19</f>
        <v>1</v>
      </c>
    </row>
    <row r="453" spans="1:23" x14ac:dyDescent="0.25">
      <c r="A453" t="s">
        <v>302</v>
      </c>
      <c r="B453">
        <v>2012</v>
      </c>
      <c r="C453" t="s">
        <v>273</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COUNT(LifeExpectancyData[[#This Row],[Life expectancy]:[Schooling]])=19</f>
        <v>1</v>
      </c>
    </row>
    <row r="454" spans="1:23" x14ac:dyDescent="0.25">
      <c r="A454" t="s">
        <v>302</v>
      </c>
      <c r="B454">
        <v>2011</v>
      </c>
      <c r="C454" t="s">
        <v>273</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COUNT(LifeExpectancyData[[#This Row],[Life expectancy]:[Schooling]])=19</f>
        <v>1</v>
      </c>
    </row>
    <row r="455" spans="1:23" x14ac:dyDescent="0.25">
      <c r="A455" t="s">
        <v>302</v>
      </c>
      <c r="B455">
        <v>2010</v>
      </c>
      <c r="C455" t="s">
        <v>273</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COUNT(LifeExpectancyData[[#This Row],[Life expectancy]:[Schooling]])=19</f>
        <v>1</v>
      </c>
    </row>
    <row r="456" spans="1:23" x14ac:dyDescent="0.25">
      <c r="A456" t="s">
        <v>302</v>
      </c>
      <c r="B456">
        <v>2009</v>
      </c>
      <c r="C456" t="s">
        <v>273</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COUNT(LifeExpectancyData[[#This Row],[Life expectancy]:[Schooling]])=19</f>
        <v>1</v>
      </c>
    </row>
    <row r="457" spans="1:23" x14ac:dyDescent="0.25">
      <c r="A457" t="s">
        <v>302</v>
      </c>
      <c r="B457">
        <v>2008</v>
      </c>
      <c r="C457" t="s">
        <v>273</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COUNT(LifeExpectancyData[[#This Row],[Life expectancy]:[Schooling]])=19</f>
        <v>1</v>
      </c>
    </row>
    <row r="458" spans="1:23" x14ac:dyDescent="0.25">
      <c r="A458" t="s">
        <v>302</v>
      </c>
      <c r="B458">
        <v>2007</v>
      </c>
      <c r="C458" t="s">
        <v>273</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COUNT(LifeExpectancyData[[#This Row],[Life expectancy]:[Schooling]])=19</f>
        <v>1</v>
      </c>
    </row>
    <row r="459" spans="1:23" x14ac:dyDescent="0.25">
      <c r="A459" t="s">
        <v>302</v>
      </c>
      <c r="B459">
        <v>2006</v>
      </c>
      <c r="C459" t="s">
        <v>273</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COUNT(LifeExpectancyData[[#This Row],[Life expectancy]:[Schooling]])=19</f>
        <v>1</v>
      </c>
    </row>
    <row r="460" spans="1:23" x14ac:dyDescent="0.25">
      <c r="A460" t="s">
        <v>302</v>
      </c>
      <c r="B460">
        <v>2005</v>
      </c>
      <c r="C460" t="s">
        <v>273</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COUNT(LifeExpectancyData[[#This Row],[Life expectancy]:[Schooling]])=19</f>
        <v>1</v>
      </c>
    </row>
    <row r="461" spans="1:23" x14ac:dyDescent="0.25">
      <c r="A461" t="s">
        <v>302</v>
      </c>
      <c r="B461">
        <v>2004</v>
      </c>
      <c r="C461" t="s">
        <v>273</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COUNT(LifeExpectancyData[[#This Row],[Life expectancy]:[Schooling]])=19</f>
        <v>1</v>
      </c>
    </row>
    <row r="462" spans="1:23" x14ac:dyDescent="0.25">
      <c r="A462" t="s">
        <v>302</v>
      </c>
      <c r="B462">
        <v>2003</v>
      </c>
      <c r="C462" t="s">
        <v>273</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COUNT(LifeExpectancyData[[#This Row],[Life expectancy]:[Schooling]])=19</f>
        <v>1</v>
      </c>
    </row>
    <row r="463" spans="1:23" x14ac:dyDescent="0.25">
      <c r="A463" t="s">
        <v>302</v>
      </c>
      <c r="B463">
        <v>2002</v>
      </c>
      <c r="C463" t="s">
        <v>273</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COUNT(LifeExpectancyData[[#This Row],[Life expectancy]:[Schooling]])=19</f>
        <v>1</v>
      </c>
    </row>
    <row r="464" spans="1:23" x14ac:dyDescent="0.25">
      <c r="A464" t="s">
        <v>302</v>
      </c>
      <c r="B464">
        <v>2001</v>
      </c>
      <c r="C464" t="s">
        <v>273</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COUNT(LifeExpectancyData[[#This Row],[Life expectancy]:[Schooling]])=19</f>
        <v>0</v>
      </c>
    </row>
    <row r="465" spans="1:23" x14ac:dyDescent="0.25">
      <c r="A465" t="s">
        <v>302</v>
      </c>
      <c r="B465">
        <v>2000</v>
      </c>
      <c r="C465" t="s">
        <v>273</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COUNT(LifeExpectancyData[[#This Row],[Life expectancy]:[Schooling]])=19</f>
        <v>0</v>
      </c>
    </row>
    <row r="466" spans="1:23" x14ac:dyDescent="0.25">
      <c r="A466" t="s">
        <v>303</v>
      </c>
      <c r="B466">
        <v>2015</v>
      </c>
      <c r="C466" t="s">
        <v>273</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COUNT(LifeExpectancyData[[#This Row],[Life expectancy]:[Schooling]])=19</f>
        <v>0</v>
      </c>
    </row>
    <row r="467" spans="1:23" x14ac:dyDescent="0.25">
      <c r="A467" t="s">
        <v>303</v>
      </c>
      <c r="B467">
        <v>2014</v>
      </c>
      <c r="C467" t="s">
        <v>273</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COUNT(LifeExpectancyData[[#This Row],[Life expectancy]:[Schooling]])=19</f>
        <v>1</v>
      </c>
    </row>
    <row r="468" spans="1:23" x14ac:dyDescent="0.25">
      <c r="A468" t="s">
        <v>303</v>
      </c>
      <c r="B468">
        <v>2013</v>
      </c>
      <c r="C468" t="s">
        <v>273</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COUNT(LifeExpectancyData[[#This Row],[Life expectancy]:[Schooling]])=19</f>
        <v>1</v>
      </c>
    </row>
    <row r="469" spans="1:23" x14ac:dyDescent="0.25">
      <c r="A469" t="s">
        <v>303</v>
      </c>
      <c r="B469">
        <v>2012</v>
      </c>
      <c r="C469" t="s">
        <v>273</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COUNT(LifeExpectancyData[[#This Row],[Life expectancy]:[Schooling]])=19</f>
        <v>1</v>
      </c>
    </row>
    <row r="470" spans="1:23" x14ac:dyDescent="0.25">
      <c r="A470" t="s">
        <v>303</v>
      </c>
      <c r="B470">
        <v>2011</v>
      </c>
      <c r="C470" t="s">
        <v>273</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COUNT(LifeExpectancyData[[#This Row],[Life expectancy]:[Schooling]])=19</f>
        <v>1</v>
      </c>
    </row>
    <row r="471" spans="1:23" x14ac:dyDescent="0.25">
      <c r="A471" t="s">
        <v>303</v>
      </c>
      <c r="B471">
        <v>2010</v>
      </c>
      <c r="C471" t="s">
        <v>273</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COUNT(LifeExpectancyData[[#This Row],[Life expectancy]:[Schooling]])=19</f>
        <v>1</v>
      </c>
    </row>
    <row r="472" spans="1:23" x14ac:dyDescent="0.25">
      <c r="A472" t="s">
        <v>303</v>
      </c>
      <c r="B472">
        <v>2009</v>
      </c>
      <c r="C472" t="s">
        <v>273</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COUNT(LifeExpectancyData[[#This Row],[Life expectancy]:[Schooling]])=19</f>
        <v>1</v>
      </c>
    </row>
    <row r="473" spans="1:23" x14ac:dyDescent="0.25">
      <c r="A473" t="s">
        <v>303</v>
      </c>
      <c r="B473">
        <v>2008</v>
      </c>
      <c r="C473" t="s">
        <v>273</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COUNT(LifeExpectancyData[[#This Row],[Life expectancy]:[Schooling]])=19</f>
        <v>1</v>
      </c>
    </row>
    <row r="474" spans="1:23" x14ac:dyDescent="0.25">
      <c r="A474" t="s">
        <v>303</v>
      </c>
      <c r="B474">
        <v>2007</v>
      </c>
      <c r="C474" t="s">
        <v>273</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COUNT(LifeExpectancyData[[#This Row],[Life expectancy]:[Schooling]])=19</f>
        <v>1</v>
      </c>
    </row>
    <row r="475" spans="1:23" x14ac:dyDescent="0.25">
      <c r="A475" t="s">
        <v>303</v>
      </c>
      <c r="B475">
        <v>2006</v>
      </c>
      <c r="C475" t="s">
        <v>273</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COUNT(LifeExpectancyData[[#This Row],[Life expectancy]:[Schooling]])=19</f>
        <v>1</v>
      </c>
    </row>
    <row r="476" spans="1:23" x14ac:dyDescent="0.25">
      <c r="A476" t="s">
        <v>303</v>
      </c>
      <c r="B476">
        <v>2005</v>
      </c>
      <c r="C476" t="s">
        <v>273</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COUNT(LifeExpectancyData[[#This Row],[Life expectancy]:[Schooling]])=19</f>
        <v>0</v>
      </c>
    </row>
    <row r="477" spans="1:23" x14ac:dyDescent="0.25">
      <c r="A477" t="s">
        <v>303</v>
      </c>
      <c r="B477">
        <v>2004</v>
      </c>
      <c r="C477" t="s">
        <v>273</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COUNT(LifeExpectancyData[[#This Row],[Life expectancy]:[Schooling]])=19</f>
        <v>0</v>
      </c>
    </row>
    <row r="478" spans="1:23" x14ac:dyDescent="0.25">
      <c r="A478" t="s">
        <v>303</v>
      </c>
      <c r="B478">
        <v>2003</v>
      </c>
      <c r="C478" t="s">
        <v>273</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COUNT(LifeExpectancyData[[#This Row],[Life expectancy]:[Schooling]])=19</f>
        <v>0</v>
      </c>
    </row>
    <row r="479" spans="1:23" x14ac:dyDescent="0.25">
      <c r="A479" t="s">
        <v>303</v>
      </c>
      <c r="B479">
        <v>2002</v>
      </c>
      <c r="C479" t="s">
        <v>273</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COUNT(LifeExpectancyData[[#This Row],[Life expectancy]:[Schooling]])=19</f>
        <v>0</v>
      </c>
    </row>
    <row r="480" spans="1:23" x14ac:dyDescent="0.25">
      <c r="A480" t="s">
        <v>303</v>
      </c>
      <c r="B480">
        <v>2001</v>
      </c>
      <c r="C480" t="s">
        <v>273</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COUNT(LifeExpectancyData[[#This Row],[Life expectancy]:[Schooling]])=19</f>
        <v>0</v>
      </c>
    </row>
    <row r="481" spans="1:23" x14ac:dyDescent="0.25">
      <c r="A481" t="s">
        <v>303</v>
      </c>
      <c r="B481">
        <v>2000</v>
      </c>
      <c r="C481" t="s">
        <v>273</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COUNT(LifeExpectancyData[[#This Row],[Life expectancy]:[Schooling]])=19</f>
        <v>0</v>
      </c>
    </row>
    <row r="482" spans="1:23" x14ac:dyDescent="0.25">
      <c r="A482" t="s">
        <v>304</v>
      </c>
      <c r="B482">
        <v>2015</v>
      </c>
      <c r="C482" t="s">
        <v>273</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COUNT(LifeExpectancyData[[#This Row],[Life expectancy]:[Schooling]])=19</f>
        <v>0</v>
      </c>
    </row>
    <row r="483" spans="1:23" x14ac:dyDescent="0.25">
      <c r="A483" t="s">
        <v>304</v>
      </c>
      <c r="B483">
        <v>2014</v>
      </c>
      <c r="C483" t="s">
        <v>273</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COUNT(LifeExpectancyData[[#This Row],[Life expectancy]:[Schooling]])=19</f>
        <v>1</v>
      </c>
    </row>
    <row r="484" spans="1:23" x14ac:dyDescent="0.25">
      <c r="A484" t="s">
        <v>304</v>
      </c>
      <c r="B484">
        <v>2013</v>
      </c>
      <c r="C484" t="s">
        <v>273</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COUNT(LifeExpectancyData[[#This Row],[Life expectancy]:[Schooling]])=19</f>
        <v>1</v>
      </c>
    </row>
    <row r="485" spans="1:23" x14ac:dyDescent="0.25">
      <c r="A485" t="s">
        <v>304</v>
      </c>
      <c r="B485">
        <v>2012</v>
      </c>
      <c r="C485" t="s">
        <v>273</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COUNT(LifeExpectancyData[[#This Row],[Life expectancy]:[Schooling]])=19</f>
        <v>1</v>
      </c>
    </row>
    <row r="486" spans="1:23" x14ac:dyDescent="0.25">
      <c r="A486" t="s">
        <v>304</v>
      </c>
      <c r="B486">
        <v>2011</v>
      </c>
      <c r="C486" t="s">
        <v>273</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COUNT(LifeExpectancyData[[#This Row],[Life expectancy]:[Schooling]])=19</f>
        <v>1</v>
      </c>
    </row>
    <row r="487" spans="1:23" x14ac:dyDescent="0.25">
      <c r="A487" t="s">
        <v>304</v>
      </c>
      <c r="B487">
        <v>2010</v>
      </c>
      <c r="C487" t="s">
        <v>273</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COUNT(LifeExpectancyData[[#This Row],[Life expectancy]:[Schooling]])=19</f>
        <v>1</v>
      </c>
    </row>
    <row r="488" spans="1:23" x14ac:dyDescent="0.25">
      <c r="A488" t="s">
        <v>304</v>
      </c>
      <c r="B488">
        <v>2009</v>
      </c>
      <c r="C488" t="s">
        <v>273</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COUNT(LifeExpectancyData[[#This Row],[Life expectancy]:[Schooling]])=19</f>
        <v>1</v>
      </c>
    </row>
    <row r="489" spans="1:23" x14ac:dyDescent="0.25">
      <c r="A489" t="s">
        <v>304</v>
      </c>
      <c r="B489">
        <v>2008</v>
      </c>
      <c r="C489" t="s">
        <v>273</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COUNT(LifeExpectancyData[[#This Row],[Life expectancy]:[Schooling]])=19</f>
        <v>1</v>
      </c>
    </row>
    <row r="490" spans="1:23" x14ac:dyDescent="0.25">
      <c r="A490" t="s">
        <v>304</v>
      </c>
      <c r="B490">
        <v>2007</v>
      </c>
      <c r="C490" t="s">
        <v>273</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COUNT(LifeExpectancyData[[#This Row],[Life expectancy]:[Schooling]])=19</f>
        <v>1</v>
      </c>
    </row>
    <row r="491" spans="1:23" x14ac:dyDescent="0.25">
      <c r="A491" t="s">
        <v>304</v>
      </c>
      <c r="B491">
        <v>2006</v>
      </c>
      <c r="C491" t="s">
        <v>273</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COUNT(LifeExpectancyData[[#This Row],[Life expectancy]:[Schooling]])=19</f>
        <v>1</v>
      </c>
    </row>
    <row r="492" spans="1:23" x14ac:dyDescent="0.25">
      <c r="A492" t="s">
        <v>304</v>
      </c>
      <c r="B492">
        <v>2005</v>
      </c>
      <c r="C492" t="s">
        <v>273</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COUNT(LifeExpectancyData[[#This Row],[Life expectancy]:[Schooling]])=19</f>
        <v>1</v>
      </c>
    </row>
    <row r="493" spans="1:23" x14ac:dyDescent="0.25">
      <c r="A493" t="s">
        <v>304</v>
      </c>
      <c r="B493">
        <v>2004</v>
      </c>
      <c r="C493" t="s">
        <v>273</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COUNT(LifeExpectancyData[[#This Row],[Life expectancy]:[Schooling]])=19</f>
        <v>0</v>
      </c>
    </row>
    <row r="494" spans="1:23" x14ac:dyDescent="0.25">
      <c r="A494" t="s">
        <v>304</v>
      </c>
      <c r="B494">
        <v>2003</v>
      </c>
      <c r="C494" t="s">
        <v>273</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COUNT(LifeExpectancyData[[#This Row],[Life expectancy]:[Schooling]])=19</f>
        <v>0</v>
      </c>
    </row>
    <row r="495" spans="1:23" x14ac:dyDescent="0.25">
      <c r="A495" t="s">
        <v>304</v>
      </c>
      <c r="B495">
        <v>2002</v>
      </c>
      <c r="C495" t="s">
        <v>273</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COUNT(LifeExpectancyData[[#This Row],[Life expectancy]:[Schooling]])=19</f>
        <v>0</v>
      </c>
    </row>
    <row r="496" spans="1:23" x14ac:dyDescent="0.25">
      <c r="A496" t="s">
        <v>304</v>
      </c>
      <c r="B496">
        <v>2001</v>
      </c>
      <c r="C496" t="s">
        <v>273</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COUNT(LifeExpectancyData[[#This Row],[Life expectancy]:[Schooling]])=19</f>
        <v>0</v>
      </c>
    </row>
    <row r="497" spans="1:23" x14ac:dyDescent="0.25">
      <c r="A497" t="s">
        <v>304</v>
      </c>
      <c r="B497">
        <v>2000</v>
      </c>
      <c r="C497" t="s">
        <v>273</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COUNT(LifeExpectancyData[[#This Row],[Life expectancy]:[Schooling]])=19</f>
        <v>0</v>
      </c>
    </row>
    <row r="498" spans="1:23" x14ac:dyDescent="0.25">
      <c r="A498" t="s">
        <v>305</v>
      </c>
      <c r="B498">
        <v>2015</v>
      </c>
      <c r="C498" t="s">
        <v>273</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COUNT(LifeExpectancyData[[#This Row],[Life expectancy]:[Schooling]])=19</f>
        <v>0</v>
      </c>
    </row>
    <row r="499" spans="1:23" x14ac:dyDescent="0.25">
      <c r="A499" t="s">
        <v>305</v>
      </c>
      <c r="B499">
        <v>2014</v>
      </c>
      <c r="C499" t="s">
        <v>273</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COUNT(LifeExpectancyData[[#This Row],[Life expectancy]:[Schooling]])=19</f>
        <v>1</v>
      </c>
    </row>
    <row r="500" spans="1:23" x14ac:dyDescent="0.25">
      <c r="A500" t="s">
        <v>305</v>
      </c>
      <c r="B500">
        <v>2013</v>
      </c>
      <c r="C500" t="s">
        <v>273</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COUNT(LifeExpectancyData[[#This Row],[Life expectancy]:[Schooling]])=19</f>
        <v>1</v>
      </c>
    </row>
    <row r="501" spans="1:23" x14ac:dyDescent="0.25">
      <c r="A501" t="s">
        <v>305</v>
      </c>
      <c r="B501">
        <v>2012</v>
      </c>
      <c r="C501" t="s">
        <v>273</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COUNT(LifeExpectancyData[[#This Row],[Life expectancy]:[Schooling]])=19</f>
        <v>1</v>
      </c>
    </row>
    <row r="502" spans="1:23" x14ac:dyDescent="0.25">
      <c r="A502" t="s">
        <v>305</v>
      </c>
      <c r="B502">
        <v>2011</v>
      </c>
      <c r="C502" t="s">
        <v>273</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COUNT(LifeExpectancyData[[#This Row],[Life expectancy]:[Schooling]])=19</f>
        <v>1</v>
      </c>
    </row>
    <row r="503" spans="1:23" x14ac:dyDescent="0.25">
      <c r="A503" t="s">
        <v>305</v>
      </c>
      <c r="B503">
        <v>2010</v>
      </c>
      <c r="C503" t="s">
        <v>273</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COUNT(LifeExpectancyData[[#This Row],[Life expectancy]:[Schooling]])=19</f>
        <v>1</v>
      </c>
    </row>
    <row r="504" spans="1:23" x14ac:dyDescent="0.25">
      <c r="A504" t="s">
        <v>305</v>
      </c>
      <c r="B504">
        <v>2009</v>
      </c>
      <c r="C504" t="s">
        <v>273</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COUNT(LifeExpectancyData[[#This Row],[Life expectancy]:[Schooling]])=19</f>
        <v>1</v>
      </c>
    </row>
    <row r="505" spans="1:23" x14ac:dyDescent="0.25">
      <c r="A505" t="s">
        <v>305</v>
      </c>
      <c r="B505">
        <v>2008</v>
      </c>
      <c r="C505" t="s">
        <v>273</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COUNT(LifeExpectancyData[[#This Row],[Life expectancy]:[Schooling]])=19</f>
        <v>1</v>
      </c>
    </row>
    <row r="506" spans="1:23" x14ac:dyDescent="0.25">
      <c r="A506" t="s">
        <v>305</v>
      </c>
      <c r="B506">
        <v>2007</v>
      </c>
      <c r="C506" t="s">
        <v>273</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COUNT(LifeExpectancyData[[#This Row],[Life expectancy]:[Schooling]])=19</f>
        <v>1</v>
      </c>
    </row>
    <row r="507" spans="1:23" x14ac:dyDescent="0.25">
      <c r="A507" t="s">
        <v>305</v>
      </c>
      <c r="B507">
        <v>2006</v>
      </c>
      <c r="C507" t="s">
        <v>273</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COUNT(LifeExpectancyData[[#This Row],[Life expectancy]:[Schooling]])=19</f>
        <v>1</v>
      </c>
    </row>
    <row r="508" spans="1:23" x14ac:dyDescent="0.25">
      <c r="A508" t="s">
        <v>305</v>
      </c>
      <c r="B508">
        <v>2005</v>
      </c>
      <c r="C508" t="s">
        <v>273</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COUNT(LifeExpectancyData[[#This Row],[Life expectancy]:[Schooling]])=19</f>
        <v>1</v>
      </c>
    </row>
    <row r="509" spans="1:23" x14ac:dyDescent="0.25">
      <c r="A509" t="s">
        <v>305</v>
      </c>
      <c r="B509">
        <v>2004</v>
      </c>
      <c r="C509" t="s">
        <v>273</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COUNT(LifeExpectancyData[[#This Row],[Life expectancy]:[Schooling]])=19</f>
        <v>1</v>
      </c>
    </row>
    <row r="510" spans="1:23" x14ac:dyDescent="0.25">
      <c r="A510" t="s">
        <v>305</v>
      </c>
      <c r="B510">
        <v>2003</v>
      </c>
      <c r="C510" t="s">
        <v>273</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COUNT(LifeExpectancyData[[#This Row],[Life expectancy]:[Schooling]])=19</f>
        <v>1</v>
      </c>
    </row>
    <row r="511" spans="1:23" x14ac:dyDescent="0.25">
      <c r="A511" t="s">
        <v>305</v>
      </c>
      <c r="B511">
        <v>2002</v>
      </c>
      <c r="C511" t="s">
        <v>273</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COUNT(LifeExpectancyData[[#This Row],[Life expectancy]:[Schooling]])=19</f>
        <v>0</v>
      </c>
    </row>
    <row r="512" spans="1:23" x14ac:dyDescent="0.25">
      <c r="A512" t="s">
        <v>305</v>
      </c>
      <c r="B512">
        <v>2001</v>
      </c>
      <c r="C512" t="s">
        <v>273</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COUNT(LifeExpectancyData[[#This Row],[Life expectancy]:[Schooling]])=19</f>
        <v>0</v>
      </c>
    </row>
    <row r="513" spans="1:23" x14ac:dyDescent="0.25">
      <c r="A513" t="s">
        <v>305</v>
      </c>
      <c r="B513">
        <v>2000</v>
      </c>
      <c r="C513" t="s">
        <v>273</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COUNT(LifeExpectancyData[[#This Row],[Life expectancy]:[Schooling]])=19</f>
        <v>0</v>
      </c>
    </row>
    <row r="514" spans="1:23" x14ac:dyDescent="0.25">
      <c r="A514" t="s">
        <v>306</v>
      </c>
      <c r="B514">
        <v>2015</v>
      </c>
      <c r="C514" t="s">
        <v>273</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COUNT(LifeExpectancyData[[#This Row],[Life expectancy]:[Schooling]])=19</f>
        <v>0</v>
      </c>
    </row>
    <row r="515" spans="1:23" x14ac:dyDescent="0.25">
      <c r="A515" t="s">
        <v>306</v>
      </c>
      <c r="B515">
        <v>2014</v>
      </c>
      <c r="C515" t="s">
        <v>273</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COUNT(LifeExpectancyData[[#This Row],[Life expectancy]:[Schooling]])=19</f>
        <v>1</v>
      </c>
    </row>
    <row r="516" spans="1:23" x14ac:dyDescent="0.25">
      <c r="A516" t="s">
        <v>306</v>
      </c>
      <c r="B516">
        <v>2013</v>
      </c>
      <c r="C516" t="s">
        <v>273</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COUNT(LifeExpectancyData[[#This Row],[Life expectancy]:[Schooling]])=19</f>
        <v>1</v>
      </c>
    </row>
    <row r="517" spans="1:23" x14ac:dyDescent="0.25">
      <c r="A517" t="s">
        <v>306</v>
      </c>
      <c r="B517">
        <v>2012</v>
      </c>
      <c r="C517" t="s">
        <v>273</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COUNT(LifeExpectancyData[[#This Row],[Life expectancy]:[Schooling]])=19</f>
        <v>1</v>
      </c>
    </row>
    <row r="518" spans="1:23" x14ac:dyDescent="0.25">
      <c r="A518" t="s">
        <v>306</v>
      </c>
      <c r="B518">
        <v>2011</v>
      </c>
      <c r="C518" t="s">
        <v>273</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COUNT(LifeExpectancyData[[#This Row],[Life expectancy]:[Schooling]])=19</f>
        <v>1</v>
      </c>
    </row>
    <row r="519" spans="1:23" x14ac:dyDescent="0.25">
      <c r="A519" t="s">
        <v>306</v>
      </c>
      <c r="B519">
        <v>2010</v>
      </c>
      <c r="C519" t="s">
        <v>273</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COUNT(LifeExpectancyData[[#This Row],[Life expectancy]:[Schooling]])=19</f>
        <v>1</v>
      </c>
    </row>
    <row r="520" spans="1:23" x14ac:dyDescent="0.25">
      <c r="A520" t="s">
        <v>306</v>
      </c>
      <c r="B520">
        <v>2009</v>
      </c>
      <c r="C520" t="s">
        <v>273</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COUNT(LifeExpectancyData[[#This Row],[Life expectancy]:[Schooling]])=19</f>
        <v>1</v>
      </c>
    </row>
    <row r="521" spans="1:23" x14ac:dyDescent="0.25">
      <c r="A521" t="s">
        <v>306</v>
      </c>
      <c r="B521">
        <v>2008</v>
      </c>
      <c r="C521" t="s">
        <v>273</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COUNT(LifeExpectancyData[[#This Row],[Life expectancy]:[Schooling]])=19</f>
        <v>0</v>
      </c>
    </row>
    <row r="522" spans="1:23" x14ac:dyDescent="0.25">
      <c r="A522" t="s">
        <v>306</v>
      </c>
      <c r="B522">
        <v>2007</v>
      </c>
      <c r="C522" t="s">
        <v>273</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COUNT(LifeExpectancyData[[#This Row],[Life expectancy]:[Schooling]])=19</f>
        <v>0</v>
      </c>
    </row>
    <row r="523" spans="1:23" x14ac:dyDescent="0.25">
      <c r="A523" t="s">
        <v>306</v>
      </c>
      <c r="B523">
        <v>2006</v>
      </c>
      <c r="C523" t="s">
        <v>273</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COUNT(LifeExpectancyData[[#This Row],[Life expectancy]:[Schooling]])=19</f>
        <v>0</v>
      </c>
    </row>
    <row r="524" spans="1:23" x14ac:dyDescent="0.25">
      <c r="A524" t="s">
        <v>306</v>
      </c>
      <c r="B524">
        <v>2005</v>
      </c>
      <c r="C524" t="s">
        <v>273</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COUNT(LifeExpectancyData[[#This Row],[Life expectancy]:[Schooling]])=19</f>
        <v>0</v>
      </c>
    </row>
    <row r="525" spans="1:23" x14ac:dyDescent="0.25">
      <c r="A525" t="s">
        <v>306</v>
      </c>
      <c r="B525">
        <v>2004</v>
      </c>
      <c r="C525" t="s">
        <v>273</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COUNT(LifeExpectancyData[[#This Row],[Life expectancy]:[Schooling]])=19</f>
        <v>0</v>
      </c>
    </row>
    <row r="526" spans="1:23" x14ac:dyDescent="0.25">
      <c r="A526" t="s">
        <v>306</v>
      </c>
      <c r="B526">
        <v>2003</v>
      </c>
      <c r="C526" t="s">
        <v>273</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COUNT(LifeExpectancyData[[#This Row],[Life expectancy]:[Schooling]])=19</f>
        <v>0</v>
      </c>
    </row>
    <row r="527" spans="1:23" x14ac:dyDescent="0.25">
      <c r="A527" t="s">
        <v>306</v>
      </c>
      <c r="B527">
        <v>2002</v>
      </c>
      <c r="C527" t="s">
        <v>273</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COUNT(LifeExpectancyData[[#This Row],[Life expectancy]:[Schooling]])=19</f>
        <v>0</v>
      </c>
    </row>
    <row r="528" spans="1:23" x14ac:dyDescent="0.25">
      <c r="A528" t="s">
        <v>306</v>
      </c>
      <c r="B528">
        <v>2001</v>
      </c>
      <c r="C528" t="s">
        <v>273</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COUNT(LifeExpectancyData[[#This Row],[Life expectancy]:[Schooling]])=19</f>
        <v>0</v>
      </c>
    </row>
    <row r="529" spans="1:23" x14ac:dyDescent="0.25">
      <c r="A529" t="s">
        <v>306</v>
      </c>
      <c r="B529">
        <v>2000</v>
      </c>
      <c r="C529" t="s">
        <v>273</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COUNT(LifeExpectancyData[[#This Row],[Life expectancy]:[Schooling]])=19</f>
        <v>0</v>
      </c>
    </row>
    <row r="530" spans="1:23" x14ac:dyDescent="0.25">
      <c r="A530" t="s">
        <v>307</v>
      </c>
      <c r="B530">
        <v>2015</v>
      </c>
      <c r="C530" t="s">
        <v>273</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COUNT(LifeExpectancyData[[#This Row],[Life expectancy]:[Schooling]])=19</f>
        <v>0</v>
      </c>
    </row>
    <row r="531" spans="1:23" x14ac:dyDescent="0.25">
      <c r="A531" t="s">
        <v>307</v>
      </c>
      <c r="B531">
        <v>2014</v>
      </c>
      <c r="C531" t="s">
        <v>273</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COUNT(LifeExpectancyData[[#This Row],[Life expectancy]:[Schooling]])=19</f>
        <v>1</v>
      </c>
    </row>
    <row r="532" spans="1:23" x14ac:dyDescent="0.25">
      <c r="A532" t="s">
        <v>307</v>
      </c>
      <c r="B532">
        <v>2013</v>
      </c>
      <c r="C532" t="s">
        <v>273</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COUNT(LifeExpectancyData[[#This Row],[Life expectancy]:[Schooling]])=19</f>
        <v>1</v>
      </c>
    </row>
    <row r="533" spans="1:23" x14ac:dyDescent="0.25">
      <c r="A533" t="s">
        <v>307</v>
      </c>
      <c r="B533">
        <v>2012</v>
      </c>
      <c r="C533" t="s">
        <v>273</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COUNT(LifeExpectancyData[[#This Row],[Life expectancy]:[Schooling]])=19</f>
        <v>1</v>
      </c>
    </row>
    <row r="534" spans="1:23" x14ac:dyDescent="0.25">
      <c r="A534" t="s">
        <v>307</v>
      </c>
      <c r="B534">
        <v>2011</v>
      </c>
      <c r="C534" t="s">
        <v>273</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COUNT(LifeExpectancyData[[#This Row],[Life expectancy]:[Schooling]])=19</f>
        <v>1</v>
      </c>
    </row>
    <row r="535" spans="1:23" x14ac:dyDescent="0.25">
      <c r="A535" t="s">
        <v>307</v>
      </c>
      <c r="B535">
        <v>2010</v>
      </c>
      <c r="C535" t="s">
        <v>273</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COUNT(LifeExpectancyData[[#This Row],[Life expectancy]:[Schooling]])=19</f>
        <v>1</v>
      </c>
    </row>
    <row r="536" spans="1:23" x14ac:dyDescent="0.25">
      <c r="A536" t="s">
        <v>307</v>
      </c>
      <c r="B536">
        <v>2009</v>
      </c>
      <c r="C536" t="s">
        <v>273</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COUNT(LifeExpectancyData[[#This Row],[Life expectancy]:[Schooling]])=19</f>
        <v>1</v>
      </c>
    </row>
    <row r="537" spans="1:23" x14ac:dyDescent="0.25">
      <c r="A537" t="s">
        <v>307</v>
      </c>
      <c r="B537">
        <v>2008</v>
      </c>
      <c r="C537" t="s">
        <v>273</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COUNT(LifeExpectancyData[[#This Row],[Life expectancy]:[Schooling]])=19</f>
        <v>1</v>
      </c>
    </row>
    <row r="538" spans="1:23" x14ac:dyDescent="0.25">
      <c r="A538" t="s">
        <v>307</v>
      </c>
      <c r="B538">
        <v>2007</v>
      </c>
      <c r="C538" t="s">
        <v>273</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COUNT(LifeExpectancyData[[#This Row],[Life expectancy]:[Schooling]])=19</f>
        <v>0</v>
      </c>
    </row>
    <row r="539" spans="1:23" x14ac:dyDescent="0.25">
      <c r="A539" t="s">
        <v>307</v>
      </c>
      <c r="B539">
        <v>2006</v>
      </c>
      <c r="C539" t="s">
        <v>273</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COUNT(LifeExpectancyData[[#This Row],[Life expectancy]:[Schooling]])=19</f>
        <v>0</v>
      </c>
    </row>
    <row r="540" spans="1:23" x14ac:dyDescent="0.25">
      <c r="A540" t="s">
        <v>307</v>
      </c>
      <c r="B540">
        <v>2005</v>
      </c>
      <c r="C540" t="s">
        <v>273</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COUNT(LifeExpectancyData[[#This Row],[Life expectancy]:[Schooling]])=19</f>
        <v>0</v>
      </c>
    </row>
    <row r="541" spans="1:23" x14ac:dyDescent="0.25">
      <c r="A541" t="s">
        <v>307</v>
      </c>
      <c r="B541">
        <v>2004</v>
      </c>
      <c r="C541" t="s">
        <v>273</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COUNT(LifeExpectancyData[[#This Row],[Life expectancy]:[Schooling]])=19</f>
        <v>0</v>
      </c>
    </row>
    <row r="542" spans="1:23" x14ac:dyDescent="0.25">
      <c r="A542" t="s">
        <v>307</v>
      </c>
      <c r="B542">
        <v>2003</v>
      </c>
      <c r="C542" t="s">
        <v>273</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COUNT(LifeExpectancyData[[#This Row],[Life expectancy]:[Schooling]])=19</f>
        <v>0</v>
      </c>
    </row>
    <row r="543" spans="1:23" x14ac:dyDescent="0.25">
      <c r="A543" t="s">
        <v>307</v>
      </c>
      <c r="B543">
        <v>2002</v>
      </c>
      <c r="C543" t="s">
        <v>273</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COUNT(LifeExpectancyData[[#This Row],[Life expectancy]:[Schooling]])=19</f>
        <v>0</v>
      </c>
    </row>
    <row r="544" spans="1:23" x14ac:dyDescent="0.25">
      <c r="A544" t="s">
        <v>307</v>
      </c>
      <c r="B544">
        <v>2001</v>
      </c>
      <c r="C544" t="s">
        <v>273</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COUNT(LifeExpectancyData[[#This Row],[Life expectancy]:[Schooling]])=19</f>
        <v>0</v>
      </c>
    </row>
    <row r="545" spans="1:23" x14ac:dyDescent="0.25">
      <c r="A545" t="s">
        <v>307</v>
      </c>
      <c r="B545">
        <v>2000</v>
      </c>
      <c r="C545" t="s">
        <v>273</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COUNT(LifeExpectancyData[[#This Row],[Life expectancy]:[Schooling]])=19</f>
        <v>0</v>
      </c>
    </row>
    <row r="546" spans="1:23" x14ac:dyDescent="0.25">
      <c r="A546" t="s">
        <v>308</v>
      </c>
      <c r="B546">
        <v>2015</v>
      </c>
      <c r="C546" t="s">
        <v>273</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COUNT(LifeExpectancyData[[#This Row],[Life expectancy]:[Schooling]])=19</f>
        <v>0</v>
      </c>
    </row>
    <row r="547" spans="1:23" x14ac:dyDescent="0.25">
      <c r="A547" t="s">
        <v>308</v>
      </c>
      <c r="B547">
        <v>2014</v>
      </c>
      <c r="C547" t="s">
        <v>273</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COUNT(LifeExpectancyData[[#This Row],[Life expectancy]:[Schooling]])=19</f>
        <v>1</v>
      </c>
    </row>
    <row r="548" spans="1:23" x14ac:dyDescent="0.25">
      <c r="A548" t="s">
        <v>308</v>
      </c>
      <c r="B548">
        <v>2013</v>
      </c>
      <c r="C548" t="s">
        <v>273</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COUNT(LifeExpectancyData[[#This Row],[Life expectancy]:[Schooling]])=19</f>
        <v>1</v>
      </c>
    </row>
    <row r="549" spans="1:23" x14ac:dyDescent="0.25">
      <c r="A549" t="s">
        <v>308</v>
      </c>
      <c r="B549">
        <v>2012</v>
      </c>
      <c r="C549" t="s">
        <v>273</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COUNT(LifeExpectancyData[[#This Row],[Life expectancy]:[Schooling]])=19</f>
        <v>1</v>
      </c>
    </row>
    <row r="550" spans="1:23" x14ac:dyDescent="0.25">
      <c r="A550" t="s">
        <v>308</v>
      </c>
      <c r="B550">
        <v>2011</v>
      </c>
      <c r="C550" t="s">
        <v>273</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COUNT(LifeExpectancyData[[#This Row],[Life expectancy]:[Schooling]])=19</f>
        <v>1</v>
      </c>
    </row>
    <row r="551" spans="1:23" x14ac:dyDescent="0.25">
      <c r="A551" t="s">
        <v>308</v>
      </c>
      <c r="B551">
        <v>2010</v>
      </c>
      <c r="C551" t="s">
        <v>273</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COUNT(LifeExpectancyData[[#This Row],[Life expectancy]:[Schooling]])=19</f>
        <v>1</v>
      </c>
    </row>
    <row r="552" spans="1:23" x14ac:dyDescent="0.25">
      <c r="A552" t="s">
        <v>308</v>
      </c>
      <c r="B552">
        <v>2009</v>
      </c>
      <c r="C552" t="s">
        <v>273</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COUNT(LifeExpectancyData[[#This Row],[Life expectancy]:[Schooling]])=19</f>
        <v>1</v>
      </c>
    </row>
    <row r="553" spans="1:23" x14ac:dyDescent="0.25">
      <c r="A553" t="s">
        <v>308</v>
      </c>
      <c r="B553">
        <v>2008</v>
      </c>
      <c r="C553" t="s">
        <v>273</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COUNT(LifeExpectancyData[[#This Row],[Life expectancy]:[Schooling]])=19</f>
        <v>1</v>
      </c>
    </row>
    <row r="554" spans="1:23" x14ac:dyDescent="0.25">
      <c r="A554" t="s">
        <v>308</v>
      </c>
      <c r="B554">
        <v>2007</v>
      </c>
      <c r="C554" t="s">
        <v>273</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COUNT(LifeExpectancyData[[#This Row],[Life expectancy]:[Schooling]])=19</f>
        <v>1</v>
      </c>
    </row>
    <row r="555" spans="1:23" x14ac:dyDescent="0.25">
      <c r="A555" t="s">
        <v>308</v>
      </c>
      <c r="B555">
        <v>2006</v>
      </c>
      <c r="C555" t="s">
        <v>273</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COUNT(LifeExpectancyData[[#This Row],[Life expectancy]:[Schooling]])=19</f>
        <v>1</v>
      </c>
    </row>
    <row r="556" spans="1:23" x14ac:dyDescent="0.25">
      <c r="A556" t="s">
        <v>308</v>
      </c>
      <c r="B556">
        <v>2005</v>
      </c>
      <c r="C556" t="s">
        <v>273</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COUNT(LifeExpectancyData[[#This Row],[Life expectancy]:[Schooling]])=19</f>
        <v>0</v>
      </c>
    </row>
    <row r="557" spans="1:23" x14ac:dyDescent="0.25">
      <c r="A557" t="s">
        <v>308</v>
      </c>
      <c r="B557">
        <v>2004</v>
      </c>
      <c r="C557" t="s">
        <v>273</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COUNT(LifeExpectancyData[[#This Row],[Life expectancy]:[Schooling]])=19</f>
        <v>0</v>
      </c>
    </row>
    <row r="558" spans="1:23" x14ac:dyDescent="0.25">
      <c r="A558" t="s">
        <v>308</v>
      </c>
      <c r="B558">
        <v>2003</v>
      </c>
      <c r="C558" t="s">
        <v>273</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COUNT(LifeExpectancyData[[#This Row],[Life expectancy]:[Schooling]])=19</f>
        <v>0</v>
      </c>
    </row>
    <row r="559" spans="1:23" x14ac:dyDescent="0.25">
      <c r="A559" t="s">
        <v>308</v>
      </c>
      <c r="B559">
        <v>2002</v>
      </c>
      <c r="C559" t="s">
        <v>273</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COUNT(LifeExpectancyData[[#This Row],[Life expectancy]:[Schooling]])=19</f>
        <v>0</v>
      </c>
    </row>
    <row r="560" spans="1:23" x14ac:dyDescent="0.25">
      <c r="A560" t="s">
        <v>308</v>
      </c>
      <c r="B560">
        <v>2001</v>
      </c>
      <c r="C560" t="s">
        <v>273</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COUNT(LifeExpectancyData[[#This Row],[Life expectancy]:[Schooling]])=19</f>
        <v>0</v>
      </c>
    </row>
    <row r="561" spans="1:23" x14ac:dyDescent="0.25">
      <c r="A561" t="s">
        <v>308</v>
      </c>
      <c r="B561">
        <v>2000</v>
      </c>
      <c r="C561" t="s">
        <v>273</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COUNT(LifeExpectancyData[[#This Row],[Life expectancy]:[Schooling]])=19</f>
        <v>0</v>
      </c>
    </row>
    <row r="562" spans="1:23" x14ac:dyDescent="0.25">
      <c r="A562" t="s">
        <v>309</v>
      </c>
      <c r="B562">
        <v>2015</v>
      </c>
      <c r="C562" t="s">
        <v>273</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COUNT(LifeExpectancyData[[#This Row],[Life expectancy]:[Schooling]])=19</f>
        <v>0</v>
      </c>
    </row>
    <row r="563" spans="1:23" x14ac:dyDescent="0.25">
      <c r="A563" t="s">
        <v>309</v>
      </c>
      <c r="B563">
        <v>2014</v>
      </c>
      <c r="C563" t="s">
        <v>273</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COUNT(LifeExpectancyData[[#This Row],[Life expectancy]:[Schooling]])=19</f>
        <v>1</v>
      </c>
    </row>
    <row r="564" spans="1:23" x14ac:dyDescent="0.25">
      <c r="A564" t="s">
        <v>309</v>
      </c>
      <c r="B564">
        <v>2013</v>
      </c>
      <c r="C564" t="s">
        <v>273</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COUNT(LifeExpectancyData[[#This Row],[Life expectancy]:[Schooling]])=19</f>
        <v>1</v>
      </c>
    </row>
    <row r="565" spans="1:23" x14ac:dyDescent="0.25">
      <c r="A565" t="s">
        <v>309</v>
      </c>
      <c r="B565">
        <v>2012</v>
      </c>
      <c r="C565" t="s">
        <v>273</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COUNT(LifeExpectancyData[[#This Row],[Life expectancy]:[Schooling]])=19</f>
        <v>1</v>
      </c>
    </row>
    <row r="566" spans="1:23" x14ac:dyDescent="0.25">
      <c r="A566" t="s">
        <v>309</v>
      </c>
      <c r="B566">
        <v>2011</v>
      </c>
      <c r="C566" t="s">
        <v>273</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COUNT(LifeExpectancyData[[#This Row],[Life expectancy]:[Schooling]])=19</f>
        <v>1</v>
      </c>
    </row>
    <row r="567" spans="1:23" x14ac:dyDescent="0.25">
      <c r="A567" t="s">
        <v>309</v>
      </c>
      <c r="B567">
        <v>2010</v>
      </c>
      <c r="C567" t="s">
        <v>273</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COUNT(LifeExpectancyData[[#This Row],[Life expectancy]:[Schooling]])=19</f>
        <v>1</v>
      </c>
    </row>
    <row r="568" spans="1:23" x14ac:dyDescent="0.25">
      <c r="A568" t="s">
        <v>309</v>
      </c>
      <c r="B568">
        <v>2009</v>
      </c>
      <c r="C568" t="s">
        <v>273</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COUNT(LifeExpectancyData[[#This Row],[Life expectancy]:[Schooling]])=19</f>
        <v>1</v>
      </c>
    </row>
    <row r="569" spans="1:23" x14ac:dyDescent="0.25">
      <c r="A569" t="s">
        <v>309</v>
      </c>
      <c r="B569">
        <v>2008</v>
      </c>
      <c r="C569" t="s">
        <v>273</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COUNT(LifeExpectancyData[[#This Row],[Life expectancy]:[Schooling]])=19</f>
        <v>1</v>
      </c>
    </row>
    <row r="570" spans="1:23" x14ac:dyDescent="0.25">
      <c r="A570" t="s">
        <v>309</v>
      </c>
      <c r="B570">
        <v>2007</v>
      </c>
      <c r="C570" t="s">
        <v>273</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COUNT(LifeExpectancyData[[#This Row],[Life expectancy]:[Schooling]])=19</f>
        <v>1</v>
      </c>
    </row>
    <row r="571" spans="1:23" x14ac:dyDescent="0.25">
      <c r="A571" t="s">
        <v>309</v>
      </c>
      <c r="B571">
        <v>2006</v>
      </c>
      <c r="C571" t="s">
        <v>273</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COUNT(LifeExpectancyData[[#This Row],[Life expectancy]:[Schooling]])=19</f>
        <v>1</v>
      </c>
    </row>
    <row r="572" spans="1:23" x14ac:dyDescent="0.25">
      <c r="A572" t="s">
        <v>309</v>
      </c>
      <c r="B572">
        <v>2005</v>
      </c>
      <c r="C572" t="s">
        <v>273</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COUNT(LifeExpectancyData[[#This Row],[Life expectancy]:[Schooling]])=19</f>
        <v>1</v>
      </c>
    </row>
    <row r="573" spans="1:23" x14ac:dyDescent="0.25">
      <c r="A573" t="s">
        <v>309</v>
      </c>
      <c r="B573">
        <v>2004</v>
      </c>
      <c r="C573" t="s">
        <v>273</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COUNT(LifeExpectancyData[[#This Row],[Life expectancy]:[Schooling]])=19</f>
        <v>1</v>
      </c>
    </row>
    <row r="574" spans="1:23" x14ac:dyDescent="0.25">
      <c r="A574" t="s">
        <v>309</v>
      </c>
      <c r="B574">
        <v>2003</v>
      </c>
      <c r="C574" t="s">
        <v>273</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COUNT(LifeExpectancyData[[#This Row],[Life expectancy]:[Schooling]])=19</f>
        <v>1</v>
      </c>
    </row>
    <row r="575" spans="1:23" x14ac:dyDescent="0.25">
      <c r="A575" t="s">
        <v>309</v>
      </c>
      <c r="B575">
        <v>2002</v>
      </c>
      <c r="C575" t="s">
        <v>273</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COUNT(LifeExpectancyData[[#This Row],[Life expectancy]:[Schooling]])=19</f>
        <v>1</v>
      </c>
    </row>
    <row r="576" spans="1:23" x14ac:dyDescent="0.25">
      <c r="A576" t="s">
        <v>309</v>
      </c>
      <c r="B576">
        <v>2001</v>
      </c>
      <c r="C576" t="s">
        <v>273</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COUNT(LifeExpectancyData[[#This Row],[Life expectancy]:[Schooling]])=19</f>
        <v>1</v>
      </c>
    </row>
    <row r="577" spans="1:23" x14ac:dyDescent="0.25">
      <c r="A577" t="s">
        <v>309</v>
      </c>
      <c r="B577">
        <v>2000</v>
      </c>
      <c r="C577" t="s">
        <v>273</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COUNT(LifeExpectancyData[[#This Row],[Life expectancy]:[Schooling]])=19</f>
        <v>1</v>
      </c>
    </row>
    <row r="578" spans="1:23" x14ac:dyDescent="0.25">
      <c r="A578" t="s">
        <v>310</v>
      </c>
      <c r="B578">
        <v>2015</v>
      </c>
      <c r="C578" t="s">
        <v>273</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COUNT(LifeExpectancyData[[#This Row],[Life expectancy]:[Schooling]])=19</f>
        <v>0</v>
      </c>
    </row>
    <row r="579" spans="1:23" x14ac:dyDescent="0.25">
      <c r="A579" t="s">
        <v>310</v>
      </c>
      <c r="B579">
        <v>2014</v>
      </c>
      <c r="C579" t="s">
        <v>273</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COUNT(LifeExpectancyData[[#This Row],[Life expectancy]:[Schooling]])=19</f>
        <v>1</v>
      </c>
    </row>
    <row r="580" spans="1:23" x14ac:dyDescent="0.25">
      <c r="A580" t="s">
        <v>310</v>
      </c>
      <c r="B580">
        <v>2013</v>
      </c>
      <c r="C580" t="s">
        <v>273</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COUNT(LifeExpectancyData[[#This Row],[Life expectancy]:[Schooling]])=19</f>
        <v>1</v>
      </c>
    </row>
    <row r="581" spans="1:23" x14ac:dyDescent="0.25">
      <c r="A581" t="s">
        <v>310</v>
      </c>
      <c r="B581">
        <v>2012</v>
      </c>
      <c r="C581" t="s">
        <v>273</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COUNT(LifeExpectancyData[[#This Row],[Life expectancy]:[Schooling]])=19</f>
        <v>1</v>
      </c>
    </row>
    <row r="582" spans="1:23" x14ac:dyDescent="0.25">
      <c r="A582" t="s">
        <v>310</v>
      </c>
      <c r="B582">
        <v>2011</v>
      </c>
      <c r="C582" t="s">
        <v>273</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COUNT(LifeExpectancyData[[#This Row],[Life expectancy]:[Schooling]])=19</f>
        <v>1</v>
      </c>
    </row>
    <row r="583" spans="1:23" x14ac:dyDescent="0.25">
      <c r="A583" t="s">
        <v>310</v>
      </c>
      <c r="B583">
        <v>2010</v>
      </c>
      <c r="C583" t="s">
        <v>273</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COUNT(LifeExpectancyData[[#This Row],[Life expectancy]:[Schooling]])=19</f>
        <v>1</v>
      </c>
    </row>
    <row r="584" spans="1:23" x14ac:dyDescent="0.25">
      <c r="A584" t="s">
        <v>310</v>
      </c>
      <c r="B584">
        <v>2009</v>
      </c>
      <c r="C584" t="s">
        <v>273</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COUNT(LifeExpectancyData[[#This Row],[Life expectancy]:[Schooling]])=19</f>
        <v>1</v>
      </c>
    </row>
    <row r="585" spans="1:23" x14ac:dyDescent="0.25">
      <c r="A585" t="s">
        <v>310</v>
      </c>
      <c r="B585">
        <v>2008</v>
      </c>
      <c r="C585" t="s">
        <v>273</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COUNT(LifeExpectancyData[[#This Row],[Life expectancy]:[Schooling]])=19</f>
        <v>1</v>
      </c>
    </row>
    <row r="586" spans="1:23" x14ac:dyDescent="0.25">
      <c r="A586" t="s">
        <v>310</v>
      </c>
      <c r="B586">
        <v>2007</v>
      </c>
      <c r="C586" t="s">
        <v>273</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COUNT(LifeExpectancyData[[#This Row],[Life expectancy]:[Schooling]])=19</f>
        <v>1</v>
      </c>
    </row>
    <row r="587" spans="1:23" x14ac:dyDescent="0.25">
      <c r="A587" t="s">
        <v>310</v>
      </c>
      <c r="B587">
        <v>2006</v>
      </c>
      <c r="C587" t="s">
        <v>273</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COUNT(LifeExpectancyData[[#This Row],[Life expectancy]:[Schooling]])=19</f>
        <v>1</v>
      </c>
    </row>
    <row r="588" spans="1:23" x14ac:dyDescent="0.25">
      <c r="A588" t="s">
        <v>310</v>
      </c>
      <c r="B588">
        <v>2005</v>
      </c>
      <c r="C588" t="s">
        <v>273</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COUNT(LifeExpectancyData[[#This Row],[Life expectancy]:[Schooling]])=19</f>
        <v>1</v>
      </c>
    </row>
    <row r="589" spans="1:23" x14ac:dyDescent="0.25">
      <c r="A589" t="s">
        <v>310</v>
      </c>
      <c r="B589">
        <v>2004</v>
      </c>
      <c r="C589" t="s">
        <v>273</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COUNT(LifeExpectancyData[[#This Row],[Life expectancy]:[Schooling]])=19</f>
        <v>1</v>
      </c>
    </row>
    <row r="590" spans="1:23" x14ac:dyDescent="0.25">
      <c r="A590" t="s">
        <v>310</v>
      </c>
      <c r="B590">
        <v>2003</v>
      </c>
      <c r="C590" t="s">
        <v>273</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COUNT(LifeExpectancyData[[#This Row],[Life expectancy]:[Schooling]])=19</f>
        <v>1</v>
      </c>
    </row>
    <row r="591" spans="1:23" x14ac:dyDescent="0.25">
      <c r="A591" t="s">
        <v>310</v>
      </c>
      <c r="B591">
        <v>2002</v>
      </c>
      <c r="C591" t="s">
        <v>273</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COUNT(LifeExpectancyData[[#This Row],[Life expectancy]:[Schooling]])=19</f>
        <v>1</v>
      </c>
    </row>
    <row r="592" spans="1:23" x14ac:dyDescent="0.25">
      <c r="A592" t="s">
        <v>310</v>
      </c>
      <c r="B592">
        <v>2001</v>
      </c>
      <c r="C592" t="s">
        <v>273</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COUNT(LifeExpectancyData[[#This Row],[Life expectancy]:[Schooling]])=19</f>
        <v>1</v>
      </c>
    </row>
    <row r="593" spans="1:23" x14ac:dyDescent="0.25">
      <c r="A593" t="s">
        <v>310</v>
      </c>
      <c r="B593">
        <v>2000</v>
      </c>
      <c r="C593" t="s">
        <v>273</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COUNT(LifeExpectancyData[[#This Row],[Life expectancy]:[Schooling]])=19</f>
        <v>1</v>
      </c>
    </row>
    <row r="594" spans="1:23" x14ac:dyDescent="0.25">
      <c r="A594" t="s">
        <v>311</v>
      </c>
      <c r="B594">
        <v>2015</v>
      </c>
      <c r="C594" t="s">
        <v>273</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COUNT(LifeExpectancyData[[#This Row],[Life expectancy]:[Schooling]])=19</f>
        <v>0</v>
      </c>
    </row>
    <row r="595" spans="1:23" x14ac:dyDescent="0.25">
      <c r="A595" t="s">
        <v>311</v>
      </c>
      <c r="B595">
        <v>2014</v>
      </c>
      <c r="C595" t="s">
        <v>273</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COUNT(LifeExpectancyData[[#This Row],[Life expectancy]:[Schooling]])=19</f>
        <v>1</v>
      </c>
    </row>
    <row r="596" spans="1:23" x14ac:dyDescent="0.25">
      <c r="A596" t="s">
        <v>311</v>
      </c>
      <c r="B596">
        <v>2013</v>
      </c>
      <c r="C596" t="s">
        <v>273</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COUNT(LifeExpectancyData[[#This Row],[Life expectancy]:[Schooling]])=19</f>
        <v>1</v>
      </c>
    </row>
    <row r="597" spans="1:23" x14ac:dyDescent="0.25">
      <c r="A597" t="s">
        <v>311</v>
      </c>
      <c r="B597">
        <v>2012</v>
      </c>
      <c r="C597" t="s">
        <v>273</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COUNT(LifeExpectancyData[[#This Row],[Life expectancy]:[Schooling]])=19</f>
        <v>1</v>
      </c>
    </row>
    <row r="598" spans="1:23" x14ac:dyDescent="0.25">
      <c r="A598" t="s">
        <v>311</v>
      </c>
      <c r="B598">
        <v>2011</v>
      </c>
      <c r="C598" t="s">
        <v>273</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COUNT(LifeExpectancyData[[#This Row],[Life expectancy]:[Schooling]])=19</f>
        <v>1</v>
      </c>
    </row>
    <row r="599" spans="1:23" x14ac:dyDescent="0.25">
      <c r="A599" t="s">
        <v>311</v>
      </c>
      <c r="B599">
        <v>2010</v>
      </c>
      <c r="C599" t="s">
        <v>273</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COUNT(LifeExpectancyData[[#This Row],[Life expectancy]:[Schooling]])=19</f>
        <v>1</v>
      </c>
    </row>
    <row r="600" spans="1:23" x14ac:dyDescent="0.25">
      <c r="A600" t="s">
        <v>311</v>
      </c>
      <c r="B600">
        <v>2009</v>
      </c>
      <c r="C600" t="s">
        <v>273</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COUNT(LifeExpectancyData[[#This Row],[Life expectancy]:[Schooling]])=19</f>
        <v>1</v>
      </c>
    </row>
    <row r="601" spans="1:23" x14ac:dyDescent="0.25">
      <c r="A601" t="s">
        <v>311</v>
      </c>
      <c r="B601">
        <v>2008</v>
      </c>
      <c r="C601" t="s">
        <v>273</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COUNT(LifeExpectancyData[[#This Row],[Life expectancy]:[Schooling]])=19</f>
        <v>1</v>
      </c>
    </row>
    <row r="602" spans="1:23" x14ac:dyDescent="0.25">
      <c r="A602" t="s">
        <v>311</v>
      </c>
      <c r="B602">
        <v>2007</v>
      </c>
      <c r="C602" t="s">
        <v>273</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COUNT(LifeExpectancyData[[#This Row],[Life expectancy]:[Schooling]])=19</f>
        <v>1</v>
      </c>
    </row>
    <row r="603" spans="1:23" x14ac:dyDescent="0.25">
      <c r="A603" t="s">
        <v>311</v>
      </c>
      <c r="B603">
        <v>2006</v>
      </c>
      <c r="C603" t="s">
        <v>273</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COUNT(LifeExpectancyData[[#This Row],[Life expectancy]:[Schooling]])=19</f>
        <v>1</v>
      </c>
    </row>
    <row r="604" spans="1:23" x14ac:dyDescent="0.25">
      <c r="A604" t="s">
        <v>311</v>
      </c>
      <c r="B604">
        <v>2005</v>
      </c>
      <c r="C604" t="s">
        <v>273</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COUNT(LifeExpectancyData[[#This Row],[Life expectancy]:[Schooling]])=19</f>
        <v>1</v>
      </c>
    </row>
    <row r="605" spans="1:23" x14ac:dyDescent="0.25">
      <c r="A605" t="s">
        <v>311</v>
      </c>
      <c r="B605">
        <v>2004</v>
      </c>
      <c r="C605" t="s">
        <v>273</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COUNT(LifeExpectancyData[[#This Row],[Life expectancy]:[Schooling]])=19</f>
        <v>1</v>
      </c>
    </row>
    <row r="606" spans="1:23" x14ac:dyDescent="0.25">
      <c r="A606" t="s">
        <v>311</v>
      </c>
      <c r="B606">
        <v>2003</v>
      </c>
      <c r="C606" t="s">
        <v>273</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COUNT(LifeExpectancyData[[#This Row],[Life expectancy]:[Schooling]])=19</f>
        <v>1</v>
      </c>
    </row>
    <row r="607" spans="1:23" x14ac:dyDescent="0.25">
      <c r="A607" t="s">
        <v>311</v>
      </c>
      <c r="B607">
        <v>2002</v>
      </c>
      <c r="C607" t="s">
        <v>273</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COUNT(LifeExpectancyData[[#This Row],[Life expectancy]:[Schooling]])=19</f>
        <v>0</v>
      </c>
    </row>
    <row r="608" spans="1:23" x14ac:dyDescent="0.25">
      <c r="A608" t="s">
        <v>311</v>
      </c>
      <c r="B608">
        <v>2001</v>
      </c>
      <c r="C608" t="s">
        <v>273</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COUNT(LifeExpectancyData[[#This Row],[Life expectancy]:[Schooling]])=19</f>
        <v>0</v>
      </c>
    </row>
    <row r="609" spans="1:23" x14ac:dyDescent="0.25">
      <c r="A609" t="s">
        <v>311</v>
      </c>
      <c r="B609">
        <v>2000</v>
      </c>
      <c r="C609" t="s">
        <v>273</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COUNT(LifeExpectancyData[[#This Row],[Life expectancy]:[Schooling]])=19</f>
        <v>0</v>
      </c>
    </row>
    <row r="610" spans="1:23" x14ac:dyDescent="0.25">
      <c r="A610" t="s">
        <v>312</v>
      </c>
      <c r="B610">
        <v>2015</v>
      </c>
      <c r="C610" t="s">
        <v>273</v>
      </c>
      <c r="D610">
        <v>64.7</v>
      </c>
      <c r="E610">
        <v>267</v>
      </c>
      <c r="F610">
        <v>7</v>
      </c>
      <c r="H610">
        <v>0</v>
      </c>
      <c r="I610">
        <v>8</v>
      </c>
      <c r="J610">
        <v>1359</v>
      </c>
      <c r="K610">
        <v>27.4</v>
      </c>
      <c r="L610">
        <v>10</v>
      </c>
      <c r="M610">
        <v>8</v>
      </c>
      <c r="O610">
        <v>8</v>
      </c>
      <c r="P610">
        <v>2.8</v>
      </c>
      <c r="S610">
        <v>7.5</v>
      </c>
      <c r="T610">
        <v>7.1</v>
      </c>
      <c r="U610">
        <v>0.59</v>
      </c>
      <c r="V610">
        <v>11.1</v>
      </c>
      <c r="W610" t="b">
        <f>COUNT(LifeExpectancyData[[#This Row],[Life expectancy]:[Schooling]])=19</f>
        <v>0</v>
      </c>
    </row>
    <row r="611" spans="1:23" x14ac:dyDescent="0.25">
      <c r="A611" t="s">
        <v>312</v>
      </c>
      <c r="B611">
        <v>2014</v>
      </c>
      <c r="C611" t="s">
        <v>273</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COUNT(LifeExpectancyData[[#This Row],[Life expectancy]:[Schooling]])=19</f>
        <v>0</v>
      </c>
    </row>
    <row r="612" spans="1:23" x14ac:dyDescent="0.25">
      <c r="A612" t="s">
        <v>312</v>
      </c>
      <c r="B612">
        <v>2013</v>
      </c>
      <c r="C612" t="s">
        <v>273</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COUNT(LifeExpectancyData[[#This Row],[Life expectancy]:[Schooling]])=19</f>
        <v>0</v>
      </c>
    </row>
    <row r="613" spans="1:23" x14ac:dyDescent="0.25">
      <c r="A613" t="s">
        <v>312</v>
      </c>
      <c r="B613">
        <v>2012</v>
      </c>
      <c r="C613" t="s">
        <v>273</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COUNT(LifeExpectancyData[[#This Row],[Life expectancy]:[Schooling]])=19</f>
        <v>0</v>
      </c>
    </row>
    <row r="614" spans="1:23" x14ac:dyDescent="0.25">
      <c r="A614" t="s">
        <v>312</v>
      </c>
      <c r="B614">
        <v>2011</v>
      </c>
      <c r="C614" t="s">
        <v>273</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COUNT(LifeExpectancyData[[#This Row],[Life expectancy]:[Schooling]])=19</f>
        <v>0</v>
      </c>
    </row>
    <row r="615" spans="1:23" x14ac:dyDescent="0.25">
      <c r="A615" t="s">
        <v>312</v>
      </c>
      <c r="B615">
        <v>2010</v>
      </c>
      <c r="C615" t="s">
        <v>273</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COUNT(LifeExpectancyData[[#This Row],[Life expectancy]:[Schooling]])=19</f>
        <v>0</v>
      </c>
    </row>
    <row r="616" spans="1:23" x14ac:dyDescent="0.25">
      <c r="A616" t="s">
        <v>312</v>
      </c>
      <c r="B616">
        <v>2009</v>
      </c>
      <c r="C616" t="s">
        <v>273</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COUNT(LifeExpectancyData[[#This Row],[Life expectancy]:[Schooling]])=19</f>
        <v>0</v>
      </c>
    </row>
    <row r="617" spans="1:23" x14ac:dyDescent="0.25">
      <c r="A617" t="s">
        <v>312</v>
      </c>
      <c r="B617">
        <v>2008</v>
      </c>
      <c r="C617" t="s">
        <v>273</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COUNT(LifeExpectancyData[[#This Row],[Life expectancy]:[Schooling]])=19</f>
        <v>0</v>
      </c>
    </row>
    <row r="618" spans="1:23" x14ac:dyDescent="0.25">
      <c r="A618" t="s">
        <v>312</v>
      </c>
      <c r="B618">
        <v>2007</v>
      </c>
      <c r="C618" t="s">
        <v>273</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COUNT(LifeExpectancyData[[#This Row],[Life expectancy]:[Schooling]])=19</f>
        <v>0</v>
      </c>
    </row>
    <row r="619" spans="1:23" x14ac:dyDescent="0.25">
      <c r="A619" t="s">
        <v>312</v>
      </c>
      <c r="B619">
        <v>2006</v>
      </c>
      <c r="C619" t="s">
        <v>273</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COUNT(LifeExpectancyData[[#This Row],[Life expectancy]:[Schooling]])=19</f>
        <v>0</v>
      </c>
    </row>
    <row r="620" spans="1:23" x14ac:dyDescent="0.25">
      <c r="A620" t="s">
        <v>312</v>
      </c>
      <c r="B620">
        <v>2005</v>
      </c>
      <c r="C620" t="s">
        <v>273</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COUNT(LifeExpectancyData[[#This Row],[Life expectancy]:[Schooling]])=19</f>
        <v>0</v>
      </c>
    </row>
    <row r="621" spans="1:23" x14ac:dyDescent="0.25">
      <c r="A621" t="s">
        <v>312</v>
      </c>
      <c r="B621">
        <v>2004</v>
      </c>
      <c r="C621" t="s">
        <v>273</v>
      </c>
      <c r="D621">
        <v>54.1</v>
      </c>
      <c r="E621">
        <v>48</v>
      </c>
      <c r="F621">
        <v>9</v>
      </c>
      <c r="G621">
        <v>2.58</v>
      </c>
      <c r="H621">
        <v>0</v>
      </c>
      <c r="J621">
        <v>3524</v>
      </c>
      <c r="K621">
        <v>21.2</v>
      </c>
      <c r="L621">
        <v>13</v>
      </c>
      <c r="M621">
        <v>67</v>
      </c>
      <c r="N621">
        <v>2.56</v>
      </c>
      <c r="O621">
        <v>67</v>
      </c>
      <c r="P621">
        <v>6.3</v>
      </c>
      <c r="S621">
        <v>9</v>
      </c>
      <c r="T621">
        <v>8.6</v>
      </c>
      <c r="U621">
        <v>0.497</v>
      </c>
      <c r="V621">
        <v>9.1999999999999993</v>
      </c>
      <c r="W621" t="b">
        <f>COUNT(LifeExpectancyData[[#This Row],[Life expectancy]:[Schooling]])=19</f>
        <v>0</v>
      </c>
    </row>
    <row r="622" spans="1:23" x14ac:dyDescent="0.25">
      <c r="A622" t="s">
        <v>312</v>
      </c>
      <c r="B622">
        <v>2003</v>
      </c>
      <c r="C622" t="s">
        <v>273</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COUNT(LifeExpectancyData[[#This Row],[Life expectancy]:[Schooling]])=19</f>
        <v>0</v>
      </c>
    </row>
    <row r="623" spans="1:23" x14ac:dyDescent="0.25">
      <c r="A623" t="s">
        <v>312</v>
      </c>
      <c r="B623">
        <v>2002</v>
      </c>
      <c r="C623" t="s">
        <v>273</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COUNT(LifeExpectancyData[[#This Row],[Life expectancy]:[Schooling]])=19</f>
        <v>0</v>
      </c>
    </row>
    <row r="624" spans="1:23" x14ac:dyDescent="0.25">
      <c r="A624" t="s">
        <v>312</v>
      </c>
      <c r="B624">
        <v>2001</v>
      </c>
      <c r="C624" t="s">
        <v>273</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COUNT(LifeExpectancyData[[#This Row],[Life expectancy]:[Schooling]])=19</f>
        <v>0</v>
      </c>
    </row>
    <row r="625" spans="1:23" x14ac:dyDescent="0.25">
      <c r="A625" t="s">
        <v>312</v>
      </c>
      <c r="B625">
        <v>2000</v>
      </c>
      <c r="C625" t="s">
        <v>273</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COUNT(LifeExpectancyData[[#This Row],[Life expectancy]:[Schooling]])=19</f>
        <v>0</v>
      </c>
    </row>
    <row r="626" spans="1:23" x14ac:dyDescent="0.25">
      <c r="A626" t="s">
        <v>313</v>
      </c>
      <c r="B626">
        <v>2013</v>
      </c>
      <c r="C626" t="s">
        <v>273</v>
      </c>
      <c r="F626">
        <v>0</v>
      </c>
      <c r="G626">
        <v>0.01</v>
      </c>
      <c r="H626">
        <v>0</v>
      </c>
      <c r="I626">
        <v>98</v>
      </c>
      <c r="J626">
        <v>0</v>
      </c>
      <c r="K626">
        <v>82.8</v>
      </c>
      <c r="L626">
        <v>0</v>
      </c>
      <c r="M626">
        <v>98</v>
      </c>
      <c r="N626">
        <v>3.58</v>
      </c>
      <c r="O626">
        <v>98</v>
      </c>
      <c r="P626">
        <v>0.1</v>
      </c>
      <c r="S626">
        <v>0.1</v>
      </c>
      <c r="T626">
        <v>0.1</v>
      </c>
      <c r="W626" t="b">
        <f>COUNT(LifeExpectancyData[[#This Row],[Life expectancy]:[Schooling]])=19</f>
        <v>0</v>
      </c>
    </row>
    <row r="627" spans="1:23" x14ac:dyDescent="0.25">
      <c r="A627" t="s">
        <v>314</v>
      </c>
      <c r="B627">
        <v>2015</v>
      </c>
      <c r="C627" t="s">
        <v>273</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COUNT(LifeExpectancyData[[#This Row],[Life expectancy]:[Schooling]])=19</f>
        <v>0</v>
      </c>
    </row>
    <row r="628" spans="1:23" x14ac:dyDescent="0.25">
      <c r="A628" t="s">
        <v>314</v>
      </c>
      <c r="B628">
        <v>2014</v>
      </c>
      <c r="C628" t="s">
        <v>273</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COUNT(LifeExpectancyData[[#This Row],[Life expectancy]:[Schooling]])=19</f>
        <v>1</v>
      </c>
    </row>
    <row r="629" spans="1:23" x14ac:dyDescent="0.25">
      <c r="A629" t="s">
        <v>314</v>
      </c>
      <c r="B629">
        <v>2013</v>
      </c>
      <c r="C629" t="s">
        <v>273</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COUNT(LifeExpectancyData[[#This Row],[Life expectancy]:[Schooling]])=19</f>
        <v>1</v>
      </c>
    </row>
    <row r="630" spans="1:23" x14ac:dyDescent="0.25">
      <c r="A630" t="s">
        <v>314</v>
      </c>
      <c r="B630">
        <v>2012</v>
      </c>
      <c r="C630" t="s">
        <v>273</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COUNT(LifeExpectancyData[[#This Row],[Life expectancy]:[Schooling]])=19</f>
        <v>1</v>
      </c>
    </row>
    <row r="631" spans="1:23" x14ac:dyDescent="0.25">
      <c r="A631" t="s">
        <v>314</v>
      </c>
      <c r="B631">
        <v>2011</v>
      </c>
      <c r="C631" t="s">
        <v>273</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COUNT(LifeExpectancyData[[#This Row],[Life expectancy]:[Schooling]])=19</f>
        <v>1</v>
      </c>
    </row>
    <row r="632" spans="1:23" x14ac:dyDescent="0.25">
      <c r="A632" t="s">
        <v>314</v>
      </c>
      <c r="B632">
        <v>2010</v>
      </c>
      <c r="C632" t="s">
        <v>273</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COUNT(LifeExpectancyData[[#This Row],[Life expectancy]:[Schooling]])=19</f>
        <v>1</v>
      </c>
    </row>
    <row r="633" spans="1:23" x14ac:dyDescent="0.25">
      <c r="A633" t="s">
        <v>314</v>
      </c>
      <c r="B633">
        <v>2009</v>
      </c>
      <c r="C633" t="s">
        <v>273</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COUNT(LifeExpectancyData[[#This Row],[Life expectancy]:[Schooling]])=19</f>
        <v>1</v>
      </c>
    </row>
    <row r="634" spans="1:23" x14ac:dyDescent="0.25">
      <c r="A634" t="s">
        <v>314</v>
      </c>
      <c r="B634">
        <v>2008</v>
      </c>
      <c r="C634" t="s">
        <v>273</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COUNT(LifeExpectancyData[[#This Row],[Life expectancy]:[Schooling]])=19</f>
        <v>1</v>
      </c>
    </row>
    <row r="635" spans="1:23" x14ac:dyDescent="0.25">
      <c r="A635" t="s">
        <v>314</v>
      </c>
      <c r="B635">
        <v>2007</v>
      </c>
      <c r="C635" t="s">
        <v>273</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COUNT(LifeExpectancyData[[#This Row],[Life expectancy]:[Schooling]])=19</f>
        <v>1</v>
      </c>
    </row>
    <row r="636" spans="1:23" x14ac:dyDescent="0.25">
      <c r="A636" t="s">
        <v>314</v>
      </c>
      <c r="B636">
        <v>2006</v>
      </c>
      <c r="C636" t="s">
        <v>273</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COUNT(LifeExpectancyData[[#This Row],[Life expectancy]:[Schooling]])=19</f>
        <v>1</v>
      </c>
    </row>
    <row r="637" spans="1:23" x14ac:dyDescent="0.25">
      <c r="A637" t="s">
        <v>314</v>
      </c>
      <c r="B637">
        <v>2005</v>
      </c>
      <c r="C637" t="s">
        <v>273</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COUNT(LifeExpectancyData[[#This Row],[Life expectancy]:[Schooling]])=19</f>
        <v>1</v>
      </c>
    </row>
    <row r="638" spans="1:23" x14ac:dyDescent="0.25">
      <c r="A638" t="s">
        <v>314</v>
      </c>
      <c r="B638">
        <v>2004</v>
      </c>
      <c r="C638" t="s">
        <v>273</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COUNT(LifeExpectancyData[[#This Row],[Life expectancy]:[Schooling]])=19</f>
        <v>1</v>
      </c>
    </row>
    <row r="639" spans="1:23" x14ac:dyDescent="0.25">
      <c r="A639" t="s">
        <v>314</v>
      </c>
      <c r="B639">
        <v>2003</v>
      </c>
      <c r="C639" t="s">
        <v>273</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COUNT(LifeExpectancyData[[#This Row],[Life expectancy]:[Schooling]])=19</f>
        <v>1</v>
      </c>
    </row>
    <row r="640" spans="1:23" x14ac:dyDescent="0.25">
      <c r="A640" t="s">
        <v>314</v>
      </c>
      <c r="B640">
        <v>2002</v>
      </c>
      <c r="C640" t="s">
        <v>273</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COUNT(LifeExpectancyData[[#This Row],[Life expectancy]:[Schooling]])=19</f>
        <v>1</v>
      </c>
    </row>
    <row r="641" spans="1:23" x14ac:dyDescent="0.25">
      <c r="A641" t="s">
        <v>314</v>
      </c>
      <c r="B641">
        <v>2001</v>
      </c>
      <c r="C641" t="s">
        <v>273</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COUNT(LifeExpectancyData[[#This Row],[Life expectancy]:[Schooling]])=19</f>
        <v>1</v>
      </c>
    </row>
    <row r="642" spans="1:23" x14ac:dyDescent="0.25">
      <c r="A642" t="s">
        <v>314</v>
      </c>
      <c r="B642">
        <v>2000</v>
      </c>
      <c r="C642" t="s">
        <v>273</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COUNT(LifeExpectancyData[[#This Row],[Life expectancy]:[Schooling]])=19</f>
        <v>1</v>
      </c>
    </row>
    <row r="643" spans="1:23" x14ac:dyDescent="0.25">
      <c r="A643" t="s">
        <v>315</v>
      </c>
      <c r="B643">
        <v>2015</v>
      </c>
      <c r="C643" t="s">
        <v>281</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COUNT(LifeExpectancyData[[#This Row],[Life expectancy]:[Schooling]])=19</f>
        <v>0</v>
      </c>
    </row>
    <row r="644" spans="1:23" x14ac:dyDescent="0.25">
      <c r="A644" t="s">
        <v>315</v>
      </c>
      <c r="B644">
        <v>2014</v>
      </c>
      <c r="C644" t="s">
        <v>281</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COUNT(LifeExpectancyData[[#This Row],[Life expectancy]:[Schooling]])=19</f>
        <v>1</v>
      </c>
    </row>
    <row r="645" spans="1:23" x14ac:dyDescent="0.25">
      <c r="A645" t="s">
        <v>315</v>
      </c>
      <c r="B645">
        <v>2013</v>
      </c>
      <c r="C645" t="s">
        <v>281</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COUNT(LifeExpectancyData[[#This Row],[Life expectancy]:[Schooling]])=19</f>
        <v>1</v>
      </c>
    </row>
    <row r="646" spans="1:23" x14ac:dyDescent="0.25">
      <c r="A646" t="s">
        <v>315</v>
      </c>
      <c r="B646">
        <v>2012</v>
      </c>
      <c r="C646" t="s">
        <v>281</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COUNT(LifeExpectancyData[[#This Row],[Life expectancy]:[Schooling]])=19</f>
        <v>1</v>
      </c>
    </row>
    <row r="647" spans="1:23" x14ac:dyDescent="0.25">
      <c r="A647" t="s">
        <v>315</v>
      </c>
      <c r="B647">
        <v>2011</v>
      </c>
      <c r="C647" t="s">
        <v>281</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COUNT(LifeExpectancyData[[#This Row],[Life expectancy]:[Schooling]])=19</f>
        <v>1</v>
      </c>
    </row>
    <row r="648" spans="1:23" x14ac:dyDescent="0.25">
      <c r="A648" t="s">
        <v>315</v>
      </c>
      <c r="B648">
        <v>2010</v>
      </c>
      <c r="C648" t="s">
        <v>281</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COUNT(LifeExpectancyData[[#This Row],[Life expectancy]:[Schooling]])=19</f>
        <v>1</v>
      </c>
    </row>
    <row r="649" spans="1:23" x14ac:dyDescent="0.25">
      <c r="A649" t="s">
        <v>315</v>
      </c>
      <c r="B649">
        <v>2009</v>
      </c>
      <c r="C649" t="s">
        <v>281</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COUNT(LifeExpectancyData[[#This Row],[Life expectancy]:[Schooling]])=19</f>
        <v>1</v>
      </c>
    </row>
    <row r="650" spans="1:23" x14ac:dyDescent="0.25">
      <c r="A650" t="s">
        <v>315</v>
      </c>
      <c r="B650">
        <v>2008</v>
      </c>
      <c r="C650" t="s">
        <v>281</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COUNT(LifeExpectancyData[[#This Row],[Life expectancy]:[Schooling]])=19</f>
        <v>1</v>
      </c>
    </row>
    <row r="651" spans="1:23" x14ac:dyDescent="0.25">
      <c r="A651" t="s">
        <v>315</v>
      </c>
      <c r="B651">
        <v>2007</v>
      </c>
      <c r="C651" t="s">
        <v>281</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COUNT(LifeExpectancyData[[#This Row],[Life expectancy]:[Schooling]])=19</f>
        <v>1</v>
      </c>
    </row>
    <row r="652" spans="1:23" x14ac:dyDescent="0.25">
      <c r="A652" t="s">
        <v>315</v>
      </c>
      <c r="B652">
        <v>2006</v>
      </c>
      <c r="C652" t="s">
        <v>281</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COUNT(LifeExpectancyData[[#This Row],[Life expectancy]:[Schooling]])=19</f>
        <v>0</v>
      </c>
    </row>
    <row r="653" spans="1:23" x14ac:dyDescent="0.25">
      <c r="A653" t="s">
        <v>315</v>
      </c>
      <c r="B653">
        <v>2005</v>
      </c>
      <c r="C653" t="s">
        <v>281</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COUNT(LifeExpectancyData[[#This Row],[Life expectancy]:[Schooling]])=19</f>
        <v>0</v>
      </c>
    </row>
    <row r="654" spans="1:23" x14ac:dyDescent="0.25">
      <c r="A654" t="s">
        <v>315</v>
      </c>
      <c r="B654">
        <v>2004</v>
      </c>
      <c r="C654" t="s">
        <v>281</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COUNT(LifeExpectancyData[[#This Row],[Life expectancy]:[Schooling]])=19</f>
        <v>0</v>
      </c>
    </row>
    <row r="655" spans="1:23" x14ac:dyDescent="0.25">
      <c r="A655" t="s">
        <v>315</v>
      </c>
      <c r="B655">
        <v>2003</v>
      </c>
      <c r="C655" t="s">
        <v>281</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COUNT(LifeExpectancyData[[#This Row],[Life expectancy]:[Schooling]])=19</f>
        <v>0</v>
      </c>
    </row>
    <row r="656" spans="1:23" x14ac:dyDescent="0.25">
      <c r="A656" t="s">
        <v>315</v>
      </c>
      <c r="B656">
        <v>2002</v>
      </c>
      <c r="C656" t="s">
        <v>281</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COUNT(LifeExpectancyData[[#This Row],[Life expectancy]:[Schooling]])=19</f>
        <v>0</v>
      </c>
    </row>
    <row r="657" spans="1:23" x14ac:dyDescent="0.25">
      <c r="A657" t="s">
        <v>315</v>
      </c>
      <c r="B657">
        <v>2001</v>
      </c>
      <c r="C657" t="s">
        <v>281</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COUNT(LifeExpectancyData[[#This Row],[Life expectancy]:[Schooling]])=19</f>
        <v>0</v>
      </c>
    </row>
    <row r="658" spans="1:23" x14ac:dyDescent="0.25">
      <c r="A658" t="s">
        <v>315</v>
      </c>
      <c r="B658">
        <v>2000</v>
      </c>
      <c r="C658" t="s">
        <v>281</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COUNT(LifeExpectancyData[[#This Row],[Life expectancy]:[Schooling]])=19</f>
        <v>0</v>
      </c>
    </row>
    <row r="659" spans="1:23" x14ac:dyDescent="0.25">
      <c r="A659" t="s">
        <v>316</v>
      </c>
      <c r="B659">
        <v>2015</v>
      </c>
      <c r="C659" t="s">
        <v>273</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COUNT(LifeExpectancyData[[#This Row],[Life expectancy]:[Schooling]])=19</f>
        <v>0</v>
      </c>
    </row>
    <row r="660" spans="1:23" x14ac:dyDescent="0.25">
      <c r="A660" t="s">
        <v>316</v>
      </c>
      <c r="B660">
        <v>2014</v>
      </c>
      <c r="C660" t="s">
        <v>273</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COUNT(LifeExpectancyData[[#This Row],[Life expectancy]:[Schooling]])=19</f>
        <v>0</v>
      </c>
    </row>
    <row r="661" spans="1:23" x14ac:dyDescent="0.25">
      <c r="A661" t="s">
        <v>316</v>
      </c>
      <c r="B661">
        <v>2013</v>
      </c>
      <c r="C661" t="s">
        <v>273</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COUNT(LifeExpectancyData[[#This Row],[Life expectancy]:[Schooling]])=19</f>
        <v>0</v>
      </c>
    </row>
    <row r="662" spans="1:23" x14ac:dyDescent="0.25">
      <c r="A662" t="s">
        <v>316</v>
      </c>
      <c r="B662">
        <v>2012</v>
      </c>
      <c r="C662" t="s">
        <v>273</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COUNT(LifeExpectancyData[[#This Row],[Life expectancy]:[Schooling]])=19</f>
        <v>0</v>
      </c>
    </row>
    <row r="663" spans="1:23" x14ac:dyDescent="0.25">
      <c r="A663" t="s">
        <v>316</v>
      </c>
      <c r="B663">
        <v>2011</v>
      </c>
      <c r="C663" t="s">
        <v>273</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COUNT(LifeExpectancyData[[#This Row],[Life expectancy]:[Schooling]])=19</f>
        <v>0</v>
      </c>
    </row>
    <row r="664" spans="1:23" x14ac:dyDescent="0.25">
      <c r="A664" t="s">
        <v>316</v>
      </c>
      <c r="B664">
        <v>2010</v>
      </c>
      <c r="C664" t="s">
        <v>273</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COUNT(LifeExpectancyData[[#This Row],[Life expectancy]:[Schooling]])=19</f>
        <v>0</v>
      </c>
    </row>
    <row r="665" spans="1:23" x14ac:dyDescent="0.25">
      <c r="A665" t="s">
        <v>316</v>
      </c>
      <c r="B665">
        <v>2009</v>
      </c>
      <c r="C665" t="s">
        <v>273</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COUNT(LifeExpectancyData[[#This Row],[Life expectancy]:[Schooling]])=19</f>
        <v>0</v>
      </c>
    </row>
    <row r="666" spans="1:23" x14ac:dyDescent="0.25">
      <c r="A666" t="s">
        <v>316</v>
      </c>
      <c r="B666">
        <v>2008</v>
      </c>
      <c r="C666" t="s">
        <v>273</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COUNT(LifeExpectancyData[[#This Row],[Life expectancy]:[Schooling]])=19</f>
        <v>0</v>
      </c>
    </row>
    <row r="667" spans="1:23" x14ac:dyDescent="0.25">
      <c r="A667" t="s">
        <v>316</v>
      </c>
      <c r="B667">
        <v>2007</v>
      </c>
      <c r="C667" t="s">
        <v>273</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COUNT(LifeExpectancyData[[#This Row],[Life expectancy]:[Schooling]])=19</f>
        <v>0</v>
      </c>
    </row>
    <row r="668" spans="1:23" x14ac:dyDescent="0.25">
      <c r="A668" t="s">
        <v>316</v>
      </c>
      <c r="B668">
        <v>2006</v>
      </c>
      <c r="C668" t="s">
        <v>273</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COUNT(LifeExpectancyData[[#This Row],[Life expectancy]:[Schooling]])=19</f>
        <v>0</v>
      </c>
    </row>
    <row r="669" spans="1:23" x14ac:dyDescent="0.25">
      <c r="A669" t="s">
        <v>316</v>
      </c>
      <c r="B669">
        <v>2005</v>
      </c>
      <c r="C669" t="s">
        <v>273</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COUNT(LifeExpectancyData[[#This Row],[Life expectancy]:[Schooling]])=19</f>
        <v>0</v>
      </c>
    </row>
    <row r="670" spans="1:23" x14ac:dyDescent="0.25">
      <c r="A670" t="s">
        <v>316</v>
      </c>
      <c r="B670">
        <v>2004</v>
      </c>
      <c r="C670" t="s">
        <v>273</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COUNT(LifeExpectancyData[[#This Row],[Life expectancy]:[Schooling]])=19</f>
        <v>0</v>
      </c>
    </row>
    <row r="671" spans="1:23" x14ac:dyDescent="0.25">
      <c r="A671" t="s">
        <v>316</v>
      </c>
      <c r="B671">
        <v>2003</v>
      </c>
      <c r="C671" t="s">
        <v>273</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COUNT(LifeExpectancyData[[#This Row],[Life expectancy]:[Schooling]])=19</f>
        <v>0</v>
      </c>
    </row>
    <row r="672" spans="1:23" x14ac:dyDescent="0.25">
      <c r="A672" t="s">
        <v>316</v>
      </c>
      <c r="B672">
        <v>2002</v>
      </c>
      <c r="C672" t="s">
        <v>273</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COUNT(LifeExpectancyData[[#This Row],[Life expectancy]:[Schooling]])=19</f>
        <v>0</v>
      </c>
    </row>
    <row r="673" spans="1:23" x14ac:dyDescent="0.25">
      <c r="A673" t="s">
        <v>316</v>
      </c>
      <c r="B673">
        <v>2001</v>
      </c>
      <c r="C673" t="s">
        <v>273</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COUNT(LifeExpectancyData[[#This Row],[Life expectancy]:[Schooling]])=19</f>
        <v>0</v>
      </c>
    </row>
    <row r="674" spans="1:23" x14ac:dyDescent="0.25">
      <c r="A674" t="s">
        <v>316</v>
      </c>
      <c r="B674">
        <v>2000</v>
      </c>
      <c r="C674" t="s">
        <v>273</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COUNT(LifeExpectancyData[[#This Row],[Life expectancy]:[Schooling]])=19</f>
        <v>0</v>
      </c>
    </row>
    <row r="675" spans="1:23" x14ac:dyDescent="0.25">
      <c r="A675" t="s">
        <v>317</v>
      </c>
      <c r="B675">
        <v>2015</v>
      </c>
      <c r="C675" t="s">
        <v>281</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COUNT(LifeExpectancyData[[#This Row],[Life expectancy]:[Schooling]])=19</f>
        <v>0</v>
      </c>
    </row>
    <row r="676" spans="1:23" x14ac:dyDescent="0.25">
      <c r="A676" t="s">
        <v>317</v>
      </c>
      <c r="B676">
        <v>2014</v>
      </c>
      <c r="C676" t="s">
        <v>281</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COUNT(LifeExpectancyData[[#This Row],[Life expectancy]:[Schooling]])=19</f>
        <v>1</v>
      </c>
    </row>
    <row r="677" spans="1:23" x14ac:dyDescent="0.25">
      <c r="A677" t="s">
        <v>317</v>
      </c>
      <c r="B677">
        <v>2013</v>
      </c>
      <c r="C677" t="s">
        <v>281</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COUNT(LifeExpectancyData[[#This Row],[Life expectancy]:[Schooling]])=19</f>
        <v>1</v>
      </c>
    </row>
    <row r="678" spans="1:23" x14ac:dyDescent="0.25">
      <c r="A678" t="s">
        <v>317</v>
      </c>
      <c r="B678">
        <v>2012</v>
      </c>
      <c r="C678" t="s">
        <v>281</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COUNT(LifeExpectancyData[[#This Row],[Life expectancy]:[Schooling]])=19</f>
        <v>1</v>
      </c>
    </row>
    <row r="679" spans="1:23" x14ac:dyDescent="0.25">
      <c r="A679" t="s">
        <v>317</v>
      </c>
      <c r="B679">
        <v>2011</v>
      </c>
      <c r="C679" t="s">
        <v>281</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COUNT(LifeExpectancyData[[#This Row],[Life expectancy]:[Schooling]])=19</f>
        <v>1</v>
      </c>
    </row>
    <row r="680" spans="1:23" x14ac:dyDescent="0.25">
      <c r="A680" t="s">
        <v>317</v>
      </c>
      <c r="B680">
        <v>2010</v>
      </c>
      <c r="C680" t="s">
        <v>281</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COUNT(LifeExpectancyData[[#This Row],[Life expectancy]:[Schooling]])=19</f>
        <v>1</v>
      </c>
    </row>
    <row r="681" spans="1:23" x14ac:dyDescent="0.25">
      <c r="A681" t="s">
        <v>317</v>
      </c>
      <c r="B681">
        <v>2009</v>
      </c>
      <c r="C681" t="s">
        <v>281</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COUNT(LifeExpectancyData[[#This Row],[Life expectancy]:[Schooling]])=19</f>
        <v>1</v>
      </c>
    </row>
    <row r="682" spans="1:23" x14ac:dyDescent="0.25">
      <c r="A682" t="s">
        <v>317</v>
      </c>
      <c r="B682">
        <v>2008</v>
      </c>
      <c r="C682" t="s">
        <v>281</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COUNT(LifeExpectancyData[[#This Row],[Life expectancy]:[Schooling]])=19</f>
        <v>1</v>
      </c>
    </row>
    <row r="683" spans="1:23" x14ac:dyDescent="0.25">
      <c r="A683" t="s">
        <v>317</v>
      </c>
      <c r="B683">
        <v>2007</v>
      </c>
      <c r="C683" t="s">
        <v>281</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COUNT(LifeExpectancyData[[#This Row],[Life expectancy]:[Schooling]])=19</f>
        <v>1</v>
      </c>
    </row>
    <row r="684" spans="1:23" x14ac:dyDescent="0.25">
      <c r="A684" t="s">
        <v>317</v>
      </c>
      <c r="B684">
        <v>2006</v>
      </c>
      <c r="C684" t="s">
        <v>281</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COUNT(LifeExpectancyData[[#This Row],[Life expectancy]:[Schooling]])=19</f>
        <v>1</v>
      </c>
    </row>
    <row r="685" spans="1:23" x14ac:dyDescent="0.25">
      <c r="A685" t="s">
        <v>317</v>
      </c>
      <c r="B685">
        <v>2005</v>
      </c>
      <c r="C685" t="s">
        <v>281</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COUNT(LifeExpectancyData[[#This Row],[Life expectancy]:[Schooling]])=19</f>
        <v>1</v>
      </c>
    </row>
    <row r="686" spans="1:23" x14ac:dyDescent="0.25">
      <c r="A686" t="s">
        <v>317</v>
      </c>
      <c r="B686">
        <v>2004</v>
      </c>
      <c r="C686" t="s">
        <v>281</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COUNT(LifeExpectancyData[[#This Row],[Life expectancy]:[Schooling]])=19</f>
        <v>1</v>
      </c>
    </row>
    <row r="687" spans="1:23" x14ac:dyDescent="0.25">
      <c r="A687" t="s">
        <v>317</v>
      </c>
      <c r="B687">
        <v>2003</v>
      </c>
      <c r="C687" t="s">
        <v>281</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COUNT(LifeExpectancyData[[#This Row],[Life expectancy]:[Schooling]])=19</f>
        <v>1</v>
      </c>
    </row>
    <row r="688" spans="1:23" x14ac:dyDescent="0.25">
      <c r="A688" t="s">
        <v>317</v>
      </c>
      <c r="B688">
        <v>2002</v>
      </c>
      <c r="C688" t="s">
        <v>281</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COUNT(LifeExpectancyData[[#This Row],[Life expectancy]:[Schooling]])=19</f>
        <v>1</v>
      </c>
    </row>
    <row r="689" spans="1:23" x14ac:dyDescent="0.25">
      <c r="A689" t="s">
        <v>317</v>
      </c>
      <c r="B689">
        <v>2001</v>
      </c>
      <c r="C689" t="s">
        <v>281</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COUNT(LifeExpectancyData[[#This Row],[Life expectancy]:[Schooling]])=19</f>
        <v>1</v>
      </c>
    </row>
    <row r="690" spans="1:23" x14ac:dyDescent="0.25">
      <c r="A690" t="s">
        <v>317</v>
      </c>
      <c r="B690">
        <v>2000</v>
      </c>
      <c r="C690" t="s">
        <v>281</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COUNT(LifeExpectancyData[[#This Row],[Life expectancy]:[Schooling]])=19</f>
        <v>1</v>
      </c>
    </row>
    <row r="691" spans="1:23" x14ac:dyDescent="0.25">
      <c r="A691" t="s">
        <v>318</v>
      </c>
      <c r="B691">
        <v>2015</v>
      </c>
      <c r="C691" t="s">
        <v>281</v>
      </c>
      <c r="D691">
        <v>78.8</v>
      </c>
      <c r="E691">
        <v>86</v>
      </c>
      <c r="F691">
        <v>0</v>
      </c>
      <c r="H691">
        <v>0</v>
      </c>
      <c r="I691">
        <v>97</v>
      </c>
      <c r="J691">
        <v>9</v>
      </c>
      <c r="K691">
        <v>66.099999999999994</v>
      </c>
      <c r="L691">
        <v>0</v>
      </c>
      <c r="M691">
        <v>97</v>
      </c>
      <c r="O691">
        <v>97</v>
      </c>
      <c r="P691">
        <v>0.1</v>
      </c>
      <c r="S691">
        <v>1.8</v>
      </c>
      <c r="T691">
        <v>1.8</v>
      </c>
      <c r="W691" t="b">
        <f>COUNT(LifeExpectancyData[[#This Row],[Life expectancy]:[Schooling]])=19</f>
        <v>0</v>
      </c>
    </row>
    <row r="692" spans="1:23" x14ac:dyDescent="0.25">
      <c r="A692" t="s">
        <v>318</v>
      </c>
      <c r="B692">
        <v>2014</v>
      </c>
      <c r="C692" t="s">
        <v>281</v>
      </c>
      <c r="D692">
        <v>78.599999999999994</v>
      </c>
      <c r="E692">
        <v>88</v>
      </c>
      <c r="F692">
        <v>0</v>
      </c>
      <c r="G692">
        <v>12.68</v>
      </c>
      <c r="H692">
        <v>0</v>
      </c>
      <c r="I692">
        <v>99</v>
      </c>
      <c r="J692">
        <v>222</v>
      </c>
      <c r="K692">
        <v>65.599999999999994</v>
      </c>
      <c r="L692">
        <v>0</v>
      </c>
      <c r="M692">
        <v>99</v>
      </c>
      <c r="N692">
        <v>7.41</v>
      </c>
      <c r="O692">
        <v>97</v>
      </c>
      <c r="P692">
        <v>0.1</v>
      </c>
      <c r="S692">
        <v>1.8</v>
      </c>
      <c r="T692">
        <v>1.9</v>
      </c>
      <c r="W692" t="b">
        <f>COUNT(LifeExpectancyData[[#This Row],[Life expectancy]:[Schooling]])=19</f>
        <v>0</v>
      </c>
    </row>
    <row r="693" spans="1:23" x14ac:dyDescent="0.25">
      <c r="A693" t="s">
        <v>318</v>
      </c>
      <c r="B693">
        <v>2013</v>
      </c>
      <c r="C693" t="s">
        <v>281</v>
      </c>
      <c r="D693">
        <v>78.2</v>
      </c>
      <c r="E693">
        <v>9</v>
      </c>
      <c r="F693">
        <v>0</v>
      </c>
      <c r="G693">
        <v>12.45</v>
      </c>
      <c r="H693">
        <v>0</v>
      </c>
      <c r="I693">
        <v>99</v>
      </c>
      <c r="J693">
        <v>15</v>
      </c>
      <c r="K693">
        <v>65.099999999999994</v>
      </c>
      <c r="L693">
        <v>0</v>
      </c>
      <c r="M693">
        <v>99</v>
      </c>
      <c r="N693">
        <v>7.49</v>
      </c>
      <c r="O693">
        <v>98</v>
      </c>
      <c r="P693">
        <v>0.1</v>
      </c>
      <c r="S693">
        <v>1.8</v>
      </c>
      <c r="T693">
        <v>1.9</v>
      </c>
      <c r="W693" t="b">
        <f>COUNT(LifeExpectancyData[[#This Row],[Life expectancy]:[Schooling]])=19</f>
        <v>0</v>
      </c>
    </row>
    <row r="694" spans="1:23" x14ac:dyDescent="0.25">
      <c r="A694" t="s">
        <v>318</v>
      </c>
      <c r="B694">
        <v>2012</v>
      </c>
      <c r="C694" t="s">
        <v>281</v>
      </c>
      <c r="D694">
        <v>78</v>
      </c>
      <c r="E694">
        <v>93</v>
      </c>
      <c r="F694">
        <v>0</v>
      </c>
      <c r="G694">
        <v>12.71</v>
      </c>
      <c r="H694">
        <v>0</v>
      </c>
      <c r="I694">
        <v>99</v>
      </c>
      <c r="J694">
        <v>22</v>
      </c>
      <c r="K694">
        <v>64.5</v>
      </c>
      <c r="L694">
        <v>0</v>
      </c>
      <c r="M694">
        <v>99</v>
      </c>
      <c r="N694">
        <v>7.55</v>
      </c>
      <c r="O694">
        <v>99</v>
      </c>
      <c r="P694">
        <v>0.1</v>
      </c>
      <c r="S694">
        <v>1.8</v>
      </c>
      <c r="T694">
        <v>1.9</v>
      </c>
      <c r="W694" t="b">
        <f>COUNT(LifeExpectancyData[[#This Row],[Life expectancy]:[Schooling]])=19</f>
        <v>0</v>
      </c>
    </row>
    <row r="695" spans="1:23" x14ac:dyDescent="0.25">
      <c r="A695" t="s">
        <v>318</v>
      </c>
      <c r="B695">
        <v>2011</v>
      </c>
      <c r="C695" t="s">
        <v>281</v>
      </c>
      <c r="D695">
        <v>77.8</v>
      </c>
      <c r="E695">
        <v>97</v>
      </c>
      <c r="F695">
        <v>0</v>
      </c>
      <c r="G695">
        <v>12.43</v>
      </c>
      <c r="H695">
        <v>0</v>
      </c>
      <c r="I695">
        <v>99</v>
      </c>
      <c r="J695">
        <v>17</v>
      </c>
      <c r="K695">
        <v>64</v>
      </c>
      <c r="L695">
        <v>0</v>
      </c>
      <c r="M695">
        <v>99</v>
      </c>
      <c r="N695">
        <v>7.5</v>
      </c>
      <c r="O695">
        <v>99</v>
      </c>
      <c r="P695">
        <v>0.1</v>
      </c>
      <c r="S695">
        <v>1.9</v>
      </c>
      <c r="T695">
        <v>1.9</v>
      </c>
      <c r="W695" t="b">
        <f>COUNT(LifeExpectancyData[[#This Row],[Life expectancy]:[Schooling]])=19</f>
        <v>0</v>
      </c>
    </row>
    <row r="696" spans="1:23" x14ac:dyDescent="0.25">
      <c r="A696" t="s">
        <v>318</v>
      </c>
      <c r="B696">
        <v>2010</v>
      </c>
      <c r="C696" t="s">
        <v>281</v>
      </c>
      <c r="D696">
        <v>77.5</v>
      </c>
      <c r="E696">
        <v>99</v>
      </c>
      <c r="F696">
        <v>0</v>
      </c>
      <c r="G696">
        <v>12.69</v>
      </c>
      <c r="H696">
        <v>0</v>
      </c>
      <c r="I696">
        <v>99</v>
      </c>
      <c r="J696">
        <v>0</v>
      </c>
      <c r="K696">
        <v>63.6</v>
      </c>
      <c r="L696">
        <v>0</v>
      </c>
      <c r="M696">
        <v>99</v>
      </c>
      <c r="N696">
        <v>7.43</v>
      </c>
      <c r="O696">
        <v>99</v>
      </c>
      <c r="P696">
        <v>0.1</v>
      </c>
      <c r="S696">
        <v>1.9</v>
      </c>
      <c r="T696">
        <v>2</v>
      </c>
      <c r="W696" t="b">
        <f>COUNT(LifeExpectancyData[[#This Row],[Life expectancy]:[Schooling]])=19</f>
        <v>0</v>
      </c>
    </row>
    <row r="697" spans="1:23" x14ac:dyDescent="0.25">
      <c r="A697" t="s">
        <v>318</v>
      </c>
      <c r="B697">
        <v>2009</v>
      </c>
      <c r="C697" t="s">
        <v>281</v>
      </c>
      <c r="D697">
        <v>77.099999999999994</v>
      </c>
      <c r="E697">
        <v>12</v>
      </c>
      <c r="F697">
        <v>0</v>
      </c>
      <c r="G697">
        <v>13.23</v>
      </c>
      <c r="H697">
        <v>0</v>
      </c>
      <c r="I697">
        <v>99</v>
      </c>
      <c r="J697">
        <v>5</v>
      </c>
      <c r="K697">
        <v>63.1</v>
      </c>
      <c r="L697">
        <v>0</v>
      </c>
      <c r="M697">
        <v>99</v>
      </c>
      <c r="N697">
        <v>7.85</v>
      </c>
      <c r="O697">
        <v>99</v>
      </c>
      <c r="P697">
        <v>0.1</v>
      </c>
      <c r="S697">
        <v>1.9</v>
      </c>
      <c r="T697">
        <v>2</v>
      </c>
      <c r="W697" t="b">
        <f>COUNT(LifeExpectancyData[[#This Row],[Life expectancy]:[Schooling]])=19</f>
        <v>0</v>
      </c>
    </row>
    <row r="698" spans="1:23" x14ac:dyDescent="0.25">
      <c r="A698" t="s">
        <v>318</v>
      </c>
      <c r="B698">
        <v>2008</v>
      </c>
      <c r="C698" t="s">
        <v>281</v>
      </c>
      <c r="D698">
        <v>77</v>
      </c>
      <c r="E698">
        <v>16</v>
      </c>
      <c r="F698">
        <v>0</v>
      </c>
      <c r="G698">
        <v>13.25</v>
      </c>
      <c r="H698">
        <v>0</v>
      </c>
      <c r="I698">
        <v>99</v>
      </c>
      <c r="J698">
        <v>2</v>
      </c>
      <c r="K698">
        <v>62.6</v>
      </c>
      <c r="L698">
        <v>0</v>
      </c>
      <c r="M698">
        <v>99</v>
      </c>
      <c r="N698">
        <v>6.82</v>
      </c>
      <c r="O698">
        <v>99</v>
      </c>
      <c r="P698">
        <v>0.1</v>
      </c>
      <c r="S698">
        <v>1.9</v>
      </c>
      <c r="T698">
        <v>2</v>
      </c>
      <c r="W698" t="b">
        <f>COUNT(LifeExpectancyData[[#This Row],[Life expectancy]:[Schooling]])=19</f>
        <v>0</v>
      </c>
    </row>
    <row r="699" spans="1:23" x14ac:dyDescent="0.25">
      <c r="A699" t="s">
        <v>318</v>
      </c>
      <c r="B699">
        <v>2007</v>
      </c>
      <c r="C699" t="s">
        <v>281</v>
      </c>
      <c r="D699">
        <v>76.8</v>
      </c>
      <c r="E699">
        <v>17</v>
      </c>
      <c r="F699">
        <v>0</v>
      </c>
      <c r="G699">
        <v>13.43</v>
      </c>
      <c r="H699">
        <v>0</v>
      </c>
      <c r="I699">
        <v>99</v>
      </c>
      <c r="J699">
        <v>2</v>
      </c>
      <c r="K699">
        <v>62.2</v>
      </c>
      <c r="L699">
        <v>0</v>
      </c>
      <c r="M699">
        <v>99</v>
      </c>
      <c r="N699">
        <v>6.52</v>
      </c>
      <c r="O699">
        <v>99</v>
      </c>
      <c r="P699">
        <v>0.1</v>
      </c>
      <c r="S699">
        <v>2</v>
      </c>
      <c r="T699">
        <v>2.1</v>
      </c>
      <c r="W699" t="b">
        <f>COUNT(LifeExpectancyData[[#This Row],[Life expectancy]:[Schooling]])=19</f>
        <v>0</v>
      </c>
    </row>
    <row r="700" spans="1:23" x14ac:dyDescent="0.25">
      <c r="A700" t="s">
        <v>318</v>
      </c>
      <c r="B700">
        <v>2006</v>
      </c>
      <c r="C700" t="s">
        <v>281</v>
      </c>
      <c r="D700">
        <v>76.5</v>
      </c>
      <c r="E700">
        <v>19</v>
      </c>
      <c r="F700">
        <v>0</v>
      </c>
      <c r="G700">
        <v>13.03</v>
      </c>
      <c r="H700">
        <v>0</v>
      </c>
      <c r="I700">
        <v>98</v>
      </c>
      <c r="J700">
        <v>7</v>
      </c>
      <c r="K700">
        <v>61.8</v>
      </c>
      <c r="L700">
        <v>0</v>
      </c>
      <c r="M700">
        <v>98</v>
      </c>
      <c r="N700">
        <v>6.69</v>
      </c>
      <c r="O700">
        <v>98</v>
      </c>
      <c r="P700">
        <v>0.1</v>
      </c>
      <c r="S700">
        <v>2</v>
      </c>
      <c r="T700">
        <v>2.1</v>
      </c>
      <c r="W700" t="b">
        <f>COUNT(LifeExpectancyData[[#This Row],[Life expectancy]:[Schooling]])=19</f>
        <v>0</v>
      </c>
    </row>
    <row r="701" spans="1:23" x14ac:dyDescent="0.25">
      <c r="A701" t="s">
        <v>318</v>
      </c>
      <c r="B701">
        <v>2005</v>
      </c>
      <c r="C701" t="s">
        <v>281</v>
      </c>
      <c r="D701">
        <v>75.900000000000006</v>
      </c>
      <c r="E701">
        <v>114</v>
      </c>
      <c r="F701">
        <v>0</v>
      </c>
      <c r="G701">
        <v>13.19</v>
      </c>
      <c r="H701">
        <v>0</v>
      </c>
      <c r="I701">
        <v>99</v>
      </c>
      <c r="J701">
        <v>0</v>
      </c>
      <c r="K701">
        <v>61.3</v>
      </c>
      <c r="L701">
        <v>0</v>
      </c>
      <c r="M701">
        <v>96</v>
      </c>
      <c r="N701">
        <v>6.93</v>
      </c>
      <c r="O701">
        <v>97</v>
      </c>
      <c r="P701">
        <v>0.1</v>
      </c>
      <c r="S701">
        <v>2.1</v>
      </c>
      <c r="T701">
        <v>2.1</v>
      </c>
      <c r="W701" t="b">
        <f>COUNT(LifeExpectancyData[[#This Row],[Life expectancy]:[Schooling]])=19</f>
        <v>0</v>
      </c>
    </row>
    <row r="702" spans="1:23" x14ac:dyDescent="0.25">
      <c r="A702" t="s">
        <v>318</v>
      </c>
      <c r="B702">
        <v>2004</v>
      </c>
      <c r="C702" t="s">
        <v>281</v>
      </c>
      <c r="D702">
        <v>75.8</v>
      </c>
      <c r="E702">
        <v>116</v>
      </c>
      <c r="F702">
        <v>0</v>
      </c>
      <c r="G702">
        <v>13.24</v>
      </c>
      <c r="H702">
        <v>0</v>
      </c>
      <c r="I702">
        <v>98</v>
      </c>
      <c r="J702">
        <v>17</v>
      </c>
      <c r="K702">
        <v>6.8</v>
      </c>
      <c r="L702">
        <v>0</v>
      </c>
      <c r="M702">
        <v>96</v>
      </c>
      <c r="N702">
        <v>6.9</v>
      </c>
      <c r="O702">
        <v>98</v>
      </c>
      <c r="P702">
        <v>0.1</v>
      </c>
      <c r="S702">
        <v>2.1</v>
      </c>
      <c r="T702">
        <v>2.2000000000000002</v>
      </c>
      <c r="W702" t="b">
        <f>COUNT(LifeExpectancyData[[#This Row],[Life expectancy]:[Schooling]])=19</f>
        <v>0</v>
      </c>
    </row>
    <row r="703" spans="1:23" x14ac:dyDescent="0.25">
      <c r="A703" t="s">
        <v>318</v>
      </c>
      <c r="B703">
        <v>2003</v>
      </c>
      <c r="C703" t="s">
        <v>281</v>
      </c>
      <c r="D703">
        <v>75.2</v>
      </c>
      <c r="E703">
        <v>122</v>
      </c>
      <c r="F703">
        <v>0</v>
      </c>
      <c r="G703">
        <v>13.01</v>
      </c>
      <c r="H703">
        <v>0</v>
      </c>
      <c r="I703">
        <v>92</v>
      </c>
      <c r="J703">
        <v>30</v>
      </c>
      <c r="K703">
        <v>6.4</v>
      </c>
      <c r="L703">
        <v>0</v>
      </c>
      <c r="M703">
        <v>97</v>
      </c>
      <c r="N703">
        <v>7.13</v>
      </c>
      <c r="O703">
        <v>97</v>
      </c>
      <c r="P703">
        <v>0.1</v>
      </c>
      <c r="S703">
        <v>2.2000000000000002</v>
      </c>
      <c r="T703">
        <v>2.2000000000000002</v>
      </c>
      <c r="W703" t="b">
        <f>COUNT(LifeExpectancyData[[#This Row],[Life expectancy]:[Schooling]])=19</f>
        <v>0</v>
      </c>
    </row>
    <row r="704" spans="1:23" x14ac:dyDescent="0.25">
      <c r="A704" t="s">
        <v>318</v>
      </c>
      <c r="B704">
        <v>2002</v>
      </c>
      <c r="C704" t="s">
        <v>281</v>
      </c>
      <c r="D704">
        <v>75.3</v>
      </c>
      <c r="E704">
        <v>12</v>
      </c>
      <c r="F704">
        <v>0</v>
      </c>
      <c r="G704">
        <v>13.47</v>
      </c>
      <c r="H704">
        <v>0</v>
      </c>
      <c r="I704">
        <v>86</v>
      </c>
      <c r="J704">
        <v>4</v>
      </c>
      <c r="K704">
        <v>59.9</v>
      </c>
      <c r="L704">
        <v>0</v>
      </c>
      <c r="M704">
        <v>97</v>
      </c>
      <c r="N704">
        <v>6.8</v>
      </c>
      <c r="O704">
        <v>98</v>
      </c>
      <c r="P704">
        <v>0.1</v>
      </c>
      <c r="S704">
        <v>2.2000000000000002</v>
      </c>
      <c r="T704">
        <v>2.2999999999999998</v>
      </c>
      <c r="W704" t="b">
        <f>COUNT(LifeExpectancyData[[#This Row],[Life expectancy]:[Schooling]])=19</f>
        <v>0</v>
      </c>
    </row>
    <row r="705" spans="1:23" x14ac:dyDescent="0.25">
      <c r="A705" t="s">
        <v>318</v>
      </c>
      <c r="B705">
        <v>2001</v>
      </c>
      <c r="C705" t="s">
        <v>281</v>
      </c>
      <c r="D705">
        <v>75.099999999999994</v>
      </c>
      <c r="E705">
        <v>123</v>
      </c>
      <c r="F705">
        <v>0</v>
      </c>
      <c r="G705">
        <v>13.36</v>
      </c>
      <c r="H705">
        <v>0</v>
      </c>
      <c r="J705">
        <v>6</v>
      </c>
      <c r="K705">
        <v>59.4</v>
      </c>
      <c r="L705">
        <v>0</v>
      </c>
      <c r="M705">
        <v>97</v>
      </c>
      <c r="N705">
        <v>6.42</v>
      </c>
      <c r="O705">
        <v>98</v>
      </c>
      <c r="P705">
        <v>0.1</v>
      </c>
      <c r="S705">
        <v>2.2000000000000002</v>
      </c>
      <c r="T705">
        <v>2.2999999999999998</v>
      </c>
      <c r="W705" t="b">
        <f>COUNT(LifeExpectancyData[[#This Row],[Life expectancy]:[Schooling]])=19</f>
        <v>0</v>
      </c>
    </row>
    <row r="706" spans="1:23" x14ac:dyDescent="0.25">
      <c r="A706" t="s">
        <v>318</v>
      </c>
      <c r="B706">
        <v>2000</v>
      </c>
      <c r="C706" t="s">
        <v>281</v>
      </c>
      <c r="D706">
        <v>74.7</v>
      </c>
      <c r="E706">
        <v>126</v>
      </c>
      <c r="F706">
        <v>0</v>
      </c>
      <c r="G706">
        <v>13.22</v>
      </c>
      <c r="H706">
        <v>0</v>
      </c>
      <c r="J706">
        <v>9</v>
      </c>
      <c r="K706">
        <v>59</v>
      </c>
      <c r="L706">
        <v>0</v>
      </c>
      <c r="M706">
        <v>98</v>
      </c>
      <c r="N706">
        <v>6.31</v>
      </c>
      <c r="O706">
        <v>98</v>
      </c>
      <c r="P706">
        <v>0.1</v>
      </c>
      <c r="S706">
        <v>2.2999999999999998</v>
      </c>
      <c r="T706">
        <v>2.2999999999999998</v>
      </c>
      <c r="W706" t="b">
        <f>COUNT(LifeExpectancyData[[#This Row],[Life expectancy]:[Schooling]])=19</f>
        <v>0</v>
      </c>
    </row>
    <row r="707" spans="1:23" x14ac:dyDescent="0.25">
      <c r="A707" t="s">
        <v>319</v>
      </c>
      <c r="B707">
        <v>2015</v>
      </c>
      <c r="C707" t="s">
        <v>273</v>
      </c>
      <c r="D707">
        <v>76</v>
      </c>
      <c r="E707">
        <v>139</v>
      </c>
      <c r="F707">
        <v>6</v>
      </c>
      <c r="H707">
        <v>0</v>
      </c>
      <c r="I707">
        <v>96</v>
      </c>
      <c r="J707">
        <v>0</v>
      </c>
      <c r="K707">
        <v>32.9</v>
      </c>
      <c r="L707">
        <v>7</v>
      </c>
      <c r="M707">
        <v>99</v>
      </c>
      <c r="O707">
        <v>96</v>
      </c>
      <c r="P707">
        <v>0.1</v>
      </c>
      <c r="S707">
        <v>4.9000000000000004</v>
      </c>
      <c r="T707">
        <v>4.9000000000000004</v>
      </c>
      <c r="W707" t="b">
        <f>COUNT(LifeExpectancyData[[#This Row],[Life expectancy]:[Schooling]])=19</f>
        <v>0</v>
      </c>
    </row>
    <row r="708" spans="1:23" x14ac:dyDescent="0.25">
      <c r="A708" t="s">
        <v>319</v>
      </c>
      <c r="B708">
        <v>2014</v>
      </c>
      <c r="C708" t="s">
        <v>273</v>
      </c>
      <c r="D708">
        <v>73</v>
      </c>
      <c r="E708">
        <v>142</v>
      </c>
      <c r="F708">
        <v>6</v>
      </c>
      <c r="G708">
        <v>0.01</v>
      </c>
      <c r="H708">
        <v>0</v>
      </c>
      <c r="I708">
        <v>93</v>
      </c>
      <c r="J708">
        <v>3</v>
      </c>
      <c r="K708">
        <v>32.4</v>
      </c>
      <c r="L708">
        <v>8</v>
      </c>
      <c r="M708">
        <v>99</v>
      </c>
      <c r="O708">
        <v>93</v>
      </c>
      <c r="P708">
        <v>0.1</v>
      </c>
      <c r="S708">
        <v>4.9000000000000004</v>
      </c>
      <c r="T708">
        <v>4.9000000000000004</v>
      </c>
      <c r="W708" t="b">
        <f>COUNT(LifeExpectancyData[[#This Row],[Life expectancy]:[Schooling]])=19</f>
        <v>0</v>
      </c>
    </row>
    <row r="709" spans="1:23" x14ac:dyDescent="0.25">
      <c r="A709" t="s">
        <v>319</v>
      </c>
      <c r="B709">
        <v>2013</v>
      </c>
      <c r="C709" t="s">
        <v>273</v>
      </c>
      <c r="D709">
        <v>71</v>
      </c>
      <c r="E709">
        <v>146</v>
      </c>
      <c r="F709">
        <v>6</v>
      </c>
      <c r="G709">
        <v>3.35</v>
      </c>
      <c r="H709">
        <v>0</v>
      </c>
      <c r="I709">
        <v>93</v>
      </c>
      <c r="J709">
        <v>0</v>
      </c>
      <c r="K709">
        <v>31.8</v>
      </c>
      <c r="L709">
        <v>8</v>
      </c>
      <c r="M709">
        <v>99</v>
      </c>
      <c r="O709">
        <v>93</v>
      </c>
      <c r="P709">
        <v>0.1</v>
      </c>
      <c r="S709">
        <v>5</v>
      </c>
      <c r="T709">
        <v>5</v>
      </c>
      <c r="W709" t="b">
        <f>COUNT(LifeExpectancyData[[#This Row],[Life expectancy]:[Schooling]])=19</f>
        <v>0</v>
      </c>
    </row>
    <row r="710" spans="1:23" x14ac:dyDescent="0.25">
      <c r="A710" t="s">
        <v>319</v>
      </c>
      <c r="B710">
        <v>2012</v>
      </c>
      <c r="C710" t="s">
        <v>273</v>
      </c>
      <c r="D710">
        <v>69.8</v>
      </c>
      <c r="E710">
        <v>149</v>
      </c>
      <c r="F710">
        <v>7</v>
      </c>
      <c r="G710">
        <v>3.61</v>
      </c>
      <c r="H710">
        <v>0</v>
      </c>
      <c r="I710">
        <v>96</v>
      </c>
      <c r="J710">
        <v>0</v>
      </c>
      <c r="K710">
        <v>31.3</v>
      </c>
      <c r="L710">
        <v>9</v>
      </c>
      <c r="M710">
        <v>99</v>
      </c>
      <c r="O710">
        <v>96</v>
      </c>
      <c r="P710">
        <v>0.1</v>
      </c>
      <c r="S710">
        <v>5.0999999999999996</v>
      </c>
      <c r="T710">
        <v>5.0999999999999996</v>
      </c>
      <c r="W710" t="b">
        <f>COUNT(LifeExpectancyData[[#This Row],[Life expectancy]:[Schooling]])=19</f>
        <v>0</v>
      </c>
    </row>
    <row r="711" spans="1:23" x14ac:dyDescent="0.25">
      <c r="A711" t="s">
        <v>319</v>
      </c>
      <c r="B711">
        <v>2011</v>
      </c>
      <c r="C711" t="s">
        <v>273</v>
      </c>
      <c r="D711">
        <v>69.400000000000006</v>
      </c>
      <c r="E711">
        <v>153</v>
      </c>
      <c r="F711">
        <v>8</v>
      </c>
      <c r="G711">
        <v>3.39</v>
      </c>
      <c r="H711">
        <v>0</v>
      </c>
      <c r="I711">
        <v>94</v>
      </c>
      <c r="J711">
        <v>0</v>
      </c>
      <c r="K711">
        <v>3.8</v>
      </c>
      <c r="L711">
        <v>10</v>
      </c>
      <c r="M711">
        <v>99</v>
      </c>
      <c r="O711">
        <v>94</v>
      </c>
      <c r="P711">
        <v>0.1</v>
      </c>
      <c r="S711">
        <v>5.0999999999999996</v>
      </c>
      <c r="T711">
        <v>5.2</v>
      </c>
      <c r="W711" t="b">
        <f>COUNT(LifeExpectancyData[[#This Row],[Life expectancy]:[Schooling]])=19</f>
        <v>0</v>
      </c>
    </row>
    <row r="712" spans="1:23" x14ac:dyDescent="0.25">
      <c r="A712" t="s">
        <v>319</v>
      </c>
      <c r="B712">
        <v>2010</v>
      </c>
      <c r="C712" t="s">
        <v>273</v>
      </c>
      <c r="D712">
        <v>69</v>
      </c>
      <c r="E712">
        <v>157</v>
      </c>
      <c r="F712">
        <v>8</v>
      </c>
      <c r="G712">
        <v>3.12</v>
      </c>
      <c r="H712">
        <v>0</v>
      </c>
      <c r="I712">
        <v>93</v>
      </c>
      <c r="J712">
        <v>0</v>
      </c>
      <c r="K712">
        <v>3.3</v>
      </c>
      <c r="L712">
        <v>10</v>
      </c>
      <c r="M712">
        <v>99</v>
      </c>
      <c r="O712">
        <v>93</v>
      </c>
      <c r="P712">
        <v>0.1</v>
      </c>
      <c r="S712">
        <v>5.2</v>
      </c>
      <c r="T712">
        <v>5.2</v>
      </c>
      <c r="W712" t="b">
        <f>COUNT(LifeExpectancyData[[#This Row],[Life expectancy]:[Schooling]])=19</f>
        <v>0</v>
      </c>
    </row>
    <row r="713" spans="1:23" x14ac:dyDescent="0.25">
      <c r="A713" t="s">
        <v>319</v>
      </c>
      <c r="B713">
        <v>2009</v>
      </c>
      <c r="C713" t="s">
        <v>273</v>
      </c>
      <c r="D713">
        <v>68.7</v>
      </c>
      <c r="E713">
        <v>161</v>
      </c>
      <c r="F713">
        <v>9</v>
      </c>
      <c r="G713">
        <v>3.35</v>
      </c>
      <c r="H713">
        <v>0</v>
      </c>
      <c r="I713">
        <v>93</v>
      </c>
      <c r="J713">
        <v>0</v>
      </c>
      <c r="K713">
        <v>29.7</v>
      </c>
      <c r="L713">
        <v>11</v>
      </c>
      <c r="M713">
        <v>98</v>
      </c>
      <c r="O713">
        <v>93</v>
      </c>
      <c r="P713">
        <v>0.1</v>
      </c>
      <c r="S713">
        <v>5.3</v>
      </c>
      <c r="T713">
        <v>5.3</v>
      </c>
      <c r="W713" t="b">
        <f>COUNT(LifeExpectancyData[[#This Row],[Life expectancy]:[Schooling]])=19</f>
        <v>0</v>
      </c>
    </row>
    <row r="714" spans="1:23" x14ac:dyDescent="0.25">
      <c r="A714" t="s">
        <v>319</v>
      </c>
      <c r="B714">
        <v>2008</v>
      </c>
      <c r="C714" t="s">
        <v>273</v>
      </c>
      <c r="D714">
        <v>68.599999999999994</v>
      </c>
      <c r="E714">
        <v>164</v>
      </c>
      <c r="F714">
        <v>9</v>
      </c>
      <c r="G714">
        <v>3.16</v>
      </c>
      <c r="H714">
        <v>0</v>
      </c>
      <c r="I714">
        <v>92</v>
      </c>
      <c r="J714">
        <v>8</v>
      </c>
      <c r="K714">
        <v>29.2</v>
      </c>
      <c r="L714">
        <v>12</v>
      </c>
      <c r="M714">
        <v>98</v>
      </c>
      <c r="O714">
        <v>92</v>
      </c>
      <c r="P714">
        <v>0.1</v>
      </c>
      <c r="S714">
        <v>5.4</v>
      </c>
      <c r="T714">
        <v>5.4</v>
      </c>
      <c r="W714" t="b">
        <f>COUNT(LifeExpectancyData[[#This Row],[Life expectancy]:[Schooling]])=19</f>
        <v>0</v>
      </c>
    </row>
    <row r="715" spans="1:23" x14ac:dyDescent="0.25">
      <c r="A715" t="s">
        <v>319</v>
      </c>
      <c r="B715">
        <v>2007</v>
      </c>
      <c r="C715" t="s">
        <v>273</v>
      </c>
      <c r="D715">
        <v>68.5</v>
      </c>
      <c r="E715">
        <v>166</v>
      </c>
      <c r="F715">
        <v>9</v>
      </c>
      <c r="G715">
        <v>3.13</v>
      </c>
      <c r="H715">
        <v>0</v>
      </c>
      <c r="I715">
        <v>92</v>
      </c>
      <c r="J715">
        <v>3550</v>
      </c>
      <c r="K715">
        <v>28.7</v>
      </c>
      <c r="L715">
        <v>12</v>
      </c>
      <c r="M715">
        <v>99</v>
      </c>
      <c r="O715">
        <v>92</v>
      </c>
      <c r="P715">
        <v>0.1</v>
      </c>
      <c r="S715">
        <v>5.5</v>
      </c>
      <c r="T715">
        <v>5.5</v>
      </c>
      <c r="W715" t="b">
        <f>COUNT(LifeExpectancyData[[#This Row],[Life expectancy]:[Schooling]])=19</f>
        <v>0</v>
      </c>
    </row>
    <row r="716" spans="1:23" x14ac:dyDescent="0.25">
      <c r="A716" t="s">
        <v>319</v>
      </c>
      <c r="B716">
        <v>2006</v>
      </c>
      <c r="C716" t="s">
        <v>273</v>
      </c>
      <c r="D716">
        <v>68.5</v>
      </c>
      <c r="E716">
        <v>165</v>
      </c>
      <c r="F716">
        <v>10</v>
      </c>
      <c r="G716">
        <v>3.28</v>
      </c>
      <c r="H716">
        <v>0</v>
      </c>
      <c r="I716">
        <v>96</v>
      </c>
      <c r="J716">
        <v>0</v>
      </c>
      <c r="K716">
        <v>28.2</v>
      </c>
      <c r="L716">
        <v>12</v>
      </c>
      <c r="M716">
        <v>98</v>
      </c>
      <c r="O716">
        <v>89</v>
      </c>
      <c r="P716">
        <v>0.1</v>
      </c>
      <c r="S716">
        <v>5.6</v>
      </c>
      <c r="T716">
        <v>5.6</v>
      </c>
      <c r="W716" t="b">
        <f>COUNT(LifeExpectancyData[[#This Row],[Life expectancy]:[Schooling]])=19</f>
        <v>0</v>
      </c>
    </row>
    <row r="717" spans="1:23" x14ac:dyDescent="0.25">
      <c r="A717" t="s">
        <v>319</v>
      </c>
      <c r="B717">
        <v>2005</v>
      </c>
      <c r="C717" t="s">
        <v>273</v>
      </c>
      <c r="D717">
        <v>68.5</v>
      </c>
      <c r="E717">
        <v>165</v>
      </c>
      <c r="F717">
        <v>10</v>
      </c>
      <c r="G717">
        <v>3.21</v>
      </c>
      <c r="H717">
        <v>0</v>
      </c>
      <c r="I717">
        <v>92</v>
      </c>
      <c r="J717">
        <v>0</v>
      </c>
      <c r="K717">
        <v>27.7</v>
      </c>
      <c r="L717">
        <v>13</v>
      </c>
      <c r="M717">
        <v>97</v>
      </c>
      <c r="O717">
        <v>79</v>
      </c>
      <c r="P717">
        <v>0.1</v>
      </c>
      <c r="S717">
        <v>5.7</v>
      </c>
      <c r="T717">
        <v>5.7</v>
      </c>
      <c r="W717" t="b">
        <f>COUNT(LifeExpectancyData[[#This Row],[Life expectancy]:[Schooling]])=19</f>
        <v>0</v>
      </c>
    </row>
    <row r="718" spans="1:23" x14ac:dyDescent="0.25">
      <c r="A718" t="s">
        <v>319</v>
      </c>
      <c r="B718">
        <v>2004</v>
      </c>
      <c r="C718" t="s">
        <v>273</v>
      </c>
      <c r="D718">
        <v>68.400000000000006</v>
      </c>
      <c r="E718">
        <v>165</v>
      </c>
      <c r="F718">
        <v>11</v>
      </c>
      <c r="G718">
        <v>3.13</v>
      </c>
      <c r="H718">
        <v>0</v>
      </c>
      <c r="I718">
        <v>98</v>
      </c>
      <c r="J718">
        <v>0</v>
      </c>
      <c r="K718">
        <v>27.2</v>
      </c>
      <c r="L718">
        <v>14</v>
      </c>
      <c r="M718">
        <v>99</v>
      </c>
      <c r="O718">
        <v>72</v>
      </c>
      <c r="P718">
        <v>0.1</v>
      </c>
      <c r="S718">
        <v>5.7</v>
      </c>
      <c r="T718">
        <v>5.7</v>
      </c>
      <c r="W718" t="b">
        <f>COUNT(LifeExpectancyData[[#This Row],[Life expectancy]:[Schooling]])=19</f>
        <v>0</v>
      </c>
    </row>
    <row r="719" spans="1:23" x14ac:dyDescent="0.25">
      <c r="A719" t="s">
        <v>319</v>
      </c>
      <c r="B719">
        <v>2003</v>
      </c>
      <c r="C719" t="s">
        <v>273</v>
      </c>
      <c r="D719">
        <v>68.099999999999994</v>
      </c>
      <c r="E719">
        <v>165</v>
      </c>
      <c r="F719">
        <v>12</v>
      </c>
      <c r="G719">
        <v>3.13</v>
      </c>
      <c r="H719">
        <v>0</v>
      </c>
      <c r="I719">
        <v>27</v>
      </c>
      <c r="J719">
        <v>0</v>
      </c>
      <c r="K719">
        <v>26.7</v>
      </c>
      <c r="L719">
        <v>15</v>
      </c>
      <c r="M719">
        <v>99</v>
      </c>
      <c r="O719">
        <v>68</v>
      </c>
      <c r="P719">
        <v>0.1</v>
      </c>
      <c r="S719">
        <v>5.8</v>
      </c>
      <c r="T719">
        <v>5.8</v>
      </c>
      <c r="W719" t="b">
        <f>COUNT(LifeExpectancyData[[#This Row],[Life expectancy]:[Schooling]])=19</f>
        <v>0</v>
      </c>
    </row>
    <row r="720" spans="1:23" x14ac:dyDescent="0.25">
      <c r="A720" t="s">
        <v>319</v>
      </c>
      <c r="B720">
        <v>2002</v>
      </c>
      <c r="C720" t="s">
        <v>273</v>
      </c>
      <c r="D720">
        <v>67.599999999999994</v>
      </c>
      <c r="E720">
        <v>167</v>
      </c>
      <c r="F720">
        <v>14</v>
      </c>
      <c r="G720">
        <v>3.08</v>
      </c>
      <c r="H720">
        <v>0</v>
      </c>
      <c r="J720">
        <v>0</v>
      </c>
      <c r="K720">
        <v>26.2</v>
      </c>
      <c r="L720">
        <v>18</v>
      </c>
      <c r="M720">
        <v>99</v>
      </c>
      <c r="O720">
        <v>64</v>
      </c>
      <c r="P720">
        <v>0.1</v>
      </c>
      <c r="S720">
        <v>5.9</v>
      </c>
      <c r="T720">
        <v>5.9</v>
      </c>
      <c r="W720" t="b">
        <f>COUNT(LifeExpectancyData[[#This Row],[Life expectancy]:[Schooling]])=19</f>
        <v>0</v>
      </c>
    </row>
    <row r="721" spans="1:23" x14ac:dyDescent="0.25">
      <c r="A721" t="s">
        <v>319</v>
      </c>
      <c r="B721">
        <v>2001</v>
      </c>
      <c r="C721" t="s">
        <v>273</v>
      </c>
      <c r="D721">
        <v>66.599999999999994</v>
      </c>
      <c r="E721">
        <v>177</v>
      </c>
      <c r="F721">
        <v>16</v>
      </c>
      <c r="G721">
        <v>2.5299999999999998</v>
      </c>
      <c r="H721">
        <v>0</v>
      </c>
      <c r="J721">
        <v>0</v>
      </c>
      <c r="K721">
        <v>25.7</v>
      </c>
      <c r="L721">
        <v>21</v>
      </c>
      <c r="M721">
        <v>98</v>
      </c>
      <c r="O721">
        <v>62</v>
      </c>
      <c r="P721">
        <v>0.1</v>
      </c>
      <c r="S721">
        <v>5.9</v>
      </c>
      <c r="T721">
        <v>6</v>
      </c>
      <c r="W721" t="b">
        <f>COUNT(LifeExpectancyData[[#This Row],[Life expectancy]:[Schooling]])=19</f>
        <v>0</v>
      </c>
    </row>
    <row r="722" spans="1:23" x14ac:dyDescent="0.25">
      <c r="A722" t="s">
        <v>319</v>
      </c>
      <c r="B722">
        <v>2000</v>
      </c>
      <c r="C722" t="s">
        <v>273</v>
      </c>
      <c r="D722">
        <v>65.400000000000006</v>
      </c>
      <c r="E722">
        <v>192</v>
      </c>
      <c r="F722">
        <v>18</v>
      </c>
      <c r="G722">
        <v>3.52</v>
      </c>
      <c r="H722">
        <v>0</v>
      </c>
      <c r="J722">
        <v>0</v>
      </c>
      <c r="K722">
        <v>25.2</v>
      </c>
      <c r="L722">
        <v>25</v>
      </c>
      <c r="M722">
        <v>93</v>
      </c>
      <c r="O722">
        <v>56</v>
      </c>
      <c r="P722">
        <v>0.1</v>
      </c>
      <c r="S722">
        <v>6</v>
      </c>
      <c r="T722">
        <v>6</v>
      </c>
      <c r="W722" t="b">
        <f>COUNT(LifeExpectancyData[[#This Row],[Life expectancy]:[Schooling]])=19</f>
        <v>0</v>
      </c>
    </row>
    <row r="723" spans="1:23" x14ac:dyDescent="0.25">
      <c r="A723" t="s">
        <v>320</v>
      </c>
      <c r="B723">
        <v>2015</v>
      </c>
      <c r="C723" t="s">
        <v>273</v>
      </c>
      <c r="D723">
        <v>59.8</v>
      </c>
      <c r="E723">
        <v>258</v>
      </c>
      <c r="F723">
        <v>236</v>
      </c>
      <c r="H723">
        <v>0</v>
      </c>
      <c r="I723">
        <v>81</v>
      </c>
      <c r="J723">
        <v>5020</v>
      </c>
      <c r="K723">
        <v>21.6</v>
      </c>
      <c r="L723">
        <v>308</v>
      </c>
      <c r="M723">
        <v>78</v>
      </c>
      <c r="O723">
        <v>81</v>
      </c>
      <c r="P723">
        <v>1.1000000000000001</v>
      </c>
      <c r="S723">
        <v>9.5</v>
      </c>
      <c r="T723">
        <v>9.3000000000000007</v>
      </c>
      <c r="W723" t="b">
        <f>COUNT(LifeExpectancyData[[#This Row],[Life expectancy]:[Schooling]])=19</f>
        <v>0</v>
      </c>
    </row>
    <row r="724" spans="1:23" x14ac:dyDescent="0.25">
      <c r="A724" t="s">
        <v>320</v>
      </c>
      <c r="B724">
        <v>2014</v>
      </c>
      <c r="C724" t="s">
        <v>273</v>
      </c>
      <c r="D724">
        <v>59.3</v>
      </c>
      <c r="E724">
        <v>266</v>
      </c>
      <c r="F724">
        <v>237</v>
      </c>
      <c r="G724">
        <v>0.01</v>
      </c>
      <c r="H724">
        <v>0</v>
      </c>
      <c r="I724">
        <v>8</v>
      </c>
      <c r="J724">
        <v>33711</v>
      </c>
      <c r="K724">
        <v>21.1</v>
      </c>
      <c r="L724">
        <v>312</v>
      </c>
      <c r="M724">
        <v>79</v>
      </c>
      <c r="N724">
        <v>4.33</v>
      </c>
      <c r="O724">
        <v>8</v>
      </c>
      <c r="P724">
        <v>1.1000000000000001</v>
      </c>
      <c r="S724">
        <v>9.6999999999999993</v>
      </c>
      <c r="T724">
        <v>9.5</v>
      </c>
      <c r="W724" t="b">
        <f>COUNT(LifeExpectancyData[[#This Row],[Life expectancy]:[Schooling]])=19</f>
        <v>0</v>
      </c>
    </row>
    <row r="725" spans="1:23" x14ac:dyDescent="0.25">
      <c r="A725" t="s">
        <v>320</v>
      </c>
      <c r="B725">
        <v>2013</v>
      </c>
      <c r="C725" t="s">
        <v>273</v>
      </c>
      <c r="D725">
        <v>58.8</v>
      </c>
      <c r="E725">
        <v>272</v>
      </c>
      <c r="F725">
        <v>238</v>
      </c>
      <c r="G725">
        <v>0.01</v>
      </c>
      <c r="H725">
        <v>0</v>
      </c>
      <c r="I725">
        <v>74</v>
      </c>
      <c r="J725">
        <v>88381</v>
      </c>
      <c r="K725">
        <v>2.6</v>
      </c>
      <c r="L725">
        <v>314</v>
      </c>
      <c r="M725">
        <v>74</v>
      </c>
      <c r="N725">
        <v>3.89</v>
      </c>
      <c r="O725">
        <v>74</v>
      </c>
      <c r="P725">
        <v>1.2</v>
      </c>
      <c r="S725">
        <v>9.9</v>
      </c>
      <c r="T725">
        <v>9.6</v>
      </c>
      <c r="W725" t="b">
        <f>COUNT(LifeExpectancyData[[#This Row],[Life expectancy]:[Schooling]])=19</f>
        <v>0</v>
      </c>
    </row>
    <row r="726" spans="1:23" x14ac:dyDescent="0.25">
      <c r="A726" t="s">
        <v>320</v>
      </c>
      <c r="B726">
        <v>2012</v>
      </c>
      <c r="C726" t="s">
        <v>273</v>
      </c>
      <c r="D726">
        <v>58.3</v>
      </c>
      <c r="E726">
        <v>277</v>
      </c>
      <c r="F726">
        <v>239</v>
      </c>
      <c r="G726">
        <v>0.01</v>
      </c>
      <c r="H726">
        <v>0</v>
      </c>
      <c r="I726">
        <v>75</v>
      </c>
      <c r="J726">
        <v>72029</v>
      </c>
      <c r="K726">
        <v>2.1</v>
      </c>
      <c r="L726">
        <v>317</v>
      </c>
      <c r="M726">
        <v>76</v>
      </c>
      <c r="N726">
        <v>3.77</v>
      </c>
      <c r="O726">
        <v>75</v>
      </c>
      <c r="P726">
        <v>1.5</v>
      </c>
      <c r="S726">
        <v>1</v>
      </c>
      <c r="T726">
        <v>9.8000000000000007</v>
      </c>
      <c r="W726" t="b">
        <f>COUNT(LifeExpectancyData[[#This Row],[Life expectancy]:[Schooling]])=19</f>
        <v>0</v>
      </c>
    </row>
    <row r="727" spans="1:23" x14ac:dyDescent="0.25">
      <c r="A727" t="s">
        <v>320</v>
      </c>
      <c r="B727">
        <v>2011</v>
      </c>
      <c r="C727" t="s">
        <v>273</v>
      </c>
      <c r="D727">
        <v>57.9</v>
      </c>
      <c r="E727">
        <v>278</v>
      </c>
      <c r="F727">
        <v>239</v>
      </c>
      <c r="G727">
        <v>1.82</v>
      </c>
      <c r="H727">
        <v>0</v>
      </c>
      <c r="I727">
        <v>74</v>
      </c>
      <c r="J727">
        <v>133802</v>
      </c>
      <c r="K727">
        <v>19.600000000000001</v>
      </c>
      <c r="L727">
        <v>319</v>
      </c>
      <c r="M727">
        <v>77</v>
      </c>
      <c r="N727">
        <v>3.53</v>
      </c>
      <c r="O727">
        <v>74</v>
      </c>
      <c r="P727">
        <v>1.6</v>
      </c>
      <c r="S727">
        <v>1.2</v>
      </c>
      <c r="T727">
        <v>1</v>
      </c>
      <c r="W727" t="b">
        <f>COUNT(LifeExpectancyData[[#This Row],[Life expectancy]:[Schooling]])=19</f>
        <v>0</v>
      </c>
    </row>
    <row r="728" spans="1:23" x14ac:dyDescent="0.25">
      <c r="A728" t="s">
        <v>320</v>
      </c>
      <c r="B728">
        <v>2010</v>
      </c>
      <c r="C728" t="s">
        <v>273</v>
      </c>
      <c r="D728">
        <v>57.4</v>
      </c>
      <c r="E728">
        <v>283</v>
      </c>
      <c r="F728">
        <v>239</v>
      </c>
      <c r="G728">
        <v>1.81</v>
      </c>
      <c r="H728">
        <v>0</v>
      </c>
      <c r="I728">
        <v>6</v>
      </c>
      <c r="J728">
        <v>5407</v>
      </c>
      <c r="K728">
        <v>19.100000000000001</v>
      </c>
      <c r="L728">
        <v>321</v>
      </c>
      <c r="M728">
        <v>76</v>
      </c>
      <c r="N728">
        <v>4.4000000000000004</v>
      </c>
      <c r="O728">
        <v>6</v>
      </c>
      <c r="P728">
        <v>1.6</v>
      </c>
      <c r="S728">
        <v>1.4</v>
      </c>
      <c r="T728">
        <v>1.2</v>
      </c>
      <c r="W728" t="b">
        <f>COUNT(LifeExpectancyData[[#This Row],[Life expectancy]:[Schooling]])=19</f>
        <v>0</v>
      </c>
    </row>
    <row r="729" spans="1:23" x14ac:dyDescent="0.25">
      <c r="A729" t="s">
        <v>320</v>
      </c>
      <c r="B729">
        <v>2009</v>
      </c>
      <c r="C729" t="s">
        <v>273</v>
      </c>
      <c r="D729">
        <v>56.7</v>
      </c>
      <c r="E729">
        <v>292</v>
      </c>
      <c r="F729">
        <v>238</v>
      </c>
      <c r="G729">
        <v>2.13</v>
      </c>
      <c r="H729">
        <v>0</v>
      </c>
      <c r="I729">
        <v>72</v>
      </c>
      <c r="J729">
        <v>57</v>
      </c>
      <c r="K729">
        <v>18.600000000000001</v>
      </c>
      <c r="L729">
        <v>323</v>
      </c>
      <c r="M729">
        <v>78</v>
      </c>
      <c r="N729">
        <v>5.61</v>
      </c>
      <c r="O729">
        <v>72</v>
      </c>
      <c r="P729">
        <v>1.7</v>
      </c>
      <c r="S729">
        <v>1.6</v>
      </c>
      <c r="T729">
        <v>1.4</v>
      </c>
      <c r="W729" t="b">
        <f>COUNT(LifeExpectancyData[[#This Row],[Life expectancy]:[Schooling]])=19</f>
        <v>0</v>
      </c>
    </row>
    <row r="730" spans="1:23" x14ac:dyDescent="0.25">
      <c r="A730" t="s">
        <v>320</v>
      </c>
      <c r="B730">
        <v>2008</v>
      </c>
      <c r="C730" t="s">
        <v>273</v>
      </c>
      <c r="D730">
        <v>56.3</v>
      </c>
      <c r="E730">
        <v>295</v>
      </c>
      <c r="F730">
        <v>237</v>
      </c>
      <c r="G730">
        <v>2.09</v>
      </c>
      <c r="H730">
        <v>0</v>
      </c>
      <c r="I730">
        <v>65</v>
      </c>
      <c r="J730">
        <v>12461</v>
      </c>
      <c r="K730">
        <v>18.2</v>
      </c>
      <c r="L730">
        <v>324</v>
      </c>
      <c r="M730">
        <v>64</v>
      </c>
      <c r="N730">
        <v>4.46</v>
      </c>
      <c r="O730">
        <v>65</v>
      </c>
      <c r="P730">
        <v>1.8</v>
      </c>
      <c r="S730">
        <v>1.8</v>
      </c>
      <c r="T730">
        <v>1.7</v>
      </c>
      <c r="W730" t="b">
        <f>COUNT(LifeExpectancyData[[#This Row],[Life expectancy]:[Schooling]])=19</f>
        <v>0</v>
      </c>
    </row>
    <row r="731" spans="1:23" x14ac:dyDescent="0.25">
      <c r="A731" t="s">
        <v>320</v>
      </c>
      <c r="B731">
        <v>2007</v>
      </c>
      <c r="C731" t="s">
        <v>273</v>
      </c>
      <c r="D731">
        <v>55.7</v>
      </c>
      <c r="E731">
        <v>299</v>
      </c>
      <c r="F731">
        <v>236</v>
      </c>
      <c r="G731">
        <v>1.52</v>
      </c>
      <c r="H731">
        <v>0</v>
      </c>
      <c r="I731">
        <v>7</v>
      </c>
      <c r="J731">
        <v>55577</v>
      </c>
      <c r="K731">
        <v>17.8</v>
      </c>
      <c r="L731">
        <v>326</v>
      </c>
      <c r="M731">
        <v>72</v>
      </c>
      <c r="N731">
        <v>3.61</v>
      </c>
      <c r="O731">
        <v>7</v>
      </c>
      <c r="P731">
        <v>1.9</v>
      </c>
      <c r="S731">
        <v>11.1</v>
      </c>
      <c r="T731">
        <v>1.9</v>
      </c>
      <c r="W731" t="b">
        <f>COUNT(LifeExpectancyData[[#This Row],[Life expectancy]:[Schooling]])=19</f>
        <v>0</v>
      </c>
    </row>
    <row r="732" spans="1:23" x14ac:dyDescent="0.25">
      <c r="A732" t="s">
        <v>320</v>
      </c>
      <c r="B732">
        <v>2006</v>
      </c>
      <c r="C732" t="s">
        <v>273</v>
      </c>
      <c r="D732">
        <v>55</v>
      </c>
      <c r="E732">
        <v>36</v>
      </c>
      <c r="F732">
        <v>235</v>
      </c>
      <c r="G732">
        <v>1.53</v>
      </c>
      <c r="H732">
        <v>0</v>
      </c>
      <c r="J732">
        <v>80123</v>
      </c>
      <c r="K732">
        <v>17.3</v>
      </c>
      <c r="L732">
        <v>327</v>
      </c>
      <c r="M732">
        <v>62</v>
      </c>
      <c r="N732">
        <v>3.39</v>
      </c>
      <c r="O732">
        <v>62</v>
      </c>
      <c r="P732">
        <v>2</v>
      </c>
      <c r="S732">
        <v>11.3</v>
      </c>
      <c r="T732">
        <v>11.1</v>
      </c>
      <c r="W732" t="b">
        <f>COUNT(LifeExpectancyData[[#This Row],[Life expectancy]:[Schooling]])=19</f>
        <v>0</v>
      </c>
    </row>
    <row r="733" spans="1:23" x14ac:dyDescent="0.25">
      <c r="A733" t="s">
        <v>320</v>
      </c>
      <c r="B733">
        <v>2005</v>
      </c>
      <c r="C733" t="s">
        <v>273</v>
      </c>
      <c r="D733">
        <v>54.3</v>
      </c>
      <c r="E733">
        <v>314</v>
      </c>
      <c r="F733">
        <v>233</v>
      </c>
      <c r="G733">
        <v>1.43</v>
      </c>
      <c r="H733">
        <v>0</v>
      </c>
      <c r="J733">
        <v>182485</v>
      </c>
      <c r="K733">
        <v>16.899999999999999</v>
      </c>
      <c r="L733">
        <v>329</v>
      </c>
      <c r="M733">
        <v>6</v>
      </c>
      <c r="N733">
        <v>3.14</v>
      </c>
      <c r="O733">
        <v>6</v>
      </c>
      <c r="P733">
        <v>2</v>
      </c>
      <c r="S733">
        <v>11.5</v>
      </c>
      <c r="T733">
        <v>11.3</v>
      </c>
      <c r="W733" t="b">
        <f>COUNT(LifeExpectancyData[[#This Row],[Life expectancy]:[Schooling]])=19</f>
        <v>0</v>
      </c>
    </row>
    <row r="734" spans="1:23" x14ac:dyDescent="0.25">
      <c r="A734" t="s">
        <v>320</v>
      </c>
      <c r="B734">
        <v>2004</v>
      </c>
      <c r="C734" t="s">
        <v>273</v>
      </c>
      <c r="D734">
        <v>53.5</v>
      </c>
      <c r="E734">
        <v>323</v>
      </c>
      <c r="F734">
        <v>232</v>
      </c>
      <c r="G734">
        <v>1.44</v>
      </c>
      <c r="H734">
        <v>0</v>
      </c>
      <c r="J734">
        <v>44934</v>
      </c>
      <c r="K734">
        <v>16.5</v>
      </c>
      <c r="L734">
        <v>330</v>
      </c>
      <c r="M734">
        <v>52</v>
      </c>
      <c r="N734">
        <v>3.34</v>
      </c>
      <c r="O734">
        <v>54</v>
      </c>
      <c r="P734">
        <v>2.1</v>
      </c>
      <c r="S734">
        <v>11.7</v>
      </c>
      <c r="T734">
        <v>11.5</v>
      </c>
      <c r="W734" t="b">
        <f>COUNT(LifeExpectancyData[[#This Row],[Life expectancy]:[Schooling]])=19</f>
        <v>0</v>
      </c>
    </row>
    <row r="735" spans="1:23" x14ac:dyDescent="0.25">
      <c r="A735" t="s">
        <v>320</v>
      </c>
      <c r="B735">
        <v>2003</v>
      </c>
      <c r="C735" t="s">
        <v>273</v>
      </c>
      <c r="D735">
        <v>52.8</v>
      </c>
      <c r="E735">
        <v>332</v>
      </c>
      <c r="F735">
        <v>231</v>
      </c>
      <c r="G735">
        <v>1.83</v>
      </c>
      <c r="H735">
        <v>0</v>
      </c>
      <c r="J735">
        <v>21956</v>
      </c>
      <c r="K735">
        <v>16.100000000000001</v>
      </c>
      <c r="L735">
        <v>331</v>
      </c>
      <c r="M735">
        <v>47</v>
      </c>
      <c r="N735">
        <v>3.2</v>
      </c>
      <c r="O735">
        <v>41</v>
      </c>
      <c r="P735">
        <v>2.2000000000000002</v>
      </c>
      <c r="S735">
        <v>11.9</v>
      </c>
      <c r="T735">
        <v>11.7</v>
      </c>
      <c r="W735" t="b">
        <f>COUNT(LifeExpectancyData[[#This Row],[Life expectancy]:[Schooling]])=19</f>
        <v>0</v>
      </c>
    </row>
    <row r="736" spans="1:23" x14ac:dyDescent="0.25">
      <c r="A736" t="s">
        <v>320</v>
      </c>
      <c r="B736">
        <v>2002</v>
      </c>
      <c r="C736" t="s">
        <v>273</v>
      </c>
      <c r="D736">
        <v>52.1</v>
      </c>
      <c r="E736">
        <v>341</v>
      </c>
      <c r="F736">
        <v>229</v>
      </c>
      <c r="G736">
        <v>1.85</v>
      </c>
      <c r="H736">
        <v>0</v>
      </c>
      <c r="J736">
        <v>30466</v>
      </c>
      <c r="K736">
        <v>15.7</v>
      </c>
      <c r="L736">
        <v>331</v>
      </c>
      <c r="M736">
        <v>4</v>
      </c>
      <c r="N736">
        <v>2.59</v>
      </c>
      <c r="O736">
        <v>38</v>
      </c>
      <c r="P736">
        <v>2.4</v>
      </c>
      <c r="S736">
        <v>12.1</v>
      </c>
      <c r="T736">
        <v>11.9</v>
      </c>
      <c r="W736" t="b">
        <f>COUNT(LifeExpectancyData[[#This Row],[Life expectancy]:[Schooling]])=19</f>
        <v>0</v>
      </c>
    </row>
    <row r="737" spans="1:23" x14ac:dyDescent="0.25">
      <c r="A737" t="s">
        <v>320</v>
      </c>
      <c r="B737">
        <v>2001</v>
      </c>
      <c r="C737" t="s">
        <v>273</v>
      </c>
      <c r="D737">
        <v>51.8</v>
      </c>
      <c r="E737">
        <v>34</v>
      </c>
      <c r="F737">
        <v>227</v>
      </c>
      <c r="G737">
        <v>1.9</v>
      </c>
      <c r="H737">
        <v>0</v>
      </c>
      <c r="J737">
        <v>8072</v>
      </c>
      <c r="K737">
        <v>15.3</v>
      </c>
      <c r="L737">
        <v>332</v>
      </c>
      <c r="M737">
        <v>3</v>
      </c>
      <c r="N737">
        <v>2.67</v>
      </c>
      <c r="O737">
        <v>3</v>
      </c>
      <c r="P737">
        <v>2.4</v>
      </c>
      <c r="S737">
        <v>12.2</v>
      </c>
      <c r="T737">
        <v>12.1</v>
      </c>
      <c r="W737" t="b">
        <f>COUNT(LifeExpectancyData[[#This Row],[Life expectancy]:[Schooling]])=19</f>
        <v>0</v>
      </c>
    </row>
    <row r="738" spans="1:23" x14ac:dyDescent="0.25">
      <c r="A738" t="s">
        <v>320</v>
      </c>
      <c r="B738">
        <v>2000</v>
      </c>
      <c r="C738" t="s">
        <v>273</v>
      </c>
      <c r="D738">
        <v>51.3</v>
      </c>
      <c r="E738">
        <v>346</v>
      </c>
      <c r="F738">
        <v>226</v>
      </c>
      <c r="G738">
        <v>1.98</v>
      </c>
      <c r="H738">
        <v>0</v>
      </c>
      <c r="J738">
        <v>8282</v>
      </c>
      <c r="K738">
        <v>14.9</v>
      </c>
      <c r="L738">
        <v>332</v>
      </c>
      <c r="M738">
        <v>42</v>
      </c>
      <c r="N738">
        <v>1.45</v>
      </c>
      <c r="O738">
        <v>4</v>
      </c>
      <c r="P738">
        <v>2.5</v>
      </c>
      <c r="S738">
        <v>12.4</v>
      </c>
      <c r="T738">
        <v>12.3</v>
      </c>
      <c r="W738" t="b">
        <f>COUNT(LifeExpectancyData[[#This Row],[Life expectancy]:[Schooling]])=19</f>
        <v>0</v>
      </c>
    </row>
    <row r="739" spans="1:23" x14ac:dyDescent="0.25">
      <c r="A739" t="s">
        <v>321</v>
      </c>
      <c r="B739">
        <v>2015</v>
      </c>
      <c r="C739" t="s">
        <v>281</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COUNT(LifeExpectancyData[[#This Row],[Life expectancy]:[Schooling]])=19</f>
        <v>0</v>
      </c>
    </row>
    <row r="740" spans="1:23" x14ac:dyDescent="0.25">
      <c r="A740" t="s">
        <v>321</v>
      </c>
      <c r="B740">
        <v>2014</v>
      </c>
      <c r="C740" t="s">
        <v>281</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COUNT(LifeExpectancyData[[#This Row],[Life expectancy]:[Schooling]])=19</f>
        <v>0</v>
      </c>
    </row>
    <row r="741" spans="1:23" x14ac:dyDescent="0.25">
      <c r="A741" t="s">
        <v>321</v>
      </c>
      <c r="B741">
        <v>2013</v>
      </c>
      <c r="C741" t="s">
        <v>281</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COUNT(LifeExpectancyData[[#This Row],[Life expectancy]:[Schooling]])=19</f>
        <v>0</v>
      </c>
    </row>
    <row r="742" spans="1:23" x14ac:dyDescent="0.25">
      <c r="A742" t="s">
        <v>321</v>
      </c>
      <c r="B742">
        <v>2012</v>
      </c>
      <c r="C742" t="s">
        <v>281</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COUNT(LifeExpectancyData[[#This Row],[Life expectancy]:[Schooling]])=19</f>
        <v>0</v>
      </c>
    </row>
    <row r="743" spans="1:23" x14ac:dyDescent="0.25">
      <c r="A743" t="s">
        <v>321</v>
      </c>
      <c r="B743">
        <v>2011</v>
      </c>
      <c r="C743" t="s">
        <v>281</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COUNT(LifeExpectancyData[[#This Row],[Life expectancy]:[Schooling]])=19</f>
        <v>0</v>
      </c>
    </row>
    <row r="744" spans="1:23" x14ac:dyDescent="0.25">
      <c r="A744" t="s">
        <v>321</v>
      </c>
      <c r="B744">
        <v>2010</v>
      </c>
      <c r="C744" t="s">
        <v>281</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COUNT(LifeExpectancyData[[#This Row],[Life expectancy]:[Schooling]])=19</f>
        <v>0</v>
      </c>
    </row>
    <row r="745" spans="1:23" x14ac:dyDescent="0.25">
      <c r="A745" t="s">
        <v>321</v>
      </c>
      <c r="B745">
        <v>2009</v>
      </c>
      <c r="C745" t="s">
        <v>281</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COUNT(LifeExpectancyData[[#This Row],[Life expectancy]:[Schooling]])=19</f>
        <v>0</v>
      </c>
    </row>
    <row r="746" spans="1:23" x14ac:dyDescent="0.25">
      <c r="A746" t="s">
        <v>321</v>
      </c>
      <c r="B746">
        <v>2008</v>
      </c>
      <c r="C746" t="s">
        <v>281</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COUNT(LifeExpectancyData[[#This Row],[Life expectancy]:[Schooling]])=19</f>
        <v>0</v>
      </c>
    </row>
    <row r="747" spans="1:23" x14ac:dyDescent="0.25">
      <c r="A747" t="s">
        <v>321</v>
      </c>
      <c r="B747">
        <v>2007</v>
      </c>
      <c r="C747" t="s">
        <v>281</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COUNT(LifeExpectancyData[[#This Row],[Life expectancy]:[Schooling]])=19</f>
        <v>0</v>
      </c>
    </row>
    <row r="748" spans="1:23" x14ac:dyDescent="0.25">
      <c r="A748" t="s">
        <v>321</v>
      </c>
      <c r="B748">
        <v>2006</v>
      </c>
      <c r="C748" t="s">
        <v>281</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COUNT(LifeExpectancyData[[#This Row],[Life expectancy]:[Schooling]])=19</f>
        <v>0</v>
      </c>
    </row>
    <row r="749" spans="1:23" x14ac:dyDescent="0.25">
      <c r="A749" t="s">
        <v>321</v>
      </c>
      <c r="B749">
        <v>2005</v>
      </c>
      <c r="C749" t="s">
        <v>281</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COUNT(LifeExpectancyData[[#This Row],[Life expectancy]:[Schooling]])=19</f>
        <v>0</v>
      </c>
    </row>
    <row r="750" spans="1:23" x14ac:dyDescent="0.25">
      <c r="A750" t="s">
        <v>321</v>
      </c>
      <c r="B750">
        <v>2004</v>
      </c>
      <c r="C750" t="s">
        <v>281</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COUNT(LifeExpectancyData[[#This Row],[Life expectancy]:[Schooling]])=19</f>
        <v>0</v>
      </c>
    </row>
    <row r="751" spans="1:23" x14ac:dyDescent="0.25">
      <c r="A751" t="s">
        <v>321</v>
      </c>
      <c r="B751">
        <v>2003</v>
      </c>
      <c r="C751" t="s">
        <v>281</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COUNT(LifeExpectancyData[[#This Row],[Life expectancy]:[Schooling]])=19</f>
        <v>0</v>
      </c>
    </row>
    <row r="752" spans="1:23" x14ac:dyDescent="0.25">
      <c r="A752" t="s">
        <v>321</v>
      </c>
      <c r="B752">
        <v>2002</v>
      </c>
      <c r="C752" t="s">
        <v>281</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COUNT(LifeExpectancyData[[#This Row],[Life expectancy]:[Schooling]])=19</f>
        <v>0</v>
      </c>
    </row>
    <row r="753" spans="1:23" x14ac:dyDescent="0.25">
      <c r="A753" t="s">
        <v>321</v>
      </c>
      <c r="B753">
        <v>2001</v>
      </c>
      <c r="C753" t="s">
        <v>281</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COUNT(LifeExpectancyData[[#This Row],[Life expectancy]:[Schooling]])=19</f>
        <v>0</v>
      </c>
    </row>
    <row r="754" spans="1:23" x14ac:dyDescent="0.25">
      <c r="A754" t="s">
        <v>321</v>
      </c>
      <c r="B754">
        <v>2000</v>
      </c>
      <c r="C754" t="s">
        <v>281</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COUNT(LifeExpectancyData[[#This Row],[Life expectancy]:[Schooling]])=19</f>
        <v>0</v>
      </c>
    </row>
    <row r="755" spans="1:23" x14ac:dyDescent="0.25">
      <c r="A755" t="s">
        <v>322</v>
      </c>
      <c r="B755">
        <v>2015</v>
      </c>
      <c r="C755" t="s">
        <v>273</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COUNT(LifeExpectancyData[[#This Row],[Life expectancy]:[Schooling]])=19</f>
        <v>0</v>
      </c>
    </row>
    <row r="756" spans="1:23" x14ac:dyDescent="0.25">
      <c r="A756" t="s">
        <v>322</v>
      </c>
      <c r="B756">
        <v>2014</v>
      </c>
      <c r="C756" t="s">
        <v>273</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COUNT(LifeExpectancyData[[#This Row],[Life expectancy]:[Schooling]])=19</f>
        <v>1</v>
      </c>
    </row>
    <row r="757" spans="1:23" x14ac:dyDescent="0.25">
      <c r="A757" t="s">
        <v>322</v>
      </c>
      <c r="B757">
        <v>2013</v>
      </c>
      <c r="C757" t="s">
        <v>273</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COUNT(LifeExpectancyData[[#This Row],[Life expectancy]:[Schooling]])=19</f>
        <v>1</v>
      </c>
    </row>
    <row r="758" spans="1:23" x14ac:dyDescent="0.25">
      <c r="A758" t="s">
        <v>322</v>
      </c>
      <c r="B758">
        <v>2012</v>
      </c>
      <c r="C758" t="s">
        <v>273</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COUNT(LifeExpectancyData[[#This Row],[Life expectancy]:[Schooling]])=19</f>
        <v>1</v>
      </c>
    </row>
    <row r="759" spans="1:23" x14ac:dyDescent="0.25">
      <c r="A759" t="s">
        <v>322</v>
      </c>
      <c r="B759">
        <v>2011</v>
      </c>
      <c r="C759" t="s">
        <v>273</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COUNT(LifeExpectancyData[[#This Row],[Life expectancy]:[Schooling]])=19</f>
        <v>1</v>
      </c>
    </row>
    <row r="760" spans="1:23" x14ac:dyDescent="0.25">
      <c r="A760" t="s">
        <v>322</v>
      </c>
      <c r="B760">
        <v>2010</v>
      </c>
      <c r="C760" t="s">
        <v>273</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COUNT(LifeExpectancyData[[#This Row],[Life expectancy]:[Schooling]])=19</f>
        <v>1</v>
      </c>
    </row>
    <row r="761" spans="1:23" x14ac:dyDescent="0.25">
      <c r="A761" t="s">
        <v>322</v>
      </c>
      <c r="B761">
        <v>2009</v>
      </c>
      <c r="C761" t="s">
        <v>273</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COUNT(LifeExpectancyData[[#This Row],[Life expectancy]:[Schooling]])=19</f>
        <v>1</v>
      </c>
    </row>
    <row r="762" spans="1:23" x14ac:dyDescent="0.25">
      <c r="A762" t="s">
        <v>322</v>
      </c>
      <c r="B762">
        <v>2008</v>
      </c>
      <c r="C762" t="s">
        <v>273</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COUNT(LifeExpectancyData[[#This Row],[Life expectancy]:[Schooling]])=19</f>
        <v>1</v>
      </c>
    </row>
    <row r="763" spans="1:23" x14ac:dyDescent="0.25">
      <c r="A763" t="s">
        <v>322</v>
      </c>
      <c r="B763">
        <v>2007</v>
      </c>
      <c r="C763" t="s">
        <v>273</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COUNT(LifeExpectancyData[[#This Row],[Life expectancy]:[Schooling]])=19</f>
        <v>1</v>
      </c>
    </row>
    <row r="764" spans="1:23" x14ac:dyDescent="0.25">
      <c r="A764" t="s">
        <v>322</v>
      </c>
      <c r="B764">
        <v>2006</v>
      </c>
      <c r="C764" t="s">
        <v>273</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COUNT(LifeExpectancyData[[#This Row],[Life expectancy]:[Schooling]])=19</f>
        <v>0</v>
      </c>
    </row>
    <row r="765" spans="1:23" x14ac:dyDescent="0.25">
      <c r="A765" t="s">
        <v>322</v>
      </c>
      <c r="B765">
        <v>2005</v>
      </c>
      <c r="C765" t="s">
        <v>273</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COUNT(LifeExpectancyData[[#This Row],[Life expectancy]:[Schooling]])=19</f>
        <v>0</v>
      </c>
    </row>
    <row r="766" spans="1:23" x14ac:dyDescent="0.25">
      <c r="A766" t="s">
        <v>322</v>
      </c>
      <c r="B766">
        <v>2004</v>
      </c>
      <c r="C766" t="s">
        <v>273</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COUNT(LifeExpectancyData[[#This Row],[Life expectancy]:[Schooling]])=19</f>
        <v>0</v>
      </c>
    </row>
    <row r="767" spans="1:23" x14ac:dyDescent="0.25">
      <c r="A767" t="s">
        <v>322</v>
      </c>
      <c r="B767">
        <v>2003</v>
      </c>
      <c r="C767" t="s">
        <v>273</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COUNT(LifeExpectancyData[[#This Row],[Life expectancy]:[Schooling]])=19</f>
        <v>0</v>
      </c>
    </row>
    <row r="768" spans="1:23" x14ac:dyDescent="0.25">
      <c r="A768" t="s">
        <v>322</v>
      </c>
      <c r="B768">
        <v>2002</v>
      </c>
      <c r="C768" t="s">
        <v>273</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COUNT(LifeExpectancyData[[#This Row],[Life expectancy]:[Schooling]])=19</f>
        <v>0</v>
      </c>
    </row>
    <row r="769" spans="1:23" x14ac:dyDescent="0.25">
      <c r="A769" t="s">
        <v>322</v>
      </c>
      <c r="B769">
        <v>2001</v>
      </c>
      <c r="C769" t="s">
        <v>273</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COUNT(LifeExpectancyData[[#This Row],[Life expectancy]:[Schooling]])=19</f>
        <v>0</v>
      </c>
    </row>
    <row r="770" spans="1:23" x14ac:dyDescent="0.25">
      <c r="A770" t="s">
        <v>322</v>
      </c>
      <c r="B770">
        <v>2000</v>
      </c>
      <c r="C770" t="s">
        <v>273</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COUNT(LifeExpectancyData[[#This Row],[Life expectancy]:[Schooling]])=19</f>
        <v>0</v>
      </c>
    </row>
    <row r="771" spans="1:23" x14ac:dyDescent="0.25">
      <c r="A771" t="s">
        <v>323</v>
      </c>
      <c r="B771">
        <v>2013</v>
      </c>
      <c r="C771" t="s">
        <v>273</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COUNT(LifeExpectancyData[[#This Row],[Life expectancy]:[Schooling]])=19</f>
        <v>0</v>
      </c>
    </row>
    <row r="772" spans="1:23" x14ac:dyDescent="0.25">
      <c r="A772" t="s">
        <v>324</v>
      </c>
      <c r="B772">
        <v>2015</v>
      </c>
      <c r="C772" t="s">
        <v>273</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COUNT(LifeExpectancyData[[#This Row],[Life expectancy]:[Schooling]])=19</f>
        <v>0</v>
      </c>
    </row>
    <row r="773" spans="1:23" x14ac:dyDescent="0.25">
      <c r="A773" t="s">
        <v>324</v>
      </c>
      <c r="B773">
        <v>2014</v>
      </c>
      <c r="C773" t="s">
        <v>273</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COUNT(LifeExpectancyData[[#This Row],[Life expectancy]:[Schooling]])=19</f>
        <v>1</v>
      </c>
    </row>
    <row r="774" spans="1:23" x14ac:dyDescent="0.25">
      <c r="A774" t="s">
        <v>324</v>
      </c>
      <c r="B774">
        <v>2013</v>
      </c>
      <c r="C774" t="s">
        <v>273</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COUNT(LifeExpectancyData[[#This Row],[Life expectancy]:[Schooling]])=19</f>
        <v>1</v>
      </c>
    </row>
    <row r="775" spans="1:23" x14ac:dyDescent="0.25">
      <c r="A775" t="s">
        <v>324</v>
      </c>
      <c r="B775">
        <v>2012</v>
      </c>
      <c r="C775" t="s">
        <v>273</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COUNT(LifeExpectancyData[[#This Row],[Life expectancy]:[Schooling]])=19</f>
        <v>1</v>
      </c>
    </row>
    <row r="776" spans="1:23" x14ac:dyDescent="0.25">
      <c r="A776" t="s">
        <v>324</v>
      </c>
      <c r="B776">
        <v>2011</v>
      </c>
      <c r="C776" t="s">
        <v>273</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COUNT(LifeExpectancyData[[#This Row],[Life expectancy]:[Schooling]])=19</f>
        <v>1</v>
      </c>
    </row>
    <row r="777" spans="1:23" x14ac:dyDescent="0.25">
      <c r="A777" t="s">
        <v>324</v>
      </c>
      <c r="B777">
        <v>2010</v>
      </c>
      <c r="C777" t="s">
        <v>273</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COUNT(LifeExpectancyData[[#This Row],[Life expectancy]:[Schooling]])=19</f>
        <v>1</v>
      </c>
    </row>
    <row r="778" spans="1:23" x14ac:dyDescent="0.25">
      <c r="A778" t="s">
        <v>324</v>
      </c>
      <c r="B778">
        <v>2009</v>
      </c>
      <c r="C778" t="s">
        <v>273</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COUNT(LifeExpectancyData[[#This Row],[Life expectancy]:[Schooling]])=19</f>
        <v>1</v>
      </c>
    </row>
    <row r="779" spans="1:23" x14ac:dyDescent="0.25">
      <c r="A779" t="s">
        <v>324</v>
      </c>
      <c r="B779">
        <v>2008</v>
      </c>
      <c r="C779" t="s">
        <v>273</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COUNT(LifeExpectancyData[[#This Row],[Life expectancy]:[Schooling]])=19</f>
        <v>1</v>
      </c>
    </row>
    <row r="780" spans="1:23" x14ac:dyDescent="0.25">
      <c r="A780" t="s">
        <v>324</v>
      </c>
      <c r="B780">
        <v>2007</v>
      </c>
      <c r="C780" t="s">
        <v>273</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COUNT(LifeExpectancyData[[#This Row],[Life expectancy]:[Schooling]])=19</f>
        <v>1</v>
      </c>
    </row>
    <row r="781" spans="1:23" x14ac:dyDescent="0.25">
      <c r="A781" t="s">
        <v>324</v>
      </c>
      <c r="B781">
        <v>2006</v>
      </c>
      <c r="C781" t="s">
        <v>273</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COUNT(LifeExpectancyData[[#This Row],[Life expectancy]:[Schooling]])=19</f>
        <v>1</v>
      </c>
    </row>
    <row r="782" spans="1:23" x14ac:dyDescent="0.25">
      <c r="A782" t="s">
        <v>324</v>
      </c>
      <c r="B782">
        <v>2005</v>
      </c>
      <c r="C782" t="s">
        <v>273</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COUNT(LifeExpectancyData[[#This Row],[Life expectancy]:[Schooling]])=19</f>
        <v>1</v>
      </c>
    </row>
    <row r="783" spans="1:23" x14ac:dyDescent="0.25">
      <c r="A783" t="s">
        <v>324</v>
      </c>
      <c r="B783">
        <v>2004</v>
      </c>
      <c r="C783" t="s">
        <v>273</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COUNT(LifeExpectancyData[[#This Row],[Life expectancy]:[Schooling]])=19</f>
        <v>1</v>
      </c>
    </row>
    <row r="784" spans="1:23" x14ac:dyDescent="0.25">
      <c r="A784" t="s">
        <v>324</v>
      </c>
      <c r="B784">
        <v>2003</v>
      </c>
      <c r="C784" t="s">
        <v>273</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COUNT(LifeExpectancyData[[#This Row],[Life expectancy]:[Schooling]])=19</f>
        <v>1</v>
      </c>
    </row>
    <row r="785" spans="1:23" x14ac:dyDescent="0.25">
      <c r="A785" t="s">
        <v>324</v>
      </c>
      <c r="B785">
        <v>2002</v>
      </c>
      <c r="C785" t="s">
        <v>273</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COUNT(LifeExpectancyData[[#This Row],[Life expectancy]:[Schooling]])=19</f>
        <v>1</v>
      </c>
    </row>
    <row r="786" spans="1:23" x14ac:dyDescent="0.25">
      <c r="A786" t="s">
        <v>324</v>
      </c>
      <c r="B786">
        <v>2001</v>
      </c>
      <c r="C786" t="s">
        <v>273</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COUNT(LifeExpectancyData[[#This Row],[Life expectancy]:[Schooling]])=19</f>
        <v>1</v>
      </c>
    </row>
    <row r="787" spans="1:23" x14ac:dyDescent="0.25">
      <c r="A787" t="s">
        <v>324</v>
      </c>
      <c r="B787">
        <v>2000</v>
      </c>
      <c r="C787" t="s">
        <v>273</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COUNT(LifeExpectancyData[[#This Row],[Life expectancy]:[Schooling]])=19</f>
        <v>1</v>
      </c>
    </row>
    <row r="788" spans="1:23" x14ac:dyDescent="0.25">
      <c r="A788" t="s">
        <v>325</v>
      </c>
      <c r="B788">
        <v>2015</v>
      </c>
      <c r="C788" t="s">
        <v>273</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COUNT(LifeExpectancyData[[#This Row],[Life expectancy]:[Schooling]])=19</f>
        <v>0</v>
      </c>
    </row>
    <row r="789" spans="1:23" x14ac:dyDescent="0.25">
      <c r="A789" t="s">
        <v>325</v>
      </c>
      <c r="B789">
        <v>2014</v>
      </c>
      <c r="C789" t="s">
        <v>273</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COUNT(LifeExpectancyData[[#This Row],[Life expectancy]:[Schooling]])=19</f>
        <v>1</v>
      </c>
    </row>
    <row r="790" spans="1:23" x14ac:dyDescent="0.25">
      <c r="A790" t="s">
        <v>325</v>
      </c>
      <c r="B790">
        <v>2013</v>
      </c>
      <c r="C790" t="s">
        <v>273</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COUNT(LifeExpectancyData[[#This Row],[Life expectancy]:[Schooling]])=19</f>
        <v>1</v>
      </c>
    </row>
    <row r="791" spans="1:23" x14ac:dyDescent="0.25">
      <c r="A791" t="s">
        <v>325</v>
      </c>
      <c r="B791">
        <v>2012</v>
      </c>
      <c r="C791" t="s">
        <v>273</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COUNT(LifeExpectancyData[[#This Row],[Life expectancy]:[Schooling]])=19</f>
        <v>1</v>
      </c>
    </row>
    <row r="792" spans="1:23" x14ac:dyDescent="0.25">
      <c r="A792" t="s">
        <v>325</v>
      </c>
      <c r="B792">
        <v>2011</v>
      </c>
      <c r="C792" t="s">
        <v>273</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COUNT(LifeExpectancyData[[#This Row],[Life expectancy]:[Schooling]])=19</f>
        <v>1</v>
      </c>
    </row>
    <row r="793" spans="1:23" x14ac:dyDescent="0.25">
      <c r="A793" t="s">
        <v>325</v>
      </c>
      <c r="B793">
        <v>2010</v>
      </c>
      <c r="C793" t="s">
        <v>273</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COUNT(LifeExpectancyData[[#This Row],[Life expectancy]:[Schooling]])=19</f>
        <v>1</v>
      </c>
    </row>
    <row r="794" spans="1:23" x14ac:dyDescent="0.25">
      <c r="A794" t="s">
        <v>325</v>
      </c>
      <c r="B794">
        <v>2009</v>
      </c>
      <c r="C794" t="s">
        <v>273</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COUNT(LifeExpectancyData[[#This Row],[Life expectancy]:[Schooling]])=19</f>
        <v>1</v>
      </c>
    </row>
    <row r="795" spans="1:23" x14ac:dyDescent="0.25">
      <c r="A795" t="s">
        <v>325</v>
      </c>
      <c r="B795">
        <v>2008</v>
      </c>
      <c r="C795" t="s">
        <v>273</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COUNT(LifeExpectancyData[[#This Row],[Life expectancy]:[Schooling]])=19</f>
        <v>1</v>
      </c>
    </row>
    <row r="796" spans="1:23" x14ac:dyDescent="0.25">
      <c r="A796" t="s">
        <v>325</v>
      </c>
      <c r="B796">
        <v>2007</v>
      </c>
      <c r="C796" t="s">
        <v>273</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COUNT(LifeExpectancyData[[#This Row],[Life expectancy]:[Schooling]])=19</f>
        <v>1</v>
      </c>
    </row>
    <row r="797" spans="1:23" x14ac:dyDescent="0.25">
      <c r="A797" t="s">
        <v>325</v>
      </c>
      <c r="B797">
        <v>2006</v>
      </c>
      <c r="C797" t="s">
        <v>273</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COUNT(LifeExpectancyData[[#This Row],[Life expectancy]:[Schooling]])=19</f>
        <v>1</v>
      </c>
    </row>
    <row r="798" spans="1:23" x14ac:dyDescent="0.25">
      <c r="A798" t="s">
        <v>325</v>
      </c>
      <c r="B798">
        <v>2005</v>
      </c>
      <c r="C798" t="s">
        <v>273</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COUNT(LifeExpectancyData[[#This Row],[Life expectancy]:[Schooling]])=19</f>
        <v>1</v>
      </c>
    </row>
    <row r="799" spans="1:23" x14ac:dyDescent="0.25">
      <c r="A799" t="s">
        <v>325</v>
      </c>
      <c r="B799">
        <v>2004</v>
      </c>
      <c r="C799" t="s">
        <v>273</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COUNT(LifeExpectancyData[[#This Row],[Life expectancy]:[Schooling]])=19</f>
        <v>1</v>
      </c>
    </row>
    <row r="800" spans="1:23" x14ac:dyDescent="0.25">
      <c r="A800" t="s">
        <v>325</v>
      </c>
      <c r="B800">
        <v>2003</v>
      </c>
      <c r="C800" t="s">
        <v>273</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COUNT(LifeExpectancyData[[#This Row],[Life expectancy]:[Schooling]])=19</f>
        <v>1</v>
      </c>
    </row>
    <row r="801" spans="1:23" x14ac:dyDescent="0.25">
      <c r="A801" t="s">
        <v>325</v>
      </c>
      <c r="B801">
        <v>2002</v>
      </c>
      <c r="C801" t="s">
        <v>273</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COUNT(LifeExpectancyData[[#This Row],[Life expectancy]:[Schooling]])=19</f>
        <v>1</v>
      </c>
    </row>
    <row r="802" spans="1:23" x14ac:dyDescent="0.25">
      <c r="A802" t="s">
        <v>325</v>
      </c>
      <c r="B802">
        <v>2001</v>
      </c>
      <c r="C802" t="s">
        <v>273</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COUNT(LifeExpectancyData[[#This Row],[Life expectancy]:[Schooling]])=19</f>
        <v>1</v>
      </c>
    </row>
    <row r="803" spans="1:23" x14ac:dyDescent="0.25">
      <c r="A803" t="s">
        <v>325</v>
      </c>
      <c r="B803">
        <v>2000</v>
      </c>
      <c r="C803" t="s">
        <v>273</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COUNT(LifeExpectancyData[[#This Row],[Life expectancy]:[Schooling]])=19</f>
        <v>1</v>
      </c>
    </row>
    <row r="804" spans="1:23" x14ac:dyDescent="0.25">
      <c r="A804" t="s">
        <v>326</v>
      </c>
      <c r="B804">
        <v>2015</v>
      </c>
      <c r="C804" t="s">
        <v>273</v>
      </c>
      <c r="D804">
        <v>79</v>
      </c>
      <c r="E804">
        <v>159</v>
      </c>
      <c r="F804">
        <v>51</v>
      </c>
      <c r="H804">
        <v>0</v>
      </c>
      <c r="I804">
        <v>93</v>
      </c>
      <c r="J804">
        <v>5432</v>
      </c>
      <c r="K804">
        <v>61.1</v>
      </c>
      <c r="L804">
        <v>60</v>
      </c>
      <c r="M804">
        <v>93</v>
      </c>
      <c r="O804">
        <v>93</v>
      </c>
      <c r="P804">
        <v>0.1</v>
      </c>
      <c r="S804">
        <v>2.8</v>
      </c>
      <c r="T804">
        <v>2.8</v>
      </c>
      <c r="U804">
        <v>0.68799999999999994</v>
      </c>
      <c r="V804">
        <v>13.1</v>
      </c>
      <c r="W804" t="b">
        <f>COUNT(LifeExpectancyData[[#This Row],[Life expectancy]:[Schooling]])=19</f>
        <v>0</v>
      </c>
    </row>
    <row r="805" spans="1:23" x14ac:dyDescent="0.25">
      <c r="A805" t="s">
        <v>326</v>
      </c>
      <c r="B805">
        <v>2014</v>
      </c>
      <c r="C805" t="s">
        <v>273</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COUNT(LifeExpectancyData[[#This Row],[Life expectancy]:[Schooling]])=19</f>
        <v>0</v>
      </c>
    </row>
    <row r="806" spans="1:23" x14ac:dyDescent="0.25">
      <c r="A806" t="s">
        <v>326</v>
      </c>
      <c r="B806">
        <v>2013</v>
      </c>
      <c r="C806" t="s">
        <v>273</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COUNT(LifeExpectancyData[[#This Row],[Life expectancy]:[Schooling]])=19</f>
        <v>0</v>
      </c>
    </row>
    <row r="807" spans="1:23" x14ac:dyDescent="0.25">
      <c r="A807" t="s">
        <v>326</v>
      </c>
      <c r="B807">
        <v>2012</v>
      </c>
      <c r="C807" t="s">
        <v>273</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COUNT(LifeExpectancyData[[#This Row],[Life expectancy]:[Schooling]])=19</f>
        <v>0</v>
      </c>
    </row>
    <row r="808" spans="1:23" x14ac:dyDescent="0.25">
      <c r="A808" t="s">
        <v>326</v>
      </c>
      <c r="B808">
        <v>2011</v>
      </c>
      <c r="C808" t="s">
        <v>273</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COUNT(LifeExpectancyData[[#This Row],[Life expectancy]:[Schooling]])=19</f>
        <v>0</v>
      </c>
    </row>
    <row r="809" spans="1:23" x14ac:dyDescent="0.25">
      <c r="A809" t="s">
        <v>326</v>
      </c>
      <c r="B809">
        <v>2010</v>
      </c>
      <c r="C809" t="s">
        <v>273</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COUNT(LifeExpectancyData[[#This Row],[Life expectancy]:[Schooling]])=19</f>
        <v>0</v>
      </c>
    </row>
    <row r="810" spans="1:23" x14ac:dyDescent="0.25">
      <c r="A810" t="s">
        <v>326</v>
      </c>
      <c r="B810">
        <v>2009</v>
      </c>
      <c r="C810" t="s">
        <v>273</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COUNT(LifeExpectancyData[[#This Row],[Life expectancy]:[Schooling]])=19</f>
        <v>0</v>
      </c>
    </row>
    <row r="811" spans="1:23" x14ac:dyDescent="0.25">
      <c r="A811" t="s">
        <v>326</v>
      </c>
      <c r="B811">
        <v>2008</v>
      </c>
      <c r="C811" t="s">
        <v>273</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COUNT(LifeExpectancyData[[#This Row],[Life expectancy]:[Schooling]])=19</f>
        <v>0</v>
      </c>
    </row>
    <row r="812" spans="1:23" x14ac:dyDescent="0.25">
      <c r="A812" t="s">
        <v>326</v>
      </c>
      <c r="B812">
        <v>2007</v>
      </c>
      <c r="C812" t="s">
        <v>273</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COUNT(LifeExpectancyData[[#This Row],[Life expectancy]:[Schooling]])=19</f>
        <v>0</v>
      </c>
    </row>
    <row r="813" spans="1:23" x14ac:dyDescent="0.25">
      <c r="A813" t="s">
        <v>326</v>
      </c>
      <c r="B813">
        <v>2006</v>
      </c>
      <c r="C813" t="s">
        <v>273</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COUNT(LifeExpectancyData[[#This Row],[Life expectancy]:[Schooling]])=19</f>
        <v>0</v>
      </c>
    </row>
    <row r="814" spans="1:23" x14ac:dyDescent="0.25">
      <c r="A814" t="s">
        <v>326</v>
      </c>
      <c r="B814">
        <v>2005</v>
      </c>
      <c r="C814" t="s">
        <v>273</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COUNT(LifeExpectancyData[[#This Row],[Life expectancy]:[Schooling]])=19</f>
        <v>0</v>
      </c>
    </row>
    <row r="815" spans="1:23" x14ac:dyDescent="0.25">
      <c r="A815" t="s">
        <v>326</v>
      </c>
      <c r="B815">
        <v>2004</v>
      </c>
      <c r="C815" t="s">
        <v>273</v>
      </c>
      <c r="D815">
        <v>69</v>
      </c>
      <c r="E815">
        <v>176</v>
      </c>
      <c r="F815">
        <v>57</v>
      </c>
      <c r="G815">
        <v>0.16</v>
      </c>
      <c r="H815">
        <v>0</v>
      </c>
      <c r="I815">
        <v>97</v>
      </c>
      <c r="J815">
        <v>80</v>
      </c>
      <c r="K815">
        <v>52.9</v>
      </c>
      <c r="L815">
        <v>70</v>
      </c>
      <c r="M815">
        <v>97</v>
      </c>
      <c r="N815">
        <v>5.21</v>
      </c>
      <c r="O815">
        <v>97</v>
      </c>
      <c r="P815">
        <v>0.1</v>
      </c>
      <c r="S815">
        <v>3.3</v>
      </c>
      <c r="T815">
        <v>3.2</v>
      </c>
      <c r="U815">
        <v>0.623</v>
      </c>
      <c r="V815">
        <v>11.2</v>
      </c>
      <c r="W815" t="b">
        <f>COUNT(LifeExpectancyData[[#This Row],[Life expectancy]:[Schooling]])=19</f>
        <v>0</v>
      </c>
    </row>
    <row r="816" spans="1:23" x14ac:dyDescent="0.25">
      <c r="A816" t="s">
        <v>326</v>
      </c>
      <c r="B816">
        <v>2003</v>
      </c>
      <c r="C816" t="s">
        <v>273</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COUNT(LifeExpectancyData[[#This Row],[Life expectancy]:[Schooling]])=19</f>
        <v>0</v>
      </c>
    </row>
    <row r="817" spans="1:23" x14ac:dyDescent="0.25">
      <c r="A817" t="s">
        <v>326</v>
      </c>
      <c r="B817">
        <v>2002</v>
      </c>
      <c r="C817" t="s">
        <v>273</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COUNT(LifeExpectancyData[[#This Row],[Life expectancy]:[Schooling]])=19</f>
        <v>0</v>
      </c>
    </row>
    <row r="818" spans="1:23" x14ac:dyDescent="0.25">
      <c r="A818" t="s">
        <v>326</v>
      </c>
      <c r="B818">
        <v>2001</v>
      </c>
      <c r="C818" t="s">
        <v>273</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COUNT(LifeExpectancyData[[#This Row],[Life expectancy]:[Schooling]])=19</f>
        <v>0</v>
      </c>
    </row>
    <row r="819" spans="1:23" x14ac:dyDescent="0.25">
      <c r="A819" t="s">
        <v>326</v>
      </c>
      <c r="B819">
        <v>2000</v>
      </c>
      <c r="C819" t="s">
        <v>273</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COUNT(LifeExpectancyData[[#This Row],[Life expectancy]:[Schooling]])=19</f>
        <v>0</v>
      </c>
    </row>
    <row r="820" spans="1:23" x14ac:dyDescent="0.25">
      <c r="A820" t="s">
        <v>327</v>
      </c>
      <c r="B820">
        <v>2015</v>
      </c>
      <c r="C820" t="s">
        <v>273</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COUNT(LifeExpectancyData[[#This Row],[Life expectancy]:[Schooling]])=19</f>
        <v>0</v>
      </c>
    </row>
    <row r="821" spans="1:23" x14ac:dyDescent="0.25">
      <c r="A821" t="s">
        <v>327</v>
      </c>
      <c r="B821">
        <v>2014</v>
      </c>
      <c r="C821" t="s">
        <v>273</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COUNT(LifeExpectancyData[[#This Row],[Life expectancy]:[Schooling]])=19</f>
        <v>1</v>
      </c>
    </row>
    <row r="822" spans="1:23" x14ac:dyDescent="0.25">
      <c r="A822" t="s">
        <v>327</v>
      </c>
      <c r="B822">
        <v>2013</v>
      </c>
      <c r="C822" t="s">
        <v>273</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COUNT(LifeExpectancyData[[#This Row],[Life expectancy]:[Schooling]])=19</f>
        <v>1</v>
      </c>
    </row>
    <row r="823" spans="1:23" x14ac:dyDescent="0.25">
      <c r="A823" t="s">
        <v>327</v>
      </c>
      <c r="B823">
        <v>2012</v>
      </c>
      <c r="C823" t="s">
        <v>273</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COUNT(LifeExpectancyData[[#This Row],[Life expectancy]:[Schooling]])=19</f>
        <v>1</v>
      </c>
    </row>
    <row r="824" spans="1:23" x14ac:dyDescent="0.25">
      <c r="A824" t="s">
        <v>327</v>
      </c>
      <c r="B824">
        <v>2011</v>
      </c>
      <c r="C824" t="s">
        <v>273</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COUNT(LifeExpectancyData[[#This Row],[Life expectancy]:[Schooling]])=19</f>
        <v>1</v>
      </c>
    </row>
    <row r="825" spans="1:23" x14ac:dyDescent="0.25">
      <c r="A825" t="s">
        <v>327</v>
      </c>
      <c r="B825">
        <v>2010</v>
      </c>
      <c r="C825" t="s">
        <v>273</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COUNT(LifeExpectancyData[[#This Row],[Life expectancy]:[Schooling]])=19</f>
        <v>1</v>
      </c>
    </row>
    <row r="826" spans="1:23" x14ac:dyDescent="0.25">
      <c r="A826" t="s">
        <v>327</v>
      </c>
      <c r="B826">
        <v>2009</v>
      </c>
      <c r="C826" t="s">
        <v>273</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COUNT(LifeExpectancyData[[#This Row],[Life expectancy]:[Schooling]])=19</f>
        <v>1</v>
      </c>
    </row>
    <row r="827" spans="1:23" x14ac:dyDescent="0.25">
      <c r="A827" t="s">
        <v>327</v>
      </c>
      <c r="B827">
        <v>2008</v>
      </c>
      <c r="C827" t="s">
        <v>273</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COUNT(LifeExpectancyData[[#This Row],[Life expectancy]:[Schooling]])=19</f>
        <v>1</v>
      </c>
    </row>
    <row r="828" spans="1:23" x14ac:dyDescent="0.25">
      <c r="A828" t="s">
        <v>327</v>
      </c>
      <c r="B828">
        <v>2007</v>
      </c>
      <c r="C828" t="s">
        <v>273</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COUNT(LifeExpectancyData[[#This Row],[Life expectancy]:[Schooling]])=19</f>
        <v>1</v>
      </c>
    </row>
    <row r="829" spans="1:23" x14ac:dyDescent="0.25">
      <c r="A829" t="s">
        <v>327</v>
      </c>
      <c r="B829">
        <v>2006</v>
      </c>
      <c r="C829" t="s">
        <v>273</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COUNT(LifeExpectancyData[[#This Row],[Life expectancy]:[Schooling]])=19</f>
        <v>1</v>
      </c>
    </row>
    <row r="830" spans="1:23" x14ac:dyDescent="0.25">
      <c r="A830" t="s">
        <v>327</v>
      </c>
      <c r="B830">
        <v>2005</v>
      </c>
      <c r="C830" t="s">
        <v>273</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COUNT(LifeExpectancyData[[#This Row],[Life expectancy]:[Schooling]])=19</f>
        <v>1</v>
      </c>
    </row>
    <row r="831" spans="1:23" x14ac:dyDescent="0.25">
      <c r="A831" t="s">
        <v>327</v>
      </c>
      <c r="B831">
        <v>2004</v>
      </c>
      <c r="C831" t="s">
        <v>273</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COUNT(LifeExpectancyData[[#This Row],[Life expectancy]:[Schooling]])=19</f>
        <v>1</v>
      </c>
    </row>
    <row r="832" spans="1:23" x14ac:dyDescent="0.25">
      <c r="A832" t="s">
        <v>327</v>
      </c>
      <c r="B832">
        <v>2003</v>
      </c>
      <c r="C832" t="s">
        <v>273</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COUNT(LifeExpectancyData[[#This Row],[Life expectancy]:[Schooling]])=19</f>
        <v>1</v>
      </c>
    </row>
    <row r="833" spans="1:23" x14ac:dyDescent="0.25">
      <c r="A833" t="s">
        <v>327</v>
      </c>
      <c r="B833">
        <v>2002</v>
      </c>
      <c r="C833" t="s">
        <v>273</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COUNT(LifeExpectancyData[[#This Row],[Life expectancy]:[Schooling]])=19</f>
        <v>1</v>
      </c>
    </row>
    <row r="834" spans="1:23" x14ac:dyDescent="0.25">
      <c r="A834" t="s">
        <v>327</v>
      </c>
      <c r="B834">
        <v>2001</v>
      </c>
      <c r="C834" t="s">
        <v>273</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COUNT(LifeExpectancyData[[#This Row],[Life expectancy]:[Schooling]])=19</f>
        <v>1</v>
      </c>
    </row>
    <row r="835" spans="1:23" x14ac:dyDescent="0.25">
      <c r="A835" t="s">
        <v>327</v>
      </c>
      <c r="B835">
        <v>2000</v>
      </c>
      <c r="C835" t="s">
        <v>273</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COUNT(LifeExpectancyData[[#This Row],[Life expectancy]:[Schooling]])=19</f>
        <v>1</v>
      </c>
    </row>
    <row r="836" spans="1:23" x14ac:dyDescent="0.25">
      <c r="A836" t="s">
        <v>328</v>
      </c>
      <c r="B836">
        <v>2015</v>
      </c>
      <c r="C836" t="s">
        <v>273</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COUNT(LifeExpectancyData[[#This Row],[Life expectancy]:[Schooling]])=19</f>
        <v>0</v>
      </c>
    </row>
    <row r="837" spans="1:23" x14ac:dyDescent="0.25">
      <c r="A837" t="s">
        <v>328</v>
      </c>
      <c r="B837">
        <v>2014</v>
      </c>
      <c r="C837" t="s">
        <v>273</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COUNT(LifeExpectancyData[[#This Row],[Life expectancy]:[Schooling]])=19</f>
        <v>1</v>
      </c>
    </row>
    <row r="838" spans="1:23" x14ac:dyDescent="0.25">
      <c r="A838" t="s">
        <v>328</v>
      </c>
      <c r="B838">
        <v>2013</v>
      </c>
      <c r="C838" t="s">
        <v>273</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COUNT(LifeExpectancyData[[#This Row],[Life expectancy]:[Schooling]])=19</f>
        <v>0</v>
      </c>
    </row>
    <row r="839" spans="1:23" x14ac:dyDescent="0.25">
      <c r="A839" t="s">
        <v>328</v>
      </c>
      <c r="B839">
        <v>2012</v>
      </c>
      <c r="C839" t="s">
        <v>273</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COUNT(LifeExpectancyData[[#This Row],[Life expectancy]:[Schooling]])=19</f>
        <v>0</v>
      </c>
    </row>
    <row r="840" spans="1:23" x14ac:dyDescent="0.25">
      <c r="A840" t="s">
        <v>328</v>
      </c>
      <c r="B840">
        <v>2011</v>
      </c>
      <c r="C840" t="s">
        <v>273</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COUNT(LifeExpectancyData[[#This Row],[Life expectancy]:[Schooling]])=19</f>
        <v>0</v>
      </c>
    </row>
    <row r="841" spans="1:23" x14ac:dyDescent="0.25">
      <c r="A841" t="s">
        <v>328</v>
      </c>
      <c r="B841">
        <v>2010</v>
      </c>
      <c r="C841" t="s">
        <v>273</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COUNT(LifeExpectancyData[[#This Row],[Life expectancy]:[Schooling]])=19</f>
        <v>0</v>
      </c>
    </row>
    <row r="842" spans="1:23" x14ac:dyDescent="0.25">
      <c r="A842" t="s">
        <v>328</v>
      </c>
      <c r="B842">
        <v>2009</v>
      </c>
      <c r="C842" t="s">
        <v>273</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COUNT(LifeExpectancyData[[#This Row],[Life expectancy]:[Schooling]])=19</f>
        <v>0</v>
      </c>
    </row>
    <row r="843" spans="1:23" x14ac:dyDescent="0.25">
      <c r="A843" t="s">
        <v>328</v>
      </c>
      <c r="B843">
        <v>2008</v>
      </c>
      <c r="C843" t="s">
        <v>273</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COUNT(LifeExpectancyData[[#This Row],[Life expectancy]:[Schooling]])=19</f>
        <v>0</v>
      </c>
    </row>
    <row r="844" spans="1:23" x14ac:dyDescent="0.25">
      <c r="A844" t="s">
        <v>328</v>
      </c>
      <c r="B844">
        <v>2007</v>
      </c>
      <c r="C844" t="s">
        <v>273</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COUNT(LifeExpectancyData[[#This Row],[Life expectancy]:[Schooling]])=19</f>
        <v>0</v>
      </c>
    </row>
    <row r="845" spans="1:23" x14ac:dyDescent="0.25">
      <c r="A845" t="s">
        <v>328</v>
      </c>
      <c r="B845">
        <v>2006</v>
      </c>
      <c r="C845" t="s">
        <v>273</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COUNT(LifeExpectancyData[[#This Row],[Life expectancy]:[Schooling]])=19</f>
        <v>0</v>
      </c>
    </row>
    <row r="846" spans="1:23" x14ac:dyDescent="0.25">
      <c r="A846" t="s">
        <v>328</v>
      </c>
      <c r="B846">
        <v>2005</v>
      </c>
      <c r="C846" t="s">
        <v>273</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COUNT(LifeExpectancyData[[#This Row],[Life expectancy]:[Schooling]])=19</f>
        <v>0</v>
      </c>
    </row>
    <row r="847" spans="1:23" x14ac:dyDescent="0.25">
      <c r="A847" t="s">
        <v>328</v>
      </c>
      <c r="B847">
        <v>2004</v>
      </c>
      <c r="C847" t="s">
        <v>273</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COUNT(LifeExpectancyData[[#This Row],[Life expectancy]:[Schooling]])=19</f>
        <v>0</v>
      </c>
    </row>
    <row r="848" spans="1:23" x14ac:dyDescent="0.25">
      <c r="A848" t="s">
        <v>328</v>
      </c>
      <c r="B848">
        <v>2003</v>
      </c>
      <c r="C848" t="s">
        <v>273</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COUNT(LifeExpectancyData[[#This Row],[Life expectancy]:[Schooling]])=19</f>
        <v>0</v>
      </c>
    </row>
    <row r="849" spans="1:23" x14ac:dyDescent="0.25">
      <c r="A849" t="s">
        <v>328</v>
      </c>
      <c r="B849">
        <v>2002</v>
      </c>
      <c r="C849" t="s">
        <v>273</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COUNT(LifeExpectancyData[[#This Row],[Life expectancy]:[Schooling]])=19</f>
        <v>0</v>
      </c>
    </row>
    <row r="850" spans="1:23" x14ac:dyDescent="0.25">
      <c r="A850" t="s">
        <v>328</v>
      </c>
      <c r="B850">
        <v>2001</v>
      </c>
      <c r="C850" t="s">
        <v>273</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COUNT(LifeExpectancyData[[#This Row],[Life expectancy]:[Schooling]])=19</f>
        <v>0</v>
      </c>
    </row>
    <row r="851" spans="1:23" x14ac:dyDescent="0.25">
      <c r="A851" t="s">
        <v>328</v>
      </c>
      <c r="B851">
        <v>2000</v>
      </c>
      <c r="C851" t="s">
        <v>273</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COUNT(LifeExpectancyData[[#This Row],[Life expectancy]:[Schooling]])=19</f>
        <v>0</v>
      </c>
    </row>
    <row r="852" spans="1:23" x14ac:dyDescent="0.25">
      <c r="A852" t="s">
        <v>329</v>
      </c>
      <c r="B852">
        <v>2015</v>
      </c>
      <c r="C852" t="s">
        <v>273</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COUNT(LifeExpectancyData[[#This Row],[Life expectancy]:[Schooling]])=19</f>
        <v>0</v>
      </c>
    </row>
    <row r="853" spans="1:23" x14ac:dyDescent="0.25">
      <c r="A853" t="s">
        <v>329</v>
      </c>
      <c r="B853">
        <v>2014</v>
      </c>
      <c r="C853" t="s">
        <v>273</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COUNT(LifeExpectancyData[[#This Row],[Life expectancy]:[Schooling]])=19</f>
        <v>0</v>
      </c>
    </row>
    <row r="854" spans="1:23" x14ac:dyDescent="0.25">
      <c r="A854" t="s">
        <v>329</v>
      </c>
      <c r="B854">
        <v>2013</v>
      </c>
      <c r="C854" t="s">
        <v>273</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COUNT(LifeExpectancyData[[#This Row],[Life expectancy]:[Schooling]])=19</f>
        <v>0</v>
      </c>
    </row>
    <row r="855" spans="1:23" x14ac:dyDescent="0.25">
      <c r="A855" t="s">
        <v>329</v>
      </c>
      <c r="B855">
        <v>2012</v>
      </c>
      <c r="C855" t="s">
        <v>273</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COUNT(LifeExpectancyData[[#This Row],[Life expectancy]:[Schooling]])=19</f>
        <v>0</v>
      </c>
    </row>
    <row r="856" spans="1:23" x14ac:dyDescent="0.25">
      <c r="A856" t="s">
        <v>329</v>
      </c>
      <c r="B856">
        <v>2011</v>
      </c>
      <c r="C856" t="s">
        <v>273</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COUNT(LifeExpectancyData[[#This Row],[Life expectancy]:[Schooling]])=19</f>
        <v>1</v>
      </c>
    </row>
    <row r="857" spans="1:23" x14ac:dyDescent="0.25">
      <c r="A857" t="s">
        <v>329</v>
      </c>
      <c r="B857">
        <v>2010</v>
      </c>
      <c r="C857" t="s">
        <v>273</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COUNT(LifeExpectancyData[[#This Row],[Life expectancy]:[Schooling]])=19</f>
        <v>1</v>
      </c>
    </row>
    <row r="858" spans="1:23" x14ac:dyDescent="0.25">
      <c r="A858" t="s">
        <v>329</v>
      </c>
      <c r="B858">
        <v>2009</v>
      </c>
      <c r="C858" t="s">
        <v>273</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COUNT(LifeExpectancyData[[#This Row],[Life expectancy]:[Schooling]])=19</f>
        <v>1</v>
      </c>
    </row>
    <row r="859" spans="1:23" x14ac:dyDescent="0.25">
      <c r="A859" t="s">
        <v>329</v>
      </c>
      <c r="B859">
        <v>2008</v>
      </c>
      <c r="C859" t="s">
        <v>273</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COUNT(LifeExpectancyData[[#This Row],[Life expectancy]:[Schooling]])=19</f>
        <v>1</v>
      </c>
    </row>
    <row r="860" spans="1:23" x14ac:dyDescent="0.25">
      <c r="A860" t="s">
        <v>329</v>
      </c>
      <c r="B860">
        <v>2007</v>
      </c>
      <c r="C860" t="s">
        <v>273</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COUNT(LifeExpectancyData[[#This Row],[Life expectancy]:[Schooling]])=19</f>
        <v>1</v>
      </c>
    </row>
    <row r="861" spans="1:23" x14ac:dyDescent="0.25">
      <c r="A861" t="s">
        <v>329</v>
      </c>
      <c r="B861">
        <v>2006</v>
      </c>
      <c r="C861" t="s">
        <v>273</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COUNT(LifeExpectancyData[[#This Row],[Life expectancy]:[Schooling]])=19</f>
        <v>1</v>
      </c>
    </row>
    <row r="862" spans="1:23" x14ac:dyDescent="0.25">
      <c r="A862" t="s">
        <v>329</v>
      </c>
      <c r="B862">
        <v>2005</v>
      </c>
      <c r="C862" t="s">
        <v>273</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COUNT(LifeExpectancyData[[#This Row],[Life expectancy]:[Schooling]])=19</f>
        <v>1</v>
      </c>
    </row>
    <row r="863" spans="1:23" x14ac:dyDescent="0.25">
      <c r="A863" t="s">
        <v>329</v>
      </c>
      <c r="B863">
        <v>2004</v>
      </c>
      <c r="C863" t="s">
        <v>273</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COUNT(LifeExpectancyData[[#This Row],[Life expectancy]:[Schooling]])=19</f>
        <v>1</v>
      </c>
    </row>
    <row r="864" spans="1:23" x14ac:dyDescent="0.25">
      <c r="A864" t="s">
        <v>329</v>
      </c>
      <c r="B864">
        <v>2003</v>
      </c>
      <c r="C864" t="s">
        <v>273</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COUNT(LifeExpectancyData[[#This Row],[Life expectancy]:[Schooling]])=19</f>
        <v>1</v>
      </c>
    </row>
    <row r="865" spans="1:23" x14ac:dyDescent="0.25">
      <c r="A865" t="s">
        <v>329</v>
      </c>
      <c r="B865">
        <v>2002</v>
      </c>
      <c r="C865" t="s">
        <v>273</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COUNT(LifeExpectancyData[[#This Row],[Life expectancy]:[Schooling]])=19</f>
        <v>1</v>
      </c>
    </row>
    <row r="866" spans="1:23" x14ac:dyDescent="0.25">
      <c r="A866" t="s">
        <v>329</v>
      </c>
      <c r="B866">
        <v>2001</v>
      </c>
      <c r="C866" t="s">
        <v>273</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COUNT(LifeExpectancyData[[#This Row],[Life expectancy]:[Schooling]])=19</f>
        <v>0</v>
      </c>
    </row>
    <row r="867" spans="1:23" x14ac:dyDescent="0.25">
      <c r="A867" t="s">
        <v>329</v>
      </c>
      <c r="B867">
        <v>2000</v>
      </c>
      <c r="C867" t="s">
        <v>273</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COUNT(LifeExpectancyData[[#This Row],[Life expectancy]:[Schooling]])=19</f>
        <v>0</v>
      </c>
    </row>
    <row r="868" spans="1:23" x14ac:dyDescent="0.25">
      <c r="A868" t="s">
        <v>330</v>
      </c>
      <c r="B868">
        <v>2015</v>
      </c>
      <c r="C868" t="s">
        <v>273</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COUNT(LifeExpectancyData[[#This Row],[Life expectancy]:[Schooling]])=19</f>
        <v>0</v>
      </c>
    </row>
    <row r="869" spans="1:23" x14ac:dyDescent="0.25">
      <c r="A869" t="s">
        <v>330</v>
      </c>
      <c r="B869">
        <v>2014</v>
      </c>
      <c r="C869" t="s">
        <v>273</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COUNT(LifeExpectancyData[[#This Row],[Life expectancy]:[Schooling]])=19</f>
        <v>1</v>
      </c>
    </row>
    <row r="870" spans="1:23" x14ac:dyDescent="0.25">
      <c r="A870" t="s">
        <v>330</v>
      </c>
      <c r="B870">
        <v>2013</v>
      </c>
      <c r="C870" t="s">
        <v>273</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COUNT(LifeExpectancyData[[#This Row],[Life expectancy]:[Schooling]])=19</f>
        <v>1</v>
      </c>
    </row>
    <row r="871" spans="1:23" x14ac:dyDescent="0.25">
      <c r="A871" t="s">
        <v>330</v>
      </c>
      <c r="B871">
        <v>2012</v>
      </c>
      <c r="C871" t="s">
        <v>273</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COUNT(LifeExpectancyData[[#This Row],[Life expectancy]:[Schooling]])=19</f>
        <v>1</v>
      </c>
    </row>
    <row r="872" spans="1:23" x14ac:dyDescent="0.25">
      <c r="A872" t="s">
        <v>330</v>
      </c>
      <c r="B872">
        <v>2011</v>
      </c>
      <c r="C872" t="s">
        <v>273</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COUNT(LifeExpectancyData[[#This Row],[Life expectancy]:[Schooling]])=19</f>
        <v>1</v>
      </c>
    </row>
    <row r="873" spans="1:23" x14ac:dyDescent="0.25">
      <c r="A873" t="s">
        <v>330</v>
      </c>
      <c r="B873">
        <v>2010</v>
      </c>
      <c r="C873" t="s">
        <v>273</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COUNT(LifeExpectancyData[[#This Row],[Life expectancy]:[Schooling]])=19</f>
        <v>1</v>
      </c>
    </row>
    <row r="874" spans="1:23" x14ac:dyDescent="0.25">
      <c r="A874" t="s">
        <v>330</v>
      </c>
      <c r="B874">
        <v>2009</v>
      </c>
      <c r="C874" t="s">
        <v>273</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COUNT(LifeExpectancyData[[#This Row],[Life expectancy]:[Schooling]])=19</f>
        <v>1</v>
      </c>
    </row>
    <row r="875" spans="1:23" x14ac:dyDescent="0.25">
      <c r="A875" t="s">
        <v>330</v>
      </c>
      <c r="B875">
        <v>2008</v>
      </c>
      <c r="C875" t="s">
        <v>273</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COUNT(LifeExpectancyData[[#This Row],[Life expectancy]:[Schooling]])=19</f>
        <v>1</v>
      </c>
    </row>
    <row r="876" spans="1:23" x14ac:dyDescent="0.25">
      <c r="A876" t="s">
        <v>330</v>
      </c>
      <c r="B876">
        <v>2007</v>
      </c>
      <c r="C876" t="s">
        <v>273</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COUNT(LifeExpectancyData[[#This Row],[Life expectancy]:[Schooling]])=19</f>
        <v>1</v>
      </c>
    </row>
    <row r="877" spans="1:23" x14ac:dyDescent="0.25">
      <c r="A877" t="s">
        <v>330</v>
      </c>
      <c r="B877">
        <v>2006</v>
      </c>
      <c r="C877" t="s">
        <v>273</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COUNT(LifeExpectancyData[[#This Row],[Life expectancy]:[Schooling]])=19</f>
        <v>1</v>
      </c>
    </row>
    <row r="878" spans="1:23" x14ac:dyDescent="0.25">
      <c r="A878" t="s">
        <v>330</v>
      </c>
      <c r="B878">
        <v>2005</v>
      </c>
      <c r="C878" t="s">
        <v>273</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COUNT(LifeExpectancyData[[#This Row],[Life expectancy]:[Schooling]])=19</f>
        <v>1</v>
      </c>
    </row>
    <row r="879" spans="1:23" x14ac:dyDescent="0.25">
      <c r="A879" t="s">
        <v>330</v>
      </c>
      <c r="B879">
        <v>2004</v>
      </c>
      <c r="C879" t="s">
        <v>273</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COUNT(LifeExpectancyData[[#This Row],[Life expectancy]:[Schooling]])=19</f>
        <v>1</v>
      </c>
    </row>
    <row r="880" spans="1:23" x14ac:dyDescent="0.25">
      <c r="A880" t="s">
        <v>330</v>
      </c>
      <c r="B880">
        <v>2003</v>
      </c>
      <c r="C880" t="s">
        <v>273</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COUNT(LifeExpectancyData[[#This Row],[Life expectancy]:[Schooling]])=19</f>
        <v>0</v>
      </c>
    </row>
    <row r="881" spans="1:23" x14ac:dyDescent="0.25">
      <c r="A881" t="s">
        <v>330</v>
      </c>
      <c r="B881">
        <v>2002</v>
      </c>
      <c r="C881" t="s">
        <v>273</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COUNT(LifeExpectancyData[[#This Row],[Life expectancy]:[Schooling]])=19</f>
        <v>0</v>
      </c>
    </row>
    <row r="882" spans="1:23" x14ac:dyDescent="0.25">
      <c r="A882" t="s">
        <v>330</v>
      </c>
      <c r="B882">
        <v>2001</v>
      </c>
      <c r="C882" t="s">
        <v>273</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COUNT(LifeExpectancyData[[#This Row],[Life expectancy]:[Schooling]])=19</f>
        <v>0</v>
      </c>
    </row>
    <row r="883" spans="1:23" x14ac:dyDescent="0.25">
      <c r="A883" t="s">
        <v>330</v>
      </c>
      <c r="B883">
        <v>2000</v>
      </c>
      <c r="C883" t="s">
        <v>273</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COUNT(LifeExpectancyData[[#This Row],[Life expectancy]:[Schooling]])=19</f>
        <v>0</v>
      </c>
    </row>
    <row r="884" spans="1:23" x14ac:dyDescent="0.25">
      <c r="A884" t="s">
        <v>331</v>
      </c>
      <c r="B884">
        <v>2015</v>
      </c>
      <c r="C884" t="s">
        <v>273</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COUNT(LifeExpectancyData[[#This Row],[Life expectancy]:[Schooling]])=19</f>
        <v>0</v>
      </c>
    </row>
    <row r="885" spans="1:23" x14ac:dyDescent="0.25">
      <c r="A885" t="s">
        <v>331</v>
      </c>
      <c r="B885">
        <v>2014</v>
      </c>
      <c r="C885" t="s">
        <v>273</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COUNT(LifeExpectancyData[[#This Row],[Life expectancy]:[Schooling]])=19</f>
        <v>1</v>
      </c>
    </row>
    <row r="886" spans="1:23" x14ac:dyDescent="0.25">
      <c r="A886" t="s">
        <v>331</v>
      </c>
      <c r="B886">
        <v>2013</v>
      </c>
      <c r="C886" t="s">
        <v>273</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COUNT(LifeExpectancyData[[#This Row],[Life expectancy]:[Schooling]])=19</f>
        <v>1</v>
      </c>
    </row>
    <row r="887" spans="1:23" x14ac:dyDescent="0.25">
      <c r="A887" t="s">
        <v>331</v>
      </c>
      <c r="B887">
        <v>2012</v>
      </c>
      <c r="C887" t="s">
        <v>273</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COUNT(LifeExpectancyData[[#This Row],[Life expectancy]:[Schooling]])=19</f>
        <v>1</v>
      </c>
    </row>
    <row r="888" spans="1:23" x14ac:dyDescent="0.25">
      <c r="A888" t="s">
        <v>331</v>
      </c>
      <c r="B888">
        <v>2011</v>
      </c>
      <c r="C888" t="s">
        <v>273</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COUNT(LifeExpectancyData[[#This Row],[Life expectancy]:[Schooling]])=19</f>
        <v>1</v>
      </c>
    </row>
    <row r="889" spans="1:23" x14ac:dyDescent="0.25">
      <c r="A889" t="s">
        <v>331</v>
      </c>
      <c r="B889">
        <v>2010</v>
      </c>
      <c r="C889" t="s">
        <v>273</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COUNT(LifeExpectancyData[[#This Row],[Life expectancy]:[Schooling]])=19</f>
        <v>1</v>
      </c>
    </row>
    <row r="890" spans="1:23" x14ac:dyDescent="0.25">
      <c r="A890" t="s">
        <v>331</v>
      </c>
      <c r="B890">
        <v>2009</v>
      </c>
      <c r="C890" t="s">
        <v>273</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COUNT(LifeExpectancyData[[#This Row],[Life expectancy]:[Schooling]])=19</f>
        <v>1</v>
      </c>
    </row>
    <row r="891" spans="1:23" x14ac:dyDescent="0.25">
      <c r="A891" t="s">
        <v>331</v>
      </c>
      <c r="B891">
        <v>2008</v>
      </c>
      <c r="C891" t="s">
        <v>273</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COUNT(LifeExpectancyData[[#This Row],[Life expectancy]:[Schooling]])=19</f>
        <v>1</v>
      </c>
    </row>
    <row r="892" spans="1:23" x14ac:dyDescent="0.25">
      <c r="A892" t="s">
        <v>331</v>
      </c>
      <c r="B892">
        <v>2007</v>
      </c>
      <c r="C892" t="s">
        <v>273</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COUNT(LifeExpectancyData[[#This Row],[Life expectancy]:[Schooling]])=19</f>
        <v>1</v>
      </c>
    </row>
    <row r="893" spans="1:23" x14ac:dyDescent="0.25">
      <c r="A893" t="s">
        <v>331</v>
      </c>
      <c r="B893">
        <v>2006</v>
      </c>
      <c r="C893" t="s">
        <v>273</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COUNT(LifeExpectancyData[[#This Row],[Life expectancy]:[Schooling]])=19</f>
        <v>0</v>
      </c>
    </row>
    <row r="894" spans="1:23" x14ac:dyDescent="0.25">
      <c r="A894" t="s">
        <v>331</v>
      </c>
      <c r="B894">
        <v>2005</v>
      </c>
      <c r="C894" t="s">
        <v>273</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COUNT(LifeExpectancyData[[#This Row],[Life expectancy]:[Schooling]])=19</f>
        <v>0</v>
      </c>
    </row>
    <row r="895" spans="1:23" x14ac:dyDescent="0.25">
      <c r="A895" t="s">
        <v>331</v>
      </c>
      <c r="B895">
        <v>2004</v>
      </c>
      <c r="C895" t="s">
        <v>273</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COUNT(LifeExpectancyData[[#This Row],[Life expectancy]:[Schooling]])=19</f>
        <v>0</v>
      </c>
    </row>
    <row r="896" spans="1:23" x14ac:dyDescent="0.25">
      <c r="A896" t="s">
        <v>331</v>
      </c>
      <c r="B896">
        <v>2003</v>
      </c>
      <c r="C896" t="s">
        <v>273</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COUNT(LifeExpectancyData[[#This Row],[Life expectancy]:[Schooling]])=19</f>
        <v>0</v>
      </c>
    </row>
    <row r="897" spans="1:23" x14ac:dyDescent="0.25">
      <c r="A897" t="s">
        <v>331</v>
      </c>
      <c r="B897">
        <v>2002</v>
      </c>
      <c r="C897" t="s">
        <v>273</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COUNT(LifeExpectancyData[[#This Row],[Life expectancy]:[Schooling]])=19</f>
        <v>0</v>
      </c>
    </row>
    <row r="898" spans="1:23" x14ac:dyDescent="0.25">
      <c r="A898" t="s">
        <v>331</v>
      </c>
      <c r="B898">
        <v>2001</v>
      </c>
      <c r="C898" t="s">
        <v>273</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COUNT(LifeExpectancyData[[#This Row],[Life expectancy]:[Schooling]])=19</f>
        <v>0</v>
      </c>
    </row>
    <row r="899" spans="1:23" x14ac:dyDescent="0.25">
      <c r="A899" t="s">
        <v>331</v>
      </c>
      <c r="B899">
        <v>2000</v>
      </c>
      <c r="C899" t="s">
        <v>273</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COUNT(LifeExpectancyData[[#This Row],[Life expectancy]:[Schooling]])=19</f>
        <v>0</v>
      </c>
    </row>
    <row r="900" spans="1:23" x14ac:dyDescent="0.25">
      <c r="A900" t="s">
        <v>332</v>
      </c>
      <c r="B900">
        <v>2015</v>
      </c>
      <c r="C900" t="s">
        <v>273</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COUNT(LifeExpectancyData[[#This Row],[Life expectancy]:[Schooling]])=19</f>
        <v>0</v>
      </c>
    </row>
    <row r="901" spans="1:23" x14ac:dyDescent="0.25">
      <c r="A901" t="s">
        <v>332</v>
      </c>
      <c r="B901">
        <v>2014</v>
      </c>
      <c r="C901" t="s">
        <v>273</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COUNT(LifeExpectancyData[[#This Row],[Life expectancy]:[Schooling]])=19</f>
        <v>1</v>
      </c>
    </row>
    <row r="902" spans="1:23" x14ac:dyDescent="0.25">
      <c r="A902" t="s">
        <v>332</v>
      </c>
      <c r="B902">
        <v>2013</v>
      </c>
      <c r="C902" t="s">
        <v>273</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COUNT(LifeExpectancyData[[#This Row],[Life expectancy]:[Schooling]])=19</f>
        <v>1</v>
      </c>
    </row>
    <row r="903" spans="1:23" x14ac:dyDescent="0.25">
      <c r="A903" t="s">
        <v>332</v>
      </c>
      <c r="B903">
        <v>2012</v>
      </c>
      <c r="C903" t="s">
        <v>273</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COUNT(LifeExpectancyData[[#This Row],[Life expectancy]:[Schooling]])=19</f>
        <v>1</v>
      </c>
    </row>
    <row r="904" spans="1:23" x14ac:dyDescent="0.25">
      <c r="A904" t="s">
        <v>332</v>
      </c>
      <c r="B904">
        <v>2011</v>
      </c>
      <c r="C904" t="s">
        <v>273</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COUNT(LifeExpectancyData[[#This Row],[Life expectancy]:[Schooling]])=19</f>
        <v>1</v>
      </c>
    </row>
    <row r="905" spans="1:23" x14ac:dyDescent="0.25">
      <c r="A905" t="s">
        <v>332</v>
      </c>
      <c r="B905">
        <v>2010</v>
      </c>
      <c r="C905" t="s">
        <v>273</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COUNT(LifeExpectancyData[[#This Row],[Life expectancy]:[Schooling]])=19</f>
        <v>1</v>
      </c>
    </row>
    <row r="906" spans="1:23" x14ac:dyDescent="0.25">
      <c r="A906" t="s">
        <v>332</v>
      </c>
      <c r="B906">
        <v>2009</v>
      </c>
      <c r="C906" t="s">
        <v>273</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COUNT(LifeExpectancyData[[#This Row],[Life expectancy]:[Schooling]])=19</f>
        <v>1</v>
      </c>
    </row>
    <row r="907" spans="1:23" x14ac:dyDescent="0.25">
      <c r="A907" t="s">
        <v>332</v>
      </c>
      <c r="B907">
        <v>2008</v>
      </c>
      <c r="C907" t="s">
        <v>273</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COUNT(LifeExpectancyData[[#This Row],[Life expectancy]:[Schooling]])=19</f>
        <v>1</v>
      </c>
    </row>
    <row r="908" spans="1:23" x14ac:dyDescent="0.25">
      <c r="A908" t="s">
        <v>332</v>
      </c>
      <c r="B908">
        <v>2007</v>
      </c>
      <c r="C908" t="s">
        <v>273</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COUNT(LifeExpectancyData[[#This Row],[Life expectancy]:[Schooling]])=19</f>
        <v>1</v>
      </c>
    </row>
    <row r="909" spans="1:23" x14ac:dyDescent="0.25">
      <c r="A909" t="s">
        <v>332</v>
      </c>
      <c r="B909">
        <v>2006</v>
      </c>
      <c r="C909" t="s">
        <v>273</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COUNT(LifeExpectancyData[[#This Row],[Life expectancy]:[Schooling]])=19</f>
        <v>1</v>
      </c>
    </row>
    <row r="910" spans="1:23" x14ac:dyDescent="0.25">
      <c r="A910" t="s">
        <v>332</v>
      </c>
      <c r="B910">
        <v>2005</v>
      </c>
      <c r="C910" t="s">
        <v>273</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COUNT(LifeExpectancyData[[#This Row],[Life expectancy]:[Schooling]])=19</f>
        <v>1</v>
      </c>
    </row>
    <row r="911" spans="1:23" x14ac:dyDescent="0.25">
      <c r="A911" t="s">
        <v>332</v>
      </c>
      <c r="B911">
        <v>2004</v>
      </c>
      <c r="C911" t="s">
        <v>273</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COUNT(LifeExpectancyData[[#This Row],[Life expectancy]:[Schooling]])=19</f>
        <v>1</v>
      </c>
    </row>
    <row r="912" spans="1:23" x14ac:dyDescent="0.25">
      <c r="A912" t="s">
        <v>332</v>
      </c>
      <c r="B912">
        <v>2003</v>
      </c>
      <c r="C912" t="s">
        <v>273</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COUNT(LifeExpectancyData[[#This Row],[Life expectancy]:[Schooling]])=19</f>
        <v>1</v>
      </c>
    </row>
    <row r="913" spans="1:23" x14ac:dyDescent="0.25">
      <c r="A913" t="s">
        <v>332</v>
      </c>
      <c r="B913">
        <v>2002</v>
      </c>
      <c r="C913" t="s">
        <v>273</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COUNT(LifeExpectancyData[[#This Row],[Life expectancy]:[Schooling]])=19</f>
        <v>1</v>
      </c>
    </row>
    <row r="914" spans="1:23" x14ac:dyDescent="0.25">
      <c r="A914" t="s">
        <v>332</v>
      </c>
      <c r="B914">
        <v>2001</v>
      </c>
      <c r="C914" t="s">
        <v>273</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COUNT(LifeExpectancyData[[#This Row],[Life expectancy]:[Schooling]])=19</f>
        <v>1</v>
      </c>
    </row>
    <row r="915" spans="1:23" x14ac:dyDescent="0.25">
      <c r="A915" t="s">
        <v>332</v>
      </c>
      <c r="B915">
        <v>2000</v>
      </c>
      <c r="C915" t="s">
        <v>273</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COUNT(LifeExpectancyData[[#This Row],[Life expectancy]:[Schooling]])=19</f>
        <v>1</v>
      </c>
    </row>
    <row r="916" spans="1:23" x14ac:dyDescent="0.25">
      <c r="A916" t="s">
        <v>333</v>
      </c>
      <c r="B916">
        <v>2015</v>
      </c>
      <c r="C916" t="s">
        <v>273</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COUNT(LifeExpectancyData[[#This Row],[Life expectancy]:[Schooling]])=19</f>
        <v>0</v>
      </c>
    </row>
    <row r="917" spans="1:23" x14ac:dyDescent="0.25">
      <c r="A917" t="s">
        <v>333</v>
      </c>
      <c r="B917">
        <v>2014</v>
      </c>
      <c r="C917" t="s">
        <v>273</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COUNT(LifeExpectancyData[[#This Row],[Life expectancy]:[Schooling]])=19</f>
        <v>0</v>
      </c>
    </row>
    <row r="918" spans="1:23" x14ac:dyDescent="0.25">
      <c r="A918" t="s">
        <v>333</v>
      </c>
      <c r="B918">
        <v>2013</v>
      </c>
      <c r="C918" t="s">
        <v>273</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COUNT(LifeExpectancyData[[#This Row],[Life expectancy]:[Schooling]])=19</f>
        <v>0</v>
      </c>
    </row>
    <row r="919" spans="1:23" x14ac:dyDescent="0.25">
      <c r="A919" t="s">
        <v>333</v>
      </c>
      <c r="B919">
        <v>2012</v>
      </c>
      <c r="C919" t="s">
        <v>273</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COUNT(LifeExpectancyData[[#This Row],[Life expectancy]:[Schooling]])=19</f>
        <v>0</v>
      </c>
    </row>
    <row r="920" spans="1:23" x14ac:dyDescent="0.25">
      <c r="A920" t="s">
        <v>333</v>
      </c>
      <c r="B920">
        <v>2011</v>
      </c>
      <c r="C920" t="s">
        <v>273</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COUNT(LifeExpectancyData[[#This Row],[Life expectancy]:[Schooling]])=19</f>
        <v>0</v>
      </c>
    </row>
    <row r="921" spans="1:23" x14ac:dyDescent="0.25">
      <c r="A921" t="s">
        <v>333</v>
      </c>
      <c r="B921">
        <v>2010</v>
      </c>
      <c r="C921" t="s">
        <v>273</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COUNT(LifeExpectancyData[[#This Row],[Life expectancy]:[Schooling]])=19</f>
        <v>0</v>
      </c>
    </row>
    <row r="922" spans="1:23" x14ac:dyDescent="0.25">
      <c r="A922" t="s">
        <v>333</v>
      </c>
      <c r="B922">
        <v>2009</v>
      </c>
      <c r="C922" t="s">
        <v>273</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COUNT(LifeExpectancyData[[#This Row],[Life expectancy]:[Schooling]])=19</f>
        <v>0</v>
      </c>
    </row>
    <row r="923" spans="1:23" x14ac:dyDescent="0.25">
      <c r="A923" t="s">
        <v>333</v>
      </c>
      <c r="B923">
        <v>2008</v>
      </c>
      <c r="C923" t="s">
        <v>273</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COUNT(LifeExpectancyData[[#This Row],[Life expectancy]:[Schooling]])=19</f>
        <v>0</v>
      </c>
    </row>
    <row r="924" spans="1:23" x14ac:dyDescent="0.25">
      <c r="A924" t="s">
        <v>333</v>
      </c>
      <c r="B924">
        <v>2007</v>
      </c>
      <c r="C924" t="s">
        <v>273</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COUNT(LifeExpectancyData[[#This Row],[Life expectancy]:[Schooling]])=19</f>
        <v>0</v>
      </c>
    </row>
    <row r="925" spans="1:23" x14ac:dyDescent="0.25">
      <c r="A925" t="s">
        <v>333</v>
      </c>
      <c r="B925">
        <v>2006</v>
      </c>
      <c r="C925" t="s">
        <v>273</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COUNT(LifeExpectancyData[[#This Row],[Life expectancy]:[Schooling]])=19</f>
        <v>0</v>
      </c>
    </row>
    <row r="926" spans="1:23" x14ac:dyDescent="0.25">
      <c r="A926" t="s">
        <v>333</v>
      </c>
      <c r="B926">
        <v>2005</v>
      </c>
      <c r="C926" t="s">
        <v>273</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COUNT(LifeExpectancyData[[#This Row],[Life expectancy]:[Schooling]])=19</f>
        <v>0</v>
      </c>
    </row>
    <row r="927" spans="1:23" x14ac:dyDescent="0.25">
      <c r="A927" t="s">
        <v>333</v>
      </c>
      <c r="B927">
        <v>2004</v>
      </c>
      <c r="C927" t="s">
        <v>273</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COUNT(LifeExpectancyData[[#This Row],[Life expectancy]:[Schooling]])=19</f>
        <v>0</v>
      </c>
    </row>
    <row r="928" spans="1:23" x14ac:dyDescent="0.25">
      <c r="A928" t="s">
        <v>333</v>
      </c>
      <c r="B928">
        <v>2003</v>
      </c>
      <c r="C928" t="s">
        <v>273</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COUNT(LifeExpectancyData[[#This Row],[Life expectancy]:[Schooling]])=19</f>
        <v>0</v>
      </c>
    </row>
    <row r="929" spans="1:23" x14ac:dyDescent="0.25">
      <c r="A929" t="s">
        <v>333</v>
      </c>
      <c r="B929">
        <v>2002</v>
      </c>
      <c r="C929" t="s">
        <v>273</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COUNT(LifeExpectancyData[[#This Row],[Life expectancy]:[Schooling]])=19</f>
        <v>0</v>
      </c>
    </row>
    <row r="930" spans="1:23" x14ac:dyDescent="0.25">
      <c r="A930" t="s">
        <v>333</v>
      </c>
      <c r="B930">
        <v>2001</v>
      </c>
      <c r="C930" t="s">
        <v>273</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COUNT(LifeExpectancyData[[#This Row],[Life expectancy]:[Schooling]])=19</f>
        <v>0</v>
      </c>
    </row>
    <row r="931" spans="1:23" x14ac:dyDescent="0.25">
      <c r="A931" t="s">
        <v>333</v>
      </c>
      <c r="B931">
        <v>2000</v>
      </c>
      <c r="C931" t="s">
        <v>273</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COUNT(LifeExpectancyData[[#This Row],[Life expectancy]:[Schooling]])=19</f>
        <v>0</v>
      </c>
    </row>
    <row r="932" spans="1:23" x14ac:dyDescent="0.25">
      <c r="A932" t="s">
        <v>334</v>
      </c>
      <c r="B932">
        <v>2015</v>
      </c>
      <c r="C932" t="s">
        <v>273</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COUNT(LifeExpectancyData[[#This Row],[Life expectancy]:[Schooling]])=19</f>
        <v>0</v>
      </c>
    </row>
    <row r="933" spans="1:23" x14ac:dyDescent="0.25">
      <c r="A933" t="s">
        <v>334</v>
      </c>
      <c r="B933">
        <v>2014</v>
      </c>
      <c r="C933" t="s">
        <v>273</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COUNT(LifeExpectancyData[[#This Row],[Life expectancy]:[Schooling]])=19</f>
        <v>1</v>
      </c>
    </row>
    <row r="934" spans="1:23" x14ac:dyDescent="0.25">
      <c r="A934" t="s">
        <v>334</v>
      </c>
      <c r="B934">
        <v>2013</v>
      </c>
      <c r="C934" t="s">
        <v>273</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COUNT(LifeExpectancyData[[#This Row],[Life expectancy]:[Schooling]])=19</f>
        <v>1</v>
      </c>
    </row>
    <row r="935" spans="1:23" x14ac:dyDescent="0.25">
      <c r="A935" t="s">
        <v>334</v>
      </c>
      <c r="B935">
        <v>2012</v>
      </c>
      <c r="C935" t="s">
        <v>273</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COUNT(LifeExpectancyData[[#This Row],[Life expectancy]:[Schooling]])=19</f>
        <v>1</v>
      </c>
    </row>
    <row r="936" spans="1:23" x14ac:dyDescent="0.25">
      <c r="A936" t="s">
        <v>334</v>
      </c>
      <c r="B936">
        <v>2011</v>
      </c>
      <c r="C936" t="s">
        <v>273</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COUNT(LifeExpectancyData[[#This Row],[Life expectancy]:[Schooling]])=19</f>
        <v>1</v>
      </c>
    </row>
    <row r="937" spans="1:23" x14ac:dyDescent="0.25">
      <c r="A937" t="s">
        <v>334</v>
      </c>
      <c r="B937">
        <v>2010</v>
      </c>
      <c r="C937" t="s">
        <v>273</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COUNT(LifeExpectancyData[[#This Row],[Life expectancy]:[Schooling]])=19</f>
        <v>1</v>
      </c>
    </row>
    <row r="938" spans="1:23" x14ac:dyDescent="0.25">
      <c r="A938" t="s">
        <v>334</v>
      </c>
      <c r="B938">
        <v>2009</v>
      </c>
      <c r="C938" t="s">
        <v>273</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COUNT(LifeExpectancyData[[#This Row],[Life expectancy]:[Schooling]])=19</f>
        <v>1</v>
      </c>
    </row>
    <row r="939" spans="1:23" x14ac:dyDescent="0.25">
      <c r="A939" t="s">
        <v>334</v>
      </c>
      <c r="B939">
        <v>2008</v>
      </c>
      <c r="C939" t="s">
        <v>273</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COUNT(LifeExpectancyData[[#This Row],[Life expectancy]:[Schooling]])=19</f>
        <v>1</v>
      </c>
    </row>
    <row r="940" spans="1:23" x14ac:dyDescent="0.25">
      <c r="A940" t="s">
        <v>334</v>
      </c>
      <c r="B940">
        <v>2007</v>
      </c>
      <c r="C940" t="s">
        <v>273</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COUNT(LifeExpectancyData[[#This Row],[Life expectancy]:[Schooling]])=19</f>
        <v>1</v>
      </c>
    </row>
    <row r="941" spans="1:23" x14ac:dyDescent="0.25">
      <c r="A941" t="s">
        <v>334</v>
      </c>
      <c r="B941">
        <v>2006</v>
      </c>
      <c r="C941" t="s">
        <v>273</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COUNT(LifeExpectancyData[[#This Row],[Life expectancy]:[Schooling]])=19</f>
        <v>1</v>
      </c>
    </row>
    <row r="942" spans="1:23" x14ac:dyDescent="0.25">
      <c r="A942" t="s">
        <v>334</v>
      </c>
      <c r="B942">
        <v>2005</v>
      </c>
      <c r="C942" t="s">
        <v>273</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COUNT(LifeExpectancyData[[#This Row],[Life expectancy]:[Schooling]])=19</f>
        <v>1</v>
      </c>
    </row>
    <row r="943" spans="1:23" x14ac:dyDescent="0.25">
      <c r="A943" t="s">
        <v>334</v>
      </c>
      <c r="B943">
        <v>2004</v>
      </c>
      <c r="C943" t="s">
        <v>273</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COUNT(LifeExpectancyData[[#This Row],[Life expectancy]:[Schooling]])=19</f>
        <v>1</v>
      </c>
    </row>
    <row r="944" spans="1:23" x14ac:dyDescent="0.25">
      <c r="A944" t="s">
        <v>334</v>
      </c>
      <c r="B944">
        <v>2003</v>
      </c>
      <c r="C944" t="s">
        <v>273</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COUNT(LifeExpectancyData[[#This Row],[Life expectancy]:[Schooling]])=19</f>
        <v>1</v>
      </c>
    </row>
    <row r="945" spans="1:23" x14ac:dyDescent="0.25">
      <c r="A945" t="s">
        <v>334</v>
      </c>
      <c r="B945">
        <v>2002</v>
      </c>
      <c r="C945" t="s">
        <v>273</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COUNT(LifeExpectancyData[[#This Row],[Life expectancy]:[Schooling]])=19</f>
        <v>1</v>
      </c>
    </row>
    <row r="946" spans="1:23" x14ac:dyDescent="0.25">
      <c r="A946" t="s">
        <v>334</v>
      </c>
      <c r="B946">
        <v>2001</v>
      </c>
      <c r="C946" t="s">
        <v>273</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COUNT(LifeExpectancyData[[#This Row],[Life expectancy]:[Schooling]])=19</f>
        <v>1</v>
      </c>
    </row>
    <row r="947" spans="1:23" x14ac:dyDescent="0.25">
      <c r="A947" t="s">
        <v>334</v>
      </c>
      <c r="B947">
        <v>2000</v>
      </c>
      <c r="C947" t="s">
        <v>273</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COUNT(LifeExpectancyData[[#This Row],[Life expectancy]:[Schooling]])=19</f>
        <v>1</v>
      </c>
    </row>
    <row r="948" spans="1:23" x14ac:dyDescent="0.25">
      <c r="A948" t="s">
        <v>335</v>
      </c>
      <c r="B948">
        <v>2015</v>
      </c>
      <c r="C948" t="s">
        <v>273</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COUNT(LifeExpectancyData[[#This Row],[Life expectancy]:[Schooling]])=19</f>
        <v>0</v>
      </c>
    </row>
    <row r="949" spans="1:23" x14ac:dyDescent="0.25">
      <c r="A949" t="s">
        <v>335</v>
      </c>
      <c r="B949">
        <v>2014</v>
      </c>
      <c r="C949" t="s">
        <v>273</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COUNT(LifeExpectancyData[[#This Row],[Life expectancy]:[Schooling]])=19</f>
        <v>1</v>
      </c>
    </row>
    <row r="950" spans="1:23" x14ac:dyDescent="0.25">
      <c r="A950" t="s">
        <v>335</v>
      </c>
      <c r="B950">
        <v>2013</v>
      </c>
      <c r="C950" t="s">
        <v>273</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COUNT(LifeExpectancyData[[#This Row],[Life expectancy]:[Schooling]])=19</f>
        <v>1</v>
      </c>
    </row>
    <row r="951" spans="1:23" x14ac:dyDescent="0.25">
      <c r="A951" t="s">
        <v>335</v>
      </c>
      <c r="B951">
        <v>2012</v>
      </c>
      <c r="C951" t="s">
        <v>273</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COUNT(LifeExpectancyData[[#This Row],[Life expectancy]:[Schooling]])=19</f>
        <v>1</v>
      </c>
    </row>
    <row r="952" spans="1:23" x14ac:dyDescent="0.25">
      <c r="A952" t="s">
        <v>335</v>
      </c>
      <c r="B952">
        <v>2011</v>
      </c>
      <c r="C952" t="s">
        <v>273</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COUNT(LifeExpectancyData[[#This Row],[Life expectancy]:[Schooling]])=19</f>
        <v>1</v>
      </c>
    </row>
    <row r="953" spans="1:23" x14ac:dyDescent="0.25">
      <c r="A953" t="s">
        <v>335</v>
      </c>
      <c r="B953">
        <v>2010</v>
      </c>
      <c r="C953" t="s">
        <v>273</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COUNT(LifeExpectancyData[[#This Row],[Life expectancy]:[Schooling]])=19</f>
        <v>1</v>
      </c>
    </row>
    <row r="954" spans="1:23" x14ac:dyDescent="0.25">
      <c r="A954" t="s">
        <v>335</v>
      </c>
      <c r="B954">
        <v>2009</v>
      </c>
      <c r="C954" t="s">
        <v>273</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COUNT(LifeExpectancyData[[#This Row],[Life expectancy]:[Schooling]])=19</f>
        <v>1</v>
      </c>
    </row>
    <row r="955" spans="1:23" x14ac:dyDescent="0.25">
      <c r="A955" t="s">
        <v>335</v>
      </c>
      <c r="B955">
        <v>2008</v>
      </c>
      <c r="C955" t="s">
        <v>273</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COUNT(LifeExpectancyData[[#This Row],[Life expectancy]:[Schooling]])=19</f>
        <v>1</v>
      </c>
    </row>
    <row r="956" spans="1:23" x14ac:dyDescent="0.25">
      <c r="A956" t="s">
        <v>335</v>
      </c>
      <c r="B956">
        <v>2007</v>
      </c>
      <c r="C956" t="s">
        <v>273</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COUNT(LifeExpectancyData[[#This Row],[Life expectancy]:[Schooling]])=19</f>
        <v>1</v>
      </c>
    </row>
    <row r="957" spans="1:23" x14ac:dyDescent="0.25">
      <c r="A957" t="s">
        <v>335</v>
      </c>
      <c r="B957">
        <v>2006</v>
      </c>
      <c r="C957" t="s">
        <v>273</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COUNT(LifeExpectancyData[[#This Row],[Life expectancy]:[Schooling]])=19</f>
        <v>1</v>
      </c>
    </row>
    <row r="958" spans="1:23" x14ac:dyDescent="0.25">
      <c r="A958" t="s">
        <v>335</v>
      </c>
      <c r="B958">
        <v>2005</v>
      </c>
      <c r="C958" t="s">
        <v>273</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COUNT(LifeExpectancyData[[#This Row],[Life expectancy]:[Schooling]])=19</f>
        <v>1</v>
      </c>
    </row>
    <row r="959" spans="1:23" x14ac:dyDescent="0.25">
      <c r="A959" t="s">
        <v>335</v>
      </c>
      <c r="B959">
        <v>2004</v>
      </c>
      <c r="C959" t="s">
        <v>273</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COUNT(LifeExpectancyData[[#This Row],[Life expectancy]:[Schooling]])=19</f>
        <v>0</v>
      </c>
    </row>
    <row r="960" spans="1:23" x14ac:dyDescent="0.25">
      <c r="A960" t="s">
        <v>335</v>
      </c>
      <c r="B960">
        <v>2003</v>
      </c>
      <c r="C960" t="s">
        <v>273</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COUNT(LifeExpectancyData[[#This Row],[Life expectancy]:[Schooling]])=19</f>
        <v>0</v>
      </c>
    </row>
    <row r="961" spans="1:23" x14ac:dyDescent="0.25">
      <c r="A961" t="s">
        <v>335</v>
      </c>
      <c r="B961">
        <v>2002</v>
      </c>
      <c r="C961" t="s">
        <v>273</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COUNT(LifeExpectancyData[[#This Row],[Life expectancy]:[Schooling]])=19</f>
        <v>0</v>
      </c>
    </row>
    <row r="962" spans="1:23" x14ac:dyDescent="0.25">
      <c r="A962" t="s">
        <v>335</v>
      </c>
      <c r="B962">
        <v>2001</v>
      </c>
      <c r="C962" t="s">
        <v>273</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COUNT(LifeExpectancyData[[#This Row],[Life expectancy]:[Schooling]])=19</f>
        <v>0</v>
      </c>
    </row>
    <row r="963" spans="1:23" x14ac:dyDescent="0.25">
      <c r="A963" t="s">
        <v>335</v>
      </c>
      <c r="B963">
        <v>2000</v>
      </c>
      <c r="C963" t="s">
        <v>273</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COUNT(LifeExpectancyData[[#This Row],[Life expectancy]:[Schooling]])=19</f>
        <v>0</v>
      </c>
    </row>
    <row r="964" spans="1:23" x14ac:dyDescent="0.25">
      <c r="A964" t="s">
        <v>336</v>
      </c>
      <c r="B964">
        <v>2015</v>
      </c>
      <c r="C964" t="s">
        <v>273</v>
      </c>
      <c r="D964">
        <v>61.1</v>
      </c>
      <c r="E964">
        <v>262</v>
      </c>
      <c r="F964">
        <v>3</v>
      </c>
      <c r="H964">
        <v>0</v>
      </c>
      <c r="I964">
        <v>97</v>
      </c>
      <c r="J964">
        <v>71</v>
      </c>
      <c r="K964">
        <v>27.3</v>
      </c>
      <c r="L964">
        <v>5</v>
      </c>
      <c r="M964">
        <v>96</v>
      </c>
      <c r="O964">
        <v>97</v>
      </c>
      <c r="P964">
        <v>1.7</v>
      </c>
      <c r="S964">
        <v>7.3</v>
      </c>
      <c r="T964">
        <v>7.2</v>
      </c>
      <c r="U964">
        <v>0.45</v>
      </c>
      <c r="V964">
        <v>8.9</v>
      </c>
      <c r="W964" t="b">
        <f>COUNT(LifeExpectancyData[[#This Row],[Life expectancy]:[Schooling]])=19</f>
        <v>0</v>
      </c>
    </row>
    <row r="965" spans="1:23" x14ac:dyDescent="0.25">
      <c r="A965" t="s">
        <v>336</v>
      </c>
      <c r="B965">
        <v>2014</v>
      </c>
      <c r="C965" t="s">
        <v>273</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COUNT(LifeExpectancyData[[#This Row],[Life expectancy]:[Schooling]])=19</f>
        <v>0</v>
      </c>
    </row>
    <row r="966" spans="1:23" x14ac:dyDescent="0.25">
      <c r="A966" t="s">
        <v>336</v>
      </c>
      <c r="B966">
        <v>2013</v>
      </c>
      <c r="C966" t="s">
        <v>273</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COUNT(LifeExpectancyData[[#This Row],[Life expectancy]:[Schooling]])=19</f>
        <v>0</v>
      </c>
    </row>
    <row r="967" spans="1:23" x14ac:dyDescent="0.25">
      <c r="A967" t="s">
        <v>336</v>
      </c>
      <c r="B967">
        <v>2012</v>
      </c>
      <c r="C967" t="s">
        <v>273</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COUNT(LifeExpectancyData[[#This Row],[Life expectancy]:[Schooling]])=19</f>
        <v>0</v>
      </c>
    </row>
    <row r="968" spans="1:23" x14ac:dyDescent="0.25">
      <c r="A968" t="s">
        <v>336</v>
      </c>
      <c r="B968">
        <v>2011</v>
      </c>
      <c r="C968" t="s">
        <v>273</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COUNT(LifeExpectancyData[[#This Row],[Life expectancy]:[Schooling]])=19</f>
        <v>0</v>
      </c>
    </row>
    <row r="969" spans="1:23" x14ac:dyDescent="0.25">
      <c r="A969" t="s">
        <v>336</v>
      </c>
      <c r="B969">
        <v>2010</v>
      </c>
      <c r="C969" t="s">
        <v>273</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COUNT(LifeExpectancyData[[#This Row],[Life expectancy]:[Schooling]])=19</f>
        <v>0</v>
      </c>
    </row>
    <row r="970" spans="1:23" x14ac:dyDescent="0.25">
      <c r="A970" t="s">
        <v>336</v>
      </c>
      <c r="B970">
        <v>2009</v>
      </c>
      <c r="C970" t="s">
        <v>273</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COUNT(LifeExpectancyData[[#This Row],[Life expectancy]:[Schooling]])=19</f>
        <v>0</v>
      </c>
    </row>
    <row r="971" spans="1:23" x14ac:dyDescent="0.25">
      <c r="A971" t="s">
        <v>336</v>
      </c>
      <c r="B971">
        <v>2008</v>
      </c>
      <c r="C971" t="s">
        <v>273</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COUNT(LifeExpectancyData[[#This Row],[Life expectancy]:[Schooling]])=19</f>
        <v>0</v>
      </c>
    </row>
    <row r="972" spans="1:23" x14ac:dyDescent="0.25">
      <c r="A972" t="s">
        <v>336</v>
      </c>
      <c r="B972">
        <v>2007</v>
      </c>
      <c r="C972" t="s">
        <v>273</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COUNT(LifeExpectancyData[[#This Row],[Life expectancy]:[Schooling]])=19</f>
        <v>0</v>
      </c>
    </row>
    <row r="973" spans="1:23" x14ac:dyDescent="0.25">
      <c r="A973" t="s">
        <v>336</v>
      </c>
      <c r="B973">
        <v>2006</v>
      </c>
      <c r="C973" t="s">
        <v>273</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COUNT(LifeExpectancyData[[#This Row],[Life expectancy]:[Schooling]])=19</f>
        <v>0</v>
      </c>
    </row>
    <row r="974" spans="1:23" x14ac:dyDescent="0.25">
      <c r="A974" t="s">
        <v>336</v>
      </c>
      <c r="B974">
        <v>2005</v>
      </c>
      <c r="C974" t="s">
        <v>273</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COUNT(LifeExpectancyData[[#This Row],[Life expectancy]:[Schooling]])=19</f>
        <v>0</v>
      </c>
    </row>
    <row r="975" spans="1:23" x14ac:dyDescent="0.25">
      <c r="A975" t="s">
        <v>336</v>
      </c>
      <c r="B975">
        <v>2004</v>
      </c>
      <c r="C975" t="s">
        <v>273</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COUNT(LifeExpectancyData[[#This Row],[Life expectancy]:[Schooling]])=19</f>
        <v>0</v>
      </c>
    </row>
    <row r="976" spans="1:23" x14ac:dyDescent="0.25">
      <c r="A976" t="s">
        <v>336</v>
      </c>
      <c r="B976">
        <v>2003</v>
      </c>
      <c r="C976" t="s">
        <v>273</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COUNT(LifeExpectancyData[[#This Row],[Life expectancy]:[Schooling]])=19</f>
        <v>0</v>
      </c>
    </row>
    <row r="977" spans="1:23" x14ac:dyDescent="0.25">
      <c r="A977" t="s">
        <v>336</v>
      </c>
      <c r="B977">
        <v>2002</v>
      </c>
      <c r="C977" t="s">
        <v>273</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COUNT(LifeExpectancyData[[#This Row],[Life expectancy]:[Schooling]])=19</f>
        <v>0</v>
      </c>
    </row>
    <row r="978" spans="1:23" x14ac:dyDescent="0.25">
      <c r="A978" t="s">
        <v>336</v>
      </c>
      <c r="B978">
        <v>2001</v>
      </c>
      <c r="C978" t="s">
        <v>273</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COUNT(LifeExpectancyData[[#This Row],[Life expectancy]:[Schooling]])=19</f>
        <v>0</v>
      </c>
    </row>
    <row r="979" spans="1:23" x14ac:dyDescent="0.25">
      <c r="A979" t="s">
        <v>336</v>
      </c>
      <c r="B979">
        <v>2000</v>
      </c>
      <c r="C979" t="s">
        <v>273</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COUNT(LifeExpectancyData[[#This Row],[Life expectancy]:[Schooling]])=19</f>
        <v>0</v>
      </c>
    </row>
    <row r="980" spans="1:23" x14ac:dyDescent="0.25">
      <c r="A980" t="s">
        <v>337</v>
      </c>
      <c r="B980">
        <v>2015</v>
      </c>
      <c r="C980" t="s">
        <v>273</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COUNT(LifeExpectancyData[[#This Row],[Life expectancy]:[Schooling]])=19</f>
        <v>0</v>
      </c>
    </row>
    <row r="981" spans="1:23" x14ac:dyDescent="0.25">
      <c r="A981" t="s">
        <v>337</v>
      </c>
      <c r="B981">
        <v>2014</v>
      </c>
      <c r="C981" t="s">
        <v>273</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COUNT(LifeExpectancyData[[#This Row],[Life expectancy]:[Schooling]])=19</f>
        <v>1</v>
      </c>
    </row>
    <row r="982" spans="1:23" x14ac:dyDescent="0.25">
      <c r="A982" t="s">
        <v>337</v>
      </c>
      <c r="B982">
        <v>2013</v>
      </c>
      <c r="C982" t="s">
        <v>273</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COUNT(LifeExpectancyData[[#This Row],[Life expectancy]:[Schooling]])=19</f>
        <v>1</v>
      </c>
    </row>
    <row r="983" spans="1:23" x14ac:dyDescent="0.25">
      <c r="A983" t="s">
        <v>337</v>
      </c>
      <c r="B983">
        <v>2012</v>
      </c>
      <c r="C983" t="s">
        <v>273</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COUNT(LifeExpectancyData[[#This Row],[Life expectancy]:[Schooling]])=19</f>
        <v>1</v>
      </c>
    </row>
    <row r="984" spans="1:23" x14ac:dyDescent="0.25">
      <c r="A984" t="s">
        <v>337</v>
      </c>
      <c r="B984">
        <v>2011</v>
      </c>
      <c r="C984" t="s">
        <v>273</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COUNT(LifeExpectancyData[[#This Row],[Life expectancy]:[Schooling]])=19</f>
        <v>1</v>
      </c>
    </row>
    <row r="985" spans="1:23" x14ac:dyDescent="0.25">
      <c r="A985" t="s">
        <v>337</v>
      </c>
      <c r="B985">
        <v>2010</v>
      </c>
      <c r="C985" t="s">
        <v>273</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COUNT(LifeExpectancyData[[#This Row],[Life expectancy]:[Schooling]])=19</f>
        <v>1</v>
      </c>
    </row>
    <row r="986" spans="1:23" x14ac:dyDescent="0.25">
      <c r="A986" t="s">
        <v>337</v>
      </c>
      <c r="B986">
        <v>2009</v>
      </c>
      <c r="C986" t="s">
        <v>273</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COUNT(LifeExpectancyData[[#This Row],[Life expectancy]:[Schooling]])=19</f>
        <v>1</v>
      </c>
    </row>
    <row r="987" spans="1:23" x14ac:dyDescent="0.25">
      <c r="A987" t="s">
        <v>337</v>
      </c>
      <c r="B987">
        <v>2008</v>
      </c>
      <c r="C987" t="s">
        <v>273</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COUNT(LifeExpectancyData[[#This Row],[Life expectancy]:[Schooling]])=19</f>
        <v>1</v>
      </c>
    </row>
    <row r="988" spans="1:23" x14ac:dyDescent="0.25">
      <c r="A988" t="s">
        <v>337</v>
      </c>
      <c r="B988">
        <v>2007</v>
      </c>
      <c r="C988" t="s">
        <v>273</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COUNT(LifeExpectancyData[[#This Row],[Life expectancy]:[Schooling]])=19</f>
        <v>1</v>
      </c>
    </row>
    <row r="989" spans="1:23" x14ac:dyDescent="0.25">
      <c r="A989" t="s">
        <v>337</v>
      </c>
      <c r="B989">
        <v>2006</v>
      </c>
      <c r="C989" t="s">
        <v>273</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COUNT(LifeExpectancyData[[#This Row],[Life expectancy]:[Schooling]])=19</f>
        <v>1</v>
      </c>
    </row>
    <row r="990" spans="1:23" x14ac:dyDescent="0.25">
      <c r="A990" t="s">
        <v>337</v>
      </c>
      <c r="B990">
        <v>2005</v>
      </c>
      <c r="C990" t="s">
        <v>273</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COUNT(LifeExpectancyData[[#This Row],[Life expectancy]:[Schooling]])=19</f>
        <v>1</v>
      </c>
    </row>
    <row r="991" spans="1:23" x14ac:dyDescent="0.25">
      <c r="A991" t="s">
        <v>337</v>
      </c>
      <c r="B991">
        <v>2004</v>
      </c>
      <c r="C991" t="s">
        <v>273</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COUNT(LifeExpectancyData[[#This Row],[Life expectancy]:[Schooling]])=19</f>
        <v>1</v>
      </c>
    </row>
    <row r="992" spans="1:23" x14ac:dyDescent="0.25">
      <c r="A992" t="s">
        <v>337</v>
      </c>
      <c r="B992">
        <v>2003</v>
      </c>
      <c r="C992" t="s">
        <v>273</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COUNT(LifeExpectancyData[[#This Row],[Life expectancy]:[Schooling]])=19</f>
        <v>1</v>
      </c>
    </row>
    <row r="993" spans="1:23" x14ac:dyDescent="0.25">
      <c r="A993" t="s">
        <v>337</v>
      </c>
      <c r="B993">
        <v>2002</v>
      </c>
      <c r="C993" t="s">
        <v>273</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COUNT(LifeExpectancyData[[#This Row],[Life expectancy]:[Schooling]])=19</f>
        <v>1</v>
      </c>
    </row>
    <row r="994" spans="1:23" x14ac:dyDescent="0.25">
      <c r="A994" t="s">
        <v>337</v>
      </c>
      <c r="B994">
        <v>2001</v>
      </c>
      <c r="C994" t="s">
        <v>273</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COUNT(LifeExpectancyData[[#This Row],[Life expectancy]:[Schooling]])=19</f>
        <v>1</v>
      </c>
    </row>
    <row r="995" spans="1:23" x14ac:dyDescent="0.25">
      <c r="A995" t="s">
        <v>337</v>
      </c>
      <c r="B995">
        <v>2000</v>
      </c>
      <c r="C995" t="s">
        <v>273</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COUNT(LifeExpectancyData[[#This Row],[Life expectancy]:[Schooling]])=19</f>
        <v>1</v>
      </c>
    </row>
    <row r="996" spans="1:23" x14ac:dyDescent="0.25">
      <c r="A996" t="s">
        <v>338</v>
      </c>
      <c r="B996">
        <v>2015</v>
      </c>
      <c r="C996" t="s">
        <v>281</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COUNT(LifeExpectancyData[[#This Row],[Life expectancy]:[Schooling]])=19</f>
        <v>0</v>
      </c>
    </row>
    <row r="997" spans="1:23" x14ac:dyDescent="0.25">
      <c r="A997" t="s">
        <v>338</v>
      </c>
      <c r="B997">
        <v>2014</v>
      </c>
      <c r="C997" t="s">
        <v>281</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COUNT(LifeExpectancyData[[#This Row],[Life expectancy]:[Schooling]])=19</f>
        <v>1</v>
      </c>
    </row>
    <row r="998" spans="1:23" x14ac:dyDescent="0.25">
      <c r="A998" t="s">
        <v>338</v>
      </c>
      <c r="B998">
        <v>2013</v>
      </c>
      <c r="C998" t="s">
        <v>281</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COUNT(LifeExpectancyData[[#This Row],[Life expectancy]:[Schooling]])=19</f>
        <v>1</v>
      </c>
    </row>
    <row r="999" spans="1:23" x14ac:dyDescent="0.25">
      <c r="A999" t="s">
        <v>338</v>
      </c>
      <c r="B999">
        <v>2012</v>
      </c>
      <c r="C999" t="s">
        <v>281</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COUNT(LifeExpectancyData[[#This Row],[Life expectancy]:[Schooling]])=19</f>
        <v>1</v>
      </c>
    </row>
    <row r="1000" spans="1:23" x14ac:dyDescent="0.25">
      <c r="A1000" t="s">
        <v>338</v>
      </c>
      <c r="B1000">
        <v>2011</v>
      </c>
      <c r="C1000" t="s">
        <v>281</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COUNT(LifeExpectancyData[[#This Row],[Life expectancy]:[Schooling]])=19</f>
        <v>1</v>
      </c>
    </row>
    <row r="1001" spans="1:23" x14ac:dyDescent="0.25">
      <c r="A1001" t="s">
        <v>338</v>
      </c>
      <c r="B1001">
        <v>2010</v>
      </c>
      <c r="C1001" t="s">
        <v>281</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COUNT(LifeExpectancyData[[#This Row],[Life expectancy]:[Schooling]])=19</f>
        <v>1</v>
      </c>
    </row>
    <row r="1002" spans="1:23" x14ac:dyDescent="0.25">
      <c r="A1002" t="s">
        <v>338</v>
      </c>
      <c r="B1002">
        <v>2009</v>
      </c>
      <c r="C1002" t="s">
        <v>281</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COUNT(LifeExpectancyData[[#This Row],[Life expectancy]:[Schooling]])=19</f>
        <v>1</v>
      </c>
    </row>
    <row r="1003" spans="1:23" x14ac:dyDescent="0.25">
      <c r="A1003" t="s">
        <v>338</v>
      </c>
      <c r="B1003">
        <v>2008</v>
      </c>
      <c r="C1003" t="s">
        <v>281</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COUNT(LifeExpectancyData[[#This Row],[Life expectancy]:[Schooling]])=19</f>
        <v>1</v>
      </c>
    </row>
    <row r="1004" spans="1:23" x14ac:dyDescent="0.25">
      <c r="A1004" t="s">
        <v>338</v>
      </c>
      <c r="B1004">
        <v>2007</v>
      </c>
      <c r="C1004" t="s">
        <v>281</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COUNT(LifeExpectancyData[[#This Row],[Life expectancy]:[Schooling]])=19</f>
        <v>1</v>
      </c>
    </row>
    <row r="1005" spans="1:23" x14ac:dyDescent="0.25">
      <c r="A1005" t="s">
        <v>338</v>
      </c>
      <c r="B1005">
        <v>2006</v>
      </c>
      <c r="C1005" t="s">
        <v>281</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COUNT(LifeExpectancyData[[#This Row],[Life expectancy]:[Schooling]])=19</f>
        <v>1</v>
      </c>
    </row>
    <row r="1006" spans="1:23" x14ac:dyDescent="0.25">
      <c r="A1006" t="s">
        <v>338</v>
      </c>
      <c r="B1006">
        <v>2005</v>
      </c>
      <c r="C1006" t="s">
        <v>281</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COUNT(LifeExpectancyData[[#This Row],[Life expectancy]:[Schooling]])=19</f>
        <v>1</v>
      </c>
    </row>
    <row r="1007" spans="1:23" x14ac:dyDescent="0.25">
      <c r="A1007" t="s">
        <v>338</v>
      </c>
      <c r="B1007">
        <v>2004</v>
      </c>
      <c r="C1007" t="s">
        <v>281</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COUNT(LifeExpectancyData[[#This Row],[Life expectancy]:[Schooling]])=19</f>
        <v>1</v>
      </c>
    </row>
    <row r="1008" spans="1:23" x14ac:dyDescent="0.25">
      <c r="A1008" t="s">
        <v>338</v>
      </c>
      <c r="B1008">
        <v>2003</v>
      </c>
      <c r="C1008" t="s">
        <v>281</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COUNT(LifeExpectancyData[[#This Row],[Life expectancy]:[Schooling]])=19</f>
        <v>1</v>
      </c>
    </row>
    <row r="1009" spans="1:23" x14ac:dyDescent="0.25">
      <c r="A1009" t="s">
        <v>338</v>
      </c>
      <c r="B1009">
        <v>2002</v>
      </c>
      <c r="C1009" t="s">
        <v>281</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COUNT(LifeExpectancyData[[#This Row],[Life expectancy]:[Schooling]])=19</f>
        <v>1</v>
      </c>
    </row>
    <row r="1010" spans="1:23" x14ac:dyDescent="0.25">
      <c r="A1010" t="s">
        <v>338</v>
      </c>
      <c r="B1010">
        <v>2001</v>
      </c>
      <c r="C1010" t="s">
        <v>281</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COUNT(LifeExpectancyData[[#This Row],[Life expectancy]:[Schooling]])=19</f>
        <v>1</v>
      </c>
    </row>
    <row r="1011" spans="1:23" x14ac:dyDescent="0.25">
      <c r="A1011" t="s">
        <v>338</v>
      </c>
      <c r="B1011">
        <v>2000</v>
      </c>
      <c r="C1011" t="s">
        <v>281</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COUNT(LifeExpectancyData[[#This Row],[Life expectancy]:[Schooling]])=19</f>
        <v>1</v>
      </c>
    </row>
    <row r="1012" spans="1:23" x14ac:dyDescent="0.25">
      <c r="A1012" t="s">
        <v>339</v>
      </c>
      <c r="B1012">
        <v>2015</v>
      </c>
      <c r="C1012" t="s">
        <v>273</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COUNT(LifeExpectancyData[[#This Row],[Life expectancy]:[Schooling]])=19</f>
        <v>0</v>
      </c>
    </row>
    <row r="1013" spans="1:23" x14ac:dyDescent="0.25">
      <c r="A1013" t="s">
        <v>339</v>
      </c>
      <c r="B1013">
        <v>2014</v>
      </c>
      <c r="C1013" t="s">
        <v>273</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COUNT(LifeExpectancyData[[#This Row],[Life expectancy]:[Schooling]])=19</f>
        <v>1</v>
      </c>
    </row>
    <row r="1014" spans="1:23" x14ac:dyDescent="0.25">
      <c r="A1014" t="s">
        <v>339</v>
      </c>
      <c r="B1014">
        <v>2013</v>
      </c>
      <c r="C1014" t="s">
        <v>273</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COUNT(LifeExpectancyData[[#This Row],[Life expectancy]:[Schooling]])=19</f>
        <v>1</v>
      </c>
    </row>
    <row r="1015" spans="1:23" x14ac:dyDescent="0.25">
      <c r="A1015" t="s">
        <v>339</v>
      </c>
      <c r="B1015">
        <v>2012</v>
      </c>
      <c r="C1015" t="s">
        <v>273</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COUNT(LifeExpectancyData[[#This Row],[Life expectancy]:[Schooling]])=19</f>
        <v>1</v>
      </c>
    </row>
    <row r="1016" spans="1:23" x14ac:dyDescent="0.25">
      <c r="A1016" t="s">
        <v>339</v>
      </c>
      <c r="B1016">
        <v>2011</v>
      </c>
      <c r="C1016" t="s">
        <v>273</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COUNT(LifeExpectancyData[[#This Row],[Life expectancy]:[Schooling]])=19</f>
        <v>1</v>
      </c>
    </row>
    <row r="1017" spans="1:23" x14ac:dyDescent="0.25">
      <c r="A1017" t="s">
        <v>339</v>
      </c>
      <c r="B1017">
        <v>2010</v>
      </c>
      <c r="C1017" t="s">
        <v>273</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COUNT(LifeExpectancyData[[#This Row],[Life expectancy]:[Schooling]])=19</f>
        <v>1</v>
      </c>
    </row>
    <row r="1018" spans="1:23" x14ac:dyDescent="0.25">
      <c r="A1018" t="s">
        <v>339</v>
      </c>
      <c r="B1018">
        <v>2009</v>
      </c>
      <c r="C1018" t="s">
        <v>273</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COUNT(LifeExpectancyData[[#This Row],[Life expectancy]:[Schooling]])=19</f>
        <v>1</v>
      </c>
    </row>
    <row r="1019" spans="1:23" x14ac:dyDescent="0.25">
      <c r="A1019" t="s">
        <v>339</v>
      </c>
      <c r="B1019">
        <v>2008</v>
      </c>
      <c r="C1019" t="s">
        <v>273</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COUNT(LifeExpectancyData[[#This Row],[Life expectancy]:[Schooling]])=19</f>
        <v>1</v>
      </c>
    </row>
    <row r="1020" spans="1:23" x14ac:dyDescent="0.25">
      <c r="A1020" t="s">
        <v>339</v>
      </c>
      <c r="B1020">
        <v>2007</v>
      </c>
      <c r="C1020" t="s">
        <v>273</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COUNT(LifeExpectancyData[[#This Row],[Life expectancy]:[Schooling]])=19</f>
        <v>1</v>
      </c>
    </row>
    <row r="1021" spans="1:23" x14ac:dyDescent="0.25">
      <c r="A1021" t="s">
        <v>339</v>
      </c>
      <c r="B1021">
        <v>2006</v>
      </c>
      <c r="C1021" t="s">
        <v>273</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COUNT(LifeExpectancyData[[#This Row],[Life expectancy]:[Schooling]])=19</f>
        <v>1</v>
      </c>
    </row>
    <row r="1022" spans="1:23" x14ac:dyDescent="0.25">
      <c r="A1022" t="s">
        <v>339</v>
      </c>
      <c r="B1022">
        <v>2005</v>
      </c>
      <c r="C1022" t="s">
        <v>273</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COUNT(LifeExpectancyData[[#This Row],[Life expectancy]:[Schooling]])=19</f>
        <v>1</v>
      </c>
    </row>
    <row r="1023" spans="1:23" x14ac:dyDescent="0.25">
      <c r="A1023" t="s">
        <v>339</v>
      </c>
      <c r="B1023">
        <v>2004</v>
      </c>
      <c r="C1023" t="s">
        <v>273</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COUNT(LifeExpectancyData[[#This Row],[Life expectancy]:[Schooling]])=19</f>
        <v>1</v>
      </c>
    </row>
    <row r="1024" spans="1:23" x14ac:dyDescent="0.25">
      <c r="A1024" t="s">
        <v>339</v>
      </c>
      <c r="B1024">
        <v>2003</v>
      </c>
      <c r="C1024" t="s">
        <v>273</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COUNT(LifeExpectancyData[[#This Row],[Life expectancy]:[Schooling]])=19</f>
        <v>1</v>
      </c>
    </row>
    <row r="1025" spans="1:23" x14ac:dyDescent="0.25">
      <c r="A1025" t="s">
        <v>339</v>
      </c>
      <c r="B1025">
        <v>2002</v>
      </c>
      <c r="C1025" t="s">
        <v>273</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COUNT(LifeExpectancyData[[#This Row],[Life expectancy]:[Schooling]])=19</f>
        <v>1</v>
      </c>
    </row>
    <row r="1026" spans="1:23" x14ac:dyDescent="0.25">
      <c r="A1026" t="s">
        <v>339</v>
      </c>
      <c r="B1026">
        <v>2001</v>
      </c>
      <c r="C1026" t="s">
        <v>273</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COUNT(LifeExpectancyData[[#This Row],[Life expectancy]:[Schooling]])=19</f>
        <v>0</v>
      </c>
    </row>
    <row r="1027" spans="1:23" x14ac:dyDescent="0.25">
      <c r="A1027" t="s">
        <v>339</v>
      </c>
      <c r="B1027">
        <v>2000</v>
      </c>
      <c r="C1027" t="s">
        <v>273</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COUNT(LifeExpectancyData[[#This Row],[Life expectancy]:[Schooling]])=19</f>
        <v>0</v>
      </c>
    </row>
    <row r="1028" spans="1:23" x14ac:dyDescent="0.25">
      <c r="A1028" t="s">
        <v>340</v>
      </c>
      <c r="B1028">
        <v>2015</v>
      </c>
      <c r="C1028" t="s">
        <v>273</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COUNT(LifeExpectancyData[[#This Row],[Life expectancy]:[Schooling]])=19</f>
        <v>0</v>
      </c>
    </row>
    <row r="1029" spans="1:23" x14ac:dyDescent="0.25">
      <c r="A1029" t="s">
        <v>340</v>
      </c>
      <c r="B1029">
        <v>2014</v>
      </c>
      <c r="C1029" t="s">
        <v>273</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COUNT(LifeExpectancyData[[#This Row],[Life expectancy]:[Schooling]])=19</f>
        <v>1</v>
      </c>
    </row>
    <row r="1030" spans="1:23" x14ac:dyDescent="0.25">
      <c r="A1030" t="s">
        <v>340</v>
      </c>
      <c r="B1030">
        <v>2013</v>
      </c>
      <c r="C1030" t="s">
        <v>273</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COUNT(LifeExpectancyData[[#This Row],[Life expectancy]:[Schooling]])=19</f>
        <v>1</v>
      </c>
    </row>
    <row r="1031" spans="1:23" x14ac:dyDescent="0.25">
      <c r="A1031" t="s">
        <v>340</v>
      </c>
      <c r="B1031">
        <v>2012</v>
      </c>
      <c r="C1031" t="s">
        <v>273</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COUNT(LifeExpectancyData[[#This Row],[Life expectancy]:[Schooling]])=19</f>
        <v>1</v>
      </c>
    </row>
    <row r="1032" spans="1:23" x14ac:dyDescent="0.25">
      <c r="A1032" t="s">
        <v>340</v>
      </c>
      <c r="B1032">
        <v>2011</v>
      </c>
      <c r="C1032" t="s">
        <v>273</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COUNT(LifeExpectancyData[[#This Row],[Life expectancy]:[Schooling]])=19</f>
        <v>1</v>
      </c>
    </row>
    <row r="1033" spans="1:23" x14ac:dyDescent="0.25">
      <c r="A1033" t="s">
        <v>340</v>
      </c>
      <c r="B1033">
        <v>2010</v>
      </c>
      <c r="C1033" t="s">
        <v>273</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COUNT(LifeExpectancyData[[#This Row],[Life expectancy]:[Schooling]])=19</f>
        <v>1</v>
      </c>
    </row>
    <row r="1034" spans="1:23" x14ac:dyDescent="0.25">
      <c r="A1034" t="s">
        <v>340</v>
      </c>
      <c r="B1034">
        <v>2009</v>
      </c>
      <c r="C1034" t="s">
        <v>273</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COUNT(LifeExpectancyData[[#This Row],[Life expectancy]:[Schooling]])=19</f>
        <v>1</v>
      </c>
    </row>
    <row r="1035" spans="1:23" x14ac:dyDescent="0.25">
      <c r="A1035" t="s">
        <v>340</v>
      </c>
      <c r="B1035">
        <v>2008</v>
      </c>
      <c r="C1035" t="s">
        <v>273</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COUNT(LifeExpectancyData[[#This Row],[Life expectancy]:[Schooling]])=19</f>
        <v>1</v>
      </c>
    </row>
    <row r="1036" spans="1:23" x14ac:dyDescent="0.25">
      <c r="A1036" t="s">
        <v>340</v>
      </c>
      <c r="B1036">
        <v>2007</v>
      </c>
      <c r="C1036" t="s">
        <v>273</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COUNT(LifeExpectancyData[[#This Row],[Life expectancy]:[Schooling]])=19</f>
        <v>1</v>
      </c>
    </row>
    <row r="1037" spans="1:23" x14ac:dyDescent="0.25">
      <c r="A1037" t="s">
        <v>340</v>
      </c>
      <c r="B1037">
        <v>2006</v>
      </c>
      <c r="C1037" t="s">
        <v>273</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COUNT(LifeExpectancyData[[#This Row],[Life expectancy]:[Schooling]])=19</f>
        <v>1</v>
      </c>
    </row>
    <row r="1038" spans="1:23" x14ac:dyDescent="0.25">
      <c r="A1038" t="s">
        <v>340</v>
      </c>
      <c r="B1038">
        <v>2005</v>
      </c>
      <c r="C1038" t="s">
        <v>273</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COUNT(LifeExpectancyData[[#This Row],[Life expectancy]:[Schooling]])=19</f>
        <v>1</v>
      </c>
    </row>
    <row r="1039" spans="1:23" x14ac:dyDescent="0.25">
      <c r="A1039" t="s">
        <v>340</v>
      </c>
      <c r="B1039">
        <v>2004</v>
      </c>
      <c r="C1039" t="s">
        <v>273</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COUNT(LifeExpectancyData[[#This Row],[Life expectancy]:[Schooling]])=19</f>
        <v>1</v>
      </c>
    </row>
    <row r="1040" spans="1:23" x14ac:dyDescent="0.25">
      <c r="A1040" t="s">
        <v>340</v>
      </c>
      <c r="B1040">
        <v>2003</v>
      </c>
      <c r="C1040" t="s">
        <v>273</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COUNT(LifeExpectancyData[[#This Row],[Life expectancy]:[Schooling]])=19</f>
        <v>1</v>
      </c>
    </row>
    <row r="1041" spans="1:23" x14ac:dyDescent="0.25">
      <c r="A1041" t="s">
        <v>340</v>
      </c>
      <c r="B1041">
        <v>2002</v>
      </c>
      <c r="C1041" t="s">
        <v>273</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COUNT(LifeExpectancyData[[#This Row],[Life expectancy]:[Schooling]])=19</f>
        <v>1</v>
      </c>
    </row>
    <row r="1042" spans="1:23" x14ac:dyDescent="0.25">
      <c r="A1042" t="s">
        <v>340</v>
      </c>
      <c r="B1042">
        <v>2001</v>
      </c>
      <c r="C1042" t="s">
        <v>273</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COUNT(LifeExpectancyData[[#This Row],[Life expectancy]:[Schooling]])=19</f>
        <v>1</v>
      </c>
    </row>
    <row r="1043" spans="1:23" x14ac:dyDescent="0.25">
      <c r="A1043" t="s">
        <v>340</v>
      </c>
      <c r="B1043">
        <v>2000</v>
      </c>
      <c r="C1043" t="s">
        <v>273</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COUNT(LifeExpectancyData[[#This Row],[Life expectancy]:[Schooling]])=19</f>
        <v>1</v>
      </c>
    </row>
    <row r="1044" spans="1:23" x14ac:dyDescent="0.25">
      <c r="A1044" t="s">
        <v>341</v>
      </c>
      <c r="B1044">
        <v>2015</v>
      </c>
      <c r="C1044" t="s">
        <v>273</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COUNT(LifeExpectancyData[[#This Row],[Life expectancy]:[Schooling]])=19</f>
        <v>0</v>
      </c>
    </row>
    <row r="1045" spans="1:23" x14ac:dyDescent="0.25">
      <c r="A1045" t="s">
        <v>341</v>
      </c>
      <c r="B1045">
        <v>2014</v>
      </c>
      <c r="C1045" t="s">
        <v>273</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COUNT(LifeExpectancyData[[#This Row],[Life expectancy]:[Schooling]])=19</f>
        <v>0</v>
      </c>
    </row>
    <row r="1046" spans="1:23" x14ac:dyDescent="0.25">
      <c r="A1046" t="s">
        <v>341</v>
      </c>
      <c r="B1046">
        <v>2013</v>
      </c>
      <c r="C1046" t="s">
        <v>273</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COUNT(LifeExpectancyData[[#This Row],[Life expectancy]:[Schooling]])=19</f>
        <v>0</v>
      </c>
    </row>
    <row r="1047" spans="1:23" x14ac:dyDescent="0.25">
      <c r="A1047" t="s">
        <v>341</v>
      </c>
      <c r="B1047">
        <v>2012</v>
      </c>
      <c r="C1047" t="s">
        <v>273</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COUNT(LifeExpectancyData[[#This Row],[Life expectancy]:[Schooling]])=19</f>
        <v>0</v>
      </c>
    </row>
    <row r="1048" spans="1:23" x14ac:dyDescent="0.25">
      <c r="A1048" t="s">
        <v>341</v>
      </c>
      <c r="B1048">
        <v>2011</v>
      </c>
      <c r="C1048" t="s">
        <v>273</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COUNT(LifeExpectancyData[[#This Row],[Life expectancy]:[Schooling]])=19</f>
        <v>0</v>
      </c>
    </row>
    <row r="1049" spans="1:23" x14ac:dyDescent="0.25">
      <c r="A1049" t="s">
        <v>341</v>
      </c>
      <c r="B1049">
        <v>2010</v>
      </c>
      <c r="C1049" t="s">
        <v>273</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COUNT(LifeExpectancyData[[#This Row],[Life expectancy]:[Schooling]])=19</f>
        <v>0</v>
      </c>
    </row>
    <row r="1050" spans="1:23" x14ac:dyDescent="0.25">
      <c r="A1050" t="s">
        <v>341</v>
      </c>
      <c r="B1050">
        <v>2009</v>
      </c>
      <c r="C1050" t="s">
        <v>273</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COUNT(LifeExpectancyData[[#This Row],[Life expectancy]:[Schooling]])=19</f>
        <v>0</v>
      </c>
    </row>
    <row r="1051" spans="1:23" x14ac:dyDescent="0.25">
      <c r="A1051" t="s">
        <v>341</v>
      </c>
      <c r="B1051">
        <v>2008</v>
      </c>
      <c r="C1051" t="s">
        <v>273</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COUNT(LifeExpectancyData[[#This Row],[Life expectancy]:[Schooling]])=19</f>
        <v>0</v>
      </c>
    </row>
    <row r="1052" spans="1:23" x14ac:dyDescent="0.25">
      <c r="A1052" t="s">
        <v>341</v>
      </c>
      <c r="B1052">
        <v>2007</v>
      </c>
      <c r="C1052" t="s">
        <v>273</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COUNT(LifeExpectancyData[[#This Row],[Life expectancy]:[Schooling]])=19</f>
        <v>0</v>
      </c>
    </row>
    <row r="1053" spans="1:23" x14ac:dyDescent="0.25">
      <c r="A1053" t="s">
        <v>341</v>
      </c>
      <c r="B1053">
        <v>2006</v>
      </c>
      <c r="C1053" t="s">
        <v>273</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COUNT(LifeExpectancyData[[#This Row],[Life expectancy]:[Schooling]])=19</f>
        <v>0</v>
      </c>
    </row>
    <row r="1054" spans="1:23" x14ac:dyDescent="0.25">
      <c r="A1054" t="s">
        <v>341</v>
      </c>
      <c r="B1054">
        <v>2005</v>
      </c>
      <c r="C1054" t="s">
        <v>273</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COUNT(LifeExpectancyData[[#This Row],[Life expectancy]:[Schooling]])=19</f>
        <v>0</v>
      </c>
    </row>
    <row r="1055" spans="1:23" x14ac:dyDescent="0.25">
      <c r="A1055" t="s">
        <v>341</v>
      </c>
      <c r="B1055">
        <v>2004</v>
      </c>
      <c r="C1055" t="s">
        <v>273</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COUNT(LifeExpectancyData[[#This Row],[Life expectancy]:[Schooling]])=19</f>
        <v>0</v>
      </c>
    </row>
    <row r="1056" spans="1:23" x14ac:dyDescent="0.25">
      <c r="A1056" t="s">
        <v>341</v>
      </c>
      <c r="B1056">
        <v>2003</v>
      </c>
      <c r="C1056" t="s">
        <v>273</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COUNT(LifeExpectancyData[[#This Row],[Life expectancy]:[Schooling]])=19</f>
        <v>0</v>
      </c>
    </row>
    <row r="1057" spans="1:23" x14ac:dyDescent="0.25">
      <c r="A1057" t="s">
        <v>341</v>
      </c>
      <c r="B1057">
        <v>2002</v>
      </c>
      <c r="C1057" t="s">
        <v>273</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COUNT(LifeExpectancyData[[#This Row],[Life expectancy]:[Schooling]])=19</f>
        <v>0</v>
      </c>
    </row>
    <row r="1058" spans="1:23" x14ac:dyDescent="0.25">
      <c r="A1058" t="s">
        <v>341</v>
      </c>
      <c r="B1058">
        <v>2001</v>
      </c>
      <c r="C1058" t="s">
        <v>273</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COUNT(LifeExpectancyData[[#This Row],[Life expectancy]:[Schooling]])=19</f>
        <v>0</v>
      </c>
    </row>
    <row r="1059" spans="1:23" x14ac:dyDescent="0.25">
      <c r="A1059" t="s">
        <v>341</v>
      </c>
      <c r="B1059">
        <v>2000</v>
      </c>
      <c r="C1059" t="s">
        <v>273</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COUNT(LifeExpectancyData[[#This Row],[Life expectancy]:[Schooling]])=19</f>
        <v>0</v>
      </c>
    </row>
    <row r="1060" spans="1:23" x14ac:dyDescent="0.25">
      <c r="A1060" t="s">
        <v>342</v>
      </c>
      <c r="B1060">
        <v>2015</v>
      </c>
      <c r="C1060" t="s">
        <v>273</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COUNT(LifeExpectancyData[[#This Row],[Life expectancy]:[Schooling]])=19</f>
        <v>0</v>
      </c>
    </row>
    <row r="1061" spans="1:23" x14ac:dyDescent="0.25">
      <c r="A1061" t="s">
        <v>342</v>
      </c>
      <c r="B1061">
        <v>2014</v>
      </c>
      <c r="C1061" t="s">
        <v>273</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COUNT(LifeExpectancyData[[#This Row],[Life expectancy]:[Schooling]])=19</f>
        <v>1</v>
      </c>
    </row>
    <row r="1062" spans="1:23" x14ac:dyDescent="0.25">
      <c r="A1062" t="s">
        <v>342</v>
      </c>
      <c r="B1062">
        <v>2013</v>
      </c>
      <c r="C1062" t="s">
        <v>273</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COUNT(LifeExpectancyData[[#This Row],[Life expectancy]:[Schooling]])=19</f>
        <v>1</v>
      </c>
    </row>
    <row r="1063" spans="1:23" x14ac:dyDescent="0.25">
      <c r="A1063" t="s">
        <v>342</v>
      </c>
      <c r="B1063">
        <v>2012</v>
      </c>
      <c r="C1063" t="s">
        <v>273</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COUNT(LifeExpectancyData[[#This Row],[Life expectancy]:[Schooling]])=19</f>
        <v>1</v>
      </c>
    </row>
    <row r="1064" spans="1:23" x14ac:dyDescent="0.25">
      <c r="A1064" t="s">
        <v>342</v>
      </c>
      <c r="B1064">
        <v>2011</v>
      </c>
      <c r="C1064" t="s">
        <v>273</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COUNT(LifeExpectancyData[[#This Row],[Life expectancy]:[Schooling]])=19</f>
        <v>1</v>
      </c>
    </row>
    <row r="1065" spans="1:23" x14ac:dyDescent="0.25">
      <c r="A1065" t="s">
        <v>342</v>
      </c>
      <c r="B1065">
        <v>2010</v>
      </c>
      <c r="C1065" t="s">
        <v>273</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COUNT(LifeExpectancyData[[#This Row],[Life expectancy]:[Schooling]])=19</f>
        <v>1</v>
      </c>
    </row>
    <row r="1066" spans="1:23" x14ac:dyDescent="0.25">
      <c r="A1066" t="s">
        <v>342</v>
      </c>
      <c r="B1066">
        <v>2009</v>
      </c>
      <c r="C1066" t="s">
        <v>273</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COUNT(LifeExpectancyData[[#This Row],[Life expectancy]:[Schooling]])=19</f>
        <v>1</v>
      </c>
    </row>
    <row r="1067" spans="1:23" x14ac:dyDescent="0.25">
      <c r="A1067" t="s">
        <v>342</v>
      </c>
      <c r="B1067">
        <v>2008</v>
      </c>
      <c r="C1067" t="s">
        <v>273</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COUNT(LifeExpectancyData[[#This Row],[Life expectancy]:[Schooling]])=19</f>
        <v>1</v>
      </c>
    </row>
    <row r="1068" spans="1:23" x14ac:dyDescent="0.25">
      <c r="A1068" t="s">
        <v>342</v>
      </c>
      <c r="B1068">
        <v>2007</v>
      </c>
      <c r="C1068" t="s">
        <v>273</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COUNT(LifeExpectancyData[[#This Row],[Life expectancy]:[Schooling]])=19</f>
        <v>1</v>
      </c>
    </row>
    <row r="1069" spans="1:23" x14ac:dyDescent="0.25">
      <c r="A1069" t="s">
        <v>342</v>
      </c>
      <c r="B1069">
        <v>2006</v>
      </c>
      <c r="C1069" t="s">
        <v>273</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COUNT(LifeExpectancyData[[#This Row],[Life expectancy]:[Schooling]])=19</f>
        <v>1</v>
      </c>
    </row>
    <row r="1070" spans="1:23" x14ac:dyDescent="0.25">
      <c r="A1070" t="s">
        <v>342</v>
      </c>
      <c r="B1070">
        <v>2005</v>
      </c>
      <c r="C1070" t="s">
        <v>273</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COUNT(LifeExpectancyData[[#This Row],[Life expectancy]:[Schooling]])=19</f>
        <v>1</v>
      </c>
    </row>
    <row r="1071" spans="1:23" x14ac:dyDescent="0.25">
      <c r="A1071" t="s">
        <v>342</v>
      </c>
      <c r="B1071">
        <v>2004</v>
      </c>
      <c r="C1071" t="s">
        <v>273</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COUNT(LifeExpectancyData[[#This Row],[Life expectancy]:[Schooling]])=19</f>
        <v>0</v>
      </c>
    </row>
    <row r="1072" spans="1:23" x14ac:dyDescent="0.25">
      <c r="A1072" t="s">
        <v>342</v>
      </c>
      <c r="B1072">
        <v>2003</v>
      </c>
      <c r="C1072" t="s">
        <v>273</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COUNT(LifeExpectancyData[[#This Row],[Life expectancy]:[Schooling]])=19</f>
        <v>0</v>
      </c>
    </row>
    <row r="1073" spans="1:23" x14ac:dyDescent="0.25">
      <c r="A1073" t="s">
        <v>342</v>
      </c>
      <c r="B1073">
        <v>2002</v>
      </c>
      <c r="C1073" t="s">
        <v>273</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COUNT(LifeExpectancyData[[#This Row],[Life expectancy]:[Schooling]])=19</f>
        <v>0</v>
      </c>
    </row>
    <row r="1074" spans="1:23" x14ac:dyDescent="0.25">
      <c r="A1074" t="s">
        <v>342</v>
      </c>
      <c r="B1074">
        <v>2001</v>
      </c>
      <c r="C1074" t="s">
        <v>273</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COUNT(LifeExpectancyData[[#This Row],[Life expectancy]:[Schooling]])=19</f>
        <v>0</v>
      </c>
    </row>
    <row r="1075" spans="1:23" x14ac:dyDescent="0.25">
      <c r="A1075" t="s">
        <v>342</v>
      </c>
      <c r="B1075">
        <v>2000</v>
      </c>
      <c r="C1075" t="s">
        <v>273</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COUNT(LifeExpectancyData[[#This Row],[Life expectancy]:[Schooling]])=19</f>
        <v>0</v>
      </c>
    </row>
    <row r="1076" spans="1:23" x14ac:dyDescent="0.25">
      <c r="A1076" t="s">
        <v>343</v>
      </c>
      <c r="B1076">
        <v>2015</v>
      </c>
      <c r="C1076" t="s">
        <v>273</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COUNT(LifeExpectancyData[[#This Row],[Life expectancy]:[Schooling]])=19</f>
        <v>0</v>
      </c>
    </row>
    <row r="1077" spans="1:23" x14ac:dyDescent="0.25">
      <c r="A1077" t="s">
        <v>343</v>
      </c>
      <c r="B1077">
        <v>2014</v>
      </c>
      <c r="C1077" t="s">
        <v>273</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COUNT(LifeExpectancyData[[#This Row],[Life expectancy]:[Schooling]])=19</f>
        <v>1</v>
      </c>
    </row>
    <row r="1078" spans="1:23" x14ac:dyDescent="0.25">
      <c r="A1078" t="s">
        <v>343</v>
      </c>
      <c r="B1078">
        <v>2013</v>
      </c>
      <c r="C1078" t="s">
        <v>273</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COUNT(LifeExpectancyData[[#This Row],[Life expectancy]:[Schooling]])=19</f>
        <v>1</v>
      </c>
    </row>
    <row r="1079" spans="1:23" x14ac:dyDescent="0.25">
      <c r="A1079" t="s">
        <v>343</v>
      </c>
      <c r="B1079">
        <v>2012</v>
      </c>
      <c r="C1079" t="s">
        <v>273</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COUNT(LifeExpectancyData[[#This Row],[Life expectancy]:[Schooling]])=19</f>
        <v>1</v>
      </c>
    </row>
    <row r="1080" spans="1:23" x14ac:dyDescent="0.25">
      <c r="A1080" t="s">
        <v>343</v>
      </c>
      <c r="B1080">
        <v>2011</v>
      </c>
      <c r="C1080" t="s">
        <v>273</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COUNT(LifeExpectancyData[[#This Row],[Life expectancy]:[Schooling]])=19</f>
        <v>1</v>
      </c>
    </row>
    <row r="1081" spans="1:23" x14ac:dyDescent="0.25">
      <c r="A1081" t="s">
        <v>343</v>
      </c>
      <c r="B1081">
        <v>2010</v>
      </c>
      <c r="C1081" t="s">
        <v>273</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COUNT(LifeExpectancyData[[#This Row],[Life expectancy]:[Schooling]])=19</f>
        <v>1</v>
      </c>
    </row>
    <row r="1082" spans="1:23" x14ac:dyDescent="0.25">
      <c r="A1082" t="s">
        <v>343</v>
      </c>
      <c r="B1082">
        <v>2009</v>
      </c>
      <c r="C1082" t="s">
        <v>273</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COUNT(LifeExpectancyData[[#This Row],[Life expectancy]:[Schooling]])=19</f>
        <v>1</v>
      </c>
    </row>
    <row r="1083" spans="1:23" x14ac:dyDescent="0.25">
      <c r="A1083" t="s">
        <v>343</v>
      </c>
      <c r="B1083">
        <v>2008</v>
      </c>
      <c r="C1083" t="s">
        <v>273</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COUNT(LifeExpectancyData[[#This Row],[Life expectancy]:[Schooling]])=19</f>
        <v>1</v>
      </c>
    </row>
    <row r="1084" spans="1:23" x14ac:dyDescent="0.25">
      <c r="A1084" t="s">
        <v>343</v>
      </c>
      <c r="B1084">
        <v>2007</v>
      </c>
      <c r="C1084" t="s">
        <v>273</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COUNT(LifeExpectancyData[[#This Row],[Life expectancy]:[Schooling]])=19</f>
        <v>1</v>
      </c>
    </row>
    <row r="1085" spans="1:23" x14ac:dyDescent="0.25">
      <c r="A1085" t="s">
        <v>343</v>
      </c>
      <c r="B1085">
        <v>2006</v>
      </c>
      <c r="C1085" t="s">
        <v>273</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COUNT(LifeExpectancyData[[#This Row],[Life expectancy]:[Schooling]])=19</f>
        <v>0</v>
      </c>
    </row>
    <row r="1086" spans="1:23" x14ac:dyDescent="0.25">
      <c r="A1086" t="s">
        <v>343</v>
      </c>
      <c r="B1086">
        <v>2005</v>
      </c>
      <c r="C1086" t="s">
        <v>273</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COUNT(LifeExpectancyData[[#This Row],[Life expectancy]:[Schooling]])=19</f>
        <v>0</v>
      </c>
    </row>
    <row r="1087" spans="1:23" x14ac:dyDescent="0.25">
      <c r="A1087" t="s">
        <v>343</v>
      </c>
      <c r="B1087">
        <v>2004</v>
      </c>
      <c r="C1087" t="s">
        <v>273</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COUNT(LifeExpectancyData[[#This Row],[Life expectancy]:[Schooling]])=19</f>
        <v>0</v>
      </c>
    </row>
    <row r="1088" spans="1:23" x14ac:dyDescent="0.25">
      <c r="A1088" t="s">
        <v>343</v>
      </c>
      <c r="B1088">
        <v>2003</v>
      </c>
      <c r="C1088" t="s">
        <v>273</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COUNT(LifeExpectancyData[[#This Row],[Life expectancy]:[Schooling]])=19</f>
        <v>0</v>
      </c>
    </row>
    <row r="1089" spans="1:23" x14ac:dyDescent="0.25">
      <c r="A1089" t="s">
        <v>343</v>
      </c>
      <c r="B1089">
        <v>2002</v>
      </c>
      <c r="C1089" t="s">
        <v>273</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COUNT(LifeExpectancyData[[#This Row],[Life expectancy]:[Schooling]])=19</f>
        <v>0</v>
      </c>
    </row>
    <row r="1090" spans="1:23" x14ac:dyDescent="0.25">
      <c r="A1090" t="s">
        <v>343</v>
      </c>
      <c r="B1090">
        <v>2001</v>
      </c>
      <c r="C1090" t="s">
        <v>273</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COUNT(LifeExpectancyData[[#This Row],[Life expectancy]:[Schooling]])=19</f>
        <v>0</v>
      </c>
    </row>
    <row r="1091" spans="1:23" x14ac:dyDescent="0.25">
      <c r="A1091" t="s">
        <v>343</v>
      </c>
      <c r="B1091">
        <v>2000</v>
      </c>
      <c r="C1091" t="s">
        <v>273</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COUNT(LifeExpectancyData[[#This Row],[Life expectancy]:[Schooling]])=19</f>
        <v>0</v>
      </c>
    </row>
    <row r="1092" spans="1:23" x14ac:dyDescent="0.25">
      <c r="A1092" t="s">
        <v>344</v>
      </c>
      <c r="B1092">
        <v>2015</v>
      </c>
      <c r="C1092" t="s">
        <v>273</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COUNT(LifeExpectancyData[[#This Row],[Life expectancy]:[Schooling]])=19</f>
        <v>0</v>
      </c>
    </row>
    <row r="1093" spans="1:23" x14ac:dyDescent="0.25">
      <c r="A1093" t="s">
        <v>344</v>
      </c>
      <c r="B1093">
        <v>2014</v>
      </c>
      <c r="C1093" t="s">
        <v>273</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COUNT(LifeExpectancyData[[#This Row],[Life expectancy]:[Schooling]])=19</f>
        <v>1</v>
      </c>
    </row>
    <row r="1094" spans="1:23" x14ac:dyDescent="0.25">
      <c r="A1094" t="s">
        <v>344</v>
      </c>
      <c r="B1094">
        <v>2013</v>
      </c>
      <c r="C1094" t="s">
        <v>273</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COUNT(LifeExpectancyData[[#This Row],[Life expectancy]:[Schooling]])=19</f>
        <v>1</v>
      </c>
    </row>
    <row r="1095" spans="1:23" x14ac:dyDescent="0.25">
      <c r="A1095" t="s">
        <v>344</v>
      </c>
      <c r="B1095">
        <v>2012</v>
      </c>
      <c r="C1095" t="s">
        <v>273</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COUNT(LifeExpectancyData[[#This Row],[Life expectancy]:[Schooling]])=19</f>
        <v>1</v>
      </c>
    </row>
    <row r="1096" spans="1:23" x14ac:dyDescent="0.25">
      <c r="A1096" t="s">
        <v>344</v>
      </c>
      <c r="B1096">
        <v>2011</v>
      </c>
      <c r="C1096" t="s">
        <v>273</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COUNT(LifeExpectancyData[[#This Row],[Life expectancy]:[Schooling]])=19</f>
        <v>1</v>
      </c>
    </row>
    <row r="1097" spans="1:23" x14ac:dyDescent="0.25">
      <c r="A1097" t="s">
        <v>344</v>
      </c>
      <c r="B1097">
        <v>2010</v>
      </c>
      <c r="C1097" t="s">
        <v>273</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COUNT(LifeExpectancyData[[#This Row],[Life expectancy]:[Schooling]])=19</f>
        <v>1</v>
      </c>
    </row>
    <row r="1098" spans="1:23" x14ac:dyDescent="0.25">
      <c r="A1098" t="s">
        <v>344</v>
      </c>
      <c r="B1098">
        <v>2009</v>
      </c>
      <c r="C1098" t="s">
        <v>273</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COUNT(LifeExpectancyData[[#This Row],[Life expectancy]:[Schooling]])=19</f>
        <v>1</v>
      </c>
    </row>
    <row r="1099" spans="1:23" x14ac:dyDescent="0.25">
      <c r="A1099" t="s">
        <v>344</v>
      </c>
      <c r="B1099">
        <v>2008</v>
      </c>
      <c r="C1099" t="s">
        <v>273</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COUNT(LifeExpectancyData[[#This Row],[Life expectancy]:[Schooling]])=19</f>
        <v>0</v>
      </c>
    </row>
    <row r="1100" spans="1:23" x14ac:dyDescent="0.25">
      <c r="A1100" t="s">
        <v>344</v>
      </c>
      <c r="B1100">
        <v>2007</v>
      </c>
      <c r="C1100" t="s">
        <v>273</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COUNT(LifeExpectancyData[[#This Row],[Life expectancy]:[Schooling]])=19</f>
        <v>0</v>
      </c>
    </row>
    <row r="1101" spans="1:23" x14ac:dyDescent="0.25">
      <c r="A1101" t="s">
        <v>344</v>
      </c>
      <c r="B1101">
        <v>2006</v>
      </c>
      <c r="C1101" t="s">
        <v>273</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COUNT(LifeExpectancyData[[#This Row],[Life expectancy]:[Schooling]])=19</f>
        <v>0</v>
      </c>
    </row>
    <row r="1102" spans="1:23" x14ac:dyDescent="0.25">
      <c r="A1102" t="s">
        <v>344</v>
      </c>
      <c r="B1102">
        <v>2005</v>
      </c>
      <c r="C1102" t="s">
        <v>273</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COUNT(LifeExpectancyData[[#This Row],[Life expectancy]:[Schooling]])=19</f>
        <v>0</v>
      </c>
    </row>
    <row r="1103" spans="1:23" x14ac:dyDescent="0.25">
      <c r="A1103" t="s">
        <v>344</v>
      </c>
      <c r="B1103">
        <v>2004</v>
      </c>
      <c r="C1103" t="s">
        <v>273</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COUNT(LifeExpectancyData[[#This Row],[Life expectancy]:[Schooling]])=19</f>
        <v>0</v>
      </c>
    </row>
    <row r="1104" spans="1:23" x14ac:dyDescent="0.25">
      <c r="A1104" t="s">
        <v>344</v>
      </c>
      <c r="B1104">
        <v>2003</v>
      </c>
      <c r="C1104" t="s">
        <v>273</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COUNT(LifeExpectancyData[[#This Row],[Life expectancy]:[Schooling]])=19</f>
        <v>0</v>
      </c>
    </row>
    <row r="1105" spans="1:23" x14ac:dyDescent="0.25">
      <c r="A1105" t="s">
        <v>344</v>
      </c>
      <c r="B1105">
        <v>2002</v>
      </c>
      <c r="C1105" t="s">
        <v>273</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COUNT(LifeExpectancyData[[#This Row],[Life expectancy]:[Schooling]])=19</f>
        <v>0</v>
      </c>
    </row>
    <row r="1106" spans="1:23" x14ac:dyDescent="0.25">
      <c r="A1106" t="s">
        <v>344</v>
      </c>
      <c r="B1106">
        <v>2001</v>
      </c>
      <c r="C1106" t="s">
        <v>273</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COUNT(LifeExpectancyData[[#This Row],[Life expectancy]:[Schooling]])=19</f>
        <v>0</v>
      </c>
    </row>
    <row r="1107" spans="1:23" x14ac:dyDescent="0.25">
      <c r="A1107" t="s">
        <v>344</v>
      </c>
      <c r="B1107">
        <v>2000</v>
      </c>
      <c r="C1107" t="s">
        <v>273</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COUNT(LifeExpectancyData[[#This Row],[Life expectancy]:[Schooling]])=19</f>
        <v>0</v>
      </c>
    </row>
    <row r="1108" spans="1:23" x14ac:dyDescent="0.25">
      <c r="A1108" t="s">
        <v>345</v>
      </c>
      <c r="B1108">
        <v>2015</v>
      </c>
      <c r="C1108" t="s">
        <v>273</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COUNT(LifeExpectancyData[[#This Row],[Life expectancy]:[Schooling]])=19</f>
        <v>0</v>
      </c>
    </row>
    <row r="1109" spans="1:23" x14ac:dyDescent="0.25">
      <c r="A1109" t="s">
        <v>345</v>
      </c>
      <c r="B1109">
        <v>2014</v>
      </c>
      <c r="C1109" t="s">
        <v>273</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COUNT(LifeExpectancyData[[#This Row],[Life expectancy]:[Schooling]])=19</f>
        <v>1</v>
      </c>
    </row>
    <row r="1110" spans="1:23" x14ac:dyDescent="0.25">
      <c r="A1110" t="s">
        <v>345</v>
      </c>
      <c r="B1110">
        <v>2013</v>
      </c>
      <c r="C1110" t="s">
        <v>273</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COUNT(LifeExpectancyData[[#This Row],[Life expectancy]:[Schooling]])=19</f>
        <v>1</v>
      </c>
    </row>
    <row r="1111" spans="1:23" x14ac:dyDescent="0.25">
      <c r="A1111" t="s">
        <v>345</v>
      </c>
      <c r="B1111">
        <v>2012</v>
      </c>
      <c r="C1111" t="s">
        <v>273</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COUNT(LifeExpectancyData[[#This Row],[Life expectancy]:[Schooling]])=19</f>
        <v>1</v>
      </c>
    </row>
    <row r="1112" spans="1:23" x14ac:dyDescent="0.25">
      <c r="A1112" t="s">
        <v>345</v>
      </c>
      <c r="B1112">
        <v>2011</v>
      </c>
      <c r="C1112" t="s">
        <v>273</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COUNT(LifeExpectancyData[[#This Row],[Life expectancy]:[Schooling]])=19</f>
        <v>1</v>
      </c>
    </row>
    <row r="1113" spans="1:23" x14ac:dyDescent="0.25">
      <c r="A1113" t="s">
        <v>345</v>
      </c>
      <c r="B1113">
        <v>2010</v>
      </c>
      <c r="C1113" t="s">
        <v>273</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COUNT(LifeExpectancyData[[#This Row],[Life expectancy]:[Schooling]])=19</f>
        <v>1</v>
      </c>
    </row>
    <row r="1114" spans="1:23" x14ac:dyDescent="0.25">
      <c r="A1114" t="s">
        <v>345</v>
      </c>
      <c r="B1114">
        <v>2009</v>
      </c>
      <c r="C1114" t="s">
        <v>273</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COUNT(LifeExpectancyData[[#This Row],[Life expectancy]:[Schooling]])=19</f>
        <v>1</v>
      </c>
    </row>
    <row r="1115" spans="1:23" x14ac:dyDescent="0.25">
      <c r="A1115" t="s">
        <v>345</v>
      </c>
      <c r="B1115">
        <v>2008</v>
      </c>
      <c r="C1115" t="s">
        <v>273</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COUNT(LifeExpectancyData[[#This Row],[Life expectancy]:[Schooling]])=19</f>
        <v>1</v>
      </c>
    </row>
    <row r="1116" spans="1:23" x14ac:dyDescent="0.25">
      <c r="A1116" t="s">
        <v>345</v>
      </c>
      <c r="B1116">
        <v>2007</v>
      </c>
      <c r="C1116" t="s">
        <v>273</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COUNT(LifeExpectancyData[[#This Row],[Life expectancy]:[Schooling]])=19</f>
        <v>1</v>
      </c>
    </row>
    <row r="1117" spans="1:23" x14ac:dyDescent="0.25">
      <c r="A1117" t="s">
        <v>345</v>
      </c>
      <c r="B1117">
        <v>2006</v>
      </c>
      <c r="C1117" t="s">
        <v>273</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COUNT(LifeExpectancyData[[#This Row],[Life expectancy]:[Schooling]])=19</f>
        <v>1</v>
      </c>
    </row>
    <row r="1118" spans="1:23" x14ac:dyDescent="0.25">
      <c r="A1118" t="s">
        <v>345</v>
      </c>
      <c r="B1118">
        <v>2005</v>
      </c>
      <c r="C1118" t="s">
        <v>273</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COUNT(LifeExpectancyData[[#This Row],[Life expectancy]:[Schooling]])=19</f>
        <v>1</v>
      </c>
    </row>
    <row r="1119" spans="1:23" x14ac:dyDescent="0.25">
      <c r="A1119" t="s">
        <v>345</v>
      </c>
      <c r="B1119">
        <v>2004</v>
      </c>
      <c r="C1119" t="s">
        <v>273</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COUNT(LifeExpectancyData[[#This Row],[Life expectancy]:[Schooling]])=19</f>
        <v>1</v>
      </c>
    </row>
    <row r="1120" spans="1:23" x14ac:dyDescent="0.25">
      <c r="A1120" t="s">
        <v>345</v>
      </c>
      <c r="B1120">
        <v>2003</v>
      </c>
      <c r="C1120" t="s">
        <v>273</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COUNT(LifeExpectancyData[[#This Row],[Life expectancy]:[Schooling]])=19</f>
        <v>1</v>
      </c>
    </row>
    <row r="1121" spans="1:23" x14ac:dyDescent="0.25">
      <c r="A1121" t="s">
        <v>345</v>
      </c>
      <c r="B1121">
        <v>2002</v>
      </c>
      <c r="C1121" t="s">
        <v>273</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COUNT(LifeExpectancyData[[#This Row],[Life expectancy]:[Schooling]])=19</f>
        <v>1</v>
      </c>
    </row>
    <row r="1122" spans="1:23" x14ac:dyDescent="0.25">
      <c r="A1122" t="s">
        <v>345</v>
      </c>
      <c r="B1122">
        <v>2001</v>
      </c>
      <c r="C1122" t="s">
        <v>273</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COUNT(LifeExpectancyData[[#This Row],[Life expectancy]:[Schooling]])=19</f>
        <v>1</v>
      </c>
    </row>
    <row r="1123" spans="1:23" x14ac:dyDescent="0.25">
      <c r="A1123" t="s">
        <v>345</v>
      </c>
      <c r="B1123">
        <v>2000</v>
      </c>
      <c r="C1123" t="s">
        <v>273</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COUNT(LifeExpectancyData[[#This Row],[Life expectancy]:[Schooling]])=19</f>
        <v>0</v>
      </c>
    </row>
    <row r="1124" spans="1:23" x14ac:dyDescent="0.25">
      <c r="A1124" t="s">
        <v>346</v>
      </c>
      <c r="B1124">
        <v>2015</v>
      </c>
      <c r="C1124" t="s">
        <v>273</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COUNT(LifeExpectancyData[[#This Row],[Life expectancy]:[Schooling]])=19</f>
        <v>0</v>
      </c>
    </row>
    <row r="1125" spans="1:23" x14ac:dyDescent="0.25">
      <c r="A1125" t="s">
        <v>346</v>
      </c>
      <c r="B1125">
        <v>2014</v>
      </c>
      <c r="C1125" t="s">
        <v>273</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COUNT(LifeExpectancyData[[#This Row],[Life expectancy]:[Schooling]])=19</f>
        <v>1</v>
      </c>
    </row>
    <row r="1126" spans="1:23" x14ac:dyDescent="0.25">
      <c r="A1126" t="s">
        <v>346</v>
      </c>
      <c r="B1126">
        <v>2013</v>
      </c>
      <c r="C1126" t="s">
        <v>273</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COUNT(LifeExpectancyData[[#This Row],[Life expectancy]:[Schooling]])=19</f>
        <v>1</v>
      </c>
    </row>
    <row r="1127" spans="1:23" x14ac:dyDescent="0.25">
      <c r="A1127" t="s">
        <v>346</v>
      </c>
      <c r="B1127">
        <v>2012</v>
      </c>
      <c r="C1127" t="s">
        <v>273</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COUNT(LifeExpectancyData[[#This Row],[Life expectancy]:[Schooling]])=19</f>
        <v>0</v>
      </c>
    </row>
    <row r="1128" spans="1:23" x14ac:dyDescent="0.25">
      <c r="A1128" t="s">
        <v>346</v>
      </c>
      <c r="B1128">
        <v>2011</v>
      </c>
      <c r="C1128" t="s">
        <v>273</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COUNT(LifeExpectancyData[[#This Row],[Life expectancy]:[Schooling]])=19</f>
        <v>0</v>
      </c>
    </row>
    <row r="1129" spans="1:23" x14ac:dyDescent="0.25">
      <c r="A1129" t="s">
        <v>346</v>
      </c>
      <c r="B1129">
        <v>2010</v>
      </c>
      <c r="C1129" t="s">
        <v>273</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COUNT(LifeExpectancyData[[#This Row],[Life expectancy]:[Schooling]])=19</f>
        <v>0</v>
      </c>
    </row>
    <row r="1130" spans="1:23" x14ac:dyDescent="0.25">
      <c r="A1130" t="s">
        <v>346</v>
      </c>
      <c r="B1130">
        <v>2009</v>
      </c>
      <c r="C1130" t="s">
        <v>273</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COUNT(LifeExpectancyData[[#This Row],[Life expectancy]:[Schooling]])=19</f>
        <v>0</v>
      </c>
    </row>
    <row r="1131" spans="1:23" x14ac:dyDescent="0.25">
      <c r="A1131" t="s">
        <v>346</v>
      </c>
      <c r="B1131">
        <v>2008</v>
      </c>
      <c r="C1131" t="s">
        <v>273</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COUNT(LifeExpectancyData[[#This Row],[Life expectancy]:[Schooling]])=19</f>
        <v>0</v>
      </c>
    </row>
    <row r="1132" spans="1:23" x14ac:dyDescent="0.25">
      <c r="A1132" t="s">
        <v>346</v>
      </c>
      <c r="B1132">
        <v>2007</v>
      </c>
      <c r="C1132" t="s">
        <v>273</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COUNT(LifeExpectancyData[[#This Row],[Life expectancy]:[Schooling]])=19</f>
        <v>0</v>
      </c>
    </row>
    <row r="1133" spans="1:23" x14ac:dyDescent="0.25">
      <c r="A1133" t="s">
        <v>346</v>
      </c>
      <c r="B1133">
        <v>2006</v>
      </c>
      <c r="C1133" t="s">
        <v>273</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COUNT(LifeExpectancyData[[#This Row],[Life expectancy]:[Schooling]])=19</f>
        <v>0</v>
      </c>
    </row>
    <row r="1134" spans="1:23" x14ac:dyDescent="0.25">
      <c r="A1134" t="s">
        <v>346</v>
      </c>
      <c r="B1134">
        <v>2005</v>
      </c>
      <c r="C1134" t="s">
        <v>273</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COUNT(LifeExpectancyData[[#This Row],[Life expectancy]:[Schooling]])=19</f>
        <v>0</v>
      </c>
    </row>
    <row r="1135" spans="1:23" x14ac:dyDescent="0.25">
      <c r="A1135" t="s">
        <v>346</v>
      </c>
      <c r="B1135">
        <v>2004</v>
      </c>
      <c r="C1135" t="s">
        <v>273</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COUNT(LifeExpectancyData[[#This Row],[Life expectancy]:[Schooling]])=19</f>
        <v>0</v>
      </c>
    </row>
    <row r="1136" spans="1:23" x14ac:dyDescent="0.25">
      <c r="A1136" t="s">
        <v>346</v>
      </c>
      <c r="B1136">
        <v>2003</v>
      </c>
      <c r="C1136" t="s">
        <v>273</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COUNT(LifeExpectancyData[[#This Row],[Life expectancy]:[Schooling]])=19</f>
        <v>0</v>
      </c>
    </row>
    <row r="1137" spans="1:23" x14ac:dyDescent="0.25">
      <c r="A1137" t="s">
        <v>346</v>
      </c>
      <c r="B1137">
        <v>2002</v>
      </c>
      <c r="C1137" t="s">
        <v>273</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COUNT(LifeExpectancyData[[#This Row],[Life expectancy]:[Schooling]])=19</f>
        <v>0</v>
      </c>
    </row>
    <row r="1138" spans="1:23" x14ac:dyDescent="0.25">
      <c r="A1138" t="s">
        <v>346</v>
      </c>
      <c r="B1138">
        <v>2001</v>
      </c>
      <c r="C1138" t="s">
        <v>273</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COUNT(LifeExpectancyData[[#This Row],[Life expectancy]:[Schooling]])=19</f>
        <v>0</v>
      </c>
    </row>
    <row r="1139" spans="1:23" x14ac:dyDescent="0.25">
      <c r="A1139" t="s">
        <v>346</v>
      </c>
      <c r="B1139">
        <v>2000</v>
      </c>
      <c r="C1139" t="s">
        <v>273</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COUNT(LifeExpectancyData[[#This Row],[Life expectancy]:[Schooling]])=19</f>
        <v>0</v>
      </c>
    </row>
    <row r="1140" spans="1:23" x14ac:dyDescent="0.25">
      <c r="A1140" t="s">
        <v>347</v>
      </c>
      <c r="B1140">
        <v>2015</v>
      </c>
      <c r="C1140" t="s">
        <v>273</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COUNT(LifeExpectancyData[[#This Row],[Life expectancy]:[Schooling]])=19</f>
        <v>0</v>
      </c>
    </row>
    <row r="1141" spans="1:23" x14ac:dyDescent="0.25">
      <c r="A1141" t="s">
        <v>347</v>
      </c>
      <c r="B1141">
        <v>2014</v>
      </c>
      <c r="C1141" t="s">
        <v>273</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COUNT(LifeExpectancyData[[#This Row],[Life expectancy]:[Schooling]])=19</f>
        <v>1</v>
      </c>
    </row>
    <row r="1142" spans="1:23" x14ac:dyDescent="0.25">
      <c r="A1142" t="s">
        <v>347</v>
      </c>
      <c r="B1142">
        <v>2013</v>
      </c>
      <c r="C1142" t="s">
        <v>273</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COUNT(LifeExpectancyData[[#This Row],[Life expectancy]:[Schooling]])=19</f>
        <v>1</v>
      </c>
    </row>
    <row r="1143" spans="1:23" x14ac:dyDescent="0.25">
      <c r="A1143" t="s">
        <v>347</v>
      </c>
      <c r="B1143">
        <v>2012</v>
      </c>
      <c r="C1143" t="s">
        <v>273</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COUNT(LifeExpectancyData[[#This Row],[Life expectancy]:[Schooling]])=19</f>
        <v>1</v>
      </c>
    </row>
    <row r="1144" spans="1:23" x14ac:dyDescent="0.25">
      <c r="A1144" t="s">
        <v>347</v>
      </c>
      <c r="B1144">
        <v>2011</v>
      </c>
      <c r="C1144" t="s">
        <v>273</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COUNT(LifeExpectancyData[[#This Row],[Life expectancy]:[Schooling]])=19</f>
        <v>1</v>
      </c>
    </row>
    <row r="1145" spans="1:23" x14ac:dyDescent="0.25">
      <c r="A1145" t="s">
        <v>347</v>
      </c>
      <c r="B1145">
        <v>2010</v>
      </c>
      <c r="C1145" t="s">
        <v>273</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COUNT(LifeExpectancyData[[#This Row],[Life expectancy]:[Schooling]])=19</f>
        <v>1</v>
      </c>
    </row>
    <row r="1146" spans="1:23" x14ac:dyDescent="0.25">
      <c r="A1146" t="s">
        <v>347</v>
      </c>
      <c r="B1146">
        <v>2009</v>
      </c>
      <c r="C1146" t="s">
        <v>273</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COUNT(LifeExpectancyData[[#This Row],[Life expectancy]:[Schooling]])=19</f>
        <v>1</v>
      </c>
    </row>
    <row r="1147" spans="1:23" x14ac:dyDescent="0.25">
      <c r="A1147" t="s">
        <v>347</v>
      </c>
      <c r="B1147">
        <v>2008</v>
      </c>
      <c r="C1147" t="s">
        <v>273</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COUNT(LifeExpectancyData[[#This Row],[Life expectancy]:[Schooling]])=19</f>
        <v>1</v>
      </c>
    </row>
    <row r="1148" spans="1:23" x14ac:dyDescent="0.25">
      <c r="A1148" t="s">
        <v>347</v>
      </c>
      <c r="B1148">
        <v>2007</v>
      </c>
      <c r="C1148" t="s">
        <v>273</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COUNT(LifeExpectancyData[[#This Row],[Life expectancy]:[Schooling]])=19</f>
        <v>1</v>
      </c>
    </row>
    <row r="1149" spans="1:23" x14ac:dyDescent="0.25">
      <c r="A1149" t="s">
        <v>347</v>
      </c>
      <c r="B1149">
        <v>2006</v>
      </c>
      <c r="C1149" t="s">
        <v>273</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COUNT(LifeExpectancyData[[#This Row],[Life expectancy]:[Schooling]])=19</f>
        <v>1</v>
      </c>
    </row>
    <row r="1150" spans="1:23" x14ac:dyDescent="0.25">
      <c r="A1150" t="s">
        <v>347</v>
      </c>
      <c r="B1150">
        <v>2005</v>
      </c>
      <c r="C1150" t="s">
        <v>273</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COUNT(LifeExpectancyData[[#This Row],[Life expectancy]:[Schooling]])=19</f>
        <v>1</v>
      </c>
    </row>
    <row r="1151" spans="1:23" x14ac:dyDescent="0.25">
      <c r="A1151" t="s">
        <v>347</v>
      </c>
      <c r="B1151">
        <v>2004</v>
      </c>
      <c r="C1151" t="s">
        <v>273</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COUNT(LifeExpectancyData[[#This Row],[Life expectancy]:[Schooling]])=19</f>
        <v>1</v>
      </c>
    </row>
    <row r="1152" spans="1:23" x14ac:dyDescent="0.25">
      <c r="A1152" t="s">
        <v>347</v>
      </c>
      <c r="B1152">
        <v>2003</v>
      </c>
      <c r="C1152" t="s">
        <v>273</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COUNT(LifeExpectancyData[[#This Row],[Life expectancy]:[Schooling]])=19</f>
        <v>1</v>
      </c>
    </row>
    <row r="1153" spans="1:23" x14ac:dyDescent="0.25">
      <c r="A1153" t="s">
        <v>347</v>
      </c>
      <c r="B1153">
        <v>2002</v>
      </c>
      <c r="C1153" t="s">
        <v>273</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COUNT(LifeExpectancyData[[#This Row],[Life expectancy]:[Schooling]])=19</f>
        <v>1</v>
      </c>
    </row>
    <row r="1154" spans="1:23" x14ac:dyDescent="0.25">
      <c r="A1154" t="s">
        <v>347</v>
      </c>
      <c r="B1154">
        <v>2001</v>
      </c>
      <c r="C1154" t="s">
        <v>273</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COUNT(LifeExpectancyData[[#This Row],[Life expectancy]:[Schooling]])=19</f>
        <v>1</v>
      </c>
    </row>
    <row r="1155" spans="1:23" x14ac:dyDescent="0.25">
      <c r="A1155" t="s">
        <v>347</v>
      </c>
      <c r="B1155">
        <v>2000</v>
      </c>
      <c r="C1155" t="s">
        <v>273</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COUNT(LifeExpectancyData[[#This Row],[Life expectancy]:[Schooling]])=19</f>
        <v>1</v>
      </c>
    </row>
    <row r="1156" spans="1:23" x14ac:dyDescent="0.25">
      <c r="A1156" t="s">
        <v>348</v>
      </c>
      <c r="B1156">
        <v>2015</v>
      </c>
      <c r="C1156" t="s">
        <v>281</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COUNT(LifeExpectancyData[[#This Row],[Life expectancy]:[Schooling]])=19</f>
        <v>0</v>
      </c>
    </row>
    <row r="1157" spans="1:23" x14ac:dyDescent="0.25">
      <c r="A1157" t="s">
        <v>348</v>
      </c>
      <c r="B1157">
        <v>2014</v>
      </c>
      <c r="C1157" t="s">
        <v>281</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COUNT(LifeExpectancyData[[#This Row],[Life expectancy]:[Schooling]])=19</f>
        <v>0</v>
      </c>
    </row>
    <row r="1158" spans="1:23" x14ac:dyDescent="0.25">
      <c r="A1158" t="s">
        <v>348</v>
      </c>
      <c r="B1158">
        <v>2013</v>
      </c>
      <c r="C1158" t="s">
        <v>281</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COUNT(LifeExpectancyData[[#This Row],[Life expectancy]:[Schooling]])=19</f>
        <v>0</v>
      </c>
    </row>
    <row r="1159" spans="1:23" x14ac:dyDescent="0.25">
      <c r="A1159" t="s">
        <v>348</v>
      </c>
      <c r="B1159">
        <v>2012</v>
      </c>
      <c r="C1159" t="s">
        <v>281</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COUNT(LifeExpectancyData[[#This Row],[Life expectancy]:[Schooling]])=19</f>
        <v>0</v>
      </c>
    </row>
    <row r="1160" spans="1:23" x14ac:dyDescent="0.25">
      <c r="A1160" t="s">
        <v>348</v>
      </c>
      <c r="B1160">
        <v>2011</v>
      </c>
      <c r="C1160" t="s">
        <v>281</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COUNT(LifeExpectancyData[[#This Row],[Life expectancy]:[Schooling]])=19</f>
        <v>0</v>
      </c>
    </row>
    <row r="1161" spans="1:23" x14ac:dyDescent="0.25">
      <c r="A1161" t="s">
        <v>348</v>
      </c>
      <c r="B1161">
        <v>2010</v>
      </c>
      <c r="C1161" t="s">
        <v>281</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COUNT(LifeExpectancyData[[#This Row],[Life expectancy]:[Schooling]])=19</f>
        <v>0</v>
      </c>
    </row>
    <row r="1162" spans="1:23" x14ac:dyDescent="0.25">
      <c r="A1162" t="s">
        <v>348</v>
      </c>
      <c r="B1162">
        <v>2009</v>
      </c>
      <c r="C1162" t="s">
        <v>281</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COUNT(LifeExpectancyData[[#This Row],[Life expectancy]:[Schooling]])=19</f>
        <v>0</v>
      </c>
    </row>
    <row r="1163" spans="1:23" x14ac:dyDescent="0.25">
      <c r="A1163" t="s">
        <v>348</v>
      </c>
      <c r="B1163">
        <v>2008</v>
      </c>
      <c r="C1163" t="s">
        <v>281</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COUNT(LifeExpectancyData[[#This Row],[Life expectancy]:[Schooling]])=19</f>
        <v>0</v>
      </c>
    </row>
    <row r="1164" spans="1:23" x14ac:dyDescent="0.25">
      <c r="A1164" t="s">
        <v>348</v>
      </c>
      <c r="B1164">
        <v>2007</v>
      </c>
      <c r="C1164" t="s">
        <v>281</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COUNT(LifeExpectancyData[[#This Row],[Life expectancy]:[Schooling]])=19</f>
        <v>0</v>
      </c>
    </row>
    <row r="1165" spans="1:23" x14ac:dyDescent="0.25">
      <c r="A1165" t="s">
        <v>348</v>
      </c>
      <c r="B1165">
        <v>2006</v>
      </c>
      <c r="C1165" t="s">
        <v>281</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COUNT(LifeExpectancyData[[#This Row],[Life expectancy]:[Schooling]])=19</f>
        <v>0</v>
      </c>
    </row>
    <row r="1166" spans="1:23" x14ac:dyDescent="0.25">
      <c r="A1166" t="s">
        <v>348</v>
      </c>
      <c r="B1166">
        <v>2005</v>
      </c>
      <c r="C1166" t="s">
        <v>281</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COUNT(LifeExpectancyData[[#This Row],[Life expectancy]:[Schooling]])=19</f>
        <v>0</v>
      </c>
    </row>
    <row r="1167" spans="1:23" x14ac:dyDescent="0.25">
      <c r="A1167" t="s">
        <v>348</v>
      </c>
      <c r="B1167">
        <v>2004</v>
      </c>
      <c r="C1167" t="s">
        <v>281</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COUNT(LifeExpectancyData[[#This Row],[Life expectancy]:[Schooling]])=19</f>
        <v>0</v>
      </c>
    </row>
    <row r="1168" spans="1:23" x14ac:dyDescent="0.25">
      <c r="A1168" t="s">
        <v>348</v>
      </c>
      <c r="B1168">
        <v>2003</v>
      </c>
      <c r="C1168" t="s">
        <v>281</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COUNT(LifeExpectancyData[[#This Row],[Life expectancy]:[Schooling]])=19</f>
        <v>0</v>
      </c>
    </row>
    <row r="1169" spans="1:23" x14ac:dyDescent="0.25">
      <c r="A1169" t="s">
        <v>348</v>
      </c>
      <c r="B1169">
        <v>2002</v>
      </c>
      <c r="C1169" t="s">
        <v>281</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COUNT(LifeExpectancyData[[#This Row],[Life expectancy]:[Schooling]])=19</f>
        <v>0</v>
      </c>
    </row>
    <row r="1170" spans="1:23" x14ac:dyDescent="0.25">
      <c r="A1170" t="s">
        <v>348</v>
      </c>
      <c r="B1170">
        <v>2001</v>
      </c>
      <c r="C1170" t="s">
        <v>281</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COUNT(LifeExpectancyData[[#This Row],[Life expectancy]:[Schooling]])=19</f>
        <v>0</v>
      </c>
    </row>
    <row r="1171" spans="1:23" x14ac:dyDescent="0.25">
      <c r="A1171" t="s">
        <v>348</v>
      </c>
      <c r="B1171">
        <v>2000</v>
      </c>
      <c r="C1171" t="s">
        <v>281</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COUNT(LifeExpectancyData[[#This Row],[Life expectancy]:[Schooling]])=19</f>
        <v>0</v>
      </c>
    </row>
    <row r="1172" spans="1:23" x14ac:dyDescent="0.25">
      <c r="A1172" t="s">
        <v>349</v>
      </c>
      <c r="B1172">
        <v>2015</v>
      </c>
      <c r="C1172" t="s">
        <v>281</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COUNT(LifeExpectancyData[[#This Row],[Life expectancy]:[Schooling]])=19</f>
        <v>0</v>
      </c>
    </row>
    <row r="1173" spans="1:23" x14ac:dyDescent="0.25">
      <c r="A1173" t="s">
        <v>349</v>
      </c>
      <c r="B1173">
        <v>2014</v>
      </c>
      <c r="C1173" t="s">
        <v>281</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COUNT(LifeExpectancyData[[#This Row],[Life expectancy]:[Schooling]])=19</f>
        <v>0</v>
      </c>
    </row>
    <row r="1174" spans="1:23" x14ac:dyDescent="0.25">
      <c r="A1174" t="s">
        <v>349</v>
      </c>
      <c r="B1174">
        <v>2013</v>
      </c>
      <c r="C1174" t="s">
        <v>281</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COUNT(LifeExpectancyData[[#This Row],[Life expectancy]:[Schooling]])=19</f>
        <v>0</v>
      </c>
    </row>
    <row r="1175" spans="1:23" x14ac:dyDescent="0.25">
      <c r="A1175" t="s">
        <v>349</v>
      </c>
      <c r="B1175">
        <v>2012</v>
      </c>
      <c r="C1175" t="s">
        <v>281</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COUNT(LifeExpectancyData[[#This Row],[Life expectancy]:[Schooling]])=19</f>
        <v>0</v>
      </c>
    </row>
    <row r="1176" spans="1:23" x14ac:dyDescent="0.25">
      <c r="A1176" t="s">
        <v>349</v>
      </c>
      <c r="B1176">
        <v>2011</v>
      </c>
      <c r="C1176" t="s">
        <v>281</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COUNT(LifeExpectancyData[[#This Row],[Life expectancy]:[Schooling]])=19</f>
        <v>0</v>
      </c>
    </row>
    <row r="1177" spans="1:23" x14ac:dyDescent="0.25">
      <c r="A1177" t="s">
        <v>349</v>
      </c>
      <c r="B1177">
        <v>2010</v>
      </c>
      <c r="C1177" t="s">
        <v>281</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COUNT(LifeExpectancyData[[#This Row],[Life expectancy]:[Schooling]])=19</f>
        <v>0</v>
      </c>
    </row>
    <row r="1178" spans="1:23" x14ac:dyDescent="0.25">
      <c r="A1178" t="s">
        <v>349</v>
      </c>
      <c r="B1178">
        <v>2009</v>
      </c>
      <c r="C1178" t="s">
        <v>281</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COUNT(LifeExpectancyData[[#This Row],[Life expectancy]:[Schooling]])=19</f>
        <v>0</v>
      </c>
    </row>
    <row r="1179" spans="1:23" x14ac:dyDescent="0.25">
      <c r="A1179" t="s">
        <v>349</v>
      </c>
      <c r="B1179">
        <v>2008</v>
      </c>
      <c r="C1179" t="s">
        <v>281</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COUNT(LifeExpectancyData[[#This Row],[Life expectancy]:[Schooling]])=19</f>
        <v>0</v>
      </c>
    </row>
    <row r="1180" spans="1:23" x14ac:dyDescent="0.25">
      <c r="A1180" t="s">
        <v>349</v>
      </c>
      <c r="B1180">
        <v>2007</v>
      </c>
      <c r="C1180" t="s">
        <v>281</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COUNT(LifeExpectancyData[[#This Row],[Life expectancy]:[Schooling]])=19</f>
        <v>0</v>
      </c>
    </row>
    <row r="1181" spans="1:23" x14ac:dyDescent="0.25">
      <c r="A1181" t="s">
        <v>349</v>
      </c>
      <c r="B1181">
        <v>2006</v>
      </c>
      <c r="C1181" t="s">
        <v>281</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COUNT(LifeExpectancyData[[#This Row],[Life expectancy]:[Schooling]])=19</f>
        <v>0</v>
      </c>
    </row>
    <row r="1182" spans="1:23" x14ac:dyDescent="0.25">
      <c r="A1182" t="s">
        <v>349</v>
      </c>
      <c r="B1182">
        <v>2005</v>
      </c>
      <c r="C1182" t="s">
        <v>281</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COUNT(LifeExpectancyData[[#This Row],[Life expectancy]:[Schooling]])=19</f>
        <v>0</v>
      </c>
    </row>
    <row r="1183" spans="1:23" x14ac:dyDescent="0.25">
      <c r="A1183" t="s">
        <v>349</v>
      </c>
      <c r="B1183">
        <v>2004</v>
      </c>
      <c r="C1183" t="s">
        <v>281</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COUNT(LifeExpectancyData[[#This Row],[Life expectancy]:[Schooling]])=19</f>
        <v>0</v>
      </c>
    </row>
    <row r="1184" spans="1:23" x14ac:dyDescent="0.25">
      <c r="A1184" t="s">
        <v>349</v>
      </c>
      <c r="B1184">
        <v>2003</v>
      </c>
      <c r="C1184" t="s">
        <v>281</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COUNT(LifeExpectancyData[[#This Row],[Life expectancy]:[Schooling]])=19</f>
        <v>0</v>
      </c>
    </row>
    <row r="1185" spans="1:23" x14ac:dyDescent="0.25">
      <c r="A1185" t="s">
        <v>349</v>
      </c>
      <c r="B1185">
        <v>2002</v>
      </c>
      <c r="C1185" t="s">
        <v>281</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COUNT(LifeExpectancyData[[#This Row],[Life expectancy]:[Schooling]])=19</f>
        <v>0</v>
      </c>
    </row>
    <row r="1186" spans="1:23" x14ac:dyDescent="0.25">
      <c r="A1186" t="s">
        <v>349</v>
      </c>
      <c r="B1186">
        <v>2001</v>
      </c>
      <c r="C1186" t="s">
        <v>281</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COUNT(LifeExpectancyData[[#This Row],[Life expectancy]:[Schooling]])=19</f>
        <v>0</v>
      </c>
    </row>
    <row r="1187" spans="1:23" x14ac:dyDescent="0.25">
      <c r="A1187" t="s">
        <v>349</v>
      </c>
      <c r="B1187">
        <v>2000</v>
      </c>
      <c r="C1187" t="s">
        <v>281</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COUNT(LifeExpectancyData[[#This Row],[Life expectancy]:[Schooling]])=19</f>
        <v>0</v>
      </c>
    </row>
    <row r="1188" spans="1:23" x14ac:dyDescent="0.25">
      <c r="A1188" t="s">
        <v>350</v>
      </c>
      <c r="B1188">
        <v>2015</v>
      </c>
      <c r="C1188" t="s">
        <v>273</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COUNT(LifeExpectancyData[[#This Row],[Life expectancy]:[Schooling]])=19</f>
        <v>0</v>
      </c>
    </row>
    <row r="1189" spans="1:23" x14ac:dyDescent="0.25">
      <c r="A1189" t="s">
        <v>350</v>
      </c>
      <c r="B1189">
        <v>2014</v>
      </c>
      <c r="C1189" t="s">
        <v>273</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COUNT(LifeExpectancyData[[#This Row],[Life expectancy]:[Schooling]])=19</f>
        <v>1</v>
      </c>
    </row>
    <row r="1190" spans="1:23" x14ac:dyDescent="0.25">
      <c r="A1190" t="s">
        <v>350</v>
      </c>
      <c r="B1190">
        <v>2013</v>
      </c>
      <c r="C1190" t="s">
        <v>273</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COUNT(LifeExpectancyData[[#This Row],[Life expectancy]:[Schooling]])=19</f>
        <v>1</v>
      </c>
    </row>
    <row r="1191" spans="1:23" x14ac:dyDescent="0.25">
      <c r="A1191" t="s">
        <v>350</v>
      </c>
      <c r="B1191">
        <v>2012</v>
      </c>
      <c r="C1191" t="s">
        <v>273</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COUNT(LifeExpectancyData[[#This Row],[Life expectancy]:[Schooling]])=19</f>
        <v>1</v>
      </c>
    </row>
    <row r="1192" spans="1:23" x14ac:dyDescent="0.25">
      <c r="A1192" t="s">
        <v>350</v>
      </c>
      <c r="B1192">
        <v>2011</v>
      </c>
      <c r="C1192" t="s">
        <v>273</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COUNT(LifeExpectancyData[[#This Row],[Life expectancy]:[Schooling]])=19</f>
        <v>1</v>
      </c>
    </row>
    <row r="1193" spans="1:23" x14ac:dyDescent="0.25">
      <c r="A1193" t="s">
        <v>350</v>
      </c>
      <c r="B1193">
        <v>2010</v>
      </c>
      <c r="C1193" t="s">
        <v>273</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COUNT(LifeExpectancyData[[#This Row],[Life expectancy]:[Schooling]])=19</f>
        <v>1</v>
      </c>
    </row>
    <row r="1194" spans="1:23" x14ac:dyDescent="0.25">
      <c r="A1194" t="s">
        <v>350</v>
      </c>
      <c r="B1194">
        <v>2009</v>
      </c>
      <c r="C1194" t="s">
        <v>273</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COUNT(LifeExpectancyData[[#This Row],[Life expectancy]:[Schooling]])=19</f>
        <v>1</v>
      </c>
    </row>
    <row r="1195" spans="1:23" x14ac:dyDescent="0.25">
      <c r="A1195" t="s">
        <v>350</v>
      </c>
      <c r="B1195">
        <v>2008</v>
      </c>
      <c r="C1195" t="s">
        <v>273</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COUNT(LifeExpectancyData[[#This Row],[Life expectancy]:[Schooling]])=19</f>
        <v>1</v>
      </c>
    </row>
    <row r="1196" spans="1:23" x14ac:dyDescent="0.25">
      <c r="A1196" t="s">
        <v>350</v>
      </c>
      <c r="B1196">
        <v>2007</v>
      </c>
      <c r="C1196" t="s">
        <v>273</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COUNT(LifeExpectancyData[[#This Row],[Life expectancy]:[Schooling]])=19</f>
        <v>1</v>
      </c>
    </row>
    <row r="1197" spans="1:23" x14ac:dyDescent="0.25">
      <c r="A1197" t="s">
        <v>350</v>
      </c>
      <c r="B1197">
        <v>2006</v>
      </c>
      <c r="C1197" t="s">
        <v>273</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COUNT(LifeExpectancyData[[#This Row],[Life expectancy]:[Schooling]])=19</f>
        <v>1</v>
      </c>
    </row>
    <row r="1198" spans="1:23" x14ac:dyDescent="0.25">
      <c r="A1198" t="s">
        <v>350</v>
      </c>
      <c r="B1198">
        <v>2005</v>
      </c>
      <c r="C1198" t="s">
        <v>273</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COUNT(LifeExpectancyData[[#This Row],[Life expectancy]:[Schooling]])=19</f>
        <v>1</v>
      </c>
    </row>
    <row r="1199" spans="1:23" x14ac:dyDescent="0.25">
      <c r="A1199" t="s">
        <v>350</v>
      </c>
      <c r="B1199">
        <v>2004</v>
      </c>
      <c r="C1199" t="s">
        <v>273</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COUNT(LifeExpectancyData[[#This Row],[Life expectancy]:[Schooling]])=19</f>
        <v>1</v>
      </c>
    </row>
    <row r="1200" spans="1:23" x14ac:dyDescent="0.25">
      <c r="A1200" t="s">
        <v>350</v>
      </c>
      <c r="B1200">
        <v>2003</v>
      </c>
      <c r="C1200" t="s">
        <v>273</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COUNT(LifeExpectancyData[[#This Row],[Life expectancy]:[Schooling]])=19</f>
        <v>0</v>
      </c>
    </row>
    <row r="1201" spans="1:23" x14ac:dyDescent="0.25">
      <c r="A1201" t="s">
        <v>350</v>
      </c>
      <c r="B1201">
        <v>2002</v>
      </c>
      <c r="C1201" t="s">
        <v>273</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COUNT(LifeExpectancyData[[#This Row],[Life expectancy]:[Schooling]])=19</f>
        <v>0</v>
      </c>
    </row>
    <row r="1202" spans="1:23" x14ac:dyDescent="0.25">
      <c r="A1202" t="s">
        <v>350</v>
      </c>
      <c r="B1202">
        <v>2001</v>
      </c>
      <c r="C1202" t="s">
        <v>273</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COUNT(LifeExpectancyData[[#This Row],[Life expectancy]:[Schooling]])=19</f>
        <v>0</v>
      </c>
    </row>
    <row r="1203" spans="1:23" x14ac:dyDescent="0.25">
      <c r="A1203" t="s">
        <v>350</v>
      </c>
      <c r="B1203">
        <v>2000</v>
      </c>
      <c r="C1203" t="s">
        <v>273</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COUNT(LifeExpectancyData[[#This Row],[Life expectancy]:[Schooling]])=19</f>
        <v>0</v>
      </c>
    </row>
    <row r="1204" spans="1:23" x14ac:dyDescent="0.25">
      <c r="A1204" t="s">
        <v>351</v>
      </c>
      <c r="B1204">
        <v>2015</v>
      </c>
      <c r="C1204" t="s">
        <v>273</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COUNT(LifeExpectancyData[[#This Row],[Life expectancy]:[Schooling]])=19</f>
        <v>0</v>
      </c>
    </row>
    <row r="1205" spans="1:23" x14ac:dyDescent="0.25">
      <c r="A1205" t="s">
        <v>351</v>
      </c>
      <c r="B1205">
        <v>2014</v>
      </c>
      <c r="C1205" t="s">
        <v>273</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COUNT(LifeExpectancyData[[#This Row],[Life expectancy]:[Schooling]])=19</f>
        <v>1</v>
      </c>
    </row>
    <row r="1206" spans="1:23" x14ac:dyDescent="0.25">
      <c r="A1206" t="s">
        <v>351</v>
      </c>
      <c r="B1206">
        <v>2013</v>
      </c>
      <c r="C1206" t="s">
        <v>273</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COUNT(LifeExpectancyData[[#This Row],[Life expectancy]:[Schooling]])=19</f>
        <v>1</v>
      </c>
    </row>
    <row r="1207" spans="1:23" x14ac:dyDescent="0.25">
      <c r="A1207" t="s">
        <v>351</v>
      </c>
      <c r="B1207">
        <v>2012</v>
      </c>
      <c r="C1207" t="s">
        <v>273</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COUNT(LifeExpectancyData[[#This Row],[Life expectancy]:[Schooling]])=19</f>
        <v>1</v>
      </c>
    </row>
    <row r="1208" spans="1:23" x14ac:dyDescent="0.25">
      <c r="A1208" t="s">
        <v>351</v>
      </c>
      <c r="B1208">
        <v>2011</v>
      </c>
      <c r="C1208" t="s">
        <v>273</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COUNT(LifeExpectancyData[[#This Row],[Life expectancy]:[Schooling]])=19</f>
        <v>1</v>
      </c>
    </row>
    <row r="1209" spans="1:23" x14ac:dyDescent="0.25">
      <c r="A1209" t="s">
        <v>351</v>
      </c>
      <c r="B1209">
        <v>2010</v>
      </c>
      <c r="C1209" t="s">
        <v>273</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COUNT(LifeExpectancyData[[#This Row],[Life expectancy]:[Schooling]])=19</f>
        <v>1</v>
      </c>
    </row>
    <row r="1210" spans="1:23" x14ac:dyDescent="0.25">
      <c r="A1210" t="s">
        <v>351</v>
      </c>
      <c r="B1210">
        <v>2009</v>
      </c>
      <c r="C1210" t="s">
        <v>273</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COUNT(LifeExpectancyData[[#This Row],[Life expectancy]:[Schooling]])=19</f>
        <v>1</v>
      </c>
    </row>
    <row r="1211" spans="1:23" x14ac:dyDescent="0.25">
      <c r="A1211" t="s">
        <v>351</v>
      </c>
      <c r="B1211">
        <v>2008</v>
      </c>
      <c r="C1211" t="s">
        <v>273</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COUNT(LifeExpectancyData[[#This Row],[Life expectancy]:[Schooling]])=19</f>
        <v>1</v>
      </c>
    </row>
    <row r="1212" spans="1:23" x14ac:dyDescent="0.25">
      <c r="A1212" t="s">
        <v>351</v>
      </c>
      <c r="B1212">
        <v>2007</v>
      </c>
      <c r="C1212" t="s">
        <v>273</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COUNT(LifeExpectancyData[[#This Row],[Life expectancy]:[Schooling]])=19</f>
        <v>1</v>
      </c>
    </row>
    <row r="1213" spans="1:23" x14ac:dyDescent="0.25">
      <c r="A1213" t="s">
        <v>351</v>
      </c>
      <c r="B1213">
        <v>2006</v>
      </c>
      <c r="C1213" t="s">
        <v>273</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COUNT(LifeExpectancyData[[#This Row],[Life expectancy]:[Schooling]])=19</f>
        <v>1</v>
      </c>
    </row>
    <row r="1214" spans="1:23" x14ac:dyDescent="0.25">
      <c r="A1214" t="s">
        <v>351</v>
      </c>
      <c r="B1214">
        <v>2005</v>
      </c>
      <c r="C1214" t="s">
        <v>273</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COUNT(LifeExpectancyData[[#This Row],[Life expectancy]:[Schooling]])=19</f>
        <v>1</v>
      </c>
    </row>
    <row r="1215" spans="1:23" x14ac:dyDescent="0.25">
      <c r="A1215" t="s">
        <v>351</v>
      </c>
      <c r="B1215">
        <v>2004</v>
      </c>
      <c r="C1215" t="s">
        <v>273</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COUNT(LifeExpectancyData[[#This Row],[Life expectancy]:[Schooling]])=19</f>
        <v>1</v>
      </c>
    </row>
    <row r="1216" spans="1:23" x14ac:dyDescent="0.25">
      <c r="A1216" t="s">
        <v>351</v>
      </c>
      <c r="B1216">
        <v>2003</v>
      </c>
      <c r="C1216" t="s">
        <v>273</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COUNT(LifeExpectancyData[[#This Row],[Life expectancy]:[Schooling]])=19</f>
        <v>1</v>
      </c>
    </row>
    <row r="1217" spans="1:23" x14ac:dyDescent="0.25">
      <c r="A1217" t="s">
        <v>351</v>
      </c>
      <c r="B1217">
        <v>2002</v>
      </c>
      <c r="C1217" t="s">
        <v>273</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COUNT(LifeExpectancyData[[#This Row],[Life expectancy]:[Schooling]])=19</f>
        <v>1</v>
      </c>
    </row>
    <row r="1218" spans="1:23" x14ac:dyDescent="0.25">
      <c r="A1218" t="s">
        <v>351</v>
      </c>
      <c r="B1218">
        <v>2001</v>
      </c>
      <c r="C1218" t="s">
        <v>273</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COUNT(LifeExpectancyData[[#This Row],[Life expectancy]:[Schooling]])=19</f>
        <v>1</v>
      </c>
    </row>
    <row r="1219" spans="1:23" x14ac:dyDescent="0.25">
      <c r="A1219" t="s">
        <v>351</v>
      </c>
      <c r="B1219">
        <v>2000</v>
      </c>
      <c r="C1219" t="s">
        <v>273</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COUNT(LifeExpectancyData[[#This Row],[Life expectancy]:[Schooling]])=19</f>
        <v>1</v>
      </c>
    </row>
    <row r="1220" spans="1:23" x14ac:dyDescent="0.25">
      <c r="A1220" t="s">
        <v>352</v>
      </c>
      <c r="B1220">
        <v>2015</v>
      </c>
      <c r="C1220" t="s">
        <v>273</v>
      </c>
      <c r="D1220">
        <v>75.5</v>
      </c>
      <c r="E1220">
        <v>83</v>
      </c>
      <c r="F1220">
        <v>18</v>
      </c>
      <c r="H1220">
        <v>0</v>
      </c>
      <c r="I1220">
        <v>98</v>
      </c>
      <c r="J1220">
        <v>615</v>
      </c>
      <c r="K1220">
        <v>59.7</v>
      </c>
      <c r="L1220">
        <v>21</v>
      </c>
      <c r="M1220">
        <v>98</v>
      </c>
      <c r="O1220">
        <v>98</v>
      </c>
      <c r="P1220">
        <v>0.1</v>
      </c>
      <c r="S1220">
        <v>8.5</v>
      </c>
      <c r="T1220">
        <v>8.6</v>
      </c>
      <c r="U1220">
        <v>0.77400000000000002</v>
      </c>
      <c r="V1220">
        <v>14.8</v>
      </c>
      <c r="W1220" t="b">
        <f>COUNT(LifeExpectancyData[[#This Row],[Life expectancy]:[Schooling]])=19</f>
        <v>0</v>
      </c>
    </row>
    <row r="1221" spans="1:23" x14ac:dyDescent="0.25">
      <c r="A1221" t="s">
        <v>352</v>
      </c>
      <c r="B1221">
        <v>2014</v>
      </c>
      <c r="C1221" t="s">
        <v>273</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COUNT(LifeExpectancyData[[#This Row],[Life expectancy]:[Schooling]])=19</f>
        <v>0</v>
      </c>
    </row>
    <row r="1222" spans="1:23" x14ac:dyDescent="0.25">
      <c r="A1222" t="s">
        <v>352</v>
      </c>
      <c r="B1222">
        <v>2013</v>
      </c>
      <c r="C1222" t="s">
        <v>273</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COUNT(LifeExpectancyData[[#This Row],[Life expectancy]:[Schooling]])=19</f>
        <v>0</v>
      </c>
    </row>
    <row r="1223" spans="1:23" x14ac:dyDescent="0.25">
      <c r="A1223" t="s">
        <v>352</v>
      </c>
      <c r="B1223">
        <v>2012</v>
      </c>
      <c r="C1223" t="s">
        <v>273</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COUNT(LifeExpectancyData[[#This Row],[Life expectancy]:[Schooling]])=19</f>
        <v>0</v>
      </c>
    </row>
    <row r="1224" spans="1:23" x14ac:dyDescent="0.25">
      <c r="A1224" t="s">
        <v>352</v>
      </c>
      <c r="B1224">
        <v>2011</v>
      </c>
      <c r="C1224" t="s">
        <v>273</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COUNT(LifeExpectancyData[[#This Row],[Life expectancy]:[Schooling]])=19</f>
        <v>0</v>
      </c>
    </row>
    <row r="1225" spans="1:23" x14ac:dyDescent="0.25">
      <c r="A1225" t="s">
        <v>352</v>
      </c>
      <c r="B1225">
        <v>2010</v>
      </c>
      <c r="C1225" t="s">
        <v>273</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COUNT(LifeExpectancyData[[#This Row],[Life expectancy]:[Schooling]])=19</f>
        <v>0</v>
      </c>
    </row>
    <row r="1226" spans="1:23" x14ac:dyDescent="0.25">
      <c r="A1226" t="s">
        <v>352</v>
      </c>
      <c r="B1226">
        <v>2009</v>
      </c>
      <c r="C1226" t="s">
        <v>273</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COUNT(LifeExpectancyData[[#This Row],[Life expectancy]:[Schooling]])=19</f>
        <v>0</v>
      </c>
    </row>
    <row r="1227" spans="1:23" x14ac:dyDescent="0.25">
      <c r="A1227" t="s">
        <v>352</v>
      </c>
      <c r="B1227">
        <v>2008</v>
      </c>
      <c r="C1227" t="s">
        <v>273</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COUNT(LifeExpectancyData[[#This Row],[Life expectancy]:[Schooling]])=19</f>
        <v>0</v>
      </c>
    </row>
    <row r="1228" spans="1:23" x14ac:dyDescent="0.25">
      <c r="A1228" t="s">
        <v>352</v>
      </c>
      <c r="B1228">
        <v>2007</v>
      </c>
      <c r="C1228" t="s">
        <v>273</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COUNT(LifeExpectancyData[[#This Row],[Life expectancy]:[Schooling]])=19</f>
        <v>0</v>
      </c>
    </row>
    <row r="1229" spans="1:23" x14ac:dyDescent="0.25">
      <c r="A1229" t="s">
        <v>352</v>
      </c>
      <c r="B1229">
        <v>2006</v>
      </c>
      <c r="C1229" t="s">
        <v>273</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COUNT(LifeExpectancyData[[#This Row],[Life expectancy]:[Schooling]])=19</f>
        <v>0</v>
      </c>
    </row>
    <row r="1230" spans="1:23" x14ac:dyDescent="0.25">
      <c r="A1230" t="s">
        <v>352</v>
      </c>
      <c r="B1230">
        <v>2005</v>
      </c>
      <c r="C1230" t="s">
        <v>273</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COUNT(LifeExpectancyData[[#This Row],[Life expectancy]:[Schooling]])=19</f>
        <v>0</v>
      </c>
    </row>
    <row r="1231" spans="1:23" x14ac:dyDescent="0.25">
      <c r="A1231" t="s">
        <v>352</v>
      </c>
      <c r="B1231">
        <v>2004</v>
      </c>
      <c r="C1231" t="s">
        <v>273</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COUNT(LifeExpectancyData[[#This Row],[Life expectancy]:[Schooling]])=19</f>
        <v>0</v>
      </c>
    </row>
    <row r="1232" spans="1:23" x14ac:dyDescent="0.25">
      <c r="A1232" t="s">
        <v>352</v>
      </c>
      <c r="B1232">
        <v>2003</v>
      </c>
      <c r="C1232" t="s">
        <v>273</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COUNT(LifeExpectancyData[[#This Row],[Life expectancy]:[Schooling]])=19</f>
        <v>0</v>
      </c>
    </row>
    <row r="1233" spans="1:23" x14ac:dyDescent="0.25">
      <c r="A1233" t="s">
        <v>352</v>
      </c>
      <c r="B1233">
        <v>2002</v>
      </c>
      <c r="C1233" t="s">
        <v>273</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COUNT(LifeExpectancyData[[#This Row],[Life expectancy]:[Schooling]])=19</f>
        <v>0</v>
      </c>
    </row>
    <row r="1234" spans="1:23" x14ac:dyDescent="0.25">
      <c r="A1234" t="s">
        <v>352</v>
      </c>
      <c r="B1234">
        <v>2001</v>
      </c>
      <c r="C1234" t="s">
        <v>273</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COUNT(LifeExpectancyData[[#This Row],[Life expectancy]:[Schooling]])=19</f>
        <v>0</v>
      </c>
    </row>
    <row r="1235" spans="1:23" x14ac:dyDescent="0.25">
      <c r="A1235" t="s">
        <v>352</v>
      </c>
      <c r="B1235">
        <v>2000</v>
      </c>
      <c r="C1235" t="s">
        <v>273</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COUNT(LifeExpectancyData[[#This Row],[Life expectancy]:[Schooling]])=19</f>
        <v>0</v>
      </c>
    </row>
    <row r="1236" spans="1:23" x14ac:dyDescent="0.25">
      <c r="A1236" t="s">
        <v>353</v>
      </c>
      <c r="B1236">
        <v>2015</v>
      </c>
      <c r="C1236" t="s">
        <v>273</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COUNT(LifeExpectancyData[[#This Row],[Life expectancy]:[Schooling]])=19</f>
        <v>0</v>
      </c>
    </row>
    <row r="1237" spans="1:23" x14ac:dyDescent="0.25">
      <c r="A1237" t="s">
        <v>353</v>
      </c>
      <c r="B1237">
        <v>2014</v>
      </c>
      <c r="C1237" t="s">
        <v>273</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COUNT(LifeExpectancyData[[#This Row],[Life expectancy]:[Schooling]])=19</f>
        <v>1</v>
      </c>
    </row>
    <row r="1238" spans="1:23" x14ac:dyDescent="0.25">
      <c r="A1238" t="s">
        <v>353</v>
      </c>
      <c r="B1238">
        <v>2013</v>
      </c>
      <c r="C1238" t="s">
        <v>273</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COUNT(LifeExpectancyData[[#This Row],[Life expectancy]:[Schooling]])=19</f>
        <v>1</v>
      </c>
    </row>
    <row r="1239" spans="1:23" x14ac:dyDescent="0.25">
      <c r="A1239" t="s">
        <v>353</v>
      </c>
      <c r="B1239">
        <v>2012</v>
      </c>
      <c r="C1239" t="s">
        <v>273</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COUNT(LifeExpectancyData[[#This Row],[Life expectancy]:[Schooling]])=19</f>
        <v>1</v>
      </c>
    </row>
    <row r="1240" spans="1:23" x14ac:dyDescent="0.25">
      <c r="A1240" t="s">
        <v>353</v>
      </c>
      <c r="B1240">
        <v>2011</v>
      </c>
      <c r="C1240" t="s">
        <v>273</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COUNT(LifeExpectancyData[[#This Row],[Life expectancy]:[Schooling]])=19</f>
        <v>1</v>
      </c>
    </row>
    <row r="1241" spans="1:23" x14ac:dyDescent="0.25">
      <c r="A1241" t="s">
        <v>353</v>
      </c>
      <c r="B1241">
        <v>2010</v>
      </c>
      <c r="C1241" t="s">
        <v>273</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COUNT(LifeExpectancyData[[#This Row],[Life expectancy]:[Schooling]])=19</f>
        <v>1</v>
      </c>
    </row>
    <row r="1242" spans="1:23" x14ac:dyDescent="0.25">
      <c r="A1242" t="s">
        <v>353</v>
      </c>
      <c r="B1242">
        <v>2009</v>
      </c>
      <c r="C1242" t="s">
        <v>273</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COUNT(LifeExpectancyData[[#This Row],[Life expectancy]:[Schooling]])=19</f>
        <v>1</v>
      </c>
    </row>
    <row r="1243" spans="1:23" x14ac:dyDescent="0.25">
      <c r="A1243" t="s">
        <v>353</v>
      </c>
      <c r="B1243">
        <v>2008</v>
      </c>
      <c r="C1243" t="s">
        <v>273</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COUNT(LifeExpectancyData[[#This Row],[Life expectancy]:[Schooling]])=19</f>
        <v>1</v>
      </c>
    </row>
    <row r="1244" spans="1:23" x14ac:dyDescent="0.25">
      <c r="A1244" t="s">
        <v>353</v>
      </c>
      <c r="B1244">
        <v>2007</v>
      </c>
      <c r="C1244" t="s">
        <v>273</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COUNT(LifeExpectancyData[[#This Row],[Life expectancy]:[Schooling]])=19</f>
        <v>1</v>
      </c>
    </row>
    <row r="1245" spans="1:23" x14ac:dyDescent="0.25">
      <c r="A1245" t="s">
        <v>353</v>
      </c>
      <c r="B1245">
        <v>2006</v>
      </c>
      <c r="C1245" t="s">
        <v>273</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COUNT(LifeExpectancyData[[#This Row],[Life expectancy]:[Schooling]])=19</f>
        <v>1</v>
      </c>
    </row>
    <row r="1246" spans="1:23" x14ac:dyDescent="0.25">
      <c r="A1246" t="s">
        <v>353</v>
      </c>
      <c r="B1246">
        <v>2005</v>
      </c>
      <c r="C1246" t="s">
        <v>273</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COUNT(LifeExpectancyData[[#This Row],[Life expectancy]:[Schooling]])=19</f>
        <v>1</v>
      </c>
    </row>
    <row r="1247" spans="1:23" x14ac:dyDescent="0.25">
      <c r="A1247" t="s">
        <v>353</v>
      </c>
      <c r="B1247">
        <v>2004</v>
      </c>
      <c r="C1247" t="s">
        <v>273</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COUNT(LifeExpectancyData[[#This Row],[Life expectancy]:[Schooling]])=19</f>
        <v>1</v>
      </c>
    </row>
    <row r="1248" spans="1:23" x14ac:dyDescent="0.25">
      <c r="A1248" t="s">
        <v>353</v>
      </c>
      <c r="B1248">
        <v>2003</v>
      </c>
      <c r="C1248" t="s">
        <v>273</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COUNT(LifeExpectancyData[[#This Row],[Life expectancy]:[Schooling]])=19</f>
        <v>0</v>
      </c>
    </row>
    <row r="1249" spans="1:23" x14ac:dyDescent="0.25">
      <c r="A1249" t="s">
        <v>353</v>
      </c>
      <c r="B1249">
        <v>2002</v>
      </c>
      <c r="C1249" t="s">
        <v>273</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COUNT(LifeExpectancyData[[#This Row],[Life expectancy]:[Schooling]])=19</f>
        <v>0</v>
      </c>
    </row>
    <row r="1250" spans="1:23" x14ac:dyDescent="0.25">
      <c r="A1250" t="s">
        <v>353</v>
      </c>
      <c r="B1250">
        <v>2001</v>
      </c>
      <c r="C1250" t="s">
        <v>273</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COUNT(LifeExpectancyData[[#This Row],[Life expectancy]:[Schooling]])=19</f>
        <v>0</v>
      </c>
    </row>
    <row r="1251" spans="1:23" x14ac:dyDescent="0.25">
      <c r="A1251" t="s">
        <v>353</v>
      </c>
      <c r="B1251">
        <v>2000</v>
      </c>
      <c r="C1251" t="s">
        <v>273</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COUNT(LifeExpectancyData[[#This Row],[Life expectancy]:[Schooling]])=19</f>
        <v>0</v>
      </c>
    </row>
    <row r="1252" spans="1:23" x14ac:dyDescent="0.25">
      <c r="A1252" t="s">
        <v>354</v>
      </c>
      <c r="B1252">
        <v>2015</v>
      </c>
      <c r="C1252" t="s">
        <v>281</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COUNT(LifeExpectancyData[[#This Row],[Life expectancy]:[Schooling]])=19</f>
        <v>0</v>
      </c>
    </row>
    <row r="1253" spans="1:23" x14ac:dyDescent="0.25">
      <c r="A1253" t="s">
        <v>354</v>
      </c>
      <c r="B1253">
        <v>2014</v>
      </c>
      <c r="C1253" t="s">
        <v>281</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COUNT(LifeExpectancyData[[#This Row],[Life expectancy]:[Schooling]])=19</f>
        <v>1</v>
      </c>
    </row>
    <row r="1254" spans="1:23" x14ac:dyDescent="0.25">
      <c r="A1254" t="s">
        <v>354</v>
      </c>
      <c r="B1254">
        <v>2013</v>
      </c>
      <c r="C1254" t="s">
        <v>281</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COUNT(LifeExpectancyData[[#This Row],[Life expectancy]:[Schooling]])=19</f>
        <v>1</v>
      </c>
    </row>
    <row r="1255" spans="1:23" x14ac:dyDescent="0.25">
      <c r="A1255" t="s">
        <v>354</v>
      </c>
      <c r="B1255">
        <v>2012</v>
      </c>
      <c r="C1255" t="s">
        <v>281</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COUNT(LifeExpectancyData[[#This Row],[Life expectancy]:[Schooling]])=19</f>
        <v>1</v>
      </c>
    </row>
    <row r="1256" spans="1:23" x14ac:dyDescent="0.25">
      <c r="A1256" t="s">
        <v>354</v>
      </c>
      <c r="B1256">
        <v>2011</v>
      </c>
      <c r="C1256" t="s">
        <v>281</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COUNT(LifeExpectancyData[[#This Row],[Life expectancy]:[Schooling]])=19</f>
        <v>1</v>
      </c>
    </row>
    <row r="1257" spans="1:23" x14ac:dyDescent="0.25">
      <c r="A1257" t="s">
        <v>354</v>
      </c>
      <c r="B1257">
        <v>2010</v>
      </c>
      <c r="C1257" t="s">
        <v>281</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COUNT(LifeExpectancyData[[#This Row],[Life expectancy]:[Schooling]])=19</f>
        <v>1</v>
      </c>
    </row>
    <row r="1258" spans="1:23" x14ac:dyDescent="0.25">
      <c r="A1258" t="s">
        <v>354</v>
      </c>
      <c r="B1258">
        <v>2009</v>
      </c>
      <c r="C1258" t="s">
        <v>281</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COUNT(LifeExpectancyData[[#This Row],[Life expectancy]:[Schooling]])=19</f>
        <v>0</v>
      </c>
    </row>
    <row r="1259" spans="1:23" x14ac:dyDescent="0.25">
      <c r="A1259" t="s">
        <v>354</v>
      </c>
      <c r="B1259">
        <v>2008</v>
      </c>
      <c r="C1259" t="s">
        <v>281</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COUNT(LifeExpectancyData[[#This Row],[Life expectancy]:[Schooling]])=19</f>
        <v>0</v>
      </c>
    </row>
    <row r="1260" spans="1:23" x14ac:dyDescent="0.25">
      <c r="A1260" t="s">
        <v>354</v>
      </c>
      <c r="B1260">
        <v>2007</v>
      </c>
      <c r="C1260" t="s">
        <v>281</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COUNT(LifeExpectancyData[[#This Row],[Life expectancy]:[Schooling]])=19</f>
        <v>0</v>
      </c>
    </row>
    <row r="1261" spans="1:23" x14ac:dyDescent="0.25">
      <c r="A1261" t="s">
        <v>354</v>
      </c>
      <c r="B1261">
        <v>2006</v>
      </c>
      <c r="C1261" t="s">
        <v>281</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COUNT(LifeExpectancyData[[#This Row],[Life expectancy]:[Schooling]])=19</f>
        <v>0</v>
      </c>
    </row>
    <row r="1262" spans="1:23" x14ac:dyDescent="0.25">
      <c r="A1262" t="s">
        <v>354</v>
      </c>
      <c r="B1262">
        <v>2005</v>
      </c>
      <c r="C1262" t="s">
        <v>281</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COUNT(LifeExpectancyData[[#This Row],[Life expectancy]:[Schooling]])=19</f>
        <v>0</v>
      </c>
    </row>
    <row r="1263" spans="1:23" x14ac:dyDescent="0.25">
      <c r="A1263" t="s">
        <v>354</v>
      </c>
      <c r="B1263">
        <v>2004</v>
      </c>
      <c r="C1263" t="s">
        <v>281</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COUNT(LifeExpectancyData[[#This Row],[Life expectancy]:[Schooling]])=19</f>
        <v>0</v>
      </c>
    </row>
    <row r="1264" spans="1:23" x14ac:dyDescent="0.25">
      <c r="A1264" t="s">
        <v>354</v>
      </c>
      <c r="B1264">
        <v>2003</v>
      </c>
      <c r="C1264" t="s">
        <v>281</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COUNT(LifeExpectancyData[[#This Row],[Life expectancy]:[Schooling]])=19</f>
        <v>0</v>
      </c>
    </row>
    <row r="1265" spans="1:23" x14ac:dyDescent="0.25">
      <c r="A1265" t="s">
        <v>354</v>
      </c>
      <c r="B1265">
        <v>2002</v>
      </c>
      <c r="C1265" t="s">
        <v>281</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COUNT(LifeExpectancyData[[#This Row],[Life expectancy]:[Schooling]])=19</f>
        <v>0</v>
      </c>
    </row>
    <row r="1266" spans="1:23" x14ac:dyDescent="0.25">
      <c r="A1266" t="s">
        <v>354</v>
      </c>
      <c r="B1266">
        <v>2001</v>
      </c>
      <c r="C1266" t="s">
        <v>281</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COUNT(LifeExpectancyData[[#This Row],[Life expectancy]:[Schooling]])=19</f>
        <v>0</v>
      </c>
    </row>
    <row r="1267" spans="1:23" x14ac:dyDescent="0.25">
      <c r="A1267" t="s">
        <v>354</v>
      </c>
      <c r="B1267">
        <v>2000</v>
      </c>
      <c r="C1267" t="s">
        <v>281</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COUNT(LifeExpectancyData[[#This Row],[Life expectancy]:[Schooling]])=19</f>
        <v>0</v>
      </c>
    </row>
    <row r="1268" spans="1:23" x14ac:dyDescent="0.25">
      <c r="A1268" t="s">
        <v>355</v>
      </c>
      <c r="B1268">
        <v>2015</v>
      </c>
      <c r="C1268" t="s">
        <v>273</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COUNT(LifeExpectancyData[[#This Row],[Life expectancy]:[Schooling]])=19</f>
        <v>0</v>
      </c>
    </row>
    <row r="1269" spans="1:23" x14ac:dyDescent="0.25">
      <c r="A1269" t="s">
        <v>355</v>
      </c>
      <c r="B1269">
        <v>2014</v>
      </c>
      <c r="C1269" t="s">
        <v>273</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COUNT(LifeExpectancyData[[#This Row],[Life expectancy]:[Schooling]])=19</f>
        <v>1</v>
      </c>
    </row>
    <row r="1270" spans="1:23" x14ac:dyDescent="0.25">
      <c r="A1270" t="s">
        <v>355</v>
      </c>
      <c r="B1270">
        <v>2013</v>
      </c>
      <c r="C1270" t="s">
        <v>273</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COUNT(LifeExpectancyData[[#This Row],[Life expectancy]:[Schooling]])=19</f>
        <v>1</v>
      </c>
    </row>
    <row r="1271" spans="1:23" x14ac:dyDescent="0.25">
      <c r="A1271" t="s">
        <v>355</v>
      </c>
      <c r="B1271">
        <v>2012</v>
      </c>
      <c r="C1271" t="s">
        <v>273</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COUNT(LifeExpectancyData[[#This Row],[Life expectancy]:[Schooling]])=19</f>
        <v>1</v>
      </c>
    </row>
    <row r="1272" spans="1:23" x14ac:dyDescent="0.25">
      <c r="A1272" t="s">
        <v>355</v>
      </c>
      <c r="B1272">
        <v>2011</v>
      </c>
      <c r="C1272" t="s">
        <v>273</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COUNT(LifeExpectancyData[[#This Row],[Life expectancy]:[Schooling]])=19</f>
        <v>1</v>
      </c>
    </row>
    <row r="1273" spans="1:23" x14ac:dyDescent="0.25">
      <c r="A1273" t="s">
        <v>355</v>
      </c>
      <c r="B1273">
        <v>2010</v>
      </c>
      <c r="C1273" t="s">
        <v>273</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COUNT(LifeExpectancyData[[#This Row],[Life expectancy]:[Schooling]])=19</f>
        <v>1</v>
      </c>
    </row>
    <row r="1274" spans="1:23" x14ac:dyDescent="0.25">
      <c r="A1274" t="s">
        <v>355</v>
      </c>
      <c r="B1274">
        <v>2009</v>
      </c>
      <c r="C1274" t="s">
        <v>273</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COUNT(LifeExpectancyData[[#This Row],[Life expectancy]:[Schooling]])=19</f>
        <v>1</v>
      </c>
    </row>
    <row r="1275" spans="1:23" x14ac:dyDescent="0.25">
      <c r="A1275" t="s">
        <v>355</v>
      </c>
      <c r="B1275">
        <v>2008</v>
      </c>
      <c r="C1275" t="s">
        <v>273</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COUNT(LifeExpectancyData[[#This Row],[Life expectancy]:[Schooling]])=19</f>
        <v>1</v>
      </c>
    </row>
    <row r="1276" spans="1:23" x14ac:dyDescent="0.25">
      <c r="A1276" t="s">
        <v>355</v>
      </c>
      <c r="B1276">
        <v>2007</v>
      </c>
      <c r="C1276" t="s">
        <v>273</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COUNT(LifeExpectancyData[[#This Row],[Life expectancy]:[Schooling]])=19</f>
        <v>1</v>
      </c>
    </row>
    <row r="1277" spans="1:23" x14ac:dyDescent="0.25">
      <c r="A1277" t="s">
        <v>355</v>
      </c>
      <c r="B1277">
        <v>2006</v>
      </c>
      <c r="C1277" t="s">
        <v>273</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COUNT(LifeExpectancyData[[#This Row],[Life expectancy]:[Schooling]])=19</f>
        <v>1</v>
      </c>
    </row>
    <row r="1278" spans="1:23" x14ac:dyDescent="0.25">
      <c r="A1278" t="s">
        <v>355</v>
      </c>
      <c r="B1278">
        <v>2005</v>
      </c>
      <c r="C1278" t="s">
        <v>273</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COUNT(LifeExpectancyData[[#This Row],[Life expectancy]:[Schooling]])=19</f>
        <v>1</v>
      </c>
    </row>
    <row r="1279" spans="1:23" x14ac:dyDescent="0.25">
      <c r="A1279" t="s">
        <v>355</v>
      </c>
      <c r="B1279">
        <v>2004</v>
      </c>
      <c r="C1279" t="s">
        <v>273</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COUNT(LifeExpectancyData[[#This Row],[Life expectancy]:[Schooling]])=19</f>
        <v>1</v>
      </c>
    </row>
    <row r="1280" spans="1:23" x14ac:dyDescent="0.25">
      <c r="A1280" t="s">
        <v>355</v>
      </c>
      <c r="B1280">
        <v>2003</v>
      </c>
      <c r="C1280" t="s">
        <v>273</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COUNT(LifeExpectancyData[[#This Row],[Life expectancy]:[Schooling]])=19</f>
        <v>1</v>
      </c>
    </row>
    <row r="1281" spans="1:23" x14ac:dyDescent="0.25">
      <c r="A1281" t="s">
        <v>355</v>
      </c>
      <c r="B1281">
        <v>2002</v>
      </c>
      <c r="C1281" t="s">
        <v>273</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COUNT(LifeExpectancyData[[#This Row],[Life expectancy]:[Schooling]])=19</f>
        <v>1</v>
      </c>
    </row>
    <row r="1282" spans="1:23" x14ac:dyDescent="0.25">
      <c r="A1282" t="s">
        <v>355</v>
      </c>
      <c r="B1282">
        <v>2001</v>
      </c>
      <c r="C1282" t="s">
        <v>273</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COUNT(LifeExpectancyData[[#This Row],[Life expectancy]:[Schooling]])=19</f>
        <v>1</v>
      </c>
    </row>
    <row r="1283" spans="1:23" x14ac:dyDescent="0.25">
      <c r="A1283" t="s">
        <v>355</v>
      </c>
      <c r="B1283">
        <v>2000</v>
      </c>
      <c r="C1283" t="s">
        <v>273</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COUNT(LifeExpectancyData[[#This Row],[Life expectancy]:[Schooling]])=19</f>
        <v>1</v>
      </c>
    </row>
    <row r="1284" spans="1:23" x14ac:dyDescent="0.25">
      <c r="A1284" t="s">
        <v>356</v>
      </c>
      <c r="B1284">
        <v>2015</v>
      </c>
      <c r="C1284" t="s">
        <v>281</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COUNT(LifeExpectancyData[[#This Row],[Life expectancy]:[Schooling]])=19</f>
        <v>0</v>
      </c>
    </row>
    <row r="1285" spans="1:23" x14ac:dyDescent="0.25">
      <c r="A1285" t="s">
        <v>356</v>
      </c>
      <c r="B1285">
        <v>2014</v>
      </c>
      <c r="C1285" t="s">
        <v>281</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COUNT(LifeExpectancyData[[#This Row],[Life expectancy]:[Schooling]])=19</f>
        <v>1</v>
      </c>
    </row>
    <row r="1286" spans="1:23" x14ac:dyDescent="0.25">
      <c r="A1286" t="s">
        <v>356</v>
      </c>
      <c r="B1286">
        <v>2013</v>
      </c>
      <c r="C1286" t="s">
        <v>281</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COUNT(LifeExpectancyData[[#This Row],[Life expectancy]:[Schooling]])=19</f>
        <v>1</v>
      </c>
    </row>
    <row r="1287" spans="1:23" x14ac:dyDescent="0.25">
      <c r="A1287" t="s">
        <v>356</v>
      </c>
      <c r="B1287">
        <v>2012</v>
      </c>
      <c r="C1287" t="s">
        <v>281</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COUNT(LifeExpectancyData[[#This Row],[Life expectancy]:[Schooling]])=19</f>
        <v>1</v>
      </c>
    </row>
    <row r="1288" spans="1:23" x14ac:dyDescent="0.25">
      <c r="A1288" t="s">
        <v>356</v>
      </c>
      <c r="B1288">
        <v>2011</v>
      </c>
      <c r="C1288" t="s">
        <v>281</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COUNT(LifeExpectancyData[[#This Row],[Life expectancy]:[Schooling]])=19</f>
        <v>1</v>
      </c>
    </row>
    <row r="1289" spans="1:23" x14ac:dyDescent="0.25">
      <c r="A1289" t="s">
        <v>356</v>
      </c>
      <c r="B1289">
        <v>2010</v>
      </c>
      <c r="C1289" t="s">
        <v>281</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COUNT(LifeExpectancyData[[#This Row],[Life expectancy]:[Schooling]])=19</f>
        <v>1</v>
      </c>
    </row>
    <row r="1290" spans="1:23" x14ac:dyDescent="0.25">
      <c r="A1290" t="s">
        <v>356</v>
      </c>
      <c r="B1290">
        <v>2009</v>
      </c>
      <c r="C1290" t="s">
        <v>281</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COUNT(LifeExpectancyData[[#This Row],[Life expectancy]:[Schooling]])=19</f>
        <v>1</v>
      </c>
    </row>
    <row r="1291" spans="1:23" x14ac:dyDescent="0.25">
      <c r="A1291" t="s">
        <v>356</v>
      </c>
      <c r="B1291">
        <v>2008</v>
      </c>
      <c r="C1291" t="s">
        <v>281</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COUNT(LifeExpectancyData[[#This Row],[Life expectancy]:[Schooling]])=19</f>
        <v>1</v>
      </c>
    </row>
    <row r="1292" spans="1:23" x14ac:dyDescent="0.25">
      <c r="A1292" t="s">
        <v>356</v>
      </c>
      <c r="B1292">
        <v>2007</v>
      </c>
      <c r="C1292" t="s">
        <v>281</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COUNT(LifeExpectancyData[[#This Row],[Life expectancy]:[Schooling]])=19</f>
        <v>1</v>
      </c>
    </row>
    <row r="1293" spans="1:23" x14ac:dyDescent="0.25">
      <c r="A1293" t="s">
        <v>356</v>
      </c>
      <c r="B1293">
        <v>2006</v>
      </c>
      <c r="C1293" t="s">
        <v>281</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COUNT(LifeExpectancyData[[#This Row],[Life expectancy]:[Schooling]])=19</f>
        <v>1</v>
      </c>
    </row>
    <row r="1294" spans="1:23" x14ac:dyDescent="0.25">
      <c r="A1294" t="s">
        <v>356</v>
      </c>
      <c r="B1294">
        <v>2005</v>
      </c>
      <c r="C1294" t="s">
        <v>281</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COUNT(LifeExpectancyData[[#This Row],[Life expectancy]:[Schooling]])=19</f>
        <v>1</v>
      </c>
    </row>
    <row r="1295" spans="1:23" x14ac:dyDescent="0.25">
      <c r="A1295" t="s">
        <v>356</v>
      </c>
      <c r="B1295">
        <v>2004</v>
      </c>
      <c r="C1295" t="s">
        <v>281</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COUNT(LifeExpectancyData[[#This Row],[Life expectancy]:[Schooling]])=19</f>
        <v>1</v>
      </c>
    </row>
    <row r="1296" spans="1:23" x14ac:dyDescent="0.25">
      <c r="A1296" t="s">
        <v>356</v>
      </c>
      <c r="B1296">
        <v>2003</v>
      </c>
      <c r="C1296" t="s">
        <v>281</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COUNT(LifeExpectancyData[[#This Row],[Life expectancy]:[Schooling]])=19</f>
        <v>1</v>
      </c>
    </row>
    <row r="1297" spans="1:23" x14ac:dyDescent="0.25">
      <c r="A1297" t="s">
        <v>356</v>
      </c>
      <c r="B1297">
        <v>2002</v>
      </c>
      <c r="C1297" t="s">
        <v>281</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COUNT(LifeExpectancyData[[#This Row],[Life expectancy]:[Schooling]])=19</f>
        <v>1</v>
      </c>
    </row>
    <row r="1298" spans="1:23" x14ac:dyDescent="0.25">
      <c r="A1298" t="s">
        <v>356</v>
      </c>
      <c r="B1298">
        <v>2001</v>
      </c>
      <c r="C1298" t="s">
        <v>281</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COUNT(LifeExpectancyData[[#This Row],[Life expectancy]:[Schooling]])=19</f>
        <v>1</v>
      </c>
    </row>
    <row r="1299" spans="1:23" x14ac:dyDescent="0.25">
      <c r="A1299" t="s">
        <v>356</v>
      </c>
      <c r="B1299">
        <v>2000</v>
      </c>
      <c r="C1299" t="s">
        <v>281</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COUNT(LifeExpectancyData[[#This Row],[Life expectancy]:[Schooling]])=19</f>
        <v>1</v>
      </c>
    </row>
    <row r="1300" spans="1:23" x14ac:dyDescent="0.25">
      <c r="A1300" t="s">
        <v>357</v>
      </c>
      <c r="B1300">
        <v>2015</v>
      </c>
      <c r="C1300" t="s">
        <v>273</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COUNT(LifeExpectancyData[[#This Row],[Life expectancy]:[Schooling]])=19</f>
        <v>0</v>
      </c>
    </row>
    <row r="1301" spans="1:23" x14ac:dyDescent="0.25">
      <c r="A1301" t="s">
        <v>357</v>
      </c>
      <c r="B1301">
        <v>2014</v>
      </c>
      <c r="C1301" t="s">
        <v>273</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COUNT(LifeExpectancyData[[#This Row],[Life expectancy]:[Schooling]])=19</f>
        <v>1</v>
      </c>
    </row>
    <row r="1302" spans="1:23" x14ac:dyDescent="0.25">
      <c r="A1302" t="s">
        <v>357</v>
      </c>
      <c r="B1302">
        <v>2013</v>
      </c>
      <c r="C1302" t="s">
        <v>273</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COUNT(LifeExpectancyData[[#This Row],[Life expectancy]:[Schooling]])=19</f>
        <v>1</v>
      </c>
    </row>
    <row r="1303" spans="1:23" x14ac:dyDescent="0.25">
      <c r="A1303" t="s">
        <v>357</v>
      </c>
      <c r="B1303">
        <v>2012</v>
      </c>
      <c r="C1303" t="s">
        <v>273</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COUNT(LifeExpectancyData[[#This Row],[Life expectancy]:[Schooling]])=19</f>
        <v>1</v>
      </c>
    </row>
    <row r="1304" spans="1:23" x14ac:dyDescent="0.25">
      <c r="A1304" t="s">
        <v>357</v>
      </c>
      <c r="B1304">
        <v>2011</v>
      </c>
      <c r="C1304" t="s">
        <v>273</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COUNT(LifeExpectancyData[[#This Row],[Life expectancy]:[Schooling]])=19</f>
        <v>1</v>
      </c>
    </row>
    <row r="1305" spans="1:23" x14ac:dyDescent="0.25">
      <c r="A1305" t="s">
        <v>357</v>
      </c>
      <c r="B1305">
        <v>2010</v>
      </c>
      <c r="C1305" t="s">
        <v>273</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COUNT(LifeExpectancyData[[#This Row],[Life expectancy]:[Schooling]])=19</f>
        <v>1</v>
      </c>
    </row>
    <row r="1306" spans="1:23" x14ac:dyDescent="0.25">
      <c r="A1306" t="s">
        <v>357</v>
      </c>
      <c r="B1306">
        <v>2009</v>
      </c>
      <c r="C1306" t="s">
        <v>273</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COUNT(LifeExpectancyData[[#This Row],[Life expectancy]:[Schooling]])=19</f>
        <v>1</v>
      </c>
    </row>
    <row r="1307" spans="1:23" x14ac:dyDescent="0.25">
      <c r="A1307" t="s">
        <v>357</v>
      </c>
      <c r="B1307">
        <v>2008</v>
      </c>
      <c r="C1307" t="s">
        <v>273</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COUNT(LifeExpectancyData[[#This Row],[Life expectancy]:[Schooling]])=19</f>
        <v>1</v>
      </c>
    </row>
    <row r="1308" spans="1:23" x14ac:dyDescent="0.25">
      <c r="A1308" t="s">
        <v>357</v>
      </c>
      <c r="B1308">
        <v>2007</v>
      </c>
      <c r="C1308" t="s">
        <v>273</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COUNT(LifeExpectancyData[[#This Row],[Life expectancy]:[Schooling]])=19</f>
        <v>1</v>
      </c>
    </row>
    <row r="1309" spans="1:23" x14ac:dyDescent="0.25">
      <c r="A1309" t="s">
        <v>357</v>
      </c>
      <c r="B1309">
        <v>2006</v>
      </c>
      <c r="C1309" t="s">
        <v>273</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COUNT(LifeExpectancyData[[#This Row],[Life expectancy]:[Schooling]])=19</f>
        <v>1</v>
      </c>
    </row>
    <row r="1310" spans="1:23" x14ac:dyDescent="0.25">
      <c r="A1310" t="s">
        <v>357</v>
      </c>
      <c r="B1310">
        <v>2005</v>
      </c>
      <c r="C1310" t="s">
        <v>273</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COUNT(LifeExpectancyData[[#This Row],[Life expectancy]:[Schooling]])=19</f>
        <v>1</v>
      </c>
    </row>
    <row r="1311" spans="1:23" x14ac:dyDescent="0.25">
      <c r="A1311" t="s">
        <v>357</v>
      </c>
      <c r="B1311">
        <v>2004</v>
      </c>
      <c r="C1311" t="s">
        <v>273</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COUNT(LifeExpectancyData[[#This Row],[Life expectancy]:[Schooling]])=19</f>
        <v>1</v>
      </c>
    </row>
    <row r="1312" spans="1:23" x14ac:dyDescent="0.25">
      <c r="A1312" t="s">
        <v>357</v>
      </c>
      <c r="B1312">
        <v>2003</v>
      </c>
      <c r="C1312" t="s">
        <v>273</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COUNT(LifeExpectancyData[[#This Row],[Life expectancy]:[Schooling]])=19</f>
        <v>1</v>
      </c>
    </row>
    <row r="1313" spans="1:23" x14ac:dyDescent="0.25">
      <c r="A1313" t="s">
        <v>357</v>
      </c>
      <c r="B1313">
        <v>2002</v>
      </c>
      <c r="C1313" t="s">
        <v>273</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COUNT(LifeExpectancyData[[#This Row],[Life expectancy]:[Schooling]])=19</f>
        <v>0</v>
      </c>
    </row>
    <row r="1314" spans="1:23" x14ac:dyDescent="0.25">
      <c r="A1314" t="s">
        <v>357</v>
      </c>
      <c r="B1314">
        <v>2001</v>
      </c>
      <c r="C1314" t="s">
        <v>273</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COUNT(LifeExpectancyData[[#This Row],[Life expectancy]:[Schooling]])=19</f>
        <v>0</v>
      </c>
    </row>
    <row r="1315" spans="1:23" x14ac:dyDescent="0.25">
      <c r="A1315" t="s">
        <v>357</v>
      </c>
      <c r="B1315">
        <v>2000</v>
      </c>
      <c r="C1315" t="s">
        <v>273</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COUNT(LifeExpectancyData[[#This Row],[Life expectancy]:[Schooling]])=19</f>
        <v>0</v>
      </c>
    </row>
    <row r="1316" spans="1:23" x14ac:dyDescent="0.25">
      <c r="A1316" t="s">
        <v>358</v>
      </c>
      <c r="B1316">
        <v>2015</v>
      </c>
      <c r="C1316" t="s">
        <v>281</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COUNT(LifeExpectancyData[[#This Row],[Life expectancy]:[Schooling]])=19</f>
        <v>0</v>
      </c>
    </row>
    <row r="1317" spans="1:23" x14ac:dyDescent="0.25">
      <c r="A1317" t="s">
        <v>358</v>
      </c>
      <c r="B1317">
        <v>2014</v>
      </c>
      <c r="C1317" t="s">
        <v>281</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COUNT(LifeExpectancyData[[#This Row],[Life expectancy]:[Schooling]])=19</f>
        <v>0</v>
      </c>
    </row>
    <row r="1318" spans="1:23" x14ac:dyDescent="0.25">
      <c r="A1318" t="s">
        <v>358</v>
      </c>
      <c r="B1318">
        <v>2013</v>
      </c>
      <c r="C1318" t="s">
        <v>281</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COUNT(LifeExpectancyData[[#This Row],[Life expectancy]:[Schooling]])=19</f>
        <v>0</v>
      </c>
    </row>
    <row r="1319" spans="1:23" x14ac:dyDescent="0.25">
      <c r="A1319" t="s">
        <v>358</v>
      </c>
      <c r="B1319">
        <v>2012</v>
      </c>
      <c r="C1319" t="s">
        <v>281</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COUNT(LifeExpectancyData[[#This Row],[Life expectancy]:[Schooling]])=19</f>
        <v>0</v>
      </c>
    </row>
    <row r="1320" spans="1:23" x14ac:dyDescent="0.25">
      <c r="A1320" t="s">
        <v>358</v>
      </c>
      <c r="B1320">
        <v>2011</v>
      </c>
      <c r="C1320" t="s">
        <v>281</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COUNT(LifeExpectancyData[[#This Row],[Life expectancy]:[Schooling]])=19</f>
        <v>0</v>
      </c>
    </row>
    <row r="1321" spans="1:23" x14ac:dyDescent="0.25">
      <c r="A1321" t="s">
        <v>358</v>
      </c>
      <c r="B1321">
        <v>2010</v>
      </c>
      <c r="C1321" t="s">
        <v>281</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COUNT(LifeExpectancyData[[#This Row],[Life expectancy]:[Schooling]])=19</f>
        <v>0</v>
      </c>
    </row>
    <row r="1322" spans="1:23" x14ac:dyDescent="0.25">
      <c r="A1322" t="s">
        <v>358</v>
      </c>
      <c r="B1322">
        <v>2009</v>
      </c>
      <c r="C1322" t="s">
        <v>281</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COUNT(LifeExpectancyData[[#This Row],[Life expectancy]:[Schooling]])=19</f>
        <v>0</v>
      </c>
    </row>
    <row r="1323" spans="1:23" x14ac:dyDescent="0.25">
      <c r="A1323" t="s">
        <v>358</v>
      </c>
      <c r="B1323">
        <v>2008</v>
      </c>
      <c r="C1323" t="s">
        <v>281</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COUNT(LifeExpectancyData[[#This Row],[Life expectancy]:[Schooling]])=19</f>
        <v>0</v>
      </c>
    </row>
    <row r="1324" spans="1:23" x14ac:dyDescent="0.25">
      <c r="A1324" t="s">
        <v>358</v>
      </c>
      <c r="B1324">
        <v>2007</v>
      </c>
      <c r="C1324" t="s">
        <v>281</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COUNT(LifeExpectancyData[[#This Row],[Life expectancy]:[Schooling]])=19</f>
        <v>0</v>
      </c>
    </row>
    <row r="1325" spans="1:23" x14ac:dyDescent="0.25">
      <c r="A1325" t="s">
        <v>358</v>
      </c>
      <c r="B1325">
        <v>2006</v>
      </c>
      <c r="C1325" t="s">
        <v>281</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COUNT(LifeExpectancyData[[#This Row],[Life expectancy]:[Schooling]])=19</f>
        <v>0</v>
      </c>
    </row>
    <row r="1326" spans="1:23" x14ac:dyDescent="0.25">
      <c r="A1326" t="s">
        <v>358</v>
      </c>
      <c r="B1326">
        <v>2005</v>
      </c>
      <c r="C1326" t="s">
        <v>281</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COUNT(LifeExpectancyData[[#This Row],[Life expectancy]:[Schooling]])=19</f>
        <v>0</v>
      </c>
    </row>
    <row r="1327" spans="1:23" x14ac:dyDescent="0.25">
      <c r="A1327" t="s">
        <v>358</v>
      </c>
      <c r="B1327">
        <v>2004</v>
      </c>
      <c r="C1327" t="s">
        <v>281</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COUNT(LifeExpectancyData[[#This Row],[Life expectancy]:[Schooling]])=19</f>
        <v>0</v>
      </c>
    </row>
    <row r="1328" spans="1:23" x14ac:dyDescent="0.25">
      <c r="A1328" t="s">
        <v>358</v>
      </c>
      <c r="B1328">
        <v>2003</v>
      </c>
      <c r="C1328" t="s">
        <v>281</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COUNT(LifeExpectancyData[[#This Row],[Life expectancy]:[Schooling]])=19</f>
        <v>0</v>
      </c>
    </row>
    <row r="1329" spans="1:23" x14ac:dyDescent="0.25">
      <c r="A1329" t="s">
        <v>358</v>
      </c>
      <c r="B1329">
        <v>2002</v>
      </c>
      <c r="C1329" t="s">
        <v>281</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COUNT(LifeExpectancyData[[#This Row],[Life expectancy]:[Schooling]])=19</f>
        <v>0</v>
      </c>
    </row>
    <row r="1330" spans="1:23" x14ac:dyDescent="0.25">
      <c r="A1330" t="s">
        <v>358</v>
      </c>
      <c r="B1330">
        <v>2001</v>
      </c>
      <c r="C1330" t="s">
        <v>281</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COUNT(LifeExpectancyData[[#This Row],[Life expectancy]:[Schooling]])=19</f>
        <v>0</v>
      </c>
    </row>
    <row r="1331" spans="1:23" x14ac:dyDescent="0.25">
      <c r="A1331" t="s">
        <v>358</v>
      </c>
      <c r="B1331">
        <v>2000</v>
      </c>
      <c r="C1331" t="s">
        <v>281</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COUNT(LifeExpectancyData[[#This Row],[Life expectancy]:[Schooling]])=19</f>
        <v>0</v>
      </c>
    </row>
    <row r="1332" spans="1:23" x14ac:dyDescent="0.25">
      <c r="A1332" t="s">
        <v>359</v>
      </c>
      <c r="B1332">
        <v>2015</v>
      </c>
      <c r="C1332" t="s">
        <v>273</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COUNT(LifeExpectancyData[[#This Row],[Life expectancy]:[Schooling]])=19</f>
        <v>0</v>
      </c>
    </row>
    <row r="1333" spans="1:23" x14ac:dyDescent="0.25">
      <c r="A1333" t="s">
        <v>359</v>
      </c>
      <c r="B1333">
        <v>2014</v>
      </c>
      <c r="C1333" t="s">
        <v>273</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COUNT(LifeExpectancyData[[#This Row],[Life expectancy]:[Schooling]])=19</f>
        <v>1</v>
      </c>
    </row>
    <row r="1334" spans="1:23" x14ac:dyDescent="0.25">
      <c r="A1334" t="s">
        <v>359</v>
      </c>
      <c r="B1334">
        <v>2013</v>
      </c>
      <c r="C1334" t="s">
        <v>273</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COUNT(LifeExpectancyData[[#This Row],[Life expectancy]:[Schooling]])=19</f>
        <v>1</v>
      </c>
    </row>
    <row r="1335" spans="1:23" x14ac:dyDescent="0.25">
      <c r="A1335" t="s">
        <v>359</v>
      </c>
      <c r="B1335">
        <v>2012</v>
      </c>
      <c r="C1335" t="s">
        <v>273</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COUNT(LifeExpectancyData[[#This Row],[Life expectancy]:[Schooling]])=19</f>
        <v>1</v>
      </c>
    </row>
    <row r="1336" spans="1:23" x14ac:dyDescent="0.25">
      <c r="A1336" t="s">
        <v>359</v>
      </c>
      <c r="B1336">
        <v>2011</v>
      </c>
      <c r="C1336" t="s">
        <v>273</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COUNT(LifeExpectancyData[[#This Row],[Life expectancy]:[Schooling]])=19</f>
        <v>1</v>
      </c>
    </row>
    <row r="1337" spans="1:23" x14ac:dyDescent="0.25">
      <c r="A1337" t="s">
        <v>359</v>
      </c>
      <c r="B1337">
        <v>2010</v>
      </c>
      <c r="C1337" t="s">
        <v>273</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COUNT(LifeExpectancyData[[#This Row],[Life expectancy]:[Schooling]])=19</f>
        <v>1</v>
      </c>
    </row>
    <row r="1338" spans="1:23" x14ac:dyDescent="0.25">
      <c r="A1338" t="s">
        <v>359</v>
      </c>
      <c r="B1338">
        <v>2009</v>
      </c>
      <c r="C1338" t="s">
        <v>273</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COUNT(LifeExpectancyData[[#This Row],[Life expectancy]:[Schooling]])=19</f>
        <v>1</v>
      </c>
    </row>
    <row r="1339" spans="1:23" x14ac:dyDescent="0.25">
      <c r="A1339" t="s">
        <v>359</v>
      </c>
      <c r="B1339">
        <v>2008</v>
      </c>
      <c r="C1339" t="s">
        <v>273</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COUNT(LifeExpectancyData[[#This Row],[Life expectancy]:[Schooling]])=19</f>
        <v>1</v>
      </c>
    </row>
    <row r="1340" spans="1:23" x14ac:dyDescent="0.25">
      <c r="A1340" t="s">
        <v>359</v>
      </c>
      <c r="B1340">
        <v>2007</v>
      </c>
      <c r="C1340" t="s">
        <v>273</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COUNT(LifeExpectancyData[[#This Row],[Life expectancy]:[Schooling]])=19</f>
        <v>1</v>
      </c>
    </row>
    <row r="1341" spans="1:23" x14ac:dyDescent="0.25">
      <c r="A1341" t="s">
        <v>359</v>
      </c>
      <c r="B1341">
        <v>2006</v>
      </c>
      <c r="C1341" t="s">
        <v>273</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COUNT(LifeExpectancyData[[#This Row],[Life expectancy]:[Schooling]])=19</f>
        <v>1</v>
      </c>
    </row>
    <row r="1342" spans="1:23" x14ac:dyDescent="0.25">
      <c r="A1342" t="s">
        <v>359</v>
      </c>
      <c r="B1342">
        <v>2005</v>
      </c>
      <c r="C1342" t="s">
        <v>273</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COUNT(LifeExpectancyData[[#This Row],[Life expectancy]:[Schooling]])=19</f>
        <v>1</v>
      </c>
    </row>
    <row r="1343" spans="1:23" x14ac:dyDescent="0.25">
      <c r="A1343" t="s">
        <v>359</v>
      </c>
      <c r="B1343">
        <v>2004</v>
      </c>
      <c r="C1343" t="s">
        <v>273</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COUNT(LifeExpectancyData[[#This Row],[Life expectancy]:[Schooling]])=19</f>
        <v>1</v>
      </c>
    </row>
    <row r="1344" spans="1:23" x14ac:dyDescent="0.25">
      <c r="A1344" t="s">
        <v>359</v>
      </c>
      <c r="B1344">
        <v>2003</v>
      </c>
      <c r="C1344" t="s">
        <v>273</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COUNT(LifeExpectancyData[[#This Row],[Life expectancy]:[Schooling]])=19</f>
        <v>1</v>
      </c>
    </row>
    <row r="1345" spans="1:23" x14ac:dyDescent="0.25">
      <c r="A1345" t="s">
        <v>359</v>
      </c>
      <c r="B1345">
        <v>2002</v>
      </c>
      <c r="C1345" t="s">
        <v>273</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COUNT(LifeExpectancyData[[#This Row],[Life expectancy]:[Schooling]])=19</f>
        <v>1</v>
      </c>
    </row>
    <row r="1346" spans="1:23" x14ac:dyDescent="0.25">
      <c r="A1346" t="s">
        <v>359</v>
      </c>
      <c r="B1346">
        <v>2001</v>
      </c>
      <c r="C1346" t="s">
        <v>273</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COUNT(LifeExpectancyData[[#This Row],[Life expectancy]:[Schooling]])=19</f>
        <v>1</v>
      </c>
    </row>
    <row r="1347" spans="1:23" x14ac:dyDescent="0.25">
      <c r="A1347" t="s">
        <v>359</v>
      </c>
      <c r="B1347">
        <v>2000</v>
      </c>
      <c r="C1347" t="s">
        <v>273</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COUNT(LifeExpectancyData[[#This Row],[Life expectancy]:[Schooling]])=19</f>
        <v>1</v>
      </c>
    </row>
    <row r="1348" spans="1:23" x14ac:dyDescent="0.25">
      <c r="A1348" t="s">
        <v>360</v>
      </c>
      <c r="B1348">
        <v>2015</v>
      </c>
      <c r="C1348" t="s">
        <v>273</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COUNT(LifeExpectancyData[[#This Row],[Life expectancy]:[Schooling]])=19</f>
        <v>0</v>
      </c>
    </row>
    <row r="1349" spans="1:23" x14ac:dyDescent="0.25">
      <c r="A1349" t="s">
        <v>360</v>
      </c>
      <c r="B1349">
        <v>2014</v>
      </c>
      <c r="C1349" t="s">
        <v>273</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COUNT(LifeExpectancyData[[#This Row],[Life expectancy]:[Schooling]])=19</f>
        <v>1</v>
      </c>
    </row>
    <row r="1350" spans="1:23" x14ac:dyDescent="0.25">
      <c r="A1350" t="s">
        <v>360</v>
      </c>
      <c r="B1350">
        <v>2013</v>
      </c>
      <c r="C1350" t="s">
        <v>273</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COUNT(LifeExpectancyData[[#This Row],[Life expectancy]:[Schooling]])=19</f>
        <v>1</v>
      </c>
    </row>
    <row r="1351" spans="1:23" x14ac:dyDescent="0.25">
      <c r="A1351" t="s">
        <v>360</v>
      </c>
      <c r="B1351">
        <v>2012</v>
      </c>
      <c r="C1351" t="s">
        <v>273</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COUNT(LifeExpectancyData[[#This Row],[Life expectancy]:[Schooling]])=19</f>
        <v>1</v>
      </c>
    </row>
    <row r="1352" spans="1:23" x14ac:dyDescent="0.25">
      <c r="A1352" t="s">
        <v>360</v>
      </c>
      <c r="B1352">
        <v>2011</v>
      </c>
      <c r="C1352" t="s">
        <v>273</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COUNT(LifeExpectancyData[[#This Row],[Life expectancy]:[Schooling]])=19</f>
        <v>1</v>
      </c>
    </row>
    <row r="1353" spans="1:23" x14ac:dyDescent="0.25">
      <c r="A1353" t="s">
        <v>360</v>
      </c>
      <c r="B1353">
        <v>2010</v>
      </c>
      <c r="C1353" t="s">
        <v>273</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COUNT(LifeExpectancyData[[#This Row],[Life expectancy]:[Schooling]])=19</f>
        <v>1</v>
      </c>
    </row>
    <row r="1354" spans="1:23" x14ac:dyDescent="0.25">
      <c r="A1354" t="s">
        <v>360</v>
      </c>
      <c r="B1354">
        <v>2009</v>
      </c>
      <c r="C1354" t="s">
        <v>273</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COUNT(LifeExpectancyData[[#This Row],[Life expectancy]:[Schooling]])=19</f>
        <v>1</v>
      </c>
    </row>
    <row r="1355" spans="1:23" x14ac:dyDescent="0.25">
      <c r="A1355" t="s">
        <v>360</v>
      </c>
      <c r="B1355">
        <v>2008</v>
      </c>
      <c r="C1355" t="s">
        <v>273</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COUNT(LifeExpectancyData[[#This Row],[Life expectancy]:[Schooling]])=19</f>
        <v>1</v>
      </c>
    </row>
    <row r="1356" spans="1:23" x14ac:dyDescent="0.25">
      <c r="A1356" t="s">
        <v>360</v>
      </c>
      <c r="B1356">
        <v>2007</v>
      </c>
      <c r="C1356" t="s">
        <v>273</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COUNT(LifeExpectancyData[[#This Row],[Life expectancy]:[Schooling]])=19</f>
        <v>1</v>
      </c>
    </row>
    <row r="1357" spans="1:23" x14ac:dyDescent="0.25">
      <c r="A1357" t="s">
        <v>360</v>
      </c>
      <c r="B1357">
        <v>2006</v>
      </c>
      <c r="C1357" t="s">
        <v>273</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COUNT(LifeExpectancyData[[#This Row],[Life expectancy]:[Schooling]])=19</f>
        <v>1</v>
      </c>
    </row>
    <row r="1358" spans="1:23" x14ac:dyDescent="0.25">
      <c r="A1358" t="s">
        <v>360</v>
      </c>
      <c r="B1358">
        <v>2005</v>
      </c>
      <c r="C1358" t="s">
        <v>273</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COUNT(LifeExpectancyData[[#This Row],[Life expectancy]:[Schooling]])=19</f>
        <v>1</v>
      </c>
    </row>
    <row r="1359" spans="1:23" x14ac:dyDescent="0.25">
      <c r="A1359" t="s">
        <v>360</v>
      </c>
      <c r="B1359">
        <v>2004</v>
      </c>
      <c r="C1359" t="s">
        <v>273</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COUNT(LifeExpectancyData[[#This Row],[Life expectancy]:[Schooling]])=19</f>
        <v>1</v>
      </c>
    </row>
    <row r="1360" spans="1:23" x14ac:dyDescent="0.25">
      <c r="A1360" t="s">
        <v>360</v>
      </c>
      <c r="B1360">
        <v>2003</v>
      </c>
      <c r="C1360" t="s">
        <v>273</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COUNT(LifeExpectancyData[[#This Row],[Life expectancy]:[Schooling]])=19</f>
        <v>1</v>
      </c>
    </row>
    <row r="1361" spans="1:23" x14ac:dyDescent="0.25">
      <c r="A1361" t="s">
        <v>360</v>
      </c>
      <c r="B1361">
        <v>2002</v>
      </c>
      <c r="C1361" t="s">
        <v>273</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COUNT(LifeExpectancyData[[#This Row],[Life expectancy]:[Schooling]])=19</f>
        <v>1</v>
      </c>
    </row>
    <row r="1362" spans="1:23" x14ac:dyDescent="0.25">
      <c r="A1362" t="s">
        <v>360</v>
      </c>
      <c r="B1362">
        <v>2001</v>
      </c>
      <c r="C1362" t="s">
        <v>273</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COUNT(LifeExpectancyData[[#This Row],[Life expectancy]:[Schooling]])=19</f>
        <v>1</v>
      </c>
    </row>
    <row r="1363" spans="1:23" x14ac:dyDescent="0.25">
      <c r="A1363" t="s">
        <v>360</v>
      </c>
      <c r="B1363">
        <v>2000</v>
      </c>
      <c r="C1363" t="s">
        <v>273</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COUNT(LifeExpectancyData[[#This Row],[Life expectancy]:[Schooling]])=19</f>
        <v>1</v>
      </c>
    </row>
    <row r="1364" spans="1:23" x14ac:dyDescent="0.25">
      <c r="A1364" t="s">
        <v>361</v>
      </c>
      <c r="B1364">
        <v>2015</v>
      </c>
      <c r="C1364" t="s">
        <v>273</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COUNT(LifeExpectancyData[[#This Row],[Life expectancy]:[Schooling]])=19</f>
        <v>0</v>
      </c>
    </row>
    <row r="1365" spans="1:23" x14ac:dyDescent="0.25">
      <c r="A1365" t="s">
        <v>361</v>
      </c>
      <c r="B1365">
        <v>2014</v>
      </c>
      <c r="C1365" t="s">
        <v>273</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COUNT(LifeExpectancyData[[#This Row],[Life expectancy]:[Schooling]])=19</f>
        <v>1</v>
      </c>
    </row>
    <row r="1366" spans="1:23" x14ac:dyDescent="0.25">
      <c r="A1366" t="s">
        <v>361</v>
      </c>
      <c r="B1366">
        <v>2013</v>
      </c>
      <c r="C1366" t="s">
        <v>273</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COUNT(LifeExpectancyData[[#This Row],[Life expectancy]:[Schooling]])=19</f>
        <v>1</v>
      </c>
    </row>
    <row r="1367" spans="1:23" x14ac:dyDescent="0.25">
      <c r="A1367" t="s">
        <v>361</v>
      </c>
      <c r="B1367">
        <v>2012</v>
      </c>
      <c r="C1367" t="s">
        <v>273</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COUNT(LifeExpectancyData[[#This Row],[Life expectancy]:[Schooling]])=19</f>
        <v>1</v>
      </c>
    </row>
    <row r="1368" spans="1:23" x14ac:dyDescent="0.25">
      <c r="A1368" t="s">
        <v>361</v>
      </c>
      <c r="B1368">
        <v>2011</v>
      </c>
      <c r="C1368" t="s">
        <v>273</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COUNT(LifeExpectancyData[[#This Row],[Life expectancy]:[Schooling]])=19</f>
        <v>1</v>
      </c>
    </row>
    <row r="1369" spans="1:23" x14ac:dyDescent="0.25">
      <c r="A1369" t="s">
        <v>361</v>
      </c>
      <c r="B1369">
        <v>2010</v>
      </c>
      <c r="C1369" t="s">
        <v>273</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COUNT(LifeExpectancyData[[#This Row],[Life expectancy]:[Schooling]])=19</f>
        <v>1</v>
      </c>
    </row>
    <row r="1370" spans="1:23" x14ac:dyDescent="0.25">
      <c r="A1370" t="s">
        <v>361</v>
      </c>
      <c r="B1370">
        <v>2009</v>
      </c>
      <c r="C1370" t="s">
        <v>273</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COUNT(LifeExpectancyData[[#This Row],[Life expectancy]:[Schooling]])=19</f>
        <v>1</v>
      </c>
    </row>
    <row r="1371" spans="1:23" x14ac:dyDescent="0.25">
      <c r="A1371" t="s">
        <v>361</v>
      </c>
      <c r="B1371">
        <v>2008</v>
      </c>
      <c r="C1371" t="s">
        <v>273</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COUNT(LifeExpectancyData[[#This Row],[Life expectancy]:[Schooling]])=19</f>
        <v>1</v>
      </c>
    </row>
    <row r="1372" spans="1:23" x14ac:dyDescent="0.25">
      <c r="A1372" t="s">
        <v>361</v>
      </c>
      <c r="B1372">
        <v>2007</v>
      </c>
      <c r="C1372" t="s">
        <v>273</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COUNT(LifeExpectancyData[[#This Row],[Life expectancy]:[Schooling]])=19</f>
        <v>1</v>
      </c>
    </row>
    <row r="1373" spans="1:23" x14ac:dyDescent="0.25">
      <c r="A1373" t="s">
        <v>361</v>
      </c>
      <c r="B1373">
        <v>2006</v>
      </c>
      <c r="C1373" t="s">
        <v>273</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COUNT(LifeExpectancyData[[#This Row],[Life expectancy]:[Schooling]])=19</f>
        <v>1</v>
      </c>
    </row>
    <row r="1374" spans="1:23" x14ac:dyDescent="0.25">
      <c r="A1374" t="s">
        <v>361</v>
      </c>
      <c r="B1374">
        <v>2005</v>
      </c>
      <c r="C1374" t="s">
        <v>273</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COUNT(LifeExpectancyData[[#This Row],[Life expectancy]:[Schooling]])=19</f>
        <v>1</v>
      </c>
    </row>
    <row r="1375" spans="1:23" x14ac:dyDescent="0.25">
      <c r="A1375" t="s">
        <v>361</v>
      </c>
      <c r="B1375">
        <v>2004</v>
      </c>
      <c r="C1375" t="s">
        <v>273</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COUNT(LifeExpectancyData[[#This Row],[Life expectancy]:[Schooling]])=19</f>
        <v>1</v>
      </c>
    </row>
    <row r="1376" spans="1:23" x14ac:dyDescent="0.25">
      <c r="A1376" t="s">
        <v>361</v>
      </c>
      <c r="B1376">
        <v>2003</v>
      </c>
      <c r="C1376" t="s">
        <v>273</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COUNT(LifeExpectancyData[[#This Row],[Life expectancy]:[Schooling]])=19</f>
        <v>1</v>
      </c>
    </row>
    <row r="1377" spans="1:23" x14ac:dyDescent="0.25">
      <c r="A1377" t="s">
        <v>361</v>
      </c>
      <c r="B1377">
        <v>2002</v>
      </c>
      <c r="C1377" t="s">
        <v>273</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COUNT(LifeExpectancyData[[#This Row],[Life expectancy]:[Schooling]])=19</f>
        <v>1</v>
      </c>
    </row>
    <row r="1378" spans="1:23" x14ac:dyDescent="0.25">
      <c r="A1378" t="s">
        <v>361</v>
      </c>
      <c r="B1378">
        <v>2001</v>
      </c>
      <c r="C1378" t="s">
        <v>273</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COUNT(LifeExpectancyData[[#This Row],[Life expectancy]:[Schooling]])=19</f>
        <v>0</v>
      </c>
    </row>
    <row r="1379" spans="1:23" x14ac:dyDescent="0.25">
      <c r="A1379" t="s">
        <v>361</v>
      </c>
      <c r="B1379">
        <v>2000</v>
      </c>
      <c r="C1379" t="s">
        <v>273</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COUNT(LifeExpectancyData[[#This Row],[Life expectancy]:[Schooling]])=19</f>
        <v>0</v>
      </c>
    </row>
    <row r="1380" spans="1:23" x14ac:dyDescent="0.25">
      <c r="A1380" t="s">
        <v>362</v>
      </c>
      <c r="B1380">
        <v>2015</v>
      </c>
      <c r="C1380" t="s">
        <v>273</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COUNT(LifeExpectancyData[[#This Row],[Life expectancy]:[Schooling]])=19</f>
        <v>0</v>
      </c>
    </row>
    <row r="1381" spans="1:23" x14ac:dyDescent="0.25">
      <c r="A1381" t="s">
        <v>362</v>
      </c>
      <c r="B1381">
        <v>2014</v>
      </c>
      <c r="C1381" t="s">
        <v>273</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COUNT(LifeExpectancyData[[#This Row],[Life expectancy]:[Schooling]])=19</f>
        <v>1</v>
      </c>
    </row>
    <row r="1382" spans="1:23" x14ac:dyDescent="0.25">
      <c r="A1382" t="s">
        <v>362</v>
      </c>
      <c r="B1382">
        <v>2013</v>
      </c>
      <c r="C1382" t="s">
        <v>273</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COUNT(LifeExpectancyData[[#This Row],[Life expectancy]:[Schooling]])=19</f>
        <v>1</v>
      </c>
    </row>
    <row r="1383" spans="1:23" x14ac:dyDescent="0.25">
      <c r="A1383" t="s">
        <v>362</v>
      </c>
      <c r="B1383">
        <v>2012</v>
      </c>
      <c r="C1383" t="s">
        <v>273</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COUNT(LifeExpectancyData[[#This Row],[Life expectancy]:[Schooling]])=19</f>
        <v>1</v>
      </c>
    </row>
    <row r="1384" spans="1:23" x14ac:dyDescent="0.25">
      <c r="A1384" t="s">
        <v>362</v>
      </c>
      <c r="B1384">
        <v>2011</v>
      </c>
      <c r="C1384" t="s">
        <v>273</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COUNT(LifeExpectancyData[[#This Row],[Life expectancy]:[Schooling]])=19</f>
        <v>1</v>
      </c>
    </row>
    <row r="1385" spans="1:23" x14ac:dyDescent="0.25">
      <c r="A1385" t="s">
        <v>362</v>
      </c>
      <c r="B1385">
        <v>2010</v>
      </c>
      <c r="C1385" t="s">
        <v>273</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COUNT(LifeExpectancyData[[#This Row],[Life expectancy]:[Schooling]])=19</f>
        <v>1</v>
      </c>
    </row>
    <row r="1386" spans="1:23" x14ac:dyDescent="0.25">
      <c r="A1386" t="s">
        <v>362</v>
      </c>
      <c r="B1386">
        <v>2009</v>
      </c>
      <c r="C1386" t="s">
        <v>273</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COUNT(LifeExpectancyData[[#This Row],[Life expectancy]:[Schooling]])=19</f>
        <v>1</v>
      </c>
    </row>
    <row r="1387" spans="1:23" x14ac:dyDescent="0.25">
      <c r="A1387" t="s">
        <v>362</v>
      </c>
      <c r="B1387">
        <v>2008</v>
      </c>
      <c r="C1387" t="s">
        <v>273</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COUNT(LifeExpectancyData[[#This Row],[Life expectancy]:[Schooling]])=19</f>
        <v>1</v>
      </c>
    </row>
    <row r="1388" spans="1:23" x14ac:dyDescent="0.25">
      <c r="A1388" t="s">
        <v>362</v>
      </c>
      <c r="B1388">
        <v>2007</v>
      </c>
      <c r="C1388" t="s">
        <v>273</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COUNT(LifeExpectancyData[[#This Row],[Life expectancy]:[Schooling]])=19</f>
        <v>1</v>
      </c>
    </row>
    <row r="1389" spans="1:23" x14ac:dyDescent="0.25">
      <c r="A1389" t="s">
        <v>362</v>
      </c>
      <c r="B1389">
        <v>2006</v>
      </c>
      <c r="C1389" t="s">
        <v>273</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COUNT(LifeExpectancyData[[#This Row],[Life expectancy]:[Schooling]])=19</f>
        <v>1</v>
      </c>
    </row>
    <row r="1390" spans="1:23" x14ac:dyDescent="0.25">
      <c r="A1390" t="s">
        <v>362</v>
      </c>
      <c r="B1390">
        <v>2005</v>
      </c>
      <c r="C1390" t="s">
        <v>273</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COUNT(LifeExpectancyData[[#This Row],[Life expectancy]:[Schooling]])=19</f>
        <v>1</v>
      </c>
    </row>
    <row r="1391" spans="1:23" x14ac:dyDescent="0.25">
      <c r="A1391" t="s">
        <v>362</v>
      </c>
      <c r="B1391">
        <v>2004</v>
      </c>
      <c r="C1391" t="s">
        <v>273</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COUNT(LifeExpectancyData[[#This Row],[Life expectancy]:[Schooling]])=19</f>
        <v>1</v>
      </c>
    </row>
    <row r="1392" spans="1:23" x14ac:dyDescent="0.25">
      <c r="A1392" t="s">
        <v>362</v>
      </c>
      <c r="B1392">
        <v>2003</v>
      </c>
      <c r="C1392" t="s">
        <v>273</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COUNT(LifeExpectancyData[[#This Row],[Life expectancy]:[Schooling]])=19</f>
        <v>1</v>
      </c>
    </row>
    <row r="1393" spans="1:23" x14ac:dyDescent="0.25">
      <c r="A1393" t="s">
        <v>362</v>
      </c>
      <c r="B1393">
        <v>2002</v>
      </c>
      <c r="C1393" t="s">
        <v>273</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COUNT(LifeExpectancyData[[#This Row],[Life expectancy]:[Schooling]])=19</f>
        <v>1</v>
      </c>
    </row>
    <row r="1394" spans="1:23" x14ac:dyDescent="0.25">
      <c r="A1394" t="s">
        <v>362</v>
      </c>
      <c r="B1394">
        <v>2001</v>
      </c>
      <c r="C1394" t="s">
        <v>273</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COUNT(LifeExpectancyData[[#This Row],[Life expectancy]:[Schooling]])=19</f>
        <v>1</v>
      </c>
    </row>
    <row r="1395" spans="1:23" x14ac:dyDescent="0.25">
      <c r="A1395" t="s">
        <v>362</v>
      </c>
      <c r="B1395">
        <v>2000</v>
      </c>
      <c r="C1395" t="s">
        <v>273</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COUNT(LifeExpectancyData[[#This Row],[Life expectancy]:[Schooling]])=19</f>
        <v>1</v>
      </c>
    </row>
    <row r="1396" spans="1:23" x14ac:dyDescent="0.25">
      <c r="A1396" t="s">
        <v>363</v>
      </c>
      <c r="B1396">
        <v>2015</v>
      </c>
      <c r="C1396" t="s">
        <v>273</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COUNT(LifeExpectancyData[[#This Row],[Life expectancy]:[Schooling]])=19</f>
        <v>0</v>
      </c>
    </row>
    <row r="1397" spans="1:23" x14ac:dyDescent="0.25">
      <c r="A1397" t="s">
        <v>363</v>
      </c>
      <c r="B1397">
        <v>2014</v>
      </c>
      <c r="C1397" t="s">
        <v>273</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COUNT(LifeExpectancyData[[#This Row],[Life expectancy]:[Schooling]])=19</f>
        <v>0</v>
      </c>
    </row>
    <row r="1398" spans="1:23" x14ac:dyDescent="0.25">
      <c r="A1398" t="s">
        <v>363</v>
      </c>
      <c r="B1398">
        <v>2013</v>
      </c>
      <c r="C1398" t="s">
        <v>273</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COUNT(LifeExpectancyData[[#This Row],[Life expectancy]:[Schooling]])=19</f>
        <v>0</v>
      </c>
    </row>
    <row r="1399" spans="1:23" x14ac:dyDescent="0.25">
      <c r="A1399" t="s">
        <v>363</v>
      </c>
      <c r="B1399">
        <v>2012</v>
      </c>
      <c r="C1399" t="s">
        <v>273</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COUNT(LifeExpectancyData[[#This Row],[Life expectancy]:[Schooling]])=19</f>
        <v>0</v>
      </c>
    </row>
    <row r="1400" spans="1:23" x14ac:dyDescent="0.25">
      <c r="A1400" t="s">
        <v>363</v>
      </c>
      <c r="B1400">
        <v>2011</v>
      </c>
      <c r="C1400" t="s">
        <v>273</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COUNT(LifeExpectancyData[[#This Row],[Life expectancy]:[Schooling]])=19</f>
        <v>0</v>
      </c>
    </row>
    <row r="1401" spans="1:23" x14ac:dyDescent="0.25">
      <c r="A1401" t="s">
        <v>363</v>
      </c>
      <c r="B1401">
        <v>2010</v>
      </c>
      <c r="C1401" t="s">
        <v>273</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COUNT(LifeExpectancyData[[#This Row],[Life expectancy]:[Schooling]])=19</f>
        <v>0</v>
      </c>
    </row>
    <row r="1402" spans="1:23" x14ac:dyDescent="0.25">
      <c r="A1402" t="s">
        <v>363</v>
      </c>
      <c r="B1402">
        <v>2009</v>
      </c>
      <c r="C1402" t="s">
        <v>273</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COUNT(LifeExpectancyData[[#This Row],[Life expectancy]:[Schooling]])=19</f>
        <v>0</v>
      </c>
    </row>
    <row r="1403" spans="1:23" x14ac:dyDescent="0.25">
      <c r="A1403" t="s">
        <v>363</v>
      </c>
      <c r="B1403">
        <v>2008</v>
      </c>
      <c r="C1403" t="s">
        <v>273</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COUNT(LifeExpectancyData[[#This Row],[Life expectancy]:[Schooling]])=19</f>
        <v>0</v>
      </c>
    </row>
    <row r="1404" spans="1:23" x14ac:dyDescent="0.25">
      <c r="A1404" t="s">
        <v>363</v>
      </c>
      <c r="B1404">
        <v>2007</v>
      </c>
      <c r="C1404" t="s">
        <v>273</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COUNT(LifeExpectancyData[[#This Row],[Life expectancy]:[Schooling]])=19</f>
        <v>0</v>
      </c>
    </row>
    <row r="1405" spans="1:23" x14ac:dyDescent="0.25">
      <c r="A1405" t="s">
        <v>363</v>
      </c>
      <c r="B1405">
        <v>2006</v>
      </c>
      <c r="C1405" t="s">
        <v>273</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COUNT(LifeExpectancyData[[#This Row],[Life expectancy]:[Schooling]])=19</f>
        <v>0</v>
      </c>
    </row>
    <row r="1406" spans="1:23" x14ac:dyDescent="0.25">
      <c r="A1406" t="s">
        <v>363</v>
      </c>
      <c r="B1406">
        <v>2005</v>
      </c>
      <c r="C1406" t="s">
        <v>273</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COUNT(LifeExpectancyData[[#This Row],[Life expectancy]:[Schooling]])=19</f>
        <v>0</v>
      </c>
    </row>
    <row r="1407" spans="1:23" x14ac:dyDescent="0.25">
      <c r="A1407" t="s">
        <v>363</v>
      </c>
      <c r="B1407">
        <v>2004</v>
      </c>
      <c r="C1407" t="s">
        <v>273</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COUNT(LifeExpectancyData[[#This Row],[Life expectancy]:[Schooling]])=19</f>
        <v>0</v>
      </c>
    </row>
    <row r="1408" spans="1:23" x14ac:dyDescent="0.25">
      <c r="A1408" t="s">
        <v>363</v>
      </c>
      <c r="B1408">
        <v>2003</v>
      </c>
      <c r="C1408" t="s">
        <v>273</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COUNT(LifeExpectancyData[[#This Row],[Life expectancy]:[Schooling]])=19</f>
        <v>0</v>
      </c>
    </row>
    <row r="1409" spans="1:23" x14ac:dyDescent="0.25">
      <c r="A1409" t="s">
        <v>363</v>
      </c>
      <c r="B1409">
        <v>2002</v>
      </c>
      <c r="C1409" t="s">
        <v>273</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COUNT(LifeExpectancyData[[#This Row],[Life expectancy]:[Schooling]])=19</f>
        <v>0</v>
      </c>
    </row>
    <row r="1410" spans="1:23" x14ac:dyDescent="0.25">
      <c r="A1410" t="s">
        <v>363</v>
      </c>
      <c r="B1410">
        <v>2001</v>
      </c>
      <c r="C1410" t="s">
        <v>273</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COUNT(LifeExpectancyData[[#This Row],[Life expectancy]:[Schooling]])=19</f>
        <v>0</v>
      </c>
    </row>
    <row r="1411" spans="1:23" x14ac:dyDescent="0.25">
      <c r="A1411" t="s">
        <v>363</v>
      </c>
      <c r="B1411">
        <v>2000</v>
      </c>
      <c r="C1411" t="s">
        <v>273</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COUNT(LifeExpectancyData[[#This Row],[Life expectancy]:[Schooling]])=19</f>
        <v>0</v>
      </c>
    </row>
    <row r="1412" spans="1:23" x14ac:dyDescent="0.25">
      <c r="A1412" t="s">
        <v>364</v>
      </c>
      <c r="B1412">
        <v>2015</v>
      </c>
      <c r="C1412" t="s">
        <v>273</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COUNT(LifeExpectancyData[[#This Row],[Life expectancy]:[Schooling]])=19</f>
        <v>0</v>
      </c>
    </row>
    <row r="1413" spans="1:23" x14ac:dyDescent="0.25">
      <c r="A1413" t="s">
        <v>364</v>
      </c>
      <c r="B1413">
        <v>2014</v>
      </c>
      <c r="C1413" t="s">
        <v>273</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COUNT(LifeExpectancyData[[#This Row],[Life expectancy]:[Schooling]])=19</f>
        <v>0</v>
      </c>
    </row>
    <row r="1414" spans="1:23" x14ac:dyDescent="0.25">
      <c r="A1414" t="s">
        <v>364</v>
      </c>
      <c r="B1414">
        <v>2013</v>
      </c>
      <c r="C1414" t="s">
        <v>273</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COUNT(LifeExpectancyData[[#This Row],[Life expectancy]:[Schooling]])=19</f>
        <v>0</v>
      </c>
    </row>
    <row r="1415" spans="1:23" x14ac:dyDescent="0.25">
      <c r="A1415" t="s">
        <v>364</v>
      </c>
      <c r="B1415">
        <v>2012</v>
      </c>
      <c r="C1415" t="s">
        <v>273</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COUNT(LifeExpectancyData[[#This Row],[Life expectancy]:[Schooling]])=19</f>
        <v>0</v>
      </c>
    </row>
    <row r="1416" spans="1:23" x14ac:dyDescent="0.25">
      <c r="A1416" t="s">
        <v>364</v>
      </c>
      <c r="B1416">
        <v>2011</v>
      </c>
      <c r="C1416" t="s">
        <v>273</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COUNT(LifeExpectancyData[[#This Row],[Life expectancy]:[Schooling]])=19</f>
        <v>0</v>
      </c>
    </row>
    <row r="1417" spans="1:23" x14ac:dyDescent="0.25">
      <c r="A1417" t="s">
        <v>364</v>
      </c>
      <c r="B1417">
        <v>2010</v>
      </c>
      <c r="C1417" t="s">
        <v>273</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COUNT(LifeExpectancyData[[#This Row],[Life expectancy]:[Schooling]])=19</f>
        <v>0</v>
      </c>
    </row>
    <row r="1418" spans="1:23" x14ac:dyDescent="0.25">
      <c r="A1418" t="s">
        <v>364</v>
      </c>
      <c r="B1418">
        <v>2009</v>
      </c>
      <c r="C1418" t="s">
        <v>273</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COUNT(LifeExpectancyData[[#This Row],[Life expectancy]:[Schooling]])=19</f>
        <v>0</v>
      </c>
    </row>
    <row r="1419" spans="1:23" x14ac:dyDescent="0.25">
      <c r="A1419" t="s">
        <v>364</v>
      </c>
      <c r="B1419">
        <v>2008</v>
      </c>
      <c r="C1419" t="s">
        <v>273</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COUNT(LifeExpectancyData[[#This Row],[Life expectancy]:[Schooling]])=19</f>
        <v>0</v>
      </c>
    </row>
    <row r="1420" spans="1:23" x14ac:dyDescent="0.25">
      <c r="A1420" t="s">
        <v>364</v>
      </c>
      <c r="B1420">
        <v>2007</v>
      </c>
      <c r="C1420" t="s">
        <v>273</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COUNT(LifeExpectancyData[[#This Row],[Life expectancy]:[Schooling]])=19</f>
        <v>0</v>
      </c>
    </row>
    <row r="1421" spans="1:23" x14ac:dyDescent="0.25">
      <c r="A1421" t="s">
        <v>364</v>
      </c>
      <c r="B1421">
        <v>2006</v>
      </c>
      <c r="C1421" t="s">
        <v>273</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COUNT(LifeExpectancyData[[#This Row],[Life expectancy]:[Schooling]])=19</f>
        <v>0</v>
      </c>
    </row>
    <row r="1422" spans="1:23" x14ac:dyDescent="0.25">
      <c r="A1422" t="s">
        <v>364</v>
      </c>
      <c r="B1422">
        <v>2005</v>
      </c>
      <c r="C1422" t="s">
        <v>273</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COUNT(LifeExpectancyData[[#This Row],[Life expectancy]:[Schooling]])=19</f>
        <v>0</v>
      </c>
    </row>
    <row r="1423" spans="1:23" x14ac:dyDescent="0.25">
      <c r="A1423" t="s">
        <v>364</v>
      </c>
      <c r="B1423">
        <v>2004</v>
      </c>
      <c r="C1423" t="s">
        <v>273</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COUNT(LifeExpectancyData[[#This Row],[Life expectancy]:[Schooling]])=19</f>
        <v>0</v>
      </c>
    </row>
    <row r="1424" spans="1:23" x14ac:dyDescent="0.25">
      <c r="A1424" t="s">
        <v>364</v>
      </c>
      <c r="B1424">
        <v>2003</v>
      </c>
      <c r="C1424" t="s">
        <v>273</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COUNT(LifeExpectancyData[[#This Row],[Life expectancy]:[Schooling]])=19</f>
        <v>0</v>
      </c>
    </row>
    <row r="1425" spans="1:23" x14ac:dyDescent="0.25">
      <c r="A1425" t="s">
        <v>364</v>
      </c>
      <c r="B1425">
        <v>2002</v>
      </c>
      <c r="C1425" t="s">
        <v>273</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COUNT(LifeExpectancyData[[#This Row],[Life expectancy]:[Schooling]])=19</f>
        <v>0</v>
      </c>
    </row>
    <row r="1426" spans="1:23" x14ac:dyDescent="0.25">
      <c r="A1426" t="s">
        <v>364</v>
      </c>
      <c r="B1426">
        <v>2001</v>
      </c>
      <c r="C1426" t="s">
        <v>273</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COUNT(LifeExpectancyData[[#This Row],[Life expectancy]:[Schooling]])=19</f>
        <v>0</v>
      </c>
    </row>
    <row r="1427" spans="1:23" x14ac:dyDescent="0.25">
      <c r="A1427" t="s">
        <v>364</v>
      </c>
      <c r="B1427">
        <v>2000</v>
      </c>
      <c r="C1427" t="s">
        <v>273</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COUNT(LifeExpectancyData[[#This Row],[Life expectancy]:[Schooling]])=19</f>
        <v>0</v>
      </c>
    </row>
    <row r="1428" spans="1:23" x14ac:dyDescent="0.25">
      <c r="A1428" t="s">
        <v>365</v>
      </c>
      <c r="B1428">
        <v>2015</v>
      </c>
      <c r="C1428" t="s">
        <v>273</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COUNT(LifeExpectancyData[[#This Row],[Life expectancy]:[Schooling]])=19</f>
        <v>0</v>
      </c>
    </row>
    <row r="1429" spans="1:23" x14ac:dyDescent="0.25">
      <c r="A1429" t="s">
        <v>365</v>
      </c>
      <c r="B1429">
        <v>2014</v>
      </c>
      <c r="C1429" t="s">
        <v>273</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COUNT(LifeExpectancyData[[#This Row],[Life expectancy]:[Schooling]])=19</f>
        <v>0</v>
      </c>
    </row>
    <row r="1430" spans="1:23" x14ac:dyDescent="0.25">
      <c r="A1430" t="s">
        <v>365</v>
      </c>
      <c r="B1430">
        <v>2013</v>
      </c>
      <c r="C1430" t="s">
        <v>273</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COUNT(LifeExpectancyData[[#This Row],[Life expectancy]:[Schooling]])=19</f>
        <v>0</v>
      </c>
    </row>
    <row r="1431" spans="1:23" x14ac:dyDescent="0.25">
      <c r="A1431" t="s">
        <v>365</v>
      </c>
      <c r="B1431">
        <v>2012</v>
      </c>
      <c r="C1431" t="s">
        <v>273</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COUNT(LifeExpectancyData[[#This Row],[Life expectancy]:[Schooling]])=19</f>
        <v>0</v>
      </c>
    </row>
    <row r="1432" spans="1:23" x14ac:dyDescent="0.25">
      <c r="A1432" t="s">
        <v>365</v>
      </c>
      <c r="B1432">
        <v>2011</v>
      </c>
      <c r="C1432" t="s">
        <v>273</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COUNT(LifeExpectancyData[[#This Row],[Life expectancy]:[Schooling]])=19</f>
        <v>0</v>
      </c>
    </row>
    <row r="1433" spans="1:23" x14ac:dyDescent="0.25">
      <c r="A1433" t="s">
        <v>365</v>
      </c>
      <c r="B1433">
        <v>2010</v>
      </c>
      <c r="C1433" t="s">
        <v>273</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COUNT(LifeExpectancyData[[#This Row],[Life expectancy]:[Schooling]])=19</f>
        <v>0</v>
      </c>
    </row>
    <row r="1434" spans="1:23" x14ac:dyDescent="0.25">
      <c r="A1434" t="s">
        <v>365</v>
      </c>
      <c r="B1434">
        <v>2009</v>
      </c>
      <c r="C1434" t="s">
        <v>273</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COUNT(LifeExpectancyData[[#This Row],[Life expectancy]:[Schooling]])=19</f>
        <v>0</v>
      </c>
    </row>
    <row r="1435" spans="1:23" x14ac:dyDescent="0.25">
      <c r="A1435" t="s">
        <v>365</v>
      </c>
      <c r="B1435">
        <v>2008</v>
      </c>
      <c r="C1435" t="s">
        <v>273</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COUNT(LifeExpectancyData[[#This Row],[Life expectancy]:[Schooling]])=19</f>
        <v>0</v>
      </c>
    </row>
    <row r="1436" spans="1:23" x14ac:dyDescent="0.25">
      <c r="A1436" t="s">
        <v>365</v>
      </c>
      <c r="B1436">
        <v>2007</v>
      </c>
      <c r="C1436" t="s">
        <v>273</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COUNT(LifeExpectancyData[[#This Row],[Life expectancy]:[Schooling]])=19</f>
        <v>0</v>
      </c>
    </row>
    <row r="1437" spans="1:23" x14ac:dyDescent="0.25">
      <c r="A1437" t="s">
        <v>365</v>
      </c>
      <c r="B1437">
        <v>2006</v>
      </c>
      <c r="C1437" t="s">
        <v>273</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COUNT(LifeExpectancyData[[#This Row],[Life expectancy]:[Schooling]])=19</f>
        <v>0</v>
      </c>
    </row>
    <row r="1438" spans="1:23" x14ac:dyDescent="0.25">
      <c r="A1438" t="s">
        <v>365</v>
      </c>
      <c r="B1438">
        <v>2005</v>
      </c>
      <c r="C1438" t="s">
        <v>273</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COUNT(LifeExpectancyData[[#This Row],[Life expectancy]:[Schooling]])=19</f>
        <v>0</v>
      </c>
    </row>
    <row r="1439" spans="1:23" x14ac:dyDescent="0.25">
      <c r="A1439" t="s">
        <v>365</v>
      </c>
      <c r="B1439">
        <v>2004</v>
      </c>
      <c r="C1439" t="s">
        <v>273</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COUNT(LifeExpectancyData[[#This Row],[Life expectancy]:[Schooling]])=19</f>
        <v>0</v>
      </c>
    </row>
    <row r="1440" spans="1:23" x14ac:dyDescent="0.25">
      <c r="A1440" t="s">
        <v>365</v>
      </c>
      <c r="B1440">
        <v>2003</v>
      </c>
      <c r="C1440" t="s">
        <v>273</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COUNT(LifeExpectancyData[[#This Row],[Life expectancy]:[Schooling]])=19</f>
        <v>0</v>
      </c>
    </row>
    <row r="1441" spans="1:23" x14ac:dyDescent="0.25">
      <c r="A1441" t="s">
        <v>365</v>
      </c>
      <c r="B1441">
        <v>2002</v>
      </c>
      <c r="C1441" t="s">
        <v>273</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COUNT(LifeExpectancyData[[#This Row],[Life expectancy]:[Schooling]])=19</f>
        <v>0</v>
      </c>
    </row>
    <row r="1442" spans="1:23" x14ac:dyDescent="0.25">
      <c r="A1442" t="s">
        <v>365</v>
      </c>
      <c r="B1442">
        <v>2001</v>
      </c>
      <c r="C1442" t="s">
        <v>273</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COUNT(LifeExpectancyData[[#This Row],[Life expectancy]:[Schooling]])=19</f>
        <v>0</v>
      </c>
    </row>
    <row r="1443" spans="1:23" x14ac:dyDescent="0.25">
      <c r="A1443" t="s">
        <v>365</v>
      </c>
      <c r="B1443">
        <v>2000</v>
      </c>
      <c r="C1443" t="s">
        <v>273</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COUNT(LifeExpectancyData[[#This Row],[Life expectancy]:[Schooling]])=19</f>
        <v>0</v>
      </c>
    </row>
    <row r="1444" spans="1:23" x14ac:dyDescent="0.25">
      <c r="A1444" t="s">
        <v>366</v>
      </c>
      <c r="B1444">
        <v>2015</v>
      </c>
      <c r="C1444" t="s">
        <v>281</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COUNT(LifeExpectancyData[[#This Row],[Life expectancy]:[Schooling]])=19</f>
        <v>0</v>
      </c>
    </row>
    <row r="1445" spans="1:23" x14ac:dyDescent="0.25">
      <c r="A1445" t="s">
        <v>366</v>
      </c>
      <c r="B1445">
        <v>2014</v>
      </c>
      <c r="C1445" t="s">
        <v>281</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COUNT(LifeExpectancyData[[#This Row],[Life expectancy]:[Schooling]])=19</f>
        <v>1</v>
      </c>
    </row>
    <row r="1446" spans="1:23" x14ac:dyDescent="0.25">
      <c r="A1446" t="s">
        <v>366</v>
      </c>
      <c r="B1446">
        <v>2013</v>
      </c>
      <c r="C1446" t="s">
        <v>281</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COUNT(LifeExpectancyData[[#This Row],[Life expectancy]:[Schooling]])=19</f>
        <v>1</v>
      </c>
    </row>
    <row r="1447" spans="1:23" x14ac:dyDescent="0.25">
      <c r="A1447" t="s">
        <v>366</v>
      </c>
      <c r="B1447">
        <v>2012</v>
      </c>
      <c r="C1447" t="s">
        <v>281</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COUNT(LifeExpectancyData[[#This Row],[Life expectancy]:[Schooling]])=19</f>
        <v>1</v>
      </c>
    </row>
    <row r="1448" spans="1:23" x14ac:dyDescent="0.25">
      <c r="A1448" t="s">
        <v>366</v>
      </c>
      <c r="B1448">
        <v>2011</v>
      </c>
      <c r="C1448" t="s">
        <v>281</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COUNT(LifeExpectancyData[[#This Row],[Life expectancy]:[Schooling]])=19</f>
        <v>1</v>
      </c>
    </row>
    <row r="1449" spans="1:23" x14ac:dyDescent="0.25">
      <c r="A1449" t="s">
        <v>366</v>
      </c>
      <c r="B1449">
        <v>2010</v>
      </c>
      <c r="C1449" t="s">
        <v>281</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COUNT(LifeExpectancyData[[#This Row],[Life expectancy]:[Schooling]])=19</f>
        <v>1</v>
      </c>
    </row>
    <row r="1450" spans="1:23" x14ac:dyDescent="0.25">
      <c r="A1450" t="s">
        <v>366</v>
      </c>
      <c r="B1450">
        <v>2009</v>
      </c>
      <c r="C1450" t="s">
        <v>281</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COUNT(LifeExpectancyData[[#This Row],[Life expectancy]:[Schooling]])=19</f>
        <v>1</v>
      </c>
    </row>
    <row r="1451" spans="1:23" x14ac:dyDescent="0.25">
      <c r="A1451" t="s">
        <v>366</v>
      </c>
      <c r="B1451">
        <v>2008</v>
      </c>
      <c r="C1451" t="s">
        <v>281</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COUNT(LifeExpectancyData[[#This Row],[Life expectancy]:[Schooling]])=19</f>
        <v>1</v>
      </c>
    </row>
    <row r="1452" spans="1:23" x14ac:dyDescent="0.25">
      <c r="A1452" t="s">
        <v>366</v>
      </c>
      <c r="B1452">
        <v>2007</v>
      </c>
      <c r="C1452" t="s">
        <v>281</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COUNT(LifeExpectancyData[[#This Row],[Life expectancy]:[Schooling]])=19</f>
        <v>1</v>
      </c>
    </row>
    <row r="1453" spans="1:23" x14ac:dyDescent="0.25">
      <c r="A1453" t="s">
        <v>366</v>
      </c>
      <c r="B1453">
        <v>2006</v>
      </c>
      <c r="C1453" t="s">
        <v>281</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COUNT(LifeExpectancyData[[#This Row],[Life expectancy]:[Schooling]])=19</f>
        <v>1</v>
      </c>
    </row>
    <row r="1454" spans="1:23" x14ac:dyDescent="0.25">
      <c r="A1454" t="s">
        <v>366</v>
      </c>
      <c r="B1454">
        <v>2005</v>
      </c>
      <c r="C1454" t="s">
        <v>281</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COUNT(LifeExpectancyData[[#This Row],[Life expectancy]:[Schooling]])=19</f>
        <v>1</v>
      </c>
    </row>
    <row r="1455" spans="1:23" x14ac:dyDescent="0.25">
      <c r="A1455" t="s">
        <v>366</v>
      </c>
      <c r="B1455">
        <v>2004</v>
      </c>
      <c r="C1455" t="s">
        <v>281</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COUNT(LifeExpectancyData[[#This Row],[Life expectancy]:[Schooling]])=19</f>
        <v>1</v>
      </c>
    </row>
    <row r="1456" spans="1:23" x14ac:dyDescent="0.25">
      <c r="A1456" t="s">
        <v>366</v>
      </c>
      <c r="B1456">
        <v>2003</v>
      </c>
      <c r="C1456" t="s">
        <v>281</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COUNT(LifeExpectancyData[[#This Row],[Life expectancy]:[Schooling]])=19</f>
        <v>1</v>
      </c>
    </row>
    <row r="1457" spans="1:23" x14ac:dyDescent="0.25">
      <c r="A1457" t="s">
        <v>366</v>
      </c>
      <c r="B1457">
        <v>2002</v>
      </c>
      <c r="C1457" t="s">
        <v>281</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COUNT(LifeExpectancyData[[#This Row],[Life expectancy]:[Schooling]])=19</f>
        <v>1</v>
      </c>
    </row>
    <row r="1458" spans="1:23" x14ac:dyDescent="0.25">
      <c r="A1458" t="s">
        <v>366</v>
      </c>
      <c r="B1458">
        <v>2001</v>
      </c>
      <c r="C1458" t="s">
        <v>281</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COUNT(LifeExpectancyData[[#This Row],[Life expectancy]:[Schooling]])=19</f>
        <v>1</v>
      </c>
    </row>
    <row r="1459" spans="1:23" x14ac:dyDescent="0.25">
      <c r="A1459" t="s">
        <v>366</v>
      </c>
      <c r="B1459">
        <v>2000</v>
      </c>
      <c r="C1459" t="s">
        <v>281</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COUNT(LifeExpectancyData[[#This Row],[Life expectancy]:[Schooling]])=19</f>
        <v>1</v>
      </c>
    </row>
    <row r="1460" spans="1:23" x14ac:dyDescent="0.25">
      <c r="A1460" t="s">
        <v>367</v>
      </c>
      <c r="B1460">
        <v>2015</v>
      </c>
      <c r="C1460" t="s">
        <v>273</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COUNT(LifeExpectancyData[[#This Row],[Life expectancy]:[Schooling]])=19</f>
        <v>0</v>
      </c>
    </row>
    <row r="1461" spans="1:23" x14ac:dyDescent="0.25">
      <c r="A1461" t="s">
        <v>367</v>
      </c>
      <c r="B1461">
        <v>2014</v>
      </c>
      <c r="C1461" t="s">
        <v>273</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COUNT(LifeExpectancyData[[#This Row],[Life expectancy]:[Schooling]])=19</f>
        <v>1</v>
      </c>
    </row>
    <row r="1462" spans="1:23" x14ac:dyDescent="0.25">
      <c r="A1462" t="s">
        <v>367</v>
      </c>
      <c r="B1462">
        <v>2013</v>
      </c>
      <c r="C1462" t="s">
        <v>273</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COUNT(LifeExpectancyData[[#This Row],[Life expectancy]:[Schooling]])=19</f>
        <v>1</v>
      </c>
    </row>
    <row r="1463" spans="1:23" x14ac:dyDescent="0.25">
      <c r="A1463" t="s">
        <v>367</v>
      </c>
      <c r="B1463">
        <v>2012</v>
      </c>
      <c r="C1463" t="s">
        <v>273</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COUNT(LifeExpectancyData[[#This Row],[Life expectancy]:[Schooling]])=19</f>
        <v>1</v>
      </c>
    </row>
    <row r="1464" spans="1:23" x14ac:dyDescent="0.25">
      <c r="A1464" t="s">
        <v>367</v>
      </c>
      <c r="B1464">
        <v>2011</v>
      </c>
      <c r="C1464" t="s">
        <v>273</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COUNT(LifeExpectancyData[[#This Row],[Life expectancy]:[Schooling]])=19</f>
        <v>1</v>
      </c>
    </row>
    <row r="1465" spans="1:23" x14ac:dyDescent="0.25">
      <c r="A1465" t="s">
        <v>367</v>
      </c>
      <c r="B1465">
        <v>2010</v>
      </c>
      <c r="C1465" t="s">
        <v>273</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COUNT(LifeExpectancyData[[#This Row],[Life expectancy]:[Schooling]])=19</f>
        <v>1</v>
      </c>
    </row>
    <row r="1466" spans="1:23" x14ac:dyDescent="0.25">
      <c r="A1466" t="s">
        <v>367</v>
      </c>
      <c r="B1466">
        <v>2009</v>
      </c>
      <c r="C1466" t="s">
        <v>273</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COUNT(LifeExpectancyData[[#This Row],[Life expectancy]:[Schooling]])=19</f>
        <v>1</v>
      </c>
    </row>
    <row r="1467" spans="1:23" x14ac:dyDescent="0.25">
      <c r="A1467" t="s">
        <v>367</v>
      </c>
      <c r="B1467">
        <v>2008</v>
      </c>
      <c r="C1467" t="s">
        <v>273</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COUNT(LifeExpectancyData[[#This Row],[Life expectancy]:[Schooling]])=19</f>
        <v>1</v>
      </c>
    </row>
    <row r="1468" spans="1:23" x14ac:dyDescent="0.25">
      <c r="A1468" t="s">
        <v>367</v>
      </c>
      <c r="B1468">
        <v>2007</v>
      </c>
      <c r="C1468" t="s">
        <v>273</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COUNT(LifeExpectancyData[[#This Row],[Life expectancy]:[Schooling]])=19</f>
        <v>1</v>
      </c>
    </row>
    <row r="1469" spans="1:23" x14ac:dyDescent="0.25">
      <c r="A1469" t="s">
        <v>367</v>
      </c>
      <c r="B1469">
        <v>2006</v>
      </c>
      <c r="C1469" t="s">
        <v>273</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COUNT(LifeExpectancyData[[#This Row],[Life expectancy]:[Schooling]])=19</f>
        <v>1</v>
      </c>
    </row>
    <row r="1470" spans="1:23" x14ac:dyDescent="0.25">
      <c r="A1470" t="s">
        <v>367</v>
      </c>
      <c r="B1470">
        <v>2005</v>
      </c>
      <c r="C1470" t="s">
        <v>273</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COUNT(LifeExpectancyData[[#This Row],[Life expectancy]:[Schooling]])=19</f>
        <v>1</v>
      </c>
    </row>
    <row r="1471" spans="1:23" x14ac:dyDescent="0.25">
      <c r="A1471" t="s">
        <v>367</v>
      </c>
      <c r="B1471">
        <v>2004</v>
      </c>
      <c r="C1471" t="s">
        <v>273</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COUNT(LifeExpectancyData[[#This Row],[Life expectancy]:[Schooling]])=19</f>
        <v>1</v>
      </c>
    </row>
    <row r="1472" spans="1:23" x14ac:dyDescent="0.25">
      <c r="A1472" t="s">
        <v>367</v>
      </c>
      <c r="B1472">
        <v>2003</v>
      </c>
      <c r="C1472" t="s">
        <v>273</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COUNT(LifeExpectancyData[[#This Row],[Life expectancy]:[Schooling]])=19</f>
        <v>1</v>
      </c>
    </row>
    <row r="1473" spans="1:23" x14ac:dyDescent="0.25">
      <c r="A1473" t="s">
        <v>367</v>
      </c>
      <c r="B1473">
        <v>2002</v>
      </c>
      <c r="C1473" t="s">
        <v>273</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COUNT(LifeExpectancyData[[#This Row],[Life expectancy]:[Schooling]])=19</f>
        <v>1</v>
      </c>
    </row>
    <row r="1474" spans="1:23" x14ac:dyDescent="0.25">
      <c r="A1474" t="s">
        <v>367</v>
      </c>
      <c r="B1474">
        <v>2001</v>
      </c>
      <c r="C1474" t="s">
        <v>273</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COUNT(LifeExpectancyData[[#This Row],[Life expectancy]:[Schooling]])=19</f>
        <v>1</v>
      </c>
    </row>
    <row r="1475" spans="1:23" x14ac:dyDescent="0.25">
      <c r="A1475" t="s">
        <v>367</v>
      </c>
      <c r="B1475">
        <v>2000</v>
      </c>
      <c r="C1475" t="s">
        <v>273</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COUNT(LifeExpectancyData[[#This Row],[Life expectancy]:[Schooling]])=19</f>
        <v>1</v>
      </c>
    </row>
    <row r="1476" spans="1:23" x14ac:dyDescent="0.25">
      <c r="A1476" t="s">
        <v>368</v>
      </c>
      <c r="B1476">
        <v>2015</v>
      </c>
      <c r="C1476" t="s">
        <v>273</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COUNT(LifeExpectancyData[[#This Row],[Life expectancy]:[Schooling]])=19</f>
        <v>0</v>
      </c>
    </row>
    <row r="1477" spans="1:23" x14ac:dyDescent="0.25">
      <c r="A1477" t="s">
        <v>368</v>
      </c>
      <c r="B1477">
        <v>2014</v>
      </c>
      <c r="C1477" t="s">
        <v>273</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COUNT(LifeExpectancyData[[#This Row],[Life expectancy]:[Schooling]])=19</f>
        <v>1</v>
      </c>
    </row>
    <row r="1478" spans="1:23" x14ac:dyDescent="0.25">
      <c r="A1478" t="s">
        <v>368</v>
      </c>
      <c r="B1478">
        <v>2013</v>
      </c>
      <c r="C1478" t="s">
        <v>273</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COUNT(LifeExpectancyData[[#This Row],[Life expectancy]:[Schooling]])=19</f>
        <v>1</v>
      </c>
    </row>
    <row r="1479" spans="1:23" x14ac:dyDescent="0.25">
      <c r="A1479" t="s">
        <v>368</v>
      </c>
      <c r="B1479">
        <v>2012</v>
      </c>
      <c r="C1479" t="s">
        <v>273</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COUNT(LifeExpectancyData[[#This Row],[Life expectancy]:[Schooling]])=19</f>
        <v>1</v>
      </c>
    </row>
    <row r="1480" spans="1:23" x14ac:dyDescent="0.25">
      <c r="A1480" t="s">
        <v>368</v>
      </c>
      <c r="B1480">
        <v>2011</v>
      </c>
      <c r="C1480" t="s">
        <v>273</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COUNT(LifeExpectancyData[[#This Row],[Life expectancy]:[Schooling]])=19</f>
        <v>1</v>
      </c>
    </row>
    <row r="1481" spans="1:23" x14ac:dyDescent="0.25">
      <c r="A1481" t="s">
        <v>368</v>
      </c>
      <c r="B1481">
        <v>2010</v>
      </c>
      <c r="C1481" t="s">
        <v>273</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COUNT(LifeExpectancyData[[#This Row],[Life expectancy]:[Schooling]])=19</f>
        <v>1</v>
      </c>
    </row>
    <row r="1482" spans="1:23" x14ac:dyDescent="0.25">
      <c r="A1482" t="s">
        <v>368</v>
      </c>
      <c r="B1482">
        <v>2009</v>
      </c>
      <c r="C1482" t="s">
        <v>273</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COUNT(LifeExpectancyData[[#This Row],[Life expectancy]:[Schooling]])=19</f>
        <v>1</v>
      </c>
    </row>
    <row r="1483" spans="1:23" x14ac:dyDescent="0.25">
      <c r="A1483" t="s">
        <v>368</v>
      </c>
      <c r="B1483">
        <v>2008</v>
      </c>
      <c r="C1483" t="s">
        <v>273</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COUNT(LifeExpectancyData[[#This Row],[Life expectancy]:[Schooling]])=19</f>
        <v>1</v>
      </c>
    </row>
    <row r="1484" spans="1:23" x14ac:dyDescent="0.25">
      <c r="A1484" t="s">
        <v>368</v>
      </c>
      <c r="B1484">
        <v>2007</v>
      </c>
      <c r="C1484" t="s">
        <v>273</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COUNT(LifeExpectancyData[[#This Row],[Life expectancy]:[Schooling]])=19</f>
        <v>1</v>
      </c>
    </row>
    <row r="1485" spans="1:23" x14ac:dyDescent="0.25">
      <c r="A1485" t="s">
        <v>368</v>
      </c>
      <c r="B1485">
        <v>2006</v>
      </c>
      <c r="C1485" t="s">
        <v>273</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COUNT(LifeExpectancyData[[#This Row],[Life expectancy]:[Schooling]])=19</f>
        <v>1</v>
      </c>
    </row>
    <row r="1486" spans="1:23" x14ac:dyDescent="0.25">
      <c r="A1486" t="s">
        <v>368</v>
      </c>
      <c r="B1486">
        <v>2005</v>
      </c>
      <c r="C1486" t="s">
        <v>273</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COUNT(LifeExpectancyData[[#This Row],[Life expectancy]:[Schooling]])=19</f>
        <v>1</v>
      </c>
    </row>
    <row r="1487" spans="1:23" x14ac:dyDescent="0.25">
      <c r="A1487" t="s">
        <v>368</v>
      </c>
      <c r="B1487">
        <v>2004</v>
      </c>
      <c r="C1487" t="s">
        <v>273</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COUNT(LifeExpectancyData[[#This Row],[Life expectancy]:[Schooling]])=19</f>
        <v>1</v>
      </c>
    </row>
    <row r="1488" spans="1:23" x14ac:dyDescent="0.25">
      <c r="A1488" t="s">
        <v>368</v>
      </c>
      <c r="B1488">
        <v>2003</v>
      </c>
      <c r="C1488" t="s">
        <v>273</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COUNT(LifeExpectancyData[[#This Row],[Life expectancy]:[Schooling]])=19</f>
        <v>1</v>
      </c>
    </row>
    <row r="1489" spans="1:23" x14ac:dyDescent="0.25">
      <c r="A1489" t="s">
        <v>368</v>
      </c>
      <c r="B1489">
        <v>2002</v>
      </c>
      <c r="C1489" t="s">
        <v>273</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COUNT(LifeExpectancyData[[#This Row],[Life expectancy]:[Schooling]])=19</f>
        <v>0</v>
      </c>
    </row>
    <row r="1490" spans="1:23" x14ac:dyDescent="0.25">
      <c r="A1490" t="s">
        <v>368</v>
      </c>
      <c r="B1490">
        <v>2001</v>
      </c>
      <c r="C1490" t="s">
        <v>273</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COUNT(LifeExpectancyData[[#This Row],[Life expectancy]:[Schooling]])=19</f>
        <v>0</v>
      </c>
    </row>
    <row r="1491" spans="1:23" x14ac:dyDescent="0.25">
      <c r="A1491" t="s">
        <v>368</v>
      </c>
      <c r="B1491">
        <v>2000</v>
      </c>
      <c r="C1491" t="s">
        <v>273</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COUNT(LifeExpectancyData[[#This Row],[Life expectancy]:[Schooling]])=19</f>
        <v>0</v>
      </c>
    </row>
    <row r="1492" spans="1:23" x14ac:dyDescent="0.25">
      <c r="A1492" t="s">
        <v>369</v>
      </c>
      <c r="B1492">
        <v>2015</v>
      </c>
      <c r="C1492" t="s">
        <v>273</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COUNT(LifeExpectancyData[[#This Row],[Life expectancy]:[Schooling]])=19</f>
        <v>0</v>
      </c>
    </row>
    <row r="1493" spans="1:23" x14ac:dyDescent="0.25">
      <c r="A1493" t="s">
        <v>369</v>
      </c>
      <c r="B1493">
        <v>2014</v>
      </c>
      <c r="C1493" t="s">
        <v>273</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COUNT(LifeExpectancyData[[#This Row],[Life expectancy]:[Schooling]])=19</f>
        <v>1</v>
      </c>
    </row>
    <row r="1494" spans="1:23" x14ac:dyDescent="0.25">
      <c r="A1494" t="s">
        <v>369</v>
      </c>
      <c r="B1494">
        <v>2013</v>
      </c>
      <c r="C1494" t="s">
        <v>273</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COUNT(LifeExpectancyData[[#This Row],[Life expectancy]:[Schooling]])=19</f>
        <v>1</v>
      </c>
    </row>
    <row r="1495" spans="1:23" x14ac:dyDescent="0.25">
      <c r="A1495" t="s">
        <v>369</v>
      </c>
      <c r="B1495">
        <v>2012</v>
      </c>
      <c r="C1495" t="s">
        <v>273</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COUNT(LifeExpectancyData[[#This Row],[Life expectancy]:[Schooling]])=19</f>
        <v>1</v>
      </c>
    </row>
    <row r="1496" spans="1:23" x14ac:dyDescent="0.25">
      <c r="A1496" t="s">
        <v>369</v>
      </c>
      <c r="B1496">
        <v>2011</v>
      </c>
      <c r="C1496" t="s">
        <v>273</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COUNT(LifeExpectancyData[[#This Row],[Life expectancy]:[Schooling]])=19</f>
        <v>1</v>
      </c>
    </row>
    <row r="1497" spans="1:23" x14ac:dyDescent="0.25">
      <c r="A1497" t="s">
        <v>369</v>
      </c>
      <c r="B1497">
        <v>2010</v>
      </c>
      <c r="C1497" t="s">
        <v>273</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COUNT(LifeExpectancyData[[#This Row],[Life expectancy]:[Schooling]])=19</f>
        <v>1</v>
      </c>
    </row>
    <row r="1498" spans="1:23" x14ac:dyDescent="0.25">
      <c r="A1498" t="s">
        <v>369</v>
      </c>
      <c r="B1498">
        <v>2009</v>
      </c>
      <c r="C1498" t="s">
        <v>273</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COUNT(LifeExpectancyData[[#This Row],[Life expectancy]:[Schooling]])=19</f>
        <v>1</v>
      </c>
    </row>
    <row r="1499" spans="1:23" x14ac:dyDescent="0.25">
      <c r="A1499" t="s">
        <v>369</v>
      </c>
      <c r="B1499">
        <v>2008</v>
      </c>
      <c r="C1499" t="s">
        <v>273</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COUNT(LifeExpectancyData[[#This Row],[Life expectancy]:[Schooling]])=19</f>
        <v>1</v>
      </c>
    </row>
    <row r="1500" spans="1:23" x14ac:dyDescent="0.25">
      <c r="A1500" t="s">
        <v>369</v>
      </c>
      <c r="B1500">
        <v>2007</v>
      </c>
      <c r="C1500" t="s">
        <v>273</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COUNT(LifeExpectancyData[[#This Row],[Life expectancy]:[Schooling]])=19</f>
        <v>0</v>
      </c>
    </row>
    <row r="1501" spans="1:23" x14ac:dyDescent="0.25">
      <c r="A1501" t="s">
        <v>369</v>
      </c>
      <c r="B1501">
        <v>2006</v>
      </c>
      <c r="C1501" t="s">
        <v>273</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COUNT(LifeExpectancyData[[#This Row],[Life expectancy]:[Schooling]])=19</f>
        <v>0</v>
      </c>
    </row>
    <row r="1502" spans="1:23" x14ac:dyDescent="0.25">
      <c r="A1502" t="s">
        <v>369</v>
      </c>
      <c r="B1502">
        <v>2005</v>
      </c>
      <c r="C1502" t="s">
        <v>273</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COUNT(LifeExpectancyData[[#This Row],[Life expectancy]:[Schooling]])=19</f>
        <v>0</v>
      </c>
    </row>
    <row r="1503" spans="1:23" x14ac:dyDescent="0.25">
      <c r="A1503" t="s">
        <v>369</v>
      </c>
      <c r="B1503">
        <v>2004</v>
      </c>
      <c r="C1503" t="s">
        <v>273</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COUNT(LifeExpectancyData[[#This Row],[Life expectancy]:[Schooling]])=19</f>
        <v>0</v>
      </c>
    </row>
    <row r="1504" spans="1:23" x14ac:dyDescent="0.25">
      <c r="A1504" t="s">
        <v>369</v>
      </c>
      <c r="B1504">
        <v>2003</v>
      </c>
      <c r="C1504" t="s">
        <v>273</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COUNT(LifeExpectancyData[[#This Row],[Life expectancy]:[Schooling]])=19</f>
        <v>0</v>
      </c>
    </row>
    <row r="1505" spans="1:23" x14ac:dyDescent="0.25">
      <c r="A1505" t="s">
        <v>369</v>
      </c>
      <c r="B1505">
        <v>2002</v>
      </c>
      <c r="C1505" t="s">
        <v>273</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COUNT(LifeExpectancyData[[#This Row],[Life expectancy]:[Schooling]])=19</f>
        <v>0</v>
      </c>
    </row>
    <row r="1506" spans="1:23" x14ac:dyDescent="0.25">
      <c r="A1506" t="s">
        <v>369</v>
      </c>
      <c r="B1506">
        <v>2001</v>
      </c>
      <c r="C1506" t="s">
        <v>273</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COUNT(LifeExpectancyData[[#This Row],[Life expectancy]:[Schooling]])=19</f>
        <v>0</v>
      </c>
    </row>
    <row r="1507" spans="1:23" x14ac:dyDescent="0.25">
      <c r="A1507" t="s">
        <v>369</v>
      </c>
      <c r="B1507">
        <v>2000</v>
      </c>
      <c r="C1507" t="s">
        <v>273</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COUNT(LifeExpectancyData[[#This Row],[Life expectancy]:[Schooling]])=19</f>
        <v>0</v>
      </c>
    </row>
    <row r="1508" spans="1:23" x14ac:dyDescent="0.25">
      <c r="A1508" t="s">
        <v>370</v>
      </c>
      <c r="B1508">
        <v>2015</v>
      </c>
      <c r="C1508" t="s">
        <v>273</v>
      </c>
      <c r="D1508">
        <v>72.7</v>
      </c>
      <c r="E1508">
        <v>138</v>
      </c>
      <c r="F1508">
        <v>1</v>
      </c>
      <c r="H1508">
        <v>0</v>
      </c>
      <c r="I1508">
        <v>97</v>
      </c>
      <c r="J1508">
        <v>82</v>
      </c>
      <c r="K1508">
        <v>64.8</v>
      </c>
      <c r="L1508">
        <v>2</v>
      </c>
      <c r="M1508">
        <v>97</v>
      </c>
      <c r="O1508">
        <v>97</v>
      </c>
      <c r="P1508">
        <v>0.1</v>
      </c>
      <c r="S1508">
        <v>5.8</v>
      </c>
      <c r="T1508">
        <v>5.5</v>
      </c>
      <c r="U1508">
        <v>0.71899999999999997</v>
      </c>
      <c r="V1508">
        <v>13.4</v>
      </c>
      <c r="W1508" t="b">
        <f>COUNT(LifeExpectancyData[[#This Row],[Life expectancy]:[Schooling]])=19</f>
        <v>0</v>
      </c>
    </row>
    <row r="1509" spans="1:23" x14ac:dyDescent="0.25">
      <c r="A1509" t="s">
        <v>370</v>
      </c>
      <c r="B1509">
        <v>2014</v>
      </c>
      <c r="C1509" t="s">
        <v>273</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COUNT(LifeExpectancyData[[#This Row],[Life expectancy]:[Schooling]])=19</f>
        <v>0</v>
      </c>
    </row>
    <row r="1510" spans="1:23" x14ac:dyDescent="0.25">
      <c r="A1510" t="s">
        <v>370</v>
      </c>
      <c r="B1510">
        <v>2013</v>
      </c>
      <c r="C1510" t="s">
        <v>273</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COUNT(LifeExpectancyData[[#This Row],[Life expectancy]:[Schooling]])=19</f>
        <v>0</v>
      </c>
    </row>
    <row r="1511" spans="1:23" x14ac:dyDescent="0.25">
      <c r="A1511" t="s">
        <v>370</v>
      </c>
      <c r="B1511">
        <v>2012</v>
      </c>
      <c r="C1511" t="s">
        <v>273</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COUNT(LifeExpectancyData[[#This Row],[Life expectancy]:[Schooling]])=19</f>
        <v>0</v>
      </c>
    </row>
    <row r="1512" spans="1:23" x14ac:dyDescent="0.25">
      <c r="A1512" t="s">
        <v>370</v>
      </c>
      <c r="B1512">
        <v>2011</v>
      </c>
      <c r="C1512" t="s">
        <v>273</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COUNT(LifeExpectancyData[[#This Row],[Life expectancy]:[Schooling]])=19</f>
        <v>0</v>
      </c>
    </row>
    <row r="1513" spans="1:23" x14ac:dyDescent="0.25">
      <c r="A1513" t="s">
        <v>370</v>
      </c>
      <c r="B1513">
        <v>2010</v>
      </c>
      <c r="C1513" t="s">
        <v>273</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COUNT(LifeExpectancyData[[#This Row],[Life expectancy]:[Schooling]])=19</f>
        <v>0</v>
      </c>
    </row>
    <row r="1514" spans="1:23" x14ac:dyDescent="0.25">
      <c r="A1514" t="s">
        <v>370</v>
      </c>
      <c r="B1514">
        <v>2009</v>
      </c>
      <c r="C1514" t="s">
        <v>273</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COUNT(LifeExpectancyData[[#This Row],[Life expectancy]:[Schooling]])=19</f>
        <v>0</v>
      </c>
    </row>
    <row r="1515" spans="1:23" x14ac:dyDescent="0.25">
      <c r="A1515" t="s">
        <v>370</v>
      </c>
      <c r="B1515">
        <v>2008</v>
      </c>
      <c r="C1515" t="s">
        <v>273</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COUNT(LifeExpectancyData[[#This Row],[Life expectancy]:[Schooling]])=19</f>
        <v>0</v>
      </c>
    </row>
    <row r="1516" spans="1:23" x14ac:dyDescent="0.25">
      <c r="A1516" t="s">
        <v>370</v>
      </c>
      <c r="B1516">
        <v>2007</v>
      </c>
      <c r="C1516" t="s">
        <v>273</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COUNT(LifeExpectancyData[[#This Row],[Life expectancy]:[Schooling]])=19</f>
        <v>0</v>
      </c>
    </row>
    <row r="1517" spans="1:23" x14ac:dyDescent="0.25">
      <c r="A1517" t="s">
        <v>370</v>
      </c>
      <c r="B1517">
        <v>2006</v>
      </c>
      <c r="C1517" t="s">
        <v>273</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COUNT(LifeExpectancyData[[#This Row],[Life expectancy]:[Schooling]])=19</f>
        <v>0</v>
      </c>
    </row>
    <row r="1518" spans="1:23" x14ac:dyDescent="0.25">
      <c r="A1518" t="s">
        <v>370</v>
      </c>
      <c r="B1518">
        <v>2005</v>
      </c>
      <c r="C1518" t="s">
        <v>273</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COUNT(LifeExpectancyData[[#This Row],[Life expectancy]:[Schooling]])=19</f>
        <v>0</v>
      </c>
    </row>
    <row r="1519" spans="1:23" x14ac:dyDescent="0.25">
      <c r="A1519" t="s">
        <v>370</v>
      </c>
      <c r="B1519">
        <v>2004</v>
      </c>
      <c r="C1519" t="s">
        <v>273</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COUNT(LifeExpectancyData[[#This Row],[Life expectancy]:[Schooling]])=19</f>
        <v>0</v>
      </c>
    </row>
    <row r="1520" spans="1:23" x14ac:dyDescent="0.25">
      <c r="A1520" t="s">
        <v>370</v>
      </c>
      <c r="B1520">
        <v>2003</v>
      </c>
      <c r="C1520" t="s">
        <v>273</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COUNT(LifeExpectancyData[[#This Row],[Life expectancy]:[Schooling]])=19</f>
        <v>0</v>
      </c>
    </row>
    <row r="1521" spans="1:23" x14ac:dyDescent="0.25">
      <c r="A1521" t="s">
        <v>370</v>
      </c>
      <c r="B1521">
        <v>2002</v>
      </c>
      <c r="C1521" t="s">
        <v>273</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COUNT(LifeExpectancyData[[#This Row],[Life expectancy]:[Schooling]])=19</f>
        <v>0</v>
      </c>
    </row>
    <row r="1522" spans="1:23" x14ac:dyDescent="0.25">
      <c r="A1522" t="s">
        <v>370</v>
      </c>
      <c r="B1522">
        <v>2001</v>
      </c>
      <c r="C1522" t="s">
        <v>273</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COUNT(LifeExpectancyData[[#This Row],[Life expectancy]:[Schooling]])=19</f>
        <v>0</v>
      </c>
    </row>
    <row r="1523" spans="1:23" x14ac:dyDescent="0.25">
      <c r="A1523" t="s">
        <v>370</v>
      </c>
      <c r="B1523">
        <v>2000</v>
      </c>
      <c r="C1523" t="s">
        <v>273</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COUNT(LifeExpectancyData[[#This Row],[Life expectancy]:[Schooling]])=19</f>
        <v>0</v>
      </c>
    </row>
    <row r="1524" spans="1:23" x14ac:dyDescent="0.25">
      <c r="A1524" t="s">
        <v>371</v>
      </c>
      <c r="B1524">
        <v>2015</v>
      </c>
      <c r="C1524" t="s">
        <v>281</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COUNT(LifeExpectancyData[[#This Row],[Life expectancy]:[Schooling]])=19</f>
        <v>0</v>
      </c>
    </row>
    <row r="1525" spans="1:23" x14ac:dyDescent="0.25">
      <c r="A1525" t="s">
        <v>371</v>
      </c>
      <c r="B1525">
        <v>2014</v>
      </c>
      <c r="C1525" t="s">
        <v>281</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COUNT(LifeExpectancyData[[#This Row],[Life expectancy]:[Schooling]])=19</f>
        <v>1</v>
      </c>
    </row>
    <row r="1526" spans="1:23" x14ac:dyDescent="0.25">
      <c r="A1526" t="s">
        <v>371</v>
      </c>
      <c r="B1526">
        <v>2013</v>
      </c>
      <c r="C1526" t="s">
        <v>281</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COUNT(LifeExpectancyData[[#This Row],[Life expectancy]:[Schooling]])=19</f>
        <v>1</v>
      </c>
    </row>
    <row r="1527" spans="1:23" x14ac:dyDescent="0.25">
      <c r="A1527" t="s">
        <v>371</v>
      </c>
      <c r="B1527">
        <v>2012</v>
      </c>
      <c r="C1527" t="s">
        <v>281</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COUNT(LifeExpectancyData[[#This Row],[Life expectancy]:[Schooling]])=19</f>
        <v>1</v>
      </c>
    </row>
    <row r="1528" spans="1:23" x14ac:dyDescent="0.25">
      <c r="A1528" t="s">
        <v>371</v>
      </c>
      <c r="B1528">
        <v>2011</v>
      </c>
      <c r="C1528" t="s">
        <v>281</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COUNT(LifeExpectancyData[[#This Row],[Life expectancy]:[Schooling]])=19</f>
        <v>1</v>
      </c>
    </row>
    <row r="1529" spans="1:23" x14ac:dyDescent="0.25">
      <c r="A1529" t="s">
        <v>371</v>
      </c>
      <c r="B1529">
        <v>2010</v>
      </c>
      <c r="C1529" t="s">
        <v>281</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COUNT(LifeExpectancyData[[#This Row],[Life expectancy]:[Schooling]])=19</f>
        <v>1</v>
      </c>
    </row>
    <row r="1530" spans="1:23" x14ac:dyDescent="0.25">
      <c r="A1530" t="s">
        <v>371</v>
      </c>
      <c r="B1530">
        <v>2009</v>
      </c>
      <c r="C1530" t="s">
        <v>281</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COUNT(LifeExpectancyData[[#This Row],[Life expectancy]:[Schooling]])=19</f>
        <v>1</v>
      </c>
    </row>
    <row r="1531" spans="1:23" x14ac:dyDescent="0.25">
      <c r="A1531" t="s">
        <v>371</v>
      </c>
      <c r="B1531">
        <v>2008</v>
      </c>
      <c r="C1531" t="s">
        <v>281</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COUNT(LifeExpectancyData[[#This Row],[Life expectancy]:[Schooling]])=19</f>
        <v>1</v>
      </c>
    </row>
    <row r="1532" spans="1:23" x14ac:dyDescent="0.25">
      <c r="A1532" t="s">
        <v>371</v>
      </c>
      <c r="B1532">
        <v>2007</v>
      </c>
      <c r="C1532" t="s">
        <v>281</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COUNT(LifeExpectancyData[[#This Row],[Life expectancy]:[Schooling]])=19</f>
        <v>1</v>
      </c>
    </row>
    <row r="1533" spans="1:23" x14ac:dyDescent="0.25">
      <c r="A1533" t="s">
        <v>371</v>
      </c>
      <c r="B1533">
        <v>2006</v>
      </c>
      <c r="C1533" t="s">
        <v>281</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COUNT(LifeExpectancyData[[#This Row],[Life expectancy]:[Schooling]])=19</f>
        <v>1</v>
      </c>
    </row>
    <row r="1534" spans="1:23" x14ac:dyDescent="0.25">
      <c r="A1534" t="s">
        <v>371</v>
      </c>
      <c r="B1534">
        <v>2005</v>
      </c>
      <c r="C1534" t="s">
        <v>281</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COUNT(LifeExpectancyData[[#This Row],[Life expectancy]:[Schooling]])=19</f>
        <v>1</v>
      </c>
    </row>
    <row r="1535" spans="1:23" x14ac:dyDescent="0.25">
      <c r="A1535" t="s">
        <v>371</v>
      </c>
      <c r="B1535">
        <v>2004</v>
      </c>
      <c r="C1535" t="s">
        <v>281</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COUNT(LifeExpectancyData[[#This Row],[Life expectancy]:[Schooling]])=19</f>
        <v>1</v>
      </c>
    </row>
    <row r="1536" spans="1:23" x14ac:dyDescent="0.25">
      <c r="A1536" t="s">
        <v>371</v>
      </c>
      <c r="B1536">
        <v>2003</v>
      </c>
      <c r="C1536" t="s">
        <v>281</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COUNT(LifeExpectancyData[[#This Row],[Life expectancy]:[Schooling]])=19</f>
        <v>1</v>
      </c>
    </row>
    <row r="1537" spans="1:23" x14ac:dyDescent="0.25">
      <c r="A1537" t="s">
        <v>371</v>
      </c>
      <c r="B1537">
        <v>2002</v>
      </c>
      <c r="C1537" t="s">
        <v>281</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COUNT(LifeExpectancyData[[#This Row],[Life expectancy]:[Schooling]])=19</f>
        <v>1</v>
      </c>
    </row>
    <row r="1538" spans="1:23" x14ac:dyDescent="0.25">
      <c r="A1538" t="s">
        <v>371</v>
      </c>
      <c r="B1538">
        <v>2001</v>
      </c>
      <c r="C1538" t="s">
        <v>281</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COUNT(LifeExpectancyData[[#This Row],[Life expectancy]:[Schooling]])=19</f>
        <v>1</v>
      </c>
    </row>
    <row r="1539" spans="1:23" x14ac:dyDescent="0.25">
      <c r="A1539" t="s">
        <v>371</v>
      </c>
      <c r="B1539">
        <v>2000</v>
      </c>
      <c r="C1539" t="s">
        <v>281</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COUNT(LifeExpectancyData[[#This Row],[Life expectancy]:[Schooling]])=19</f>
        <v>1</v>
      </c>
    </row>
    <row r="1540" spans="1:23" x14ac:dyDescent="0.25">
      <c r="A1540" t="s">
        <v>372</v>
      </c>
      <c r="B1540">
        <v>2015</v>
      </c>
      <c r="C1540" t="s">
        <v>281</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COUNT(LifeExpectancyData[[#This Row],[Life expectancy]:[Schooling]])=19</f>
        <v>0</v>
      </c>
    </row>
    <row r="1541" spans="1:23" x14ac:dyDescent="0.25">
      <c r="A1541" t="s">
        <v>372</v>
      </c>
      <c r="B1541">
        <v>2014</v>
      </c>
      <c r="C1541" t="s">
        <v>281</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COUNT(LifeExpectancyData[[#This Row],[Life expectancy]:[Schooling]])=19</f>
        <v>1</v>
      </c>
    </row>
    <row r="1542" spans="1:23" x14ac:dyDescent="0.25">
      <c r="A1542" t="s">
        <v>372</v>
      </c>
      <c r="B1542">
        <v>2013</v>
      </c>
      <c r="C1542" t="s">
        <v>281</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COUNT(LifeExpectancyData[[#This Row],[Life expectancy]:[Schooling]])=19</f>
        <v>1</v>
      </c>
    </row>
    <row r="1543" spans="1:23" x14ac:dyDescent="0.25">
      <c r="A1543" t="s">
        <v>372</v>
      </c>
      <c r="B1543">
        <v>2012</v>
      </c>
      <c r="C1543" t="s">
        <v>281</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COUNT(LifeExpectancyData[[#This Row],[Life expectancy]:[Schooling]])=19</f>
        <v>1</v>
      </c>
    </row>
    <row r="1544" spans="1:23" x14ac:dyDescent="0.25">
      <c r="A1544" t="s">
        <v>372</v>
      </c>
      <c r="B1544">
        <v>2011</v>
      </c>
      <c r="C1544" t="s">
        <v>281</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COUNT(LifeExpectancyData[[#This Row],[Life expectancy]:[Schooling]])=19</f>
        <v>1</v>
      </c>
    </row>
    <row r="1545" spans="1:23" x14ac:dyDescent="0.25">
      <c r="A1545" t="s">
        <v>372</v>
      </c>
      <c r="B1545">
        <v>2010</v>
      </c>
      <c r="C1545" t="s">
        <v>281</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COUNT(LifeExpectancyData[[#This Row],[Life expectancy]:[Schooling]])=19</f>
        <v>1</v>
      </c>
    </row>
    <row r="1546" spans="1:23" x14ac:dyDescent="0.25">
      <c r="A1546" t="s">
        <v>372</v>
      </c>
      <c r="B1546">
        <v>2009</v>
      </c>
      <c r="C1546" t="s">
        <v>281</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COUNT(LifeExpectancyData[[#This Row],[Life expectancy]:[Schooling]])=19</f>
        <v>1</v>
      </c>
    </row>
    <row r="1547" spans="1:23" x14ac:dyDescent="0.25">
      <c r="A1547" t="s">
        <v>372</v>
      </c>
      <c r="B1547">
        <v>2008</v>
      </c>
      <c r="C1547" t="s">
        <v>281</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COUNT(LifeExpectancyData[[#This Row],[Life expectancy]:[Schooling]])=19</f>
        <v>1</v>
      </c>
    </row>
    <row r="1548" spans="1:23" x14ac:dyDescent="0.25">
      <c r="A1548" t="s">
        <v>372</v>
      </c>
      <c r="B1548">
        <v>2007</v>
      </c>
      <c r="C1548" t="s">
        <v>281</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COUNT(LifeExpectancyData[[#This Row],[Life expectancy]:[Schooling]])=19</f>
        <v>1</v>
      </c>
    </row>
    <row r="1549" spans="1:23" x14ac:dyDescent="0.25">
      <c r="A1549" t="s">
        <v>372</v>
      </c>
      <c r="B1549">
        <v>2006</v>
      </c>
      <c r="C1549" t="s">
        <v>281</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COUNT(LifeExpectancyData[[#This Row],[Life expectancy]:[Schooling]])=19</f>
        <v>1</v>
      </c>
    </row>
    <row r="1550" spans="1:23" x14ac:dyDescent="0.25">
      <c r="A1550" t="s">
        <v>372</v>
      </c>
      <c r="B1550">
        <v>2005</v>
      </c>
      <c r="C1550" t="s">
        <v>281</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COUNT(LifeExpectancyData[[#This Row],[Life expectancy]:[Schooling]])=19</f>
        <v>1</v>
      </c>
    </row>
    <row r="1551" spans="1:23" x14ac:dyDescent="0.25">
      <c r="A1551" t="s">
        <v>372</v>
      </c>
      <c r="B1551">
        <v>2004</v>
      </c>
      <c r="C1551" t="s">
        <v>281</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COUNT(LifeExpectancyData[[#This Row],[Life expectancy]:[Schooling]])=19</f>
        <v>1</v>
      </c>
    </row>
    <row r="1552" spans="1:23" x14ac:dyDescent="0.25">
      <c r="A1552" t="s">
        <v>372</v>
      </c>
      <c r="B1552">
        <v>2003</v>
      </c>
      <c r="C1552" t="s">
        <v>281</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COUNT(LifeExpectancyData[[#This Row],[Life expectancy]:[Schooling]])=19</f>
        <v>1</v>
      </c>
    </row>
    <row r="1553" spans="1:23" x14ac:dyDescent="0.25">
      <c r="A1553" t="s">
        <v>372</v>
      </c>
      <c r="B1553">
        <v>2002</v>
      </c>
      <c r="C1553" t="s">
        <v>281</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COUNT(LifeExpectancyData[[#This Row],[Life expectancy]:[Schooling]])=19</f>
        <v>1</v>
      </c>
    </row>
    <row r="1554" spans="1:23" x14ac:dyDescent="0.25">
      <c r="A1554" t="s">
        <v>372</v>
      </c>
      <c r="B1554">
        <v>2001</v>
      </c>
      <c r="C1554" t="s">
        <v>281</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COUNT(LifeExpectancyData[[#This Row],[Life expectancy]:[Schooling]])=19</f>
        <v>1</v>
      </c>
    </row>
    <row r="1555" spans="1:23" x14ac:dyDescent="0.25">
      <c r="A1555" t="s">
        <v>372</v>
      </c>
      <c r="B1555">
        <v>2000</v>
      </c>
      <c r="C1555" t="s">
        <v>281</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COUNT(LifeExpectancyData[[#This Row],[Life expectancy]:[Schooling]])=19</f>
        <v>1</v>
      </c>
    </row>
    <row r="1556" spans="1:23" x14ac:dyDescent="0.25">
      <c r="A1556" t="s">
        <v>373</v>
      </c>
      <c r="B1556">
        <v>2015</v>
      </c>
      <c r="C1556" t="s">
        <v>273</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COUNT(LifeExpectancyData[[#This Row],[Life expectancy]:[Schooling]])=19</f>
        <v>0</v>
      </c>
    </row>
    <row r="1557" spans="1:23" x14ac:dyDescent="0.25">
      <c r="A1557" t="s">
        <v>373</v>
      </c>
      <c r="B1557">
        <v>2014</v>
      </c>
      <c r="C1557" t="s">
        <v>273</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COUNT(LifeExpectancyData[[#This Row],[Life expectancy]:[Schooling]])=19</f>
        <v>1</v>
      </c>
    </row>
    <row r="1558" spans="1:23" x14ac:dyDescent="0.25">
      <c r="A1558" t="s">
        <v>373</v>
      </c>
      <c r="B1558">
        <v>2013</v>
      </c>
      <c r="C1558" t="s">
        <v>273</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COUNT(LifeExpectancyData[[#This Row],[Life expectancy]:[Schooling]])=19</f>
        <v>1</v>
      </c>
    </row>
    <row r="1559" spans="1:23" x14ac:dyDescent="0.25">
      <c r="A1559" t="s">
        <v>373</v>
      </c>
      <c r="B1559">
        <v>2012</v>
      </c>
      <c r="C1559" t="s">
        <v>273</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COUNT(LifeExpectancyData[[#This Row],[Life expectancy]:[Schooling]])=19</f>
        <v>1</v>
      </c>
    </row>
    <row r="1560" spans="1:23" x14ac:dyDescent="0.25">
      <c r="A1560" t="s">
        <v>373</v>
      </c>
      <c r="B1560">
        <v>2011</v>
      </c>
      <c r="C1560" t="s">
        <v>273</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COUNT(LifeExpectancyData[[#This Row],[Life expectancy]:[Schooling]])=19</f>
        <v>1</v>
      </c>
    </row>
    <row r="1561" spans="1:23" x14ac:dyDescent="0.25">
      <c r="A1561" t="s">
        <v>373</v>
      </c>
      <c r="B1561">
        <v>2010</v>
      </c>
      <c r="C1561" t="s">
        <v>273</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COUNT(LifeExpectancyData[[#This Row],[Life expectancy]:[Schooling]])=19</f>
        <v>1</v>
      </c>
    </row>
    <row r="1562" spans="1:23" x14ac:dyDescent="0.25">
      <c r="A1562" t="s">
        <v>373</v>
      </c>
      <c r="B1562">
        <v>2009</v>
      </c>
      <c r="C1562" t="s">
        <v>273</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COUNT(LifeExpectancyData[[#This Row],[Life expectancy]:[Schooling]])=19</f>
        <v>1</v>
      </c>
    </row>
    <row r="1563" spans="1:23" x14ac:dyDescent="0.25">
      <c r="A1563" t="s">
        <v>373</v>
      </c>
      <c r="B1563">
        <v>2008</v>
      </c>
      <c r="C1563" t="s">
        <v>273</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COUNT(LifeExpectancyData[[#This Row],[Life expectancy]:[Schooling]])=19</f>
        <v>1</v>
      </c>
    </row>
    <row r="1564" spans="1:23" x14ac:dyDescent="0.25">
      <c r="A1564" t="s">
        <v>373</v>
      </c>
      <c r="B1564">
        <v>2007</v>
      </c>
      <c r="C1564" t="s">
        <v>273</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COUNT(LifeExpectancyData[[#This Row],[Life expectancy]:[Schooling]])=19</f>
        <v>1</v>
      </c>
    </row>
    <row r="1565" spans="1:23" x14ac:dyDescent="0.25">
      <c r="A1565" t="s">
        <v>373</v>
      </c>
      <c r="B1565">
        <v>2006</v>
      </c>
      <c r="C1565" t="s">
        <v>273</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COUNT(LifeExpectancyData[[#This Row],[Life expectancy]:[Schooling]])=19</f>
        <v>1</v>
      </c>
    </row>
    <row r="1566" spans="1:23" x14ac:dyDescent="0.25">
      <c r="A1566" t="s">
        <v>373</v>
      </c>
      <c r="B1566">
        <v>2005</v>
      </c>
      <c r="C1566" t="s">
        <v>273</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COUNT(LifeExpectancyData[[#This Row],[Life expectancy]:[Schooling]])=19</f>
        <v>1</v>
      </c>
    </row>
    <row r="1567" spans="1:23" x14ac:dyDescent="0.25">
      <c r="A1567" t="s">
        <v>373</v>
      </c>
      <c r="B1567">
        <v>2004</v>
      </c>
      <c r="C1567" t="s">
        <v>273</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COUNT(LifeExpectancyData[[#This Row],[Life expectancy]:[Schooling]])=19</f>
        <v>1</v>
      </c>
    </row>
    <row r="1568" spans="1:23" x14ac:dyDescent="0.25">
      <c r="A1568" t="s">
        <v>373</v>
      </c>
      <c r="B1568">
        <v>2003</v>
      </c>
      <c r="C1568" t="s">
        <v>273</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COUNT(LifeExpectancyData[[#This Row],[Life expectancy]:[Schooling]])=19</f>
        <v>1</v>
      </c>
    </row>
    <row r="1569" spans="1:23" x14ac:dyDescent="0.25">
      <c r="A1569" t="s">
        <v>373</v>
      </c>
      <c r="B1569">
        <v>2002</v>
      </c>
      <c r="C1569" t="s">
        <v>273</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COUNT(LifeExpectancyData[[#This Row],[Life expectancy]:[Schooling]])=19</f>
        <v>1</v>
      </c>
    </row>
    <row r="1570" spans="1:23" x14ac:dyDescent="0.25">
      <c r="A1570" t="s">
        <v>373</v>
      </c>
      <c r="B1570">
        <v>2001</v>
      </c>
      <c r="C1570" t="s">
        <v>273</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COUNT(LifeExpectancyData[[#This Row],[Life expectancy]:[Schooling]])=19</f>
        <v>0</v>
      </c>
    </row>
    <row r="1571" spans="1:23" x14ac:dyDescent="0.25">
      <c r="A1571" t="s">
        <v>373</v>
      </c>
      <c r="B1571">
        <v>2000</v>
      </c>
      <c r="C1571" t="s">
        <v>273</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COUNT(LifeExpectancyData[[#This Row],[Life expectancy]:[Schooling]])=19</f>
        <v>0</v>
      </c>
    </row>
    <row r="1572" spans="1:23" x14ac:dyDescent="0.25">
      <c r="A1572" t="s">
        <v>374</v>
      </c>
      <c r="B1572">
        <v>2015</v>
      </c>
      <c r="C1572" t="s">
        <v>273</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COUNT(LifeExpectancyData[[#This Row],[Life expectancy]:[Schooling]])=19</f>
        <v>0</v>
      </c>
    </row>
    <row r="1573" spans="1:23" x14ac:dyDescent="0.25">
      <c r="A1573" t="s">
        <v>374</v>
      </c>
      <c r="B1573">
        <v>2014</v>
      </c>
      <c r="C1573" t="s">
        <v>273</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COUNT(LifeExpectancyData[[#This Row],[Life expectancy]:[Schooling]])=19</f>
        <v>1</v>
      </c>
    </row>
    <row r="1574" spans="1:23" x14ac:dyDescent="0.25">
      <c r="A1574" t="s">
        <v>374</v>
      </c>
      <c r="B1574">
        <v>2013</v>
      </c>
      <c r="C1574" t="s">
        <v>273</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COUNT(LifeExpectancyData[[#This Row],[Life expectancy]:[Schooling]])=19</f>
        <v>1</v>
      </c>
    </row>
    <row r="1575" spans="1:23" x14ac:dyDescent="0.25">
      <c r="A1575" t="s">
        <v>374</v>
      </c>
      <c r="B1575">
        <v>2012</v>
      </c>
      <c r="C1575" t="s">
        <v>273</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COUNT(LifeExpectancyData[[#This Row],[Life expectancy]:[Schooling]])=19</f>
        <v>1</v>
      </c>
    </row>
    <row r="1576" spans="1:23" x14ac:dyDescent="0.25">
      <c r="A1576" t="s">
        <v>374</v>
      </c>
      <c r="B1576">
        <v>2011</v>
      </c>
      <c r="C1576" t="s">
        <v>273</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COUNT(LifeExpectancyData[[#This Row],[Life expectancy]:[Schooling]])=19</f>
        <v>1</v>
      </c>
    </row>
    <row r="1577" spans="1:23" x14ac:dyDescent="0.25">
      <c r="A1577" t="s">
        <v>374</v>
      </c>
      <c r="B1577">
        <v>2010</v>
      </c>
      <c r="C1577" t="s">
        <v>273</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COUNT(LifeExpectancyData[[#This Row],[Life expectancy]:[Schooling]])=19</f>
        <v>1</v>
      </c>
    </row>
    <row r="1578" spans="1:23" x14ac:dyDescent="0.25">
      <c r="A1578" t="s">
        <v>374</v>
      </c>
      <c r="B1578">
        <v>2009</v>
      </c>
      <c r="C1578" t="s">
        <v>273</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COUNT(LifeExpectancyData[[#This Row],[Life expectancy]:[Schooling]])=19</f>
        <v>1</v>
      </c>
    </row>
    <row r="1579" spans="1:23" x14ac:dyDescent="0.25">
      <c r="A1579" t="s">
        <v>374</v>
      </c>
      <c r="B1579">
        <v>2008</v>
      </c>
      <c r="C1579" t="s">
        <v>273</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COUNT(LifeExpectancyData[[#This Row],[Life expectancy]:[Schooling]])=19</f>
        <v>1</v>
      </c>
    </row>
    <row r="1580" spans="1:23" x14ac:dyDescent="0.25">
      <c r="A1580" t="s">
        <v>374</v>
      </c>
      <c r="B1580">
        <v>2007</v>
      </c>
      <c r="C1580" t="s">
        <v>273</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COUNT(LifeExpectancyData[[#This Row],[Life expectancy]:[Schooling]])=19</f>
        <v>1</v>
      </c>
    </row>
    <row r="1581" spans="1:23" x14ac:dyDescent="0.25">
      <c r="A1581" t="s">
        <v>374</v>
      </c>
      <c r="B1581">
        <v>2006</v>
      </c>
      <c r="C1581" t="s">
        <v>273</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COUNT(LifeExpectancyData[[#This Row],[Life expectancy]:[Schooling]])=19</f>
        <v>1</v>
      </c>
    </row>
    <row r="1582" spans="1:23" x14ac:dyDescent="0.25">
      <c r="A1582" t="s">
        <v>374</v>
      </c>
      <c r="B1582">
        <v>2005</v>
      </c>
      <c r="C1582" t="s">
        <v>273</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COUNT(LifeExpectancyData[[#This Row],[Life expectancy]:[Schooling]])=19</f>
        <v>1</v>
      </c>
    </row>
    <row r="1583" spans="1:23" x14ac:dyDescent="0.25">
      <c r="A1583" t="s">
        <v>374</v>
      </c>
      <c r="B1583">
        <v>2004</v>
      </c>
      <c r="C1583" t="s">
        <v>273</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COUNT(LifeExpectancyData[[#This Row],[Life expectancy]:[Schooling]])=19</f>
        <v>1</v>
      </c>
    </row>
    <row r="1584" spans="1:23" x14ac:dyDescent="0.25">
      <c r="A1584" t="s">
        <v>374</v>
      </c>
      <c r="B1584">
        <v>2003</v>
      </c>
      <c r="C1584" t="s">
        <v>273</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COUNT(LifeExpectancyData[[#This Row],[Life expectancy]:[Schooling]])=19</f>
        <v>1</v>
      </c>
    </row>
    <row r="1585" spans="1:23" x14ac:dyDescent="0.25">
      <c r="A1585" t="s">
        <v>374</v>
      </c>
      <c r="B1585">
        <v>2002</v>
      </c>
      <c r="C1585" t="s">
        <v>273</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COUNT(LifeExpectancyData[[#This Row],[Life expectancy]:[Schooling]])=19</f>
        <v>1</v>
      </c>
    </row>
    <row r="1586" spans="1:23" x14ac:dyDescent="0.25">
      <c r="A1586" t="s">
        <v>374</v>
      </c>
      <c r="B1586">
        <v>2001</v>
      </c>
      <c r="C1586" t="s">
        <v>273</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COUNT(LifeExpectancyData[[#This Row],[Life expectancy]:[Schooling]])=19</f>
        <v>0</v>
      </c>
    </row>
    <row r="1587" spans="1:23" x14ac:dyDescent="0.25">
      <c r="A1587" t="s">
        <v>374</v>
      </c>
      <c r="B1587">
        <v>2000</v>
      </c>
      <c r="C1587" t="s">
        <v>273</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COUNT(LifeExpectancyData[[#This Row],[Life expectancy]:[Schooling]])=19</f>
        <v>0</v>
      </c>
    </row>
    <row r="1588" spans="1:23" x14ac:dyDescent="0.25">
      <c r="A1588" t="s">
        <v>375</v>
      </c>
      <c r="B1588">
        <v>2015</v>
      </c>
      <c r="C1588" t="s">
        <v>273</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COUNT(LifeExpectancyData[[#This Row],[Life expectancy]:[Schooling]])=19</f>
        <v>0</v>
      </c>
    </row>
    <row r="1589" spans="1:23" x14ac:dyDescent="0.25">
      <c r="A1589" t="s">
        <v>375</v>
      </c>
      <c r="B1589">
        <v>2014</v>
      </c>
      <c r="C1589" t="s">
        <v>273</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COUNT(LifeExpectancyData[[#This Row],[Life expectancy]:[Schooling]])=19</f>
        <v>1</v>
      </c>
    </row>
    <row r="1590" spans="1:23" x14ac:dyDescent="0.25">
      <c r="A1590" t="s">
        <v>375</v>
      </c>
      <c r="B1590">
        <v>2013</v>
      </c>
      <c r="C1590" t="s">
        <v>273</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COUNT(LifeExpectancyData[[#This Row],[Life expectancy]:[Schooling]])=19</f>
        <v>1</v>
      </c>
    </row>
    <row r="1591" spans="1:23" x14ac:dyDescent="0.25">
      <c r="A1591" t="s">
        <v>375</v>
      </c>
      <c r="B1591">
        <v>2012</v>
      </c>
      <c r="C1591" t="s">
        <v>273</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COUNT(LifeExpectancyData[[#This Row],[Life expectancy]:[Schooling]])=19</f>
        <v>1</v>
      </c>
    </row>
    <row r="1592" spans="1:23" x14ac:dyDescent="0.25">
      <c r="A1592" t="s">
        <v>375</v>
      </c>
      <c r="B1592">
        <v>2011</v>
      </c>
      <c r="C1592" t="s">
        <v>273</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COUNT(LifeExpectancyData[[#This Row],[Life expectancy]:[Schooling]])=19</f>
        <v>1</v>
      </c>
    </row>
    <row r="1593" spans="1:23" x14ac:dyDescent="0.25">
      <c r="A1593" t="s">
        <v>375</v>
      </c>
      <c r="B1593">
        <v>2010</v>
      </c>
      <c r="C1593" t="s">
        <v>273</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COUNT(LifeExpectancyData[[#This Row],[Life expectancy]:[Schooling]])=19</f>
        <v>1</v>
      </c>
    </row>
    <row r="1594" spans="1:23" x14ac:dyDescent="0.25">
      <c r="A1594" t="s">
        <v>375</v>
      </c>
      <c r="B1594">
        <v>2009</v>
      </c>
      <c r="C1594" t="s">
        <v>273</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COUNT(LifeExpectancyData[[#This Row],[Life expectancy]:[Schooling]])=19</f>
        <v>1</v>
      </c>
    </row>
    <row r="1595" spans="1:23" x14ac:dyDescent="0.25">
      <c r="A1595" t="s">
        <v>375</v>
      </c>
      <c r="B1595">
        <v>2008</v>
      </c>
      <c r="C1595" t="s">
        <v>273</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COUNT(LifeExpectancyData[[#This Row],[Life expectancy]:[Schooling]])=19</f>
        <v>1</v>
      </c>
    </row>
    <row r="1596" spans="1:23" x14ac:dyDescent="0.25">
      <c r="A1596" t="s">
        <v>375</v>
      </c>
      <c r="B1596">
        <v>2007</v>
      </c>
      <c r="C1596" t="s">
        <v>273</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COUNT(LifeExpectancyData[[#This Row],[Life expectancy]:[Schooling]])=19</f>
        <v>1</v>
      </c>
    </row>
    <row r="1597" spans="1:23" x14ac:dyDescent="0.25">
      <c r="A1597" t="s">
        <v>375</v>
      </c>
      <c r="B1597">
        <v>2006</v>
      </c>
      <c r="C1597" t="s">
        <v>273</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COUNT(LifeExpectancyData[[#This Row],[Life expectancy]:[Schooling]])=19</f>
        <v>1</v>
      </c>
    </row>
    <row r="1598" spans="1:23" x14ac:dyDescent="0.25">
      <c r="A1598" t="s">
        <v>375</v>
      </c>
      <c r="B1598">
        <v>2005</v>
      </c>
      <c r="C1598" t="s">
        <v>273</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COUNT(LifeExpectancyData[[#This Row],[Life expectancy]:[Schooling]])=19</f>
        <v>1</v>
      </c>
    </row>
    <row r="1599" spans="1:23" x14ac:dyDescent="0.25">
      <c r="A1599" t="s">
        <v>375</v>
      </c>
      <c r="B1599">
        <v>2004</v>
      </c>
      <c r="C1599" t="s">
        <v>273</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COUNT(LifeExpectancyData[[#This Row],[Life expectancy]:[Schooling]])=19</f>
        <v>1</v>
      </c>
    </row>
    <row r="1600" spans="1:23" x14ac:dyDescent="0.25">
      <c r="A1600" t="s">
        <v>375</v>
      </c>
      <c r="B1600">
        <v>2003</v>
      </c>
      <c r="C1600" t="s">
        <v>273</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COUNT(LifeExpectancyData[[#This Row],[Life expectancy]:[Schooling]])=19</f>
        <v>1</v>
      </c>
    </row>
    <row r="1601" spans="1:23" x14ac:dyDescent="0.25">
      <c r="A1601" t="s">
        <v>375</v>
      </c>
      <c r="B1601">
        <v>2002</v>
      </c>
      <c r="C1601" t="s">
        <v>273</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COUNT(LifeExpectancyData[[#This Row],[Life expectancy]:[Schooling]])=19</f>
        <v>1</v>
      </c>
    </row>
    <row r="1602" spans="1:23" x14ac:dyDescent="0.25">
      <c r="A1602" t="s">
        <v>375</v>
      </c>
      <c r="B1602">
        <v>2001</v>
      </c>
      <c r="C1602" t="s">
        <v>273</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COUNT(LifeExpectancyData[[#This Row],[Life expectancy]:[Schooling]])=19</f>
        <v>1</v>
      </c>
    </row>
    <row r="1603" spans="1:23" x14ac:dyDescent="0.25">
      <c r="A1603" t="s">
        <v>375</v>
      </c>
      <c r="B1603">
        <v>2000</v>
      </c>
      <c r="C1603" t="s">
        <v>273</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COUNT(LifeExpectancyData[[#This Row],[Life expectancy]:[Schooling]])=19</f>
        <v>1</v>
      </c>
    </row>
    <row r="1604" spans="1:23" x14ac:dyDescent="0.25">
      <c r="A1604" t="s">
        <v>376</v>
      </c>
      <c r="B1604">
        <v>2015</v>
      </c>
      <c r="C1604" t="s">
        <v>273</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COUNT(LifeExpectancyData[[#This Row],[Life expectancy]:[Schooling]])=19</f>
        <v>0</v>
      </c>
    </row>
    <row r="1605" spans="1:23" x14ac:dyDescent="0.25">
      <c r="A1605" t="s">
        <v>376</v>
      </c>
      <c r="B1605">
        <v>2014</v>
      </c>
      <c r="C1605" t="s">
        <v>273</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COUNT(LifeExpectancyData[[#This Row],[Life expectancy]:[Schooling]])=19</f>
        <v>1</v>
      </c>
    </row>
    <row r="1606" spans="1:23" x14ac:dyDescent="0.25">
      <c r="A1606" t="s">
        <v>376</v>
      </c>
      <c r="B1606">
        <v>2013</v>
      </c>
      <c r="C1606" t="s">
        <v>273</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COUNT(LifeExpectancyData[[#This Row],[Life expectancy]:[Schooling]])=19</f>
        <v>1</v>
      </c>
    </row>
    <row r="1607" spans="1:23" x14ac:dyDescent="0.25">
      <c r="A1607" t="s">
        <v>376</v>
      </c>
      <c r="B1607">
        <v>2012</v>
      </c>
      <c r="C1607" t="s">
        <v>273</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COUNT(LifeExpectancyData[[#This Row],[Life expectancy]:[Schooling]])=19</f>
        <v>1</v>
      </c>
    </row>
    <row r="1608" spans="1:23" x14ac:dyDescent="0.25">
      <c r="A1608" t="s">
        <v>376</v>
      </c>
      <c r="B1608">
        <v>2011</v>
      </c>
      <c r="C1608" t="s">
        <v>273</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COUNT(LifeExpectancyData[[#This Row],[Life expectancy]:[Schooling]])=19</f>
        <v>1</v>
      </c>
    </row>
    <row r="1609" spans="1:23" x14ac:dyDescent="0.25">
      <c r="A1609" t="s">
        <v>376</v>
      </c>
      <c r="B1609">
        <v>2010</v>
      </c>
      <c r="C1609" t="s">
        <v>273</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COUNT(LifeExpectancyData[[#This Row],[Life expectancy]:[Schooling]])=19</f>
        <v>1</v>
      </c>
    </row>
    <row r="1610" spans="1:23" x14ac:dyDescent="0.25">
      <c r="A1610" t="s">
        <v>376</v>
      </c>
      <c r="B1610">
        <v>2009</v>
      </c>
      <c r="C1610" t="s">
        <v>273</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COUNT(LifeExpectancyData[[#This Row],[Life expectancy]:[Schooling]])=19</f>
        <v>1</v>
      </c>
    </row>
    <row r="1611" spans="1:23" x14ac:dyDescent="0.25">
      <c r="A1611" t="s">
        <v>376</v>
      </c>
      <c r="B1611">
        <v>2008</v>
      </c>
      <c r="C1611" t="s">
        <v>273</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COUNT(LifeExpectancyData[[#This Row],[Life expectancy]:[Schooling]])=19</f>
        <v>1</v>
      </c>
    </row>
    <row r="1612" spans="1:23" x14ac:dyDescent="0.25">
      <c r="A1612" t="s">
        <v>376</v>
      </c>
      <c r="B1612">
        <v>2007</v>
      </c>
      <c r="C1612" t="s">
        <v>273</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COUNT(LifeExpectancyData[[#This Row],[Life expectancy]:[Schooling]])=19</f>
        <v>1</v>
      </c>
    </row>
    <row r="1613" spans="1:23" x14ac:dyDescent="0.25">
      <c r="A1613" t="s">
        <v>376</v>
      </c>
      <c r="B1613">
        <v>2006</v>
      </c>
      <c r="C1613" t="s">
        <v>273</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COUNT(LifeExpectancyData[[#This Row],[Life expectancy]:[Schooling]])=19</f>
        <v>1</v>
      </c>
    </row>
    <row r="1614" spans="1:23" x14ac:dyDescent="0.25">
      <c r="A1614" t="s">
        <v>376</v>
      </c>
      <c r="B1614">
        <v>2005</v>
      </c>
      <c r="C1614" t="s">
        <v>273</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COUNT(LifeExpectancyData[[#This Row],[Life expectancy]:[Schooling]])=19</f>
        <v>1</v>
      </c>
    </row>
    <row r="1615" spans="1:23" x14ac:dyDescent="0.25">
      <c r="A1615" t="s">
        <v>376</v>
      </c>
      <c r="B1615">
        <v>2004</v>
      </c>
      <c r="C1615" t="s">
        <v>273</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COUNT(LifeExpectancyData[[#This Row],[Life expectancy]:[Schooling]])=19</f>
        <v>1</v>
      </c>
    </row>
    <row r="1616" spans="1:23" x14ac:dyDescent="0.25">
      <c r="A1616" t="s">
        <v>376</v>
      </c>
      <c r="B1616">
        <v>2003</v>
      </c>
      <c r="C1616" t="s">
        <v>273</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COUNT(LifeExpectancyData[[#This Row],[Life expectancy]:[Schooling]])=19</f>
        <v>1</v>
      </c>
    </row>
    <row r="1617" spans="1:23" x14ac:dyDescent="0.25">
      <c r="A1617" t="s">
        <v>376</v>
      </c>
      <c r="B1617">
        <v>2002</v>
      </c>
      <c r="C1617" t="s">
        <v>273</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COUNT(LifeExpectancyData[[#This Row],[Life expectancy]:[Schooling]])=19</f>
        <v>1</v>
      </c>
    </row>
    <row r="1618" spans="1:23" x14ac:dyDescent="0.25">
      <c r="A1618" t="s">
        <v>376</v>
      </c>
      <c r="B1618">
        <v>2001</v>
      </c>
      <c r="C1618" t="s">
        <v>273</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COUNT(LifeExpectancyData[[#This Row],[Life expectancy]:[Schooling]])=19</f>
        <v>1</v>
      </c>
    </row>
    <row r="1619" spans="1:23" x14ac:dyDescent="0.25">
      <c r="A1619" t="s">
        <v>376</v>
      </c>
      <c r="B1619">
        <v>2000</v>
      </c>
      <c r="C1619" t="s">
        <v>273</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COUNT(LifeExpectancyData[[#This Row],[Life expectancy]:[Schooling]])=19</f>
        <v>1</v>
      </c>
    </row>
    <row r="1620" spans="1:23" x14ac:dyDescent="0.25">
      <c r="A1620" t="s">
        <v>377</v>
      </c>
      <c r="B1620">
        <v>2015</v>
      </c>
      <c r="C1620" t="s">
        <v>273</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COUNT(LifeExpectancyData[[#This Row],[Life expectancy]:[Schooling]])=19</f>
        <v>0</v>
      </c>
    </row>
    <row r="1621" spans="1:23" x14ac:dyDescent="0.25">
      <c r="A1621" t="s">
        <v>377</v>
      </c>
      <c r="B1621">
        <v>2014</v>
      </c>
      <c r="C1621" t="s">
        <v>273</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COUNT(LifeExpectancyData[[#This Row],[Life expectancy]:[Schooling]])=19</f>
        <v>1</v>
      </c>
    </row>
    <row r="1622" spans="1:23" x14ac:dyDescent="0.25">
      <c r="A1622" t="s">
        <v>377</v>
      </c>
      <c r="B1622">
        <v>2013</v>
      </c>
      <c r="C1622" t="s">
        <v>273</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COUNT(LifeExpectancyData[[#This Row],[Life expectancy]:[Schooling]])=19</f>
        <v>1</v>
      </c>
    </row>
    <row r="1623" spans="1:23" x14ac:dyDescent="0.25">
      <c r="A1623" t="s">
        <v>377</v>
      </c>
      <c r="B1623">
        <v>2012</v>
      </c>
      <c r="C1623" t="s">
        <v>273</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COUNT(LifeExpectancyData[[#This Row],[Life expectancy]:[Schooling]])=19</f>
        <v>1</v>
      </c>
    </row>
    <row r="1624" spans="1:23" x14ac:dyDescent="0.25">
      <c r="A1624" t="s">
        <v>377</v>
      </c>
      <c r="B1624">
        <v>2011</v>
      </c>
      <c r="C1624" t="s">
        <v>273</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COUNT(LifeExpectancyData[[#This Row],[Life expectancy]:[Schooling]])=19</f>
        <v>1</v>
      </c>
    </row>
    <row r="1625" spans="1:23" x14ac:dyDescent="0.25">
      <c r="A1625" t="s">
        <v>377</v>
      </c>
      <c r="B1625">
        <v>2010</v>
      </c>
      <c r="C1625" t="s">
        <v>273</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COUNT(LifeExpectancyData[[#This Row],[Life expectancy]:[Schooling]])=19</f>
        <v>1</v>
      </c>
    </row>
    <row r="1626" spans="1:23" x14ac:dyDescent="0.25">
      <c r="A1626" t="s">
        <v>377</v>
      </c>
      <c r="B1626">
        <v>2009</v>
      </c>
      <c r="C1626" t="s">
        <v>273</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COUNT(LifeExpectancyData[[#This Row],[Life expectancy]:[Schooling]])=19</f>
        <v>1</v>
      </c>
    </row>
    <row r="1627" spans="1:23" x14ac:dyDescent="0.25">
      <c r="A1627" t="s">
        <v>377</v>
      </c>
      <c r="B1627">
        <v>2008</v>
      </c>
      <c r="C1627" t="s">
        <v>273</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COUNT(LifeExpectancyData[[#This Row],[Life expectancy]:[Schooling]])=19</f>
        <v>1</v>
      </c>
    </row>
    <row r="1628" spans="1:23" x14ac:dyDescent="0.25">
      <c r="A1628" t="s">
        <v>377</v>
      </c>
      <c r="B1628">
        <v>2007</v>
      </c>
      <c r="C1628" t="s">
        <v>273</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COUNT(LifeExpectancyData[[#This Row],[Life expectancy]:[Schooling]])=19</f>
        <v>1</v>
      </c>
    </row>
    <row r="1629" spans="1:23" x14ac:dyDescent="0.25">
      <c r="A1629" t="s">
        <v>377</v>
      </c>
      <c r="B1629">
        <v>2006</v>
      </c>
      <c r="C1629" t="s">
        <v>273</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COUNT(LifeExpectancyData[[#This Row],[Life expectancy]:[Schooling]])=19</f>
        <v>1</v>
      </c>
    </row>
    <row r="1630" spans="1:23" x14ac:dyDescent="0.25">
      <c r="A1630" t="s">
        <v>377</v>
      </c>
      <c r="B1630">
        <v>2005</v>
      </c>
      <c r="C1630" t="s">
        <v>273</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COUNT(LifeExpectancyData[[#This Row],[Life expectancy]:[Schooling]])=19</f>
        <v>1</v>
      </c>
    </row>
    <row r="1631" spans="1:23" x14ac:dyDescent="0.25">
      <c r="A1631" t="s">
        <v>377</v>
      </c>
      <c r="B1631">
        <v>2004</v>
      </c>
      <c r="C1631" t="s">
        <v>273</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COUNT(LifeExpectancyData[[#This Row],[Life expectancy]:[Schooling]])=19</f>
        <v>1</v>
      </c>
    </row>
    <row r="1632" spans="1:23" x14ac:dyDescent="0.25">
      <c r="A1632" t="s">
        <v>377</v>
      </c>
      <c r="B1632">
        <v>2003</v>
      </c>
      <c r="C1632" t="s">
        <v>273</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COUNT(LifeExpectancyData[[#This Row],[Life expectancy]:[Schooling]])=19</f>
        <v>1</v>
      </c>
    </row>
    <row r="1633" spans="1:23" x14ac:dyDescent="0.25">
      <c r="A1633" t="s">
        <v>377</v>
      </c>
      <c r="B1633">
        <v>2002</v>
      </c>
      <c r="C1633" t="s">
        <v>273</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COUNT(LifeExpectancyData[[#This Row],[Life expectancy]:[Schooling]])=19</f>
        <v>0</v>
      </c>
    </row>
    <row r="1634" spans="1:23" x14ac:dyDescent="0.25">
      <c r="A1634" t="s">
        <v>377</v>
      </c>
      <c r="B1634">
        <v>2001</v>
      </c>
      <c r="C1634" t="s">
        <v>273</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COUNT(LifeExpectancyData[[#This Row],[Life expectancy]:[Schooling]])=19</f>
        <v>0</v>
      </c>
    </row>
    <row r="1635" spans="1:23" x14ac:dyDescent="0.25">
      <c r="A1635" t="s">
        <v>377</v>
      </c>
      <c r="B1635">
        <v>2000</v>
      </c>
      <c r="C1635" t="s">
        <v>273</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COUNT(LifeExpectancyData[[#This Row],[Life expectancy]:[Schooling]])=19</f>
        <v>0</v>
      </c>
    </row>
    <row r="1636" spans="1:23" x14ac:dyDescent="0.25">
      <c r="A1636" t="s">
        <v>378</v>
      </c>
      <c r="B1636">
        <v>2015</v>
      </c>
      <c r="C1636" t="s">
        <v>281</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COUNT(LifeExpectancyData[[#This Row],[Life expectancy]:[Schooling]])=19</f>
        <v>0</v>
      </c>
    </row>
    <row r="1637" spans="1:23" x14ac:dyDescent="0.25">
      <c r="A1637" t="s">
        <v>378</v>
      </c>
      <c r="B1637">
        <v>2014</v>
      </c>
      <c r="C1637" t="s">
        <v>281</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COUNT(LifeExpectancyData[[#This Row],[Life expectancy]:[Schooling]])=19</f>
        <v>1</v>
      </c>
    </row>
    <row r="1638" spans="1:23" x14ac:dyDescent="0.25">
      <c r="A1638" t="s">
        <v>378</v>
      </c>
      <c r="B1638">
        <v>2013</v>
      </c>
      <c r="C1638" t="s">
        <v>281</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COUNT(LifeExpectancyData[[#This Row],[Life expectancy]:[Schooling]])=19</f>
        <v>1</v>
      </c>
    </row>
    <row r="1639" spans="1:23" x14ac:dyDescent="0.25">
      <c r="A1639" t="s">
        <v>378</v>
      </c>
      <c r="B1639">
        <v>2012</v>
      </c>
      <c r="C1639" t="s">
        <v>281</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COUNT(LifeExpectancyData[[#This Row],[Life expectancy]:[Schooling]])=19</f>
        <v>1</v>
      </c>
    </row>
    <row r="1640" spans="1:23" x14ac:dyDescent="0.25">
      <c r="A1640" t="s">
        <v>378</v>
      </c>
      <c r="B1640">
        <v>2011</v>
      </c>
      <c r="C1640" t="s">
        <v>281</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COUNT(LifeExpectancyData[[#This Row],[Life expectancy]:[Schooling]])=19</f>
        <v>1</v>
      </c>
    </row>
    <row r="1641" spans="1:23" x14ac:dyDescent="0.25">
      <c r="A1641" t="s">
        <v>378</v>
      </c>
      <c r="B1641">
        <v>2010</v>
      </c>
      <c r="C1641" t="s">
        <v>281</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COUNT(LifeExpectancyData[[#This Row],[Life expectancy]:[Schooling]])=19</f>
        <v>1</v>
      </c>
    </row>
    <row r="1642" spans="1:23" x14ac:dyDescent="0.25">
      <c r="A1642" t="s">
        <v>378</v>
      </c>
      <c r="B1642">
        <v>2009</v>
      </c>
      <c r="C1642" t="s">
        <v>281</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COUNT(LifeExpectancyData[[#This Row],[Life expectancy]:[Schooling]])=19</f>
        <v>1</v>
      </c>
    </row>
    <row r="1643" spans="1:23" x14ac:dyDescent="0.25">
      <c r="A1643" t="s">
        <v>378</v>
      </c>
      <c r="B1643">
        <v>2008</v>
      </c>
      <c r="C1643" t="s">
        <v>281</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COUNT(LifeExpectancyData[[#This Row],[Life expectancy]:[Schooling]])=19</f>
        <v>1</v>
      </c>
    </row>
    <row r="1644" spans="1:23" x14ac:dyDescent="0.25">
      <c r="A1644" t="s">
        <v>378</v>
      </c>
      <c r="B1644">
        <v>2007</v>
      </c>
      <c r="C1644" t="s">
        <v>281</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COUNT(LifeExpectancyData[[#This Row],[Life expectancy]:[Schooling]])=19</f>
        <v>1</v>
      </c>
    </row>
    <row r="1645" spans="1:23" x14ac:dyDescent="0.25">
      <c r="A1645" t="s">
        <v>378</v>
      </c>
      <c r="B1645">
        <v>2006</v>
      </c>
      <c r="C1645" t="s">
        <v>281</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COUNT(LifeExpectancyData[[#This Row],[Life expectancy]:[Schooling]])=19</f>
        <v>1</v>
      </c>
    </row>
    <row r="1646" spans="1:23" x14ac:dyDescent="0.25">
      <c r="A1646" t="s">
        <v>378</v>
      </c>
      <c r="B1646">
        <v>2005</v>
      </c>
      <c r="C1646" t="s">
        <v>281</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COUNT(LifeExpectancyData[[#This Row],[Life expectancy]:[Schooling]])=19</f>
        <v>1</v>
      </c>
    </row>
    <row r="1647" spans="1:23" x14ac:dyDescent="0.25">
      <c r="A1647" t="s">
        <v>378</v>
      </c>
      <c r="B1647">
        <v>2004</v>
      </c>
      <c r="C1647" t="s">
        <v>281</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COUNT(LifeExpectancyData[[#This Row],[Life expectancy]:[Schooling]])=19</f>
        <v>1</v>
      </c>
    </row>
    <row r="1648" spans="1:23" x14ac:dyDescent="0.25">
      <c r="A1648" t="s">
        <v>378</v>
      </c>
      <c r="B1648">
        <v>2003</v>
      </c>
      <c r="C1648" t="s">
        <v>281</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COUNT(LifeExpectancyData[[#This Row],[Life expectancy]:[Schooling]])=19</f>
        <v>1</v>
      </c>
    </row>
    <row r="1649" spans="1:23" x14ac:dyDescent="0.25">
      <c r="A1649" t="s">
        <v>378</v>
      </c>
      <c r="B1649">
        <v>2002</v>
      </c>
      <c r="C1649" t="s">
        <v>281</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COUNT(LifeExpectancyData[[#This Row],[Life expectancy]:[Schooling]])=19</f>
        <v>0</v>
      </c>
    </row>
    <row r="1650" spans="1:23" x14ac:dyDescent="0.25">
      <c r="A1650" t="s">
        <v>378</v>
      </c>
      <c r="B1650">
        <v>2001</v>
      </c>
      <c r="C1650" t="s">
        <v>281</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COUNT(LifeExpectancyData[[#This Row],[Life expectancy]:[Schooling]])=19</f>
        <v>0</v>
      </c>
    </row>
    <row r="1651" spans="1:23" x14ac:dyDescent="0.25">
      <c r="A1651" t="s">
        <v>378</v>
      </c>
      <c r="B1651">
        <v>2000</v>
      </c>
      <c r="C1651" t="s">
        <v>281</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COUNT(LifeExpectancyData[[#This Row],[Life expectancy]:[Schooling]])=19</f>
        <v>0</v>
      </c>
    </row>
    <row r="1652" spans="1:23" x14ac:dyDescent="0.25">
      <c r="A1652" t="s">
        <v>379</v>
      </c>
      <c r="B1652">
        <v>2013</v>
      </c>
      <c r="C1652" t="s">
        <v>273</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COUNT(LifeExpectancyData[[#This Row],[Life expectancy]:[Schooling]])=19</f>
        <v>0</v>
      </c>
    </row>
    <row r="1653" spans="1:23" x14ac:dyDescent="0.25">
      <c r="A1653" t="s">
        <v>380</v>
      </c>
      <c r="B1653">
        <v>2015</v>
      </c>
      <c r="C1653" t="s">
        <v>273</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COUNT(LifeExpectancyData[[#This Row],[Life expectancy]:[Schooling]])=19</f>
        <v>0</v>
      </c>
    </row>
    <row r="1654" spans="1:23" x14ac:dyDescent="0.25">
      <c r="A1654" t="s">
        <v>380</v>
      </c>
      <c r="B1654">
        <v>2014</v>
      </c>
      <c r="C1654" t="s">
        <v>273</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COUNT(LifeExpectancyData[[#This Row],[Life expectancy]:[Schooling]])=19</f>
        <v>1</v>
      </c>
    </row>
    <row r="1655" spans="1:23" x14ac:dyDescent="0.25">
      <c r="A1655" t="s">
        <v>380</v>
      </c>
      <c r="B1655">
        <v>2013</v>
      </c>
      <c r="C1655" t="s">
        <v>273</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COUNT(LifeExpectancyData[[#This Row],[Life expectancy]:[Schooling]])=19</f>
        <v>1</v>
      </c>
    </row>
    <row r="1656" spans="1:23" x14ac:dyDescent="0.25">
      <c r="A1656" t="s">
        <v>380</v>
      </c>
      <c r="B1656">
        <v>2012</v>
      </c>
      <c r="C1656" t="s">
        <v>273</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COUNT(LifeExpectancyData[[#This Row],[Life expectancy]:[Schooling]])=19</f>
        <v>1</v>
      </c>
    </row>
    <row r="1657" spans="1:23" x14ac:dyDescent="0.25">
      <c r="A1657" t="s">
        <v>380</v>
      </c>
      <c r="B1657">
        <v>2011</v>
      </c>
      <c r="C1657" t="s">
        <v>273</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COUNT(LifeExpectancyData[[#This Row],[Life expectancy]:[Schooling]])=19</f>
        <v>1</v>
      </c>
    </row>
    <row r="1658" spans="1:23" x14ac:dyDescent="0.25">
      <c r="A1658" t="s">
        <v>380</v>
      </c>
      <c r="B1658">
        <v>2010</v>
      </c>
      <c r="C1658" t="s">
        <v>273</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COUNT(LifeExpectancyData[[#This Row],[Life expectancy]:[Schooling]])=19</f>
        <v>1</v>
      </c>
    </row>
    <row r="1659" spans="1:23" x14ac:dyDescent="0.25">
      <c r="A1659" t="s">
        <v>380</v>
      </c>
      <c r="B1659">
        <v>2009</v>
      </c>
      <c r="C1659" t="s">
        <v>273</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COUNT(LifeExpectancyData[[#This Row],[Life expectancy]:[Schooling]])=19</f>
        <v>1</v>
      </c>
    </row>
    <row r="1660" spans="1:23" x14ac:dyDescent="0.25">
      <c r="A1660" t="s">
        <v>380</v>
      </c>
      <c r="B1660">
        <v>2008</v>
      </c>
      <c r="C1660" t="s">
        <v>273</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COUNT(LifeExpectancyData[[#This Row],[Life expectancy]:[Schooling]])=19</f>
        <v>1</v>
      </c>
    </row>
    <row r="1661" spans="1:23" x14ac:dyDescent="0.25">
      <c r="A1661" t="s">
        <v>380</v>
      </c>
      <c r="B1661">
        <v>2007</v>
      </c>
      <c r="C1661" t="s">
        <v>273</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COUNT(LifeExpectancyData[[#This Row],[Life expectancy]:[Schooling]])=19</f>
        <v>1</v>
      </c>
    </row>
    <row r="1662" spans="1:23" x14ac:dyDescent="0.25">
      <c r="A1662" t="s">
        <v>380</v>
      </c>
      <c r="B1662">
        <v>2006</v>
      </c>
      <c r="C1662" t="s">
        <v>273</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COUNT(LifeExpectancyData[[#This Row],[Life expectancy]:[Schooling]])=19</f>
        <v>1</v>
      </c>
    </row>
    <row r="1663" spans="1:23" x14ac:dyDescent="0.25">
      <c r="A1663" t="s">
        <v>380</v>
      </c>
      <c r="B1663">
        <v>2005</v>
      </c>
      <c r="C1663" t="s">
        <v>273</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COUNT(LifeExpectancyData[[#This Row],[Life expectancy]:[Schooling]])=19</f>
        <v>1</v>
      </c>
    </row>
    <row r="1664" spans="1:23" x14ac:dyDescent="0.25">
      <c r="A1664" t="s">
        <v>380</v>
      </c>
      <c r="B1664">
        <v>2004</v>
      </c>
      <c r="C1664" t="s">
        <v>273</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COUNT(LifeExpectancyData[[#This Row],[Life expectancy]:[Schooling]])=19</f>
        <v>0</v>
      </c>
    </row>
    <row r="1665" spans="1:23" x14ac:dyDescent="0.25">
      <c r="A1665" t="s">
        <v>380</v>
      </c>
      <c r="B1665">
        <v>2003</v>
      </c>
      <c r="C1665" t="s">
        <v>273</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COUNT(LifeExpectancyData[[#This Row],[Life expectancy]:[Schooling]])=19</f>
        <v>0</v>
      </c>
    </row>
    <row r="1666" spans="1:23" x14ac:dyDescent="0.25">
      <c r="A1666" t="s">
        <v>380</v>
      </c>
      <c r="B1666">
        <v>2002</v>
      </c>
      <c r="C1666" t="s">
        <v>273</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COUNT(LifeExpectancyData[[#This Row],[Life expectancy]:[Schooling]])=19</f>
        <v>0</v>
      </c>
    </row>
    <row r="1667" spans="1:23" x14ac:dyDescent="0.25">
      <c r="A1667" t="s">
        <v>380</v>
      </c>
      <c r="B1667">
        <v>2001</v>
      </c>
      <c r="C1667" t="s">
        <v>273</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COUNT(LifeExpectancyData[[#This Row],[Life expectancy]:[Schooling]])=19</f>
        <v>0</v>
      </c>
    </row>
    <row r="1668" spans="1:23" x14ac:dyDescent="0.25">
      <c r="A1668" t="s">
        <v>380</v>
      </c>
      <c r="B1668">
        <v>2000</v>
      </c>
      <c r="C1668" t="s">
        <v>273</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COUNT(LifeExpectancyData[[#This Row],[Life expectancy]:[Schooling]])=19</f>
        <v>0</v>
      </c>
    </row>
    <row r="1669" spans="1:23" x14ac:dyDescent="0.25">
      <c r="A1669" t="s">
        <v>381</v>
      </c>
      <c r="B1669">
        <v>2015</v>
      </c>
      <c r="C1669" t="s">
        <v>273</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COUNT(LifeExpectancyData[[#This Row],[Life expectancy]:[Schooling]])=19</f>
        <v>0</v>
      </c>
    </row>
    <row r="1670" spans="1:23" x14ac:dyDescent="0.25">
      <c r="A1670" t="s">
        <v>381</v>
      </c>
      <c r="B1670">
        <v>2014</v>
      </c>
      <c r="C1670" t="s">
        <v>273</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COUNT(LifeExpectancyData[[#This Row],[Life expectancy]:[Schooling]])=19</f>
        <v>1</v>
      </c>
    </row>
    <row r="1671" spans="1:23" x14ac:dyDescent="0.25">
      <c r="A1671" t="s">
        <v>381</v>
      </c>
      <c r="B1671">
        <v>2013</v>
      </c>
      <c r="C1671" t="s">
        <v>273</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COUNT(LifeExpectancyData[[#This Row],[Life expectancy]:[Schooling]])=19</f>
        <v>1</v>
      </c>
    </row>
    <row r="1672" spans="1:23" x14ac:dyDescent="0.25">
      <c r="A1672" t="s">
        <v>381</v>
      </c>
      <c r="B1672">
        <v>2012</v>
      </c>
      <c r="C1672" t="s">
        <v>273</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COUNT(LifeExpectancyData[[#This Row],[Life expectancy]:[Schooling]])=19</f>
        <v>1</v>
      </c>
    </row>
    <row r="1673" spans="1:23" x14ac:dyDescent="0.25">
      <c r="A1673" t="s">
        <v>381</v>
      </c>
      <c r="B1673">
        <v>2011</v>
      </c>
      <c r="C1673" t="s">
        <v>273</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COUNT(LifeExpectancyData[[#This Row],[Life expectancy]:[Schooling]])=19</f>
        <v>1</v>
      </c>
    </row>
    <row r="1674" spans="1:23" x14ac:dyDescent="0.25">
      <c r="A1674" t="s">
        <v>381</v>
      </c>
      <c r="B1674">
        <v>2010</v>
      </c>
      <c r="C1674" t="s">
        <v>273</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COUNT(LifeExpectancyData[[#This Row],[Life expectancy]:[Schooling]])=19</f>
        <v>1</v>
      </c>
    </row>
    <row r="1675" spans="1:23" x14ac:dyDescent="0.25">
      <c r="A1675" t="s">
        <v>381</v>
      </c>
      <c r="B1675">
        <v>2009</v>
      </c>
      <c r="C1675" t="s">
        <v>273</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COUNT(LifeExpectancyData[[#This Row],[Life expectancy]:[Schooling]])=19</f>
        <v>1</v>
      </c>
    </row>
    <row r="1676" spans="1:23" x14ac:dyDescent="0.25">
      <c r="A1676" t="s">
        <v>381</v>
      </c>
      <c r="B1676">
        <v>2008</v>
      </c>
      <c r="C1676" t="s">
        <v>273</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COUNT(LifeExpectancyData[[#This Row],[Life expectancy]:[Schooling]])=19</f>
        <v>1</v>
      </c>
    </row>
    <row r="1677" spans="1:23" x14ac:dyDescent="0.25">
      <c r="A1677" t="s">
        <v>381</v>
      </c>
      <c r="B1677">
        <v>2007</v>
      </c>
      <c r="C1677" t="s">
        <v>273</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COUNT(LifeExpectancyData[[#This Row],[Life expectancy]:[Schooling]])=19</f>
        <v>1</v>
      </c>
    </row>
    <row r="1678" spans="1:23" x14ac:dyDescent="0.25">
      <c r="A1678" t="s">
        <v>381</v>
      </c>
      <c r="B1678">
        <v>2006</v>
      </c>
      <c r="C1678" t="s">
        <v>273</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COUNT(LifeExpectancyData[[#This Row],[Life expectancy]:[Schooling]])=19</f>
        <v>1</v>
      </c>
    </row>
    <row r="1679" spans="1:23" x14ac:dyDescent="0.25">
      <c r="A1679" t="s">
        <v>381</v>
      </c>
      <c r="B1679">
        <v>2005</v>
      </c>
      <c r="C1679" t="s">
        <v>273</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COUNT(LifeExpectancyData[[#This Row],[Life expectancy]:[Schooling]])=19</f>
        <v>1</v>
      </c>
    </row>
    <row r="1680" spans="1:23" x14ac:dyDescent="0.25">
      <c r="A1680" t="s">
        <v>381</v>
      </c>
      <c r="B1680">
        <v>2004</v>
      </c>
      <c r="C1680" t="s">
        <v>273</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COUNT(LifeExpectancyData[[#This Row],[Life expectancy]:[Schooling]])=19</f>
        <v>1</v>
      </c>
    </row>
    <row r="1681" spans="1:23" x14ac:dyDescent="0.25">
      <c r="A1681" t="s">
        <v>381</v>
      </c>
      <c r="B1681">
        <v>2003</v>
      </c>
      <c r="C1681" t="s">
        <v>273</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COUNT(LifeExpectancyData[[#This Row],[Life expectancy]:[Schooling]])=19</f>
        <v>1</v>
      </c>
    </row>
    <row r="1682" spans="1:23" x14ac:dyDescent="0.25">
      <c r="A1682" t="s">
        <v>381</v>
      </c>
      <c r="B1682">
        <v>2002</v>
      </c>
      <c r="C1682" t="s">
        <v>273</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COUNT(LifeExpectancyData[[#This Row],[Life expectancy]:[Schooling]])=19</f>
        <v>1</v>
      </c>
    </row>
    <row r="1683" spans="1:23" x14ac:dyDescent="0.25">
      <c r="A1683" t="s">
        <v>381</v>
      </c>
      <c r="B1683">
        <v>2001</v>
      </c>
      <c r="C1683" t="s">
        <v>273</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COUNT(LifeExpectancyData[[#This Row],[Life expectancy]:[Schooling]])=19</f>
        <v>1</v>
      </c>
    </row>
    <row r="1684" spans="1:23" x14ac:dyDescent="0.25">
      <c r="A1684" t="s">
        <v>381</v>
      </c>
      <c r="B1684">
        <v>2000</v>
      </c>
      <c r="C1684" t="s">
        <v>273</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COUNT(LifeExpectancyData[[#This Row],[Life expectancy]:[Schooling]])=19</f>
        <v>1</v>
      </c>
    </row>
    <row r="1685" spans="1:23" x14ac:dyDescent="0.25">
      <c r="A1685" t="s">
        <v>382</v>
      </c>
      <c r="B1685">
        <v>2015</v>
      </c>
      <c r="C1685" t="s">
        <v>273</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COUNT(LifeExpectancyData[[#This Row],[Life expectancy]:[Schooling]])=19</f>
        <v>0</v>
      </c>
    </row>
    <row r="1686" spans="1:23" x14ac:dyDescent="0.25">
      <c r="A1686" t="s">
        <v>382</v>
      </c>
      <c r="B1686">
        <v>2014</v>
      </c>
      <c r="C1686" t="s">
        <v>273</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COUNT(LifeExpectancyData[[#This Row],[Life expectancy]:[Schooling]])=19</f>
        <v>1</v>
      </c>
    </row>
    <row r="1687" spans="1:23" x14ac:dyDescent="0.25">
      <c r="A1687" t="s">
        <v>382</v>
      </c>
      <c r="B1687">
        <v>2013</v>
      </c>
      <c r="C1687" t="s">
        <v>273</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COUNT(LifeExpectancyData[[#This Row],[Life expectancy]:[Schooling]])=19</f>
        <v>1</v>
      </c>
    </row>
    <row r="1688" spans="1:23" x14ac:dyDescent="0.25">
      <c r="A1688" t="s">
        <v>382</v>
      </c>
      <c r="B1688">
        <v>2012</v>
      </c>
      <c r="C1688" t="s">
        <v>273</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COUNT(LifeExpectancyData[[#This Row],[Life expectancy]:[Schooling]])=19</f>
        <v>1</v>
      </c>
    </row>
    <row r="1689" spans="1:23" x14ac:dyDescent="0.25">
      <c r="A1689" t="s">
        <v>382</v>
      </c>
      <c r="B1689">
        <v>2011</v>
      </c>
      <c r="C1689" t="s">
        <v>273</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COUNT(LifeExpectancyData[[#This Row],[Life expectancy]:[Schooling]])=19</f>
        <v>1</v>
      </c>
    </row>
    <row r="1690" spans="1:23" x14ac:dyDescent="0.25">
      <c r="A1690" t="s">
        <v>382</v>
      </c>
      <c r="B1690">
        <v>2010</v>
      </c>
      <c r="C1690" t="s">
        <v>273</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COUNT(LifeExpectancyData[[#This Row],[Life expectancy]:[Schooling]])=19</f>
        <v>1</v>
      </c>
    </row>
    <row r="1691" spans="1:23" x14ac:dyDescent="0.25">
      <c r="A1691" t="s">
        <v>382</v>
      </c>
      <c r="B1691">
        <v>2009</v>
      </c>
      <c r="C1691" t="s">
        <v>273</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COUNT(LifeExpectancyData[[#This Row],[Life expectancy]:[Schooling]])=19</f>
        <v>1</v>
      </c>
    </row>
    <row r="1692" spans="1:23" x14ac:dyDescent="0.25">
      <c r="A1692" t="s">
        <v>382</v>
      </c>
      <c r="B1692">
        <v>2008</v>
      </c>
      <c r="C1692" t="s">
        <v>273</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COUNT(LifeExpectancyData[[#This Row],[Life expectancy]:[Schooling]])=19</f>
        <v>1</v>
      </c>
    </row>
    <row r="1693" spans="1:23" x14ac:dyDescent="0.25">
      <c r="A1693" t="s">
        <v>382</v>
      </c>
      <c r="B1693">
        <v>2007</v>
      </c>
      <c r="C1693" t="s">
        <v>273</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COUNT(LifeExpectancyData[[#This Row],[Life expectancy]:[Schooling]])=19</f>
        <v>1</v>
      </c>
    </row>
    <row r="1694" spans="1:23" x14ac:dyDescent="0.25">
      <c r="A1694" t="s">
        <v>382</v>
      </c>
      <c r="B1694">
        <v>2006</v>
      </c>
      <c r="C1694" t="s">
        <v>273</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COUNT(LifeExpectancyData[[#This Row],[Life expectancy]:[Schooling]])=19</f>
        <v>1</v>
      </c>
    </row>
    <row r="1695" spans="1:23" x14ac:dyDescent="0.25">
      <c r="A1695" t="s">
        <v>382</v>
      </c>
      <c r="B1695">
        <v>2005</v>
      </c>
      <c r="C1695" t="s">
        <v>273</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COUNT(LifeExpectancyData[[#This Row],[Life expectancy]:[Schooling]])=19</f>
        <v>1</v>
      </c>
    </row>
    <row r="1696" spans="1:23" x14ac:dyDescent="0.25">
      <c r="A1696" t="s">
        <v>382</v>
      </c>
      <c r="B1696">
        <v>2004</v>
      </c>
      <c r="C1696" t="s">
        <v>273</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COUNT(LifeExpectancyData[[#This Row],[Life expectancy]:[Schooling]])=19</f>
        <v>1</v>
      </c>
    </row>
    <row r="1697" spans="1:23" x14ac:dyDescent="0.25">
      <c r="A1697" t="s">
        <v>382</v>
      </c>
      <c r="B1697">
        <v>2003</v>
      </c>
      <c r="C1697" t="s">
        <v>273</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COUNT(LifeExpectancyData[[#This Row],[Life expectancy]:[Schooling]])=19</f>
        <v>1</v>
      </c>
    </row>
    <row r="1698" spans="1:23" x14ac:dyDescent="0.25">
      <c r="A1698" t="s">
        <v>382</v>
      </c>
      <c r="B1698">
        <v>2002</v>
      </c>
      <c r="C1698" t="s">
        <v>273</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COUNT(LifeExpectancyData[[#This Row],[Life expectancy]:[Schooling]])=19</f>
        <v>1</v>
      </c>
    </row>
    <row r="1699" spans="1:23" x14ac:dyDescent="0.25">
      <c r="A1699" t="s">
        <v>382</v>
      </c>
      <c r="B1699">
        <v>2001</v>
      </c>
      <c r="C1699" t="s">
        <v>273</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COUNT(LifeExpectancyData[[#This Row],[Life expectancy]:[Schooling]])=19</f>
        <v>1</v>
      </c>
    </row>
    <row r="1700" spans="1:23" x14ac:dyDescent="0.25">
      <c r="A1700" t="s">
        <v>382</v>
      </c>
      <c r="B1700">
        <v>2000</v>
      </c>
      <c r="C1700" t="s">
        <v>273</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COUNT(LifeExpectancyData[[#This Row],[Life expectancy]:[Schooling]])=19</f>
        <v>1</v>
      </c>
    </row>
    <row r="1701" spans="1:23" x14ac:dyDescent="0.25">
      <c r="A1701" t="s">
        <v>383</v>
      </c>
      <c r="B1701">
        <v>2015</v>
      </c>
      <c r="C1701" t="s">
        <v>273</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COUNT(LifeExpectancyData[[#This Row],[Life expectancy]:[Schooling]])=19</f>
        <v>0</v>
      </c>
    </row>
    <row r="1702" spans="1:23" x14ac:dyDescent="0.25">
      <c r="A1702" t="s">
        <v>383</v>
      </c>
      <c r="B1702">
        <v>2014</v>
      </c>
      <c r="C1702" t="s">
        <v>273</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COUNT(LifeExpectancyData[[#This Row],[Life expectancy]:[Schooling]])=19</f>
        <v>0</v>
      </c>
    </row>
    <row r="1703" spans="1:23" x14ac:dyDescent="0.25">
      <c r="A1703" t="s">
        <v>383</v>
      </c>
      <c r="B1703">
        <v>2013</v>
      </c>
      <c r="C1703" t="s">
        <v>273</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COUNT(LifeExpectancyData[[#This Row],[Life expectancy]:[Schooling]])=19</f>
        <v>0</v>
      </c>
    </row>
    <row r="1704" spans="1:23" x14ac:dyDescent="0.25">
      <c r="A1704" t="s">
        <v>383</v>
      </c>
      <c r="B1704">
        <v>2012</v>
      </c>
      <c r="C1704" t="s">
        <v>273</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COUNT(LifeExpectancyData[[#This Row],[Life expectancy]:[Schooling]])=19</f>
        <v>0</v>
      </c>
    </row>
    <row r="1705" spans="1:23" x14ac:dyDescent="0.25">
      <c r="A1705" t="s">
        <v>383</v>
      </c>
      <c r="B1705">
        <v>2011</v>
      </c>
      <c r="C1705" t="s">
        <v>273</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COUNT(LifeExpectancyData[[#This Row],[Life expectancy]:[Schooling]])=19</f>
        <v>0</v>
      </c>
    </row>
    <row r="1706" spans="1:23" x14ac:dyDescent="0.25">
      <c r="A1706" t="s">
        <v>383</v>
      </c>
      <c r="B1706">
        <v>2010</v>
      </c>
      <c r="C1706" t="s">
        <v>273</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COUNT(LifeExpectancyData[[#This Row],[Life expectancy]:[Schooling]])=19</f>
        <v>0</v>
      </c>
    </row>
    <row r="1707" spans="1:23" x14ac:dyDescent="0.25">
      <c r="A1707" t="s">
        <v>383</v>
      </c>
      <c r="B1707">
        <v>2009</v>
      </c>
      <c r="C1707" t="s">
        <v>273</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COUNT(LifeExpectancyData[[#This Row],[Life expectancy]:[Schooling]])=19</f>
        <v>0</v>
      </c>
    </row>
    <row r="1708" spans="1:23" x14ac:dyDescent="0.25">
      <c r="A1708" t="s">
        <v>383</v>
      </c>
      <c r="B1708">
        <v>2008</v>
      </c>
      <c r="C1708" t="s">
        <v>273</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COUNT(LifeExpectancyData[[#This Row],[Life expectancy]:[Schooling]])=19</f>
        <v>0</v>
      </c>
    </row>
    <row r="1709" spans="1:23" x14ac:dyDescent="0.25">
      <c r="A1709" t="s">
        <v>383</v>
      </c>
      <c r="B1709">
        <v>2007</v>
      </c>
      <c r="C1709" t="s">
        <v>273</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COUNT(LifeExpectancyData[[#This Row],[Life expectancy]:[Schooling]])=19</f>
        <v>0</v>
      </c>
    </row>
    <row r="1710" spans="1:23" x14ac:dyDescent="0.25">
      <c r="A1710" t="s">
        <v>383</v>
      </c>
      <c r="B1710">
        <v>2006</v>
      </c>
      <c r="C1710" t="s">
        <v>273</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COUNT(LifeExpectancyData[[#This Row],[Life expectancy]:[Schooling]])=19</f>
        <v>0</v>
      </c>
    </row>
    <row r="1711" spans="1:23" x14ac:dyDescent="0.25">
      <c r="A1711" t="s">
        <v>383</v>
      </c>
      <c r="B1711">
        <v>2005</v>
      </c>
      <c r="C1711" t="s">
        <v>273</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COUNT(LifeExpectancyData[[#This Row],[Life expectancy]:[Schooling]])=19</f>
        <v>0</v>
      </c>
    </row>
    <row r="1712" spans="1:23" x14ac:dyDescent="0.25">
      <c r="A1712" t="s">
        <v>383</v>
      </c>
      <c r="B1712">
        <v>2004</v>
      </c>
      <c r="C1712" t="s">
        <v>273</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COUNT(LifeExpectancyData[[#This Row],[Life expectancy]:[Schooling]])=19</f>
        <v>0</v>
      </c>
    </row>
    <row r="1713" spans="1:23" x14ac:dyDescent="0.25">
      <c r="A1713" t="s">
        <v>383</v>
      </c>
      <c r="B1713">
        <v>2003</v>
      </c>
      <c r="C1713" t="s">
        <v>273</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COUNT(LifeExpectancyData[[#This Row],[Life expectancy]:[Schooling]])=19</f>
        <v>0</v>
      </c>
    </row>
    <row r="1714" spans="1:23" x14ac:dyDescent="0.25">
      <c r="A1714" t="s">
        <v>383</v>
      </c>
      <c r="B1714">
        <v>2002</v>
      </c>
      <c r="C1714" t="s">
        <v>273</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COUNT(LifeExpectancyData[[#This Row],[Life expectancy]:[Schooling]])=19</f>
        <v>0</v>
      </c>
    </row>
    <row r="1715" spans="1:23" x14ac:dyDescent="0.25">
      <c r="A1715" t="s">
        <v>383</v>
      </c>
      <c r="B1715">
        <v>2001</v>
      </c>
      <c r="C1715" t="s">
        <v>273</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COUNT(LifeExpectancyData[[#This Row],[Life expectancy]:[Schooling]])=19</f>
        <v>0</v>
      </c>
    </row>
    <row r="1716" spans="1:23" x14ac:dyDescent="0.25">
      <c r="A1716" t="s">
        <v>383</v>
      </c>
      <c r="B1716">
        <v>2000</v>
      </c>
      <c r="C1716" t="s">
        <v>273</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COUNT(LifeExpectancyData[[#This Row],[Life expectancy]:[Schooling]])=19</f>
        <v>0</v>
      </c>
    </row>
    <row r="1717" spans="1:23" x14ac:dyDescent="0.25">
      <c r="A1717" t="s">
        <v>384</v>
      </c>
      <c r="B1717">
        <v>2013</v>
      </c>
      <c r="C1717" t="s">
        <v>273</v>
      </c>
      <c r="F1717">
        <v>0</v>
      </c>
      <c r="G1717">
        <v>0.01</v>
      </c>
      <c r="H1717">
        <v>0</v>
      </c>
      <c r="I1717">
        <v>99</v>
      </c>
      <c r="J1717">
        <v>0</v>
      </c>
      <c r="L1717">
        <v>0</v>
      </c>
      <c r="M1717">
        <v>99</v>
      </c>
      <c r="N1717">
        <v>4.3</v>
      </c>
      <c r="O1717">
        <v>99</v>
      </c>
      <c r="P1717">
        <v>0.1</v>
      </c>
      <c r="W1717" t="b">
        <f>COUNT(LifeExpectancyData[[#This Row],[Life expectancy]:[Schooling]])=19</f>
        <v>0</v>
      </c>
    </row>
    <row r="1718" spans="1:23" x14ac:dyDescent="0.25">
      <c r="A1718" t="s">
        <v>385</v>
      </c>
      <c r="B1718">
        <v>2015</v>
      </c>
      <c r="C1718" t="s">
        <v>273</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COUNT(LifeExpectancyData[[#This Row],[Life expectancy]:[Schooling]])=19</f>
        <v>0</v>
      </c>
    </row>
    <row r="1719" spans="1:23" x14ac:dyDescent="0.25">
      <c r="A1719" t="s">
        <v>385</v>
      </c>
      <c r="B1719">
        <v>2014</v>
      </c>
      <c r="C1719" t="s">
        <v>273</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COUNT(LifeExpectancyData[[#This Row],[Life expectancy]:[Schooling]])=19</f>
        <v>1</v>
      </c>
    </row>
    <row r="1720" spans="1:23" x14ac:dyDescent="0.25">
      <c r="A1720" t="s">
        <v>385</v>
      </c>
      <c r="B1720">
        <v>2013</v>
      </c>
      <c r="C1720" t="s">
        <v>273</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COUNT(LifeExpectancyData[[#This Row],[Life expectancy]:[Schooling]])=19</f>
        <v>1</v>
      </c>
    </row>
    <row r="1721" spans="1:23" x14ac:dyDescent="0.25">
      <c r="A1721" t="s">
        <v>385</v>
      </c>
      <c r="B1721">
        <v>2012</v>
      </c>
      <c r="C1721" t="s">
        <v>273</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COUNT(LifeExpectancyData[[#This Row],[Life expectancy]:[Schooling]])=19</f>
        <v>1</v>
      </c>
    </row>
    <row r="1722" spans="1:23" x14ac:dyDescent="0.25">
      <c r="A1722" t="s">
        <v>385</v>
      </c>
      <c r="B1722">
        <v>2011</v>
      </c>
      <c r="C1722" t="s">
        <v>273</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COUNT(LifeExpectancyData[[#This Row],[Life expectancy]:[Schooling]])=19</f>
        <v>1</v>
      </c>
    </row>
    <row r="1723" spans="1:23" x14ac:dyDescent="0.25">
      <c r="A1723" t="s">
        <v>385</v>
      </c>
      <c r="B1723">
        <v>2010</v>
      </c>
      <c r="C1723" t="s">
        <v>273</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COUNT(LifeExpectancyData[[#This Row],[Life expectancy]:[Schooling]])=19</f>
        <v>1</v>
      </c>
    </row>
    <row r="1724" spans="1:23" x14ac:dyDescent="0.25">
      <c r="A1724" t="s">
        <v>385</v>
      </c>
      <c r="B1724">
        <v>2009</v>
      </c>
      <c r="C1724" t="s">
        <v>273</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COUNT(LifeExpectancyData[[#This Row],[Life expectancy]:[Schooling]])=19</f>
        <v>1</v>
      </c>
    </row>
    <row r="1725" spans="1:23" x14ac:dyDescent="0.25">
      <c r="A1725" t="s">
        <v>385</v>
      </c>
      <c r="B1725">
        <v>2008</v>
      </c>
      <c r="C1725" t="s">
        <v>273</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COUNT(LifeExpectancyData[[#This Row],[Life expectancy]:[Schooling]])=19</f>
        <v>1</v>
      </c>
    </row>
    <row r="1726" spans="1:23" x14ac:dyDescent="0.25">
      <c r="A1726" t="s">
        <v>385</v>
      </c>
      <c r="B1726">
        <v>2007</v>
      </c>
      <c r="C1726" t="s">
        <v>273</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COUNT(LifeExpectancyData[[#This Row],[Life expectancy]:[Schooling]])=19</f>
        <v>1</v>
      </c>
    </row>
    <row r="1727" spans="1:23" x14ac:dyDescent="0.25">
      <c r="A1727" t="s">
        <v>385</v>
      </c>
      <c r="B1727">
        <v>2006</v>
      </c>
      <c r="C1727" t="s">
        <v>273</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COUNT(LifeExpectancyData[[#This Row],[Life expectancy]:[Schooling]])=19</f>
        <v>1</v>
      </c>
    </row>
    <row r="1728" spans="1:23" x14ac:dyDescent="0.25">
      <c r="A1728" t="s">
        <v>385</v>
      </c>
      <c r="B1728">
        <v>2005</v>
      </c>
      <c r="C1728" t="s">
        <v>273</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COUNT(LifeExpectancyData[[#This Row],[Life expectancy]:[Schooling]])=19</f>
        <v>1</v>
      </c>
    </row>
    <row r="1729" spans="1:23" x14ac:dyDescent="0.25">
      <c r="A1729" t="s">
        <v>385</v>
      </c>
      <c r="B1729">
        <v>2004</v>
      </c>
      <c r="C1729" t="s">
        <v>273</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COUNT(LifeExpectancyData[[#This Row],[Life expectancy]:[Schooling]])=19</f>
        <v>1</v>
      </c>
    </row>
    <row r="1730" spans="1:23" x14ac:dyDescent="0.25">
      <c r="A1730" t="s">
        <v>385</v>
      </c>
      <c r="B1730">
        <v>2003</v>
      </c>
      <c r="C1730" t="s">
        <v>273</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COUNT(LifeExpectancyData[[#This Row],[Life expectancy]:[Schooling]])=19</f>
        <v>1</v>
      </c>
    </row>
    <row r="1731" spans="1:23" x14ac:dyDescent="0.25">
      <c r="A1731" t="s">
        <v>385</v>
      </c>
      <c r="B1731">
        <v>2002</v>
      </c>
      <c r="C1731" t="s">
        <v>273</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COUNT(LifeExpectancyData[[#This Row],[Life expectancy]:[Schooling]])=19</f>
        <v>1</v>
      </c>
    </row>
    <row r="1732" spans="1:23" x14ac:dyDescent="0.25">
      <c r="A1732" t="s">
        <v>385</v>
      </c>
      <c r="B1732">
        <v>2001</v>
      </c>
      <c r="C1732" t="s">
        <v>273</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COUNT(LifeExpectancyData[[#This Row],[Life expectancy]:[Schooling]])=19</f>
        <v>1</v>
      </c>
    </row>
    <row r="1733" spans="1:23" x14ac:dyDescent="0.25">
      <c r="A1733" t="s">
        <v>385</v>
      </c>
      <c r="B1733">
        <v>2000</v>
      </c>
      <c r="C1733" t="s">
        <v>273</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COUNT(LifeExpectancyData[[#This Row],[Life expectancy]:[Schooling]])=19</f>
        <v>1</v>
      </c>
    </row>
    <row r="1734" spans="1:23" x14ac:dyDescent="0.25">
      <c r="A1734" t="s">
        <v>386</v>
      </c>
      <c r="B1734">
        <v>2015</v>
      </c>
      <c r="C1734" t="s">
        <v>273</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COUNT(LifeExpectancyData[[#This Row],[Life expectancy]:[Schooling]])=19</f>
        <v>0</v>
      </c>
    </row>
    <row r="1735" spans="1:23" x14ac:dyDescent="0.25">
      <c r="A1735" t="s">
        <v>386</v>
      </c>
      <c r="B1735">
        <v>2014</v>
      </c>
      <c r="C1735" t="s">
        <v>273</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COUNT(LifeExpectancyData[[#This Row],[Life expectancy]:[Schooling]])=19</f>
        <v>1</v>
      </c>
    </row>
    <row r="1736" spans="1:23" x14ac:dyDescent="0.25">
      <c r="A1736" t="s">
        <v>386</v>
      </c>
      <c r="B1736">
        <v>2013</v>
      </c>
      <c r="C1736" t="s">
        <v>273</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COUNT(LifeExpectancyData[[#This Row],[Life expectancy]:[Schooling]])=19</f>
        <v>1</v>
      </c>
    </row>
    <row r="1737" spans="1:23" x14ac:dyDescent="0.25">
      <c r="A1737" t="s">
        <v>386</v>
      </c>
      <c r="B1737">
        <v>2012</v>
      </c>
      <c r="C1737" t="s">
        <v>273</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COUNT(LifeExpectancyData[[#This Row],[Life expectancy]:[Schooling]])=19</f>
        <v>1</v>
      </c>
    </row>
    <row r="1738" spans="1:23" x14ac:dyDescent="0.25">
      <c r="A1738" t="s">
        <v>386</v>
      </c>
      <c r="B1738">
        <v>2011</v>
      </c>
      <c r="C1738" t="s">
        <v>273</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COUNT(LifeExpectancyData[[#This Row],[Life expectancy]:[Schooling]])=19</f>
        <v>1</v>
      </c>
    </row>
    <row r="1739" spans="1:23" x14ac:dyDescent="0.25">
      <c r="A1739" t="s">
        <v>386</v>
      </c>
      <c r="B1739">
        <v>2010</v>
      </c>
      <c r="C1739" t="s">
        <v>273</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COUNT(LifeExpectancyData[[#This Row],[Life expectancy]:[Schooling]])=19</f>
        <v>1</v>
      </c>
    </row>
    <row r="1740" spans="1:23" x14ac:dyDescent="0.25">
      <c r="A1740" t="s">
        <v>386</v>
      </c>
      <c r="B1740">
        <v>2009</v>
      </c>
      <c r="C1740" t="s">
        <v>273</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COUNT(LifeExpectancyData[[#This Row],[Life expectancy]:[Schooling]])=19</f>
        <v>1</v>
      </c>
    </row>
    <row r="1741" spans="1:23" x14ac:dyDescent="0.25">
      <c r="A1741" t="s">
        <v>386</v>
      </c>
      <c r="B1741">
        <v>2008</v>
      </c>
      <c r="C1741" t="s">
        <v>273</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COUNT(LifeExpectancyData[[#This Row],[Life expectancy]:[Schooling]])=19</f>
        <v>1</v>
      </c>
    </row>
    <row r="1742" spans="1:23" x14ac:dyDescent="0.25">
      <c r="A1742" t="s">
        <v>386</v>
      </c>
      <c r="B1742">
        <v>2007</v>
      </c>
      <c r="C1742" t="s">
        <v>273</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COUNT(LifeExpectancyData[[#This Row],[Life expectancy]:[Schooling]])=19</f>
        <v>1</v>
      </c>
    </row>
    <row r="1743" spans="1:23" x14ac:dyDescent="0.25">
      <c r="A1743" t="s">
        <v>386</v>
      </c>
      <c r="B1743">
        <v>2006</v>
      </c>
      <c r="C1743" t="s">
        <v>273</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COUNT(LifeExpectancyData[[#This Row],[Life expectancy]:[Schooling]])=19</f>
        <v>1</v>
      </c>
    </row>
    <row r="1744" spans="1:23" x14ac:dyDescent="0.25">
      <c r="A1744" t="s">
        <v>386</v>
      </c>
      <c r="B1744">
        <v>2005</v>
      </c>
      <c r="C1744" t="s">
        <v>273</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COUNT(LifeExpectancyData[[#This Row],[Life expectancy]:[Schooling]])=19</f>
        <v>0</v>
      </c>
    </row>
    <row r="1745" spans="1:23" x14ac:dyDescent="0.25">
      <c r="A1745" t="s">
        <v>386</v>
      </c>
      <c r="B1745">
        <v>2004</v>
      </c>
      <c r="C1745" t="s">
        <v>273</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COUNT(LifeExpectancyData[[#This Row],[Life expectancy]:[Schooling]])=19</f>
        <v>0</v>
      </c>
    </row>
    <row r="1746" spans="1:23" x14ac:dyDescent="0.25">
      <c r="A1746" t="s">
        <v>386</v>
      </c>
      <c r="B1746">
        <v>2003</v>
      </c>
      <c r="C1746" t="s">
        <v>273</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COUNT(LifeExpectancyData[[#This Row],[Life expectancy]:[Schooling]])=19</f>
        <v>0</v>
      </c>
    </row>
    <row r="1747" spans="1:23" x14ac:dyDescent="0.25">
      <c r="A1747" t="s">
        <v>386</v>
      </c>
      <c r="B1747">
        <v>2002</v>
      </c>
      <c r="C1747" t="s">
        <v>273</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COUNT(LifeExpectancyData[[#This Row],[Life expectancy]:[Schooling]])=19</f>
        <v>0</v>
      </c>
    </row>
    <row r="1748" spans="1:23" x14ac:dyDescent="0.25">
      <c r="A1748" t="s">
        <v>386</v>
      </c>
      <c r="B1748">
        <v>2001</v>
      </c>
      <c r="C1748" t="s">
        <v>273</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COUNT(LifeExpectancyData[[#This Row],[Life expectancy]:[Schooling]])=19</f>
        <v>0</v>
      </c>
    </row>
    <row r="1749" spans="1:23" x14ac:dyDescent="0.25">
      <c r="A1749" t="s">
        <v>386</v>
      </c>
      <c r="B1749">
        <v>2000</v>
      </c>
      <c r="C1749" t="s">
        <v>273</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COUNT(LifeExpectancyData[[#This Row],[Life expectancy]:[Schooling]])=19</f>
        <v>0</v>
      </c>
    </row>
    <row r="1750" spans="1:23" x14ac:dyDescent="0.25">
      <c r="A1750" t="s">
        <v>387</v>
      </c>
      <c r="B1750">
        <v>2015</v>
      </c>
      <c r="C1750" t="s">
        <v>273</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COUNT(LifeExpectancyData[[#This Row],[Life expectancy]:[Schooling]])=19</f>
        <v>0</v>
      </c>
    </row>
    <row r="1751" spans="1:23" x14ac:dyDescent="0.25">
      <c r="A1751" t="s">
        <v>387</v>
      </c>
      <c r="B1751">
        <v>2014</v>
      </c>
      <c r="C1751" t="s">
        <v>273</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COUNT(LifeExpectancyData[[#This Row],[Life expectancy]:[Schooling]])=19</f>
        <v>1</v>
      </c>
    </row>
    <row r="1752" spans="1:23" x14ac:dyDescent="0.25">
      <c r="A1752" t="s">
        <v>387</v>
      </c>
      <c r="B1752">
        <v>2013</v>
      </c>
      <c r="C1752" t="s">
        <v>273</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COUNT(LifeExpectancyData[[#This Row],[Life expectancy]:[Schooling]])=19</f>
        <v>1</v>
      </c>
    </row>
    <row r="1753" spans="1:23" x14ac:dyDescent="0.25">
      <c r="A1753" t="s">
        <v>387</v>
      </c>
      <c r="B1753">
        <v>2012</v>
      </c>
      <c r="C1753" t="s">
        <v>273</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COUNT(LifeExpectancyData[[#This Row],[Life expectancy]:[Schooling]])=19</f>
        <v>1</v>
      </c>
    </row>
    <row r="1754" spans="1:23" x14ac:dyDescent="0.25">
      <c r="A1754" t="s">
        <v>387</v>
      </c>
      <c r="B1754">
        <v>2011</v>
      </c>
      <c r="C1754" t="s">
        <v>273</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COUNT(LifeExpectancyData[[#This Row],[Life expectancy]:[Schooling]])=19</f>
        <v>1</v>
      </c>
    </row>
    <row r="1755" spans="1:23" x14ac:dyDescent="0.25">
      <c r="A1755" t="s">
        <v>387</v>
      </c>
      <c r="B1755">
        <v>2010</v>
      </c>
      <c r="C1755" t="s">
        <v>273</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COUNT(LifeExpectancyData[[#This Row],[Life expectancy]:[Schooling]])=19</f>
        <v>1</v>
      </c>
    </row>
    <row r="1756" spans="1:23" x14ac:dyDescent="0.25">
      <c r="A1756" t="s">
        <v>387</v>
      </c>
      <c r="B1756">
        <v>2009</v>
      </c>
      <c r="C1756" t="s">
        <v>273</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COUNT(LifeExpectancyData[[#This Row],[Life expectancy]:[Schooling]])=19</f>
        <v>1</v>
      </c>
    </row>
    <row r="1757" spans="1:23" x14ac:dyDescent="0.25">
      <c r="A1757" t="s">
        <v>387</v>
      </c>
      <c r="B1757">
        <v>2008</v>
      </c>
      <c r="C1757" t="s">
        <v>273</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COUNT(LifeExpectancyData[[#This Row],[Life expectancy]:[Schooling]])=19</f>
        <v>1</v>
      </c>
    </row>
    <row r="1758" spans="1:23" x14ac:dyDescent="0.25">
      <c r="A1758" t="s">
        <v>387</v>
      </c>
      <c r="B1758">
        <v>2007</v>
      </c>
      <c r="C1758" t="s">
        <v>273</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COUNT(LifeExpectancyData[[#This Row],[Life expectancy]:[Schooling]])=19</f>
        <v>1</v>
      </c>
    </row>
    <row r="1759" spans="1:23" x14ac:dyDescent="0.25">
      <c r="A1759" t="s">
        <v>387</v>
      </c>
      <c r="B1759">
        <v>2006</v>
      </c>
      <c r="C1759" t="s">
        <v>273</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COUNT(LifeExpectancyData[[#This Row],[Life expectancy]:[Schooling]])=19</f>
        <v>1</v>
      </c>
    </row>
    <row r="1760" spans="1:23" x14ac:dyDescent="0.25">
      <c r="A1760" t="s">
        <v>387</v>
      </c>
      <c r="B1760">
        <v>2005</v>
      </c>
      <c r="C1760" t="s">
        <v>273</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COUNT(LifeExpectancyData[[#This Row],[Life expectancy]:[Schooling]])=19</f>
        <v>1</v>
      </c>
    </row>
    <row r="1761" spans="1:23" x14ac:dyDescent="0.25">
      <c r="A1761" t="s">
        <v>387</v>
      </c>
      <c r="B1761">
        <v>2004</v>
      </c>
      <c r="C1761" t="s">
        <v>273</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COUNT(LifeExpectancyData[[#This Row],[Life expectancy]:[Schooling]])=19</f>
        <v>1</v>
      </c>
    </row>
    <row r="1762" spans="1:23" x14ac:dyDescent="0.25">
      <c r="A1762" t="s">
        <v>387</v>
      </c>
      <c r="B1762">
        <v>2003</v>
      </c>
      <c r="C1762" t="s">
        <v>273</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COUNT(LifeExpectancyData[[#This Row],[Life expectancy]:[Schooling]])=19</f>
        <v>1</v>
      </c>
    </row>
    <row r="1763" spans="1:23" x14ac:dyDescent="0.25">
      <c r="A1763" t="s">
        <v>387</v>
      </c>
      <c r="B1763">
        <v>2002</v>
      </c>
      <c r="C1763" t="s">
        <v>273</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COUNT(LifeExpectancyData[[#This Row],[Life expectancy]:[Schooling]])=19</f>
        <v>1</v>
      </c>
    </row>
    <row r="1764" spans="1:23" x14ac:dyDescent="0.25">
      <c r="A1764" t="s">
        <v>387</v>
      </c>
      <c r="B1764">
        <v>2001</v>
      </c>
      <c r="C1764" t="s">
        <v>273</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COUNT(LifeExpectancyData[[#This Row],[Life expectancy]:[Schooling]])=19</f>
        <v>1</v>
      </c>
    </row>
    <row r="1765" spans="1:23" x14ac:dyDescent="0.25">
      <c r="A1765" t="s">
        <v>387</v>
      </c>
      <c r="B1765">
        <v>2000</v>
      </c>
      <c r="C1765" t="s">
        <v>273</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COUNT(LifeExpectancyData[[#This Row],[Life expectancy]:[Schooling]])=19</f>
        <v>1</v>
      </c>
    </row>
    <row r="1766" spans="1:23" x14ac:dyDescent="0.25">
      <c r="A1766" t="s">
        <v>388</v>
      </c>
      <c r="B1766">
        <v>2015</v>
      </c>
      <c r="C1766" t="s">
        <v>273</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COUNT(LifeExpectancyData[[#This Row],[Life expectancy]:[Schooling]])=19</f>
        <v>0</v>
      </c>
    </row>
    <row r="1767" spans="1:23" x14ac:dyDescent="0.25">
      <c r="A1767" t="s">
        <v>388</v>
      </c>
      <c r="B1767">
        <v>2014</v>
      </c>
      <c r="C1767" t="s">
        <v>273</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COUNT(LifeExpectancyData[[#This Row],[Life expectancy]:[Schooling]])=19</f>
        <v>1</v>
      </c>
    </row>
    <row r="1768" spans="1:23" x14ac:dyDescent="0.25">
      <c r="A1768" t="s">
        <v>388</v>
      </c>
      <c r="B1768">
        <v>2013</v>
      </c>
      <c r="C1768" t="s">
        <v>273</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COUNT(LifeExpectancyData[[#This Row],[Life expectancy]:[Schooling]])=19</f>
        <v>1</v>
      </c>
    </row>
    <row r="1769" spans="1:23" x14ac:dyDescent="0.25">
      <c r="A1769" t="s">
        <v>388</v>
      </c>
      <c r="B1769">
        <v>2012</v>
      </c>
      <c r="C1769" t="s">
        <v>273</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COUNT(LifeExpectancyData[[#This Row],[Life expectancy]:[Schooling]])=19</f>
        <v>1</v>
      </c>
    </row>
    <row r="1770" spans="1:23" x14ac:dyDescent="0.25">
      <c r="A1770" t="s">
        <v>388</v>
      </c>
      <c r="B1770">
        <v>2011</v>
      </c>
      <c r="C1770" t="s">
        <v>273</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COUNT(LifeExpectancyData[[#This Row],[Life expectancy]:[Schooling]])=19</f>
        <v>1</v>
      </c>
    </row>
    <row r="1771" spans="1:23" x14ac:dyDescent="0.25">
      <c r="A1771" t="s">
        <v>388</v>
      </c>
      <c r="B1771">
        <v>2010</v>
      </c>
      <c r="C1771" t="s">
        <v>273</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COUNT(LifeExpectancyData[[#This Row],[Life expectancy]:[Schooling]])=19</f>
        <v>1</v>
      </c>
    </row>
    <row r="1772" spans="1:23" x14ac:dyDescent="0.25">
      <c r="A1772" t="s">
        <v>388</v>
      </c>
      <c r="B1772">
        <v>2009</v>
      </c>
      <c r="C1772" t="s">
        <v>273</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COUNT(LifeExpectancyData[[#This Row],[Life expectancy]:[Schooling]])=19</f>
        <v>1</v>
      </c>
    </row>
    <row r="1773" spans="1:23" x14ac:dyDescent="0.25">
      <c r="A1773" t="s">
        <v>388</v>
      </c>
      <c r="B1773">
        <v>2008</v>
      </c>
      <c r="C1773" t="s">
        <v>273</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COUNT(LifeExpectancyData[[#This Row],[Life expectancy]:[Schooling]])=19</f>
        <v>1</v>
      </c>
    </row>
    <row r="1774" spans="1:23" x14ac:dyDescent="0.25">
      <c r="A1774" t="s">
        <v>388</v>
      </c>
      <c r="B1774">
        <v>2007</v>
      </c>
      <c r="C1774" t="s">
        <v>273</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COUNT(LifeExpectancyData[[#This Row],[Life expectancy]:[Schooling]])=19</f>
        <v>1</v>
      </c>
    </row>
    <row r="1775" spans="1:23" x14ac:dyDescent="0.25">
      <c r="A1775" t="s">
        <v>388</v>
      </c>
      <c r="B1775">
        <v>2006</v>
      </c>
      <c r="C1775" t="s">
        <v>273</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COUNT(LifeExpectancyData[[#This Row],[Life expectancy]:[Schooling]])=19</f>
        <v>1</v>
      </c>
    </row>
    <row r="1776" spans="1:23" x14ac:dyDescent="0.25">
      <c r="A1776" t="s">
        <v>388</v>
      </c>
      <c r="B1776">
        <v>2005</v>
      </c>
      <c r="C1776" t="s">
        <v>273</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COUNT(LifeExpectancyData[[#This Row],[Life expectancy]:[Schooling]])=19</f>
        <v>1</v>
      </c>
    </row>
    <row r="1777" spans="1:23" x14ac:dyDescent="0.25">
      <c r="A1777" t="s">
        <v>388</v>
      </c>
      <c r="B1777">
        <v>2004</v>
      </c>
      <c r="C1777" t="s">
        <v>273</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COUNT(LifeExpectancyData[[#This Row],[Life expectancy]:[Schooling]])=19</f>
        <v>1</v>
      </c>
    </row>
    <row r="1778" spans="1:23" x14ac:dyDescent="0.25">
      <c r="A1778" t="s">
        <v>388</v>
      </c>
      <c r="B1778">
        <v>2003</v>
      </c>
      <c r="C1778" t="s">
        <v>273</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COUNT(LifeExpectancyData[[#This Row],[Life expectancy]:[Schooling]])=19</f>
        <v>1</v>
      </c>
    </row>
    <row r="1779" spans="1:23" x14ac:dyDescent="0.25">
      <c r="A1779" t="s">
        <v>388</v>
      </c>
      <c r="B1779">
        <v>2002</v>
      </c>
      <c r="C1779" t="s">
        <v>273</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COUNT(LifeExpectancyData[[#This Row],[Life expectancy]:[Schooling]])=19</f>
        <v>1</v>
      </c>
    </row>
    <row r="1780" spans="1:23" x14ac:dyDescent="0.25">
      <c r="A1780" t="s">
        <v>388</v>
      </c>
      <c r="B1780">
        <v>2001</v>
      </c>
      <c r="C1780" t="s">
        <v>273</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COUNT(LifeExpectancyData[[#This Row],[Life expectancy]:[Schooling]])=19</f>
        <v>1</v>
      </c>
    </row>
    <row r="1781" spans="1:23" x14ac:dyDescent="0.25">
      <c r="A1781" t="s">
        <v>388</v>
      </c>
      <c r="B1781">
        <v>2000</v>
      </c>
      <c r="C1781" t="s">
        <v>273</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COUNT(LifeExpectancyData[[#This Row],[Life expectancy]:[Schooling]])=19</f>
        <v>0</v>
      </c>
    </row>
    <row r="1782" spans="1:23" x14ac:dyDescent="0.25">
      <c r="A1782" t="s">
        <v>389</v>
      </c>
      <c r="B1782">
        <v>2015</v>
      </c>
      <c r="C1782" t="s">
        <v>273</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COUNT(LifeExpectancyData[[#This Row],[Life expectancy]:[Schooling]])=19</f>
        <v>0</v>
      </c>
    </row>
    <row r="1783" spans="1:23" x14ac:dyDescent="0.25">
      <c r="A1783" t="s">
        <v>389</v>
      </c>
      <c r="B1783">
        <v>2014</v>
      </c>
      <c r="C1783" t="s">
        <v>273</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COUNT(LifeExpectancyData[[#This Row],[Life expectancy]:[Schooling]])=19</f>
        <v>1</v>
      </c>
    </row>
    <row r="1784" spans="1:23" x14ac:dyDescent="0.25">
      <c r="A1784" t="s">
        <v>389</v>
      </c>
      <c r="B1784">
        <v>2013</v>
      </c>
      <c r="C1784" t="s">
        <v>273</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COUNT(LifeExpectancyData[[#This Row],[Life expectancy]:[Schooling]])=19</f>
        <v>1</v>
      </c>
    </row>
    <row r="1785" spans="1:23" x14ac:dyDescent="0.25">
      <c r="A1785" t="s">
        <v>389</v>
      </c>
      <c r="B1785">
        <v>2012</v>
      </c>
      <c r="C1785" t="s">
        <v>273</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COUNT(LifeExpectancyData[[#This Row],[Life expectancy]:[Schooling]])=19</f>
        <v>1</v>
      </c>
    </row>
    <row r="1786" spans="1:23" x14ac:dyDescent="0.25">
      <c r="A1786" t="s">
        <v>389</v>
      </c>
      <c r="B1786">
        <v>2011</v>
      </c>
      <c r="C1786" t="s">
        <v>273</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COUNT(LifeExpectancyData[[#This Row],[Life expectancy]:[Schooling]])=19</f>
        <v>1</v>
      </c>
    </row>
    <row r="1787" spans="1:23" x14ac:dyDescent="0.25">
      <c r="A1787" t="s">
        <v>389</v>
      </c>
      <c r="B1787">
        <v>2010</v>
      </c>
      <c r="C1787" t="s">
        <v>273</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COUNT(LifeExpectancyData[[#This Row],[Life expectancy]:[Schooling]])=19</f>
        <v>1</v>
      </c>
    </row>
    <row r="1788" spans="1:23" x14ac:dyDescent="0.25">
      <c r="A1788" t="s">
        <v>389</v>
      </c>
      <c r="B1788">
        <v>2009</v>
      </c>
      <c r="C1788" t="s">
        <v>273</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COUNT(LifeExpectancyData[[#This Row],[Life expectancy]:[Schooling]])=19</f>
        <v>1</v>
      </c>
    </row>
    <row r="1789" spans="1:23" x14ac:dyDescent="0.25">
      <c r="A1789" t="s">
        <v>389</v>
      </c>
      <c r="B1789">
        <v>2008</v>
      </c>
      <c r="C1789" t="s">
        <v>273</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COUNT(LifeExpectancyData[[#This Row],[Life expectancy]:[Schooling]])=19</f>
        <v>1</v>
      </c>
    </row>
    <row r="1790" spans="1:23" x14ac:dyDescent="0.25">
      <c r="A1790" t="s">
        <v>389</v>
      </c>
      <c r="B1790">
        <v>2007</v>
      </c>
      <c r="C1790" t="s">
        <v>273</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COUNT(LifeExpectancyData[[#This Row],[Life expectancy]:[Schooling]])=19</f>
        <v>1</v>
      </c>
    </row>
    <row r="1791" spans="1:23" x14ac:dyDescent="0.25">
      <c r="A1791" t="s">
        <v>389</v>
      </c>
      <c r="B1791">
        <v>2006</v>
      </c>
      <c r="C1791" t="s">
        <v>273</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COUNT(LifeExpectancyData[[#This Row],[Life expectancy]:[Schooling]])=19</f>
        <v>1</v>
      </c>
    </row>
    <row r="1792" spans="1:23" x14ac:dyDescent="0.25">
      <c r="A1792" t="s">
        <v>389</v>
      </c>
      <c r="B1792">
        <v>2005</v>
      </c>
      <c r="C1792" t="s">
        <v>273</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COUNT(LifeExpectancyData[[#This Row],[Life expectancy]:[Schooling]])=19</f>
        <v>1</v>
      </c>
    </row>
    <row r="1793" spans="1:23" x14ac:dyDescent="0.25">
      <c r="A1793" t="s">
        <v>389</v>
      </c>
      <c r="B1793">
        <v>2004</v>
      </c>
      <c r="C1793" t="s">
        <v>273</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COUNT(LifeExpectancyData[[#This Row],[Life expectancy]:[Schooling]])=19</f>
        <v>1</v>
      </c>
    </row>
    <row r="1794" spans="1:23" x14ac:dyDescent="0.25">
      <c r="A1794" t="s">
        <v>389</v>
      </c>
      <c r="B1794">
        <v>2003</v>
      </c>
      <c r="C1794" t="s">
        <v>273</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COUNT(LifeExpectancyData[[#This Row],[Life expectancy]:[Schooling]])=19</f>
        <v>1</v>
      </c>
    </row>
    <row r="1795" spans="1:23" x14ac:dyDescent="0.25">
      <c r="A1795" t="s">
        <v>389</v>
      </c>
      <c r="B1795">
        <v>2002</v>
      </c>
      <c r="C1795" t="s">
        <v>273</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COUNT(LifeExpectancyData[[#This Row],[Life expectancy]:[Schooling]])=19</f>
        <v>0</v>
      </c>
    </row>
    <row r="1796" spans="1:23" x14ac:dyDescent="0.25">
      <c r="A1796" t="s">
        <v>389</v>
      </c>
      <c r="B1796">
        <v>2001</v>
      </c>
      <c r="C1796" t="s">
        <v>273</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COUNT(LifeExpectancyData[[#This Row],[Life expectancy]:[Schooling]])=19</f>
        <v>0</v>
      </c>
    </row>
    <row r="1797" spans="1:23" x14ac:dyDescent="0.25">
      <c r="A1797" t="s">
        <v>389</v>
      </c>
      <c r="B1797">
        <v>2000</v>
      </c>
      <c r="C1797" t="s">
        <v>273</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COUNT(LifeExpectancyData[[#This Row],[Life expectancy]:[Schooling]])=19</f>
        <v>0</v>
      </c>
    </row>
    <row r="1798" spans="1:23" x14ac:dyDescent="0.25">
      <c r="A1798" t="s">
        <v>390</v>
      </c>
      <c r="B1798">
        <v>2015</v>
      </c>
      <c r="C1798" t="s">
        <v>273</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COUNT(LifeExpectancyData[[#This Row],[Life expectancy]:[Schooling]])=19</f>
        <v>0</v>
      </c>
    </row>
    <row r="1799" spans="1:23" x14ac:dyDescent="0.25">
      <c r="A1799" t="s">
        <v>390</v>
      </c>
      <c r="B1799">
        <v>2014</v>
      </c>
      <c r="C1799" t="s">
        <v>273</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COUNT(LifeExpectancyData[[#This Row],[Life expectancy]:[Schooling]])=19</f>
        <v>1</v>
      </c>
    </row>
    <row r="1800" spans="1:23" x14ac:dyDescent="0.25">
      <c r="A1800" t="s">
        <v>390</v>
      </c>
      <c r="B1800">
        <v>2013</v>
      </c>
      <c r="C1800" t="s">
        <v>273</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COUNT(LifeExpectancyData[[#This Row],[Life expectancy]:[Schooling]])=19</f>
        <v>1</v>
      </c>
    </row>
    <row r="1801" spans="1:23" x14ac:dyDescent="0.25">
      <c r="A1801" t="s">
        <v>390</v>
      </c>
      <c r="B1801">
        <v>2012</v>
      </c>
      <c r="C1801" t="s">
        <v>273</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COUNT(LifeExpectancyData[[#This Row],[Life expectancy]:[Schooling]])=19</f>
        <v>1</v>
      </c>
    </row>
    <row r="1802" spans="1:23" x14ac:dyDescent="0.25">
      <c r="A1802" t="s">
        <v>390</v>
      </c>
      <c r="B1802">
        <v>2011</v>
      </c>
      <c r="C1802" t="s">
        <v>273</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COUNT(LifeExpectancyData[[#This Row],[Life expectancy]:[Schooling]])=19</f>
        <v>1</v>
      </c>
    </row>
    <row r="1803" spans="1:23" x14ac:dyDescent="0.25">
      <c r="A1803" t="s">
        <v>390</v>
      </c>
      <c r="B1803">
        <v>2010</v>
      </c>
      <c r="C1803" t="s">
        <v>273</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COUNT(LifeExpectancyData[[#This Row],[Life expectancy]:[Schooling]])=19</f>
        <v>1</v>
      </c>
    </row>
    <row r="1804" spans="1:23" x14ac:dyDescent="0.25">
      <c r="A1804" t="s">
        <v>390</v>
      </c>
      <c r="B1804">
        <v>2009</v>
      </c>
      <c r="C1804" t="s">
        <v>273</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COUNT(LifeExpectancyData[[#This Row],[Life expectancy]:[Schooling]])=19</f>
        <v>0</v>
      </c>
    </row>
    <row r="1805" spans="1:23" x14ac:dyDescent="0.25">
      <c r="A1805" t="s">
        <v>390</v>
      </c>
      <c r="B1805">
        <v>2008</v>
      </c>
      <c r="C1805" t="s">
        <v>273</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COUNT(LifeExpectancyData[[#This Row],[Life expectancy]:[Schooling]])=19</f>
        <v>0</v>
      </c>
    </row>
    <row r="1806" spans="1:23" x14ac:dyDescent="0.25">
      <c r="A1806" t="s">
        <v>390</v>
      </c>
      <c r="B1806">
        <v>2007</v>
      </c>
      <c r="C1806" t="s">
        <v>273</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COUNT(LifeExpectancyData[[#This Row],[Life expectancy]:[Schooling]])=19</f>
        <v>0</v>
      </c>
    </row>
    <row r="1807" spans="1:23" x14ac:dyDescent="0.25">
      <c r="A1807" t="s">
        <v>390</v>
      </c>
      <c r="B1807">
        <v>2006</v>
      </c>
      <c r="C1807" t="s">
        <v>273</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COUNT(LifeExpectancyData[[#This Row],[Life expectancy]:[Schooling]])=19</f>
        <v>0</v>
      </c>
    </row>
    <row r="1808" spans="1:23" x14ac:dyDescent="0.25">
      <c r="A1808" t="s">
        <v>390</v>
      </c>
      <c r="B1808">
        <v>2005</v>
      </c>
      <c r="C1808" t="s">
        <v>273</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COUNT(LifeExpectancyData[[#This Row],[Life expectancy]:[Schooling]])=19</f>
        <v>0</v>
      </c>
    </row>
    <row r="1809" spans="1:23" x14ac:dyDescent="0.25">
      <c r="A1809" t="s">
        <v>390</v>
      </c>
      <c r="B1809">
        <v>2004</v>
      </c>
      <c r="C1809" t="s">
        <v>273</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COUNT(LifeExpectancyData[[#This Row],[Life expectancy]:[Schooling]])=19</f>
        <v>0</v>
      </c>
    </row>
    <row r="1810" spans="1:23" x14ac:dyDescent="0.25">
      <c r="A1810" t="s">
        <v>390</v>
      </c>
      <c r="B1810">
        <v>2003</v>
      </c>
      <c r="C1810" t="s">
        <v>273</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COUNT(LifeExpectancyData[[#This Row],[Life expectancy]:[Schooling]])=19</f>
        <v>0</v>
      </c>
    </row>
    <row r="1811" spans="1:23" x14ac:dyDescent="0.25">
      <c r="A1811" t="s">
        <v>390</v>
      </c>
      <c r="B1811">
        <v>2002</v>
      </c>
      <c r="C1811" t="s">
        <v>273</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COUNT(LifeExpectancyData[[#This Row],[Life expectancy]:[Schooling]])=19</f>
        <v>0</v>
      </c>
    </row>
    <row r="1812" spans="1:23" x14ac:dyDescent="0.25">
      <c r="A1812" t="s">
        <v>390</v>
      </c>
      <c r="B1812">
        <v>2001</v>
      </c>
      <c r="C1812" t="s">
        <v>273</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COUNT(LifeExpectancyData[[#This Row],[Life expectancy]:[Schooling]])=19</f>
        <v>0</v>
      </c>
    </row>
    <row r="1813" spans="1:23" x14ac:dyDescent="0.25">
      <c r="A1813" t="s">
        <v>390</v>
      </c>
      <c r="B1813">
        <v>2000</v>
      </c>
      <c r="C1813" t="s">
        <v>273</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COUNT(LifeExpectancyData[[#This Row],[Life expectancy]:[Schooling]])=19</f>
        <v>0</v>
      </c>
    </row>
    <row r="1814" spans="1:23" x14ac:dyDescent="0.25">
      <c r="A1814" t="s">
        <v>391</v>
      </c>
      <c r="B1814">
        <v>2013</v>
      </c>
      <c r="C1814" t="s">
        <v>273</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COUNT(LifeExpectancyData[[#This Row],[Life expectancy]:[Schooling]])=19</f>
        <v>0</v>
      </c>
    </row>
    <row r="1815" spans="1:23" x14ac:dyDescent="0.25">
      <c r="A1815" t="s">
        <v>392</v>
      </c>
      <c r="B1815">
        <v>2015</v>
      </c>
      <c r="C1815" t="s">
        <v>273</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COUNT(LifeExpectancyData[[#This Row],[Life expectancy]:[Schooling]])=19</f>
        <v>0</v>
      </c>
    </row>
    <row r="1816" spans="1:23" x14ac:dyDescent="0.25">
      <c r="A1816" t="s">
        <v>392</v>
      </c>
      <c r="B1816">
        <v>2014</v>
      </c>
      <c r="C1816" t="s">
        <v>273</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COUNT(LifeExpectancyData[[#This Row],[Life expectancy]:[Schooling]])=19</f>
        <v>1</v>
      </c>
    </row>
    <row r="1817" spans="1:23" x14ac:dyDescent="0.25">
      <c r="A1817" t="s">
        <v>392</v>
      </c>
      <c r="B1817">
        <v>2013</v>
      </c>
      <c r="C1817" t="s">
        <v>273</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COUNT(LifeExpectancyData[[#This Row],[Life expectancy]:[Schooling]])=19</f>
        <v>1</v>
      </c>
    </row>
    <row r="1818" spans="1:23" x14ac:dyDescent="0.25">
      <c r="A1818" t="s">
        <v>392</v>
      </c>
      <c r="B1818">
        <v>2012</v>
      </c>
      <c r="C1818" t="s">
        <v>273</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COUNT(LifeExpectancyData[[#This Row],[Life expectancy]:[Schooling]])=19</f>
        <v>1</v>
      </c>
    </row>
    <row r="1819" spans="1:23" x14ac:dyDescent="0.25">
      <c r="A1819" t="s">
        <v>392</v>
      </c>
      <c r="B1819">
        <v>2011</v>
      </c>
      <c r="C1819" t="s">
        <v>273</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COUNT(LifeExpectancyData[[#This Row],[Life expectancy]:[Schooling]])=19</f>
        <v>1</v>
      </c>
    </row>
    <row r="1820" spans="1:23" x14ac:dyDescent="0.25">
      <c r="A1820" t="s">
        <v>392</v>
      </c>
      <c r="B1820">
        <v>2010</v>
      </c>
      <c r="C1820" t="s">
        <v>273</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COUNT(LifeExpectancyData[[#This Row],[Life expectancy]:[Schooling]])=19</f>
        <v>1</v>
      </c>
    </row>
    <row r="1821" spans="1:23" x14ac:dyDescent="0.25">
      <c r="A1821" t="s">
        <v>392</v>
      </c>
      <c r="B1821">
        <v>2009</v>
      </c>
      <c r="C1821" t="s">
        <v>273</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COUNT(LifeExpectancyData[[#This Row],[Life expectancy]:[Schooling]])=19</f>
        <v>1</v>
      </c>
    </row>
    <row r="1822" spans="1:23" x14ac:dyDescent="0.25">
      <c r="A1822" t="s">
        <v>392</v>
      </c>
      <c r="B1822">
        <v>2008</v>
      </c>
      <c r="C1822" t="s">
        <v>273</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COUNT(LifeExpectancyData[[#This Row],[Life expectancy]:[Schooling]])=19</f>
        <v>1</v>
      </c>
    </row>
    <row r="1823" spans="1:23" x14ac:dyDescent="0.25">
      <c r="A1823" t="s">
        <v>392</v>
      </c>
      <c r="B1823">
        <v>2007</v>
      </c>
      <c r="C1823" t="s">
        <v>273</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COUNT(LifeExpectancyData[[#This Row],[Life expectancy]:[Schooling]])=19</f>
        <v>1</v>
      </c>
    </row>
    <row r="1824" spans="1:23" x14ac:dyDescent="0.25">
      <c r="A1824" t="s">
        <v>392</v>
      </c>
      <c r="B1824">
        <v>2006</v>
      </c>
      <c r="C1824" t="s">
        <v>273</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COUNT(LifeExpectancyData[[#This Row],[Life expectancy]:[Schooling]])=19</f>
        <v>1</v>
      </c>
    </row>
    <row r="1825" spans="1:23" x14ac:dyDescent="0.25">
      <c r="A1825" t="s">
        <v>392</v>
      </c>
      <c r="B1825">
        <v>2005</v>
      </c>
      <c r="C1825" t="s">
        <v>273</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COUNT(LifeExpectancyData[[#This Row],[Life expectancy]:[Schooling]])=19</f>
        <v>1</v>
      </c>
    </row>
    <row r="1826" spans="1:23" x14ac:dyDescent="0.25">
      <c r="A1826" t="s">
        <v>392</v>
      </c>
      <c r="B1826">
        <v>2004</v>
      </c>
      <c r="C1826" t="s">
        <v>273</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COUNT(LifeExpectancyData[[#This Row],[Life expectancy]:[Schooling]])=19</f>
        <v>1</v>
      </c>
    </row>
    <row r="1827" spans="1:23" x14ac:dyDescent="0.25">
      <c r="A1827" t="s">
        <v>392</v>
      </c>
      <c r="B1827">
        <v>2003</v>
      </c>
      <c r="C1827" t="s">
        <v>273</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COUNT(LifeExpectancyData[[#This Row],[Life expectancy]:[Schooling]])=19</f>
        <v>1</v>
      </c>
    </row>
    <row r="1828" spans="1:23" x14ac:dyDescent="0.25">
      <c r="A1828" t="s">
        <v>392</v>
      </c>
      <c r="B1828">
        <v>2002</v>
      </c>
      <c r="C1828" t="s">
        <v>273</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COUNT(LifeExpectancyData[[#This Row],[Life expectancy]:[Schooling]])=19</f>
        <v>0</v>
      </c>
    </row>
    <row r="1829" spans="1:23" x14ac:dyDescent="0.25">
      <c r="A1829" t="s">
        <v>392</v>
      </c>
      <c r="B1829">
        <v>2001</v>
      </c>
      <c r="C1829" t="s">
        <v>273</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COUNT(LifeExpectancyData[[#This Row],[Life expectancy]:[Schooling]])=19</f>
        <v>0</v>
      </c>
    </row>
    <row r="1830" spans="1:23" x14ac:dyDescent="0.25">
      <c r="A1830" t="s">
        <v>392</v>
      </c>
      <c r="B1830">
        <v>2000</v>
      </c>
      <c r="C1830" t="s">
        <v>273</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COUNT(LifeExpectancyData[[#This Row],[Life expectancy]:[Schooling]])=19</f>
        <v>0</v>
      </c>
    </row>
    <row r="1831" spans="1:23" x14ac:dyDescent="0.25">
      <c r="A1831" t="s">
        <v>393</v>
      </c>
      <c r="B1831">
        <v>2015</v>
      </c>
      <c r="C1831" t="s">
        <v>281</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COUNT(LifeExpectancyData[[#This Row],[Life expectancy]:[Schooling]])=19</f>
        <v>0</v>
      </c>
    </row>
    <row r="1832" spans="1:23" x14ac:dyDescent="0.25">
      <c r="A1832" t="s">
        <v>393</v>
      </c>
      <c r="B1832">
        <v>2014</v>
      </c>
      <c r="C1832" t="s">
        <v>281</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COUNT(LifeExpectancyData[[#This Row],[Life expectancy]:[Schooling]])=19</f>
        <v>1</v>
      </c>
    </row>
    <row r="1833" spans="1:23" x14ac:dyDescent="0.25">
      <c r="A1833" t="s">
        <v>393</v>
      </c>
      <c r="B1833">
        <v>2013</v>
      </c>
      <c r="C1833" t="s">
        <v>281</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COUNT(LifeExpectancyData[[#This Row],[Life expectancy]:[Schooling]])=19</f>
        <v>1</v>
      </c>
    </row>
    <row r="1834" spans="1:23" x14ac:dyDescent="0.25">
      <c r="A1834" t="s">
        <v>393</v>
      </c>
      <c r="B1834">
        <v>2012</v>
      </c>
      <c r="C1834" t="s">
        <v>281</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COUNT(LifeExpectancyData[[#This Row],[Life expectancy]:[Schooling]])=19</f>
        <v>1</v>
      </c>
    </row>
    <row r="1835" spans="1:23" x14ac:dyDescent="0.25">
      <c r="A1835" t="s">
        <v>393</v>
      </c>
      <c r="B1835">
        <v>2011</v>
      </c>
      <c r="C1835" t="s">
        <v>281</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COUNT(LifeExpectancyData[[#This Row],[Life expectancy]:[Schooling]])=19</f>
        <v>1</v>
      </c>
    </row>
    <row r="1836" spans="1:23" x14ac:dyDescent="0.25">
      <c r="A1836" t="s">
        <v>393</v>
      </c>
      <c r="B1836">
        <v>2010</v>
      </c>
      <c r="C1836" t="s">
        <v>281</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COUNT(LifeExpectancyData[[#This Row],[Life expectancy]:[Schooling]])=19</f>
        <v>0</v>
      </c>
    </row>
    <row r="1837" spans="1:23" x14ac:dyDescent="0.25">
      <c r="A1837" t="s">
        <v>393</v>
      </c>
      <c r="B1837">
        <v>2009</v>
      </c>
      <c r="C1837" t="s">
        <v>281</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COUNT(LifeExpectancyData[[#This Row],[Life expectancy]:[Schooling]])=19</f>
        <v>0</v>
      </c>
    </row>
    <row r="1838" spans="1:23" x14ac:dyDescent="0.25">
      <c r="A1838" t="s">
        <v>393</v>
      </c>
      <c r="B1838">
        <v>2008</v>
      </c>
      <c r="C1838" t="s">
        <v>281</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COUNT(LifeExpectancyData[[#This Row],[Life expectancy]:[Schooling]])=19</f>
        <v>0</v>
      </c>
    </row>
    <row r="1839" spans="1:23" x14ac:dyDescent="0.25">
      <c r="A1839" t="s">
        <v>393</v>
      </c>
      <c r="B1839">
        <v>2007</v>
      </c>
      <c r="C1839" t="s">
        <v>281</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COUNT(LifeExpectancyData[[#This Row],[Life expectancy]:[Schooling]])=19</f>
        <v>0</v>
      </c>
    </row>
    <row r="1840" spans="1:23" x14ac:dyDescent="0.25">
      <c r="A1840" t="s">
        <v>393</v>
      </c>
      <c r="B1840">
        <v>2006</v>
      </c>
      <c r="C1840" t="s">
        <v>281</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COUNT(LifeExpectancyData[[#This Row],[Life expectancy]:[Schooling]])=19</f>
        <v>0</v>
      </c>
    </row>
    <row r="1841" spans="1:23" x14ac:dyDescent="0.25">
      <c r="A1841" t="s">
        <v>393</v>
      </c>
      <c r="B1841">
        <v>2005</v>
      </c>
      <c r="C1841" t="s">
        <v>281</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COUNT(LifeExpectancyData[[#This Row],[Life expectancy]:[Schooling]])=19</f>
        <v>0</v>
      </c>
    </row>
    <row r="1842" spans="1:23" x14ac:dyDescent="0.25">
      <c r="A1842" t="s">
        <v>393</v>
      </c>
      <c r="B1842">
        <v>2004</v>
      </c>
      <c r="C1842" t="s">
        <v>281</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COUNT(LifeExpectancyData[[#This Row],[Life expectancy]:[Schooling]])=19</f>
        <v>0</v>
      </c>
    </row>
    <row r="1843" spans="1:23" x14ac:dyDescent="0.25">
      <c r="A1843" t="s">
        <v>393</v>
      </c>
      <c r="B1843">
        <v>2003</v>
      </c>
      <c r="C1843" t="s">
        <v>281</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COUNT(LifeExpectancyData[[#This Row],[Life expectancy]:[Schooling]])=19</f>
        <v>0</v>
      </c>
    </row>
    <row r="1844" spans="1:23" x14ac:dyDescent="0.25">
      <c r="A1844" t="s">
        <v>393</v>
      </c>
      <c r="B1844">
        <v>2002</v>
      </c>
      <c r="C1844" t="s">
        <v>281</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COUNT(LifeExpectancyData[[#This Row],[Life expectancy]:[Schooling]])=19</f>
        <v>0</v>
      </c>
    </row>
    <row r="1845" spans="1:23" x14ac:dyDescent="0.25">
      <c r="A1845" t="s">
        <v>393</v>
      </c>
      <c r="B1845">
        <v>2001</v>
      </c>
      <c r="C1845" t="s">
        <v>281</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COUNT(LifeExpectancyData[[#This Row],[Life expectancy]:[Schooling]])=19</f>
        <v>0</v>
      </c>
    </row>
    <row r="1846" spans="1:23" x14ac:dyDescent="0.25">
      <c r="A1846" t="s">
        <v>393</v>
      </c>
      <c r="B1846">
        <v>2000</v>
      </c>
      <c r="C1846" t="s">
        <v>281</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COUNT(LifeExpectancyData[[#This Row],[Life expectancy]:[Schooling]])=19</f>
        <v>0</v>
      </c>
    </row>
    <row r="1847" spans="1:23" x14ac:dyDescent="0.25">
      <c r="A1847" t="s">
        <v>394</v>
      </c>
      <c r="B1847">
        <v>2015</v>
      </c>
      <c r="C1847" t="s">
        <v>281</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COUNT(LifeExpectancyData[[#This Row],[Life expectancy]:[Schooling]])=19</f>
        <v>0</v>
      </c>
    </row>
    <row r="1848" spans="1:23" x14ac:dyDescent="0.25">
      <c r="A1848" t="s">
        <v>394</v>
      </c>
      <c r="B1848">
        <v>2014</v>
      </c>
      <c r="C1848" t="s">
        <v>281</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COUNT(LifeExpectancyData[[#This Row],[Life expectancy]:[Schooling]])=19</f>
        <v>0</v>
      </c>
    </row>
    <row r="1849" spans="1:23" x14ac:dyDescent="0.25">
      <c r="A1849" t="s">
        <v>394</v>
      </c>
      <c r="B1849">
        <v>2013</v>
      </c>
      <c r="C1849" t="s">
        <v>281</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COUNT(LifeExpectancyData[[#This Row],[Life expectancy]:[Schooling]])=19</f>
        <v>0</v>
      </c>
    </row>
    <row r="1850" spans="1:23" x14ac:dyDescent="0.25">
      <c r="A1850" t="s">
        <v>394</v>
      </c>
      <c r="B1850">
        <v>2012</v>
      </c>
      <c r="C1850" t="s">
        <v>281</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COUNT(LifeExpectancyData[[#This Row],[Life expectancy]:[Schooling]])=19</f>
        <v>0</v>
      </c>
    </row>
    <row r="1851" spans="1:23" x14ac:dyDescent="0.25">
      <c r="A1851" t="s">
        <v>394</v>
      </c>
      <c r="B1851">
        <v>2011</v>
      </c>
      <c r="C1851" t="s">
        <v>281</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COUNT(LifeExpectancyData[[#This Row],[Life expectancy]:[Schooling]])=19</f>
        <v>0</v>
      </c>
    </row>
    <row r="1852" spans="1:23" x14ac:dyDescent="0.25">
      <c r="A1852" t="s">
        <v>394</v>
      </c>
      <c r="B1852">
        <v>2010</v>
      </c>
      <c r="C1852" t="s">
        <v>281</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COUNT(LifeExpectancyData[[#This Row],[Life expectancy]:[Schooling]])=19</f>
        <v>0</v>
      </c>
    </row>
    <row r="1853" spans="1:23" x14ac:dyDescent="0.25">
      <c r="A1853" t="s">
        <v>394</v>
      </c>
      <c r="B1853">
        <v>2009</v>
      </c>
      <c r="C1853" t="s">
        <v>281</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COUNT(LifeExpectancyData[[#This Row],[Life expectancy]:[Schooling]])=19</f>
        <v>0</v>
      </c>
    </row>
    <row r="1854" spans="1:23" x14ac:dyDescent="0.25">
      <c r="A1854" t="s">
        <v>394</v>
      </c>
      <c r="B1854">
        <v>2008</v>
      </c>
      <c r="C1854" t="s">
        <v>281</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COUNT(LifeExpectancyData[[#This Row],[Life expectancy]:[Schooling]])=19</f>
        <v>0</v>
      </c>
    </row>
    <row r="1855" spans="1:23" x14ac:dyDescent="0.25">
      <c r="A1855" t="s">
        <v>394</v>
      </c>
      <c r="B1855">
        <v>2007</v>
      </c>
      <c r="C1855" t="s">
        <v>281</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COUNT(LifeExpectancyData[[#This Row],[Life expectancy]:[Schooling]])=19</f>
        <v>0</v>
      </c>
    </row>
    <row r="1856" spans="1:23" x14ac:dyDescent="0.25">
      <c r="A1856" t="s">
        <v>394</v>
      </c>
      <c r="B1856">
        <v>2006</v>
      </c>
      <c r="C1856" t="s">
        <v>281</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COUNT(LifeExpectancyData[[#This Row],[Life expectancy]:[Schooling]])=19</f>
        <v>0</v>
      </c>
    </row>
    <row r="1857" spans="1:23" x14ac:dyDescent="0.25">
      <c r="A1857" t="s">
        <v>394</v>
      </c>
      <c r="B1857">
        <v>2005</v>
      </c>
      <c r="C1857" t="s">
        <v>281</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COUNT(LifeExpectancyData[[#This Row],[Life expectancy]:[Schooling]])=19</f>
        <v>0</v>
      </c>
    </row>
    <row r="1858" spans="1:23" x14ac:dyDescent="0.25">
      <c r="A1858" t="s">
        <v>394</v>
      </c>
      <c r="B1858">
        <v>2004</v>
      </c>
      <c r="C1858" t="s">
        <v>281</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COUNT(LifeExpectancyData[[#This Row],[Life expectancy]:[Schooling]])=19</f>
        <v>0</v>
      </c>
    </row>
    <row r="1859" spans="1:23" x14ac:dyDescent="0.25">
      <c r="A1859" t="s">
        <v>394</v>
      </c>
      <c r="B1859">
        <v>2003</v>
      </c>
      <c r="C1859" t="s">
        <v>281</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COUNT(LifeExpectancyData[[#This Row],[Life expectancy]:[Schooling]])=19</f>
        <v>0</v>
      </c>
    </row>
    <row r="1860" spans="1:23" x14ac:dyDescent="0.25">
      <c r="A1860" t="s">
        <v>394</v>
      </c>
      <c r="B1860">
        <v>2002</v>
      </c>
      <c r="C1860" t="s">
        <v>281</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COUNT(LifeExpectancyData[[#This Row],[Life expectancy]:[Schooling]])=19</f>
        <v>0</v>
      </c>
    </row>
    <row r="1861" spans="1:23" x14ac:dyDescent="0.25">
      <c r="A1861" t="s">
        <v>394</v>
      </c>
      <c r="B1861">
        <v>2001</v>
      </c>
      <c r="C1861" t="s">
        <v>281</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COUNT(LifeExpectancyData[[#This Row],[Life expectancy]:[Schooling]])=19</f>
        <v>0</v>
      </c>
    </row>
    <row r="1862" spans="1:23" x14ac:dyDescent="0.25">
      <c r="A1862" t="s">
        <v>394</v>
      </c>
      <c r="B1862">
        <v>2000</v>
      </c>
      <c r="C1862" t="s">
        <v>281</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COUNT(LifeExpectancyData[[#This Row],[Life expectancy]:[Schooling]])=19</f>
        <v>0</v>
      </c>
    </row>
    <row r="1863" spans="1:23" x14ac:dyDescent="0.25">
      <c r="A1863" t="s">
        <v>395</v>
      </c>
      <c r="B1863">
        <v>2015</v>
      </c>
      <c r="C1863" t="s">
        <v>273</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COUNT(LifeExpectancyData[[#This Row],[Life expectancy]:[Schooling]])=19</f>
        <v>0</v>
      </c>
    </row>
    <row r="1864" spans="1:23" x14ac:dyDescent="0.25">
      <c r="A1864" t="s">
        <v>395</v>
      </c>
      <c r="B1864">
        <v>2014</v>
      </c>
      <c r="C1864" t="s">
        <v>273</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COUNT(LifeExpectancyData[[#This Row],[Life expectancy]:[Schooling]])=19</f>
        <v>1</v>
      </c>
    </row>
    <row r="1865" spans="1:23" x14ac:dyDescent="0.25">
      <c r="A1865" t="s">
        <v>395</v>
      </c>
      <c r="B1865">
        <v>2013</v>
      </c>
      <c r="C1865" t="s">
        <v>273</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COUNT(LifeExpectancyData[[#This Row],[Life expectancy]:[Schooling]])=19</f>
        <v>1</v>
      </c>
    </row>
    <row r="1866" spans="1:23" x14ac:dyDescent="0.25">
      <c r="A1866" t="s">
        <v>395</v>
      </c>
      <c r="B1866">
        <v>2012</v>
      </c>
      <c r="C1866" t="s">
        <v>273</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COUNT(LifeExpectancyData[[#This Row],[Life expectancy]:[Schooling]])=19</f>
        <v>1</v>
      </c>
    </row>
    <row r="1867" spans="1:23" x14ac:dyDescent="0.25">
      <c r="A1867" t="s">
        <v>395</v>
      </c>
      <c r="B1867">
        <v>2011</v>
      </c>
      <c r="C1867" t="s">
        <v>273</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COUNT(LifeExpectancyData[[#This Row],[Life expectancy]:[Schooling]])=19</f>
        <v>1</v>
      </c>
    </row>
    <row r="1868" spans="1:23" x14ac:dyDescent="0.25">
      <c r="A1868" t="s">
        <v>395</v>
      </c>
      <c r="B1868">
        <v>2010</v>
      </c>
      <c r="C1868" t="s">
        <v>273</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COUNT(LifeExpectancyData[[#This Row],[Life expectancy]:[Schooling]])=19</f>
        <v>1</v>
      </c>
    </row>
    <row r="1869" spans="1:23" x14ac:dyDescent="0.25">
      <c r="A1869" t="s">
        <v>395</v>
      </c>
      <c r="B1869">
        <v>2009</v>
      </c>
      <c r="C1869" t="s">
        <v>273</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COUNT(LifeExpectancyData[[#This Row],[Life expectancy]:[Schooling]])=19</f>
        <v>1</v>
      </c>
    </row>
    <row r="1870" spans="1:23" x14ac:dyDescent="0.25">
      <c r="A1870" t="s">
        <v>395</v>
      </c>
      <c r="B1870">
        <v>2008</v>
      </c>
      <c r="C1870" t="s">
        <v>273</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COUNT(LifeExpectancyData[[#This Row],[Life expectancy]:[Schooling]])=19</f>
        <v>1</v>
      </c>
    </row>
    <row r="1871" spans="1:23" x14ac:dyDescent="0.25">
      <c r="A1871" t="s">
        <v>395</v>
      </c>
      <c r="B1871">
        <v>2007</v>
      </c>
      <c r="C1871" t="s">
        <v>273</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COUNT(LifeExpectancyData[[#This Row],[Life expectancy]:[Schooling]])=19</f>
        <v>1</v>
      </c>
    </row>
    <row r="1872" spans="1:23" x14ac:dyDescent="0.25">
      <c r="A1872" t="s">
        <v>395</v>
      </c>
      <c r="B1872">
        <v>2006</v>
      </c>
      <c r="C1872" t="s">
        <v>273</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COUNT(LifeExpectancyData[[#This Row],[Life expectancy]:[Schooling]])=19</f>
        <v>1</v>
      </c>
    </row>
    <row r="1873" spans="1:23" x14ac:dyDescent="0.25">
      <c r="A1873" t="s">
        <v>395</v>
      </c>
      <c r="B1873">
        <v>2005</v>
      </c>
      <c r="C1873" t="s">
        <v>273</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COUNT(LifeExpectancyData[[#This Row],[Life expectancy]:[Schooling]])=19</f>
        <v>1</v>
      </c>
    </row>
    <row r="1874" spans="1:23" x14ac:dyDescent="0.25">
      <c r="A1874" t="s">
        <v>395</v>
      </c>
      <c r="B1874">
        <v>2004</v>
      </c>
      <c r="C1874" t="s">
        <v>273</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COUNT(LifeExpectancyData[[#This Row],[Life expectancy]:[Schooling]])=19</f>
        <v>1</v>
      </c>
    </row>
    <row r="1875" spans="1:23" x14ac:dyDescent="0.25">
      <c r="A1875" t="s">
        <v>395</v>
      </c>
      <c r="B1875">
        <v>2003</v>
      </c>
      <c r="C1875" t="s">
        <v>273</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COUNT(LifeExpectancyData[[#This Row],[Life expectancy]:[Schooling]])=19</f>
        <v>1</v>
      </c>
    </row>
    <row r="1876" spans="1:23" x14ac:dyDescent="0.25">
      <c r="A1876" t="s">
        <v>395</v>
      </c>
      <c r="B1876">
        <v>2002</v>
      </c>
      <c r="C1876" t="s">
        <v>273</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COUNT(LifeExpectancyData[[#This Row],[Life expectancy]:[Schooling]])=19</f>
        <v>1</v>
      </c>
    </row>
    <row r="1877" spans="1:23" x14ac:dyDescent="0.25">
      <c r="A1877" t="s">
        <v>395</v>
      </c>
      <c r="B1877">
        <v>2001</v>
      </c>
      <c r="C1877" t="s">
        <v>273</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COUNT(LifeExpectancyData[[#This Row],[Life expectancy]:[Schooling]])=19</f>
        <v>1</v>
      </c>
    </row>
    <row r="1878" spans="1:23" x14ac:dyDescent="0.25">
      <c r="A1878" t="s">
        <v>395</v>
      </c>
      <c r="B1878">
        <v>2000</v>
      </c>
      <c r="C1878" t="s">
        <v>273</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COUNT(LifeExpectancyData[[#This Row],[Life expectancy]:[Schooling]])=19</f>
        <v>1</v>
      </c>
    </row>
    <row r="1879" spans="1:23" x14ac:dyDescent="0.25">
      <c r="A1879" t="s">
        <v>396</v>
      </c>
      <c r="B1879">
        <v>2015</v>
      </c>
      <c r="C1879" t="s">
        <v>273</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COUNT(LifeExpectancyData[[#This Row],[Life expectancy]:[Schooling]])=19</f>
        <v>0</v>
      </c>
    </row>
    <row r="1880" spans="1:23" x14ac:dyDescent="0.25">
      <c r="A1880" t="s">
        <v>396</v>
      </c>
      <c r="B1880">
        <v>2014</v>
      </c>
      <c r="C1880" t="s">
        <v>273</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COUNT(LifeExpectancyData[[#This Row],[Life expectancy]:[Schooling]])=19</f>
        <v>1</v>
      </c>
    </row>
    <row r="1881" spans="1:23" x14ac:dyDescent="0.25">
      <c r="A1881" t="s">
        <v>396</v>
      </c>
      <c r="B1881">
        <v>2013</v>
      </c>
      <c r="C1881" t="s">
        <v>273</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COUNT(LifeExpectancyData[[#This Row],[Life expectancy]:[Schooling]])=19</f>
        <v>1</v>
      </c>
    </row>
    <row r="1882" spans="1:23" x14ac:dyDescent="0.25">
      <c r="A1882" t="s">
        <v>396</v>
      </c>
      <c r="B1882">
        <v>2012</v>
      </c>
      <c r="C1882" t="s">
        <v>273</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COUNT(LifeExpectancyData[[#This Row],[Life expectancy]:[Schooling]])=19</f>
        <v>1</v>
      </c>
    </row>
    <row r="1883" spans="1:23" x14ac:dyDescent="0.25">
      <c r="A1883" t="s">
        <v>396</v>
      </c>
      <c r="B1883">
        <v>2011</v>
      </c>
      <c r="C1883" t="s">
        <v>273</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COUNT(LifeExpectancyData[[#This Row],[Life expectancy]:[Schooling]])=19</f>
        <v>1</v>
      </c>
    </row>
    <row r="1884" spans="1:23" x14ac:dyDescent="0.25">
      <c r="A1884" t="s">
        <v>396</v>
      </c>
      <c r="B1884">
        <v>2010</v>
      </c>
      <c r="C1884" t="s">
        <v>273</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COUNT(LifeExpectancyData[[#This Row],[Life expectancy]:[Schooling]])=19</f>
        <v>1</v>
      </c>
    </row>
    <row r="1885" spans="1:23" x14ac:dyDescent="0.25">
      <c r="A1885" t="s">
        <v>396</v>
      </c>
      <c r="B1885">
        <v>2009</v>
      </c>
      <c r="C1885" t="s">
        <v>273</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COUNT(LifeExpectancyData[[#This Row],[Life expectancy]:[Schooling]])=19</f>
        <v>1</v>
      </c>
    </row>
    <row r="1886" spans="1:23" x14ac:dyDescent="0.25">
      <c r="A1886" t="s">
        <v>396</v>
      </c>
      <c r="B1886">
        <v>2008</v>
      </c>
      <c r="C1886" t="s">
        <v>273</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COUNT(LifeExpectancyData[[#This Row],[Life expectancy]:[Schooling]])=19</f>
        <v>0</v>
      </c>
    </row>
    <row r="1887" spans="1:23" x14ac:dyDescent="0.25">
      <c r="A1887" t="s">
        <v>396</v>
      </c>
      <c r="B1887">
        <v>2007</v>
      </c>
      <c r="C1887" t="s">
        <v>273</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COUNT(LifeExpectancyData[[#This Row],[Life expectancy]:[Schooling]])=19</f>
        <v>0</v>
      </c>
    </row>
    <row r="1888" spans="1:23" x14ac:dyDescent="0.25">
      <c r="A1888" t="s">
        <v>396</v>
      </c>
      <c r="B1888">
        <v>2006</v>
      </c>
      <c r="C1888" t="s">
        <v>273</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COUNT(LifeExpectancyData[[#This Row],[Life expectancy]:[Schooling]])=19</f>
        <v>0</v>
      </c>
    </row>
    <row r="1889" spans="1:23" x14ac:dyDescent="0.25">
      <c r="A1889" t="s">
        <v>396</v>
      </c>
      <c r="B1889">
        <v>2005</v>
      </c>
      <c r="C1889" t="s">
        <v>273</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COUNT(LifeExpectancyData[[#This Row],[Life expectancy]:[Schooling]])=19</f>
        <v>0</v>
      </c>
    </row>
    <row r="1890" spans="1:23" x14ac:dyDescent="0.25">
      <c r="A1890" t="s">
        <v>396</v>
      </c>
      <c r="B1890">
        <v>2004</v>
      </c>
      <c r="C1890" t="s">
        <v>273</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COUNT(LifeExpectancyData[[#This Row],[Life expectancy]:[Schooling]])=19</f>
        <v>0</v>
      </c>
    </row>
    <row r="1891" spans="1:23" x14ac:dyDescent="0.25">
      <c r="A1891" t="s">
        <v>396</v>
      </c>
      <c r="B1891">
        <v>2003</v>
      </c>
      <c r="C1891" t="s">
        <v>273</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COUNT(LifeExpectancyData[[#This Row],[Life expectancy]:[Schooling]])=19</f>
        <v>0</v>
      </c>
    </row>
    <row r="1892" spans="1:23" x14ac:dyDescent="0.25">
      <c r="A1892" t="s">
        <v>396</v>
      </c>
      <c r="B1892">
        <v>2002</v>
      </c>
      <c r="C1892" t="s">
        <v>273</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COUNT(LifeExpectancyData[[#This Row],[Life expectancy]:[Schooling]])=19</f>
        <v>0</v>
      </c>
    </row>
    <row r="1893" spans="1:23" x14ac:dyDescent="0.25">
      <c r="A1893" t="s">
        <v>396</v>
      </c>
      <c r="B1893">
        <v>2001</v>
      </c>
      <c r="C1893" t="s">
        <v>273</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COUNT(LifeExpectancyData[[#This Row],[Life expectancy]:[Schooling]])=19</f>
        <v>0</v>
      </c>
    </row>
    <row r="1894" spans="1:23" x14ac:dyDescent="0.25">
      <c r="A1894" t="s">
        <v>396</v>
      </c>
      <c r="B1894">
        <v>2000</v>
      </c>
      <c r="C1894" t="s">
        <v>273</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COUNT(LifeExpectancyData[[#This Row],[Life expectancy]:[Schooling]])=19</f>
        <v>0</v>
      </c>
    </row>
    <row r="1895" spans="1:23" x14ac:dyDescent="0.25">
      <c r="A1895" t="s">
        <v>397</v>
      </c>
      <c r="B1895">
        <v>2015</v>
      </c>
      <c r="C1895" t="s">
        <v>273</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COUNT(LifeExpectancyData[[#This Row],[Life expectancy]:[Schooling]])=19</f>
        <v>0</v>
      </c>
    </row>
    <row r="1896" spans="1:23" x14ac:dyDescent="0.25">
      <c r="A1896" t="s">
        <v>397</v>
      </c>
      <c r="B1896">
        <v>2014</v>
      </c>
      <c r="C1896" t="s">
        <v>273</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COUNT(LifeExpectancyData[[#This Row],[Life expectancy]:[Schooling]])=19</f>
        <v>1</v>
      </c>
    </row>
    <row r="1897" spans="1:23" x14ac:dyDescent="0.25">
      <c r="A1897" t="s">
        <v>397</v>
      </c>
      <c r="B1897">
        <v>2013</v>
      </c>
      <c r="C1897" t="s">
        <v>273</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COUNT(LifeExpectancyData[[#This Row],[Life expectancy]:[Schooling]])=19</f>
        <v>1</v>
      </c>
    </row>
    <row r="1898" spans="1:23" x14ac:dyDescent="0.25">
      <c r="A1898" t="s">
        <v>397</v>
      </c>
      <c r="B1898">
        <v>2012</v>
      </c>
      <c r="C1898" t="s">
        <v>273</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COUNT(LifeExpectancyData[[#This Row],[Life expectancy]:[Schooling]])=19</f>
        <v>1</v>
      </c>
    </row>
    <row r="1899" spans="1:23" x14ac:dyDescent="0.25">
      <c r="A1899" t="s">
        <v>397</v>
      </c>
      <c r="B1899">
        <v>2011</v>
      </c>
      <c r="C1899" t="s">
        <v>273</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COUNT(LifeExpectancyData[[#This Row],[Life expectancy]:[Schooling]])=19</f>
        <v>1</v>
      </c>
    </row>
    <row r="1900" spans="1:23" x14ac:dyDescent="0.25">
      <c r="A1900" t="s">
        <v>397</v>
      </c>
      <c r="B1900">
        <v>2010</v>
      </c>
      <c r="C1900" t="s">
        <v>273</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COUNT(LifeExpectancyData[[#This Row],[Life expectancy]:[Schooling]])=19</f>
        <v>1</v>
      </c>
    </row>
    <row r="1901" spans="1:23" x14ac:dyDescent="0.25">
      <c r="A1901" t="s">
        <v>397</v>
      </c>
      <c r="B1901">
        <v>2009</v>
      </c>
      <c r="C1901" t="s">
        <v>273</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COUNT(LifeExpectancyData[[#This Row],[Life expectancy]:[Schooling]])=19</f>
        <v>1</v>
      </c>
    </row>
    <row r="1902" spans="1:23" x14ac:dyDescent="0.25">
      <c r="A1902" t="s">
        <v>397</v>
      </c>
      <c r="B1902">
        <v>2008</v>
      </c>
      <c r="C1902" t="s">
        <v>273</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COUNT(LifeExpectancyData[[#This Row],[Life expectancy]:[Schooling]])=19</f>
        <v>1</v>
      </c>
    </row>
    <row r="1903" spans="1:23" x14ac:dyDescent="0.25">
      <c r="A1903" t="s">
        <v>397</v>
      </c>
      <c r="B1903">
        <v>2007</v>
      </c>
      <c r="C1903" t="s">
        <v>273</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COUNT(LifeExpectancyData[[#This Row],[Life expectancy]:[Schooling]])=19</f>
        <v>1</v>
      </c>
    </row>
    <row r="1904" spans="1:23" x14ac:dyDescent="0.25">
      <c r="A1904" t="s">
        <v>397</v>
      </c>
      <c r="B1904">
        <v>2006</v>
      </c>
      <c r="C1904" t="s">
        <v>273</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COUNT(LifeExpectancyData[[#This Row],[Life expectancy]:[Schooling]])=19</f>
        <v>1</v>
      </c>
    </row>
    <row r="1905" spans="1:23" x14ac:dyDescent="0.25">
      <c r="A1905" t="s">
        <v>397</v>
      </c>
      <c r="B1905">
        <v>2005</v>
      </c>
      <c r="C1905" t="s">
        <v>273</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COUNT(LifeExpectancyData[[#This Row],[Life expectancy]:[Schooling]])=19</f>
        <v>1</v>
      </c>
    </row>
    <row r="1906" spans="1:23" x14ac:dyDescent="0.25">
      <c r="A1906" t="s">
        <v>397</v>
      </c>
      <c r="B1906">
        <v>2004</v>
      </c>
      <c r="C1906" t="s">
        <v>273</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COUNT(LifeExpectancyData[[#This Row],[Life expectancy]:[Schooling]])=19</f>
        <v>0</v>
      </c>
    </row>
    <row r="1907" spans="1:23" x14ac:dyDescent="0.25">
      <c r="A1907" t="s">
        <v>397</v>
      </c>
      <c r="B1907">
        <v>2003</v>
      </c>
      <c r="C1907" t="s">
        <v>273</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COUNT(LifeExpectancyData[[#This Row],[Life expectancy]:[Schooling]])=19</f>
        <v>0</v>
      </c>
    </row>
    <row r="1908" spans="1:23" x14ac:dyDescent="0.25">
      <c r="A1908" t="s">
        <v>397</v>
      </c>
      <c r="B1908">
        <v>2002</v>
      </c>
      <c r="C1908" t="s">
        <v>273</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COUNT(LifeExpectancyData[[#This Row],[Life expectancy]:[Schooling]])=19</f>
        <v>0</v>
      </c>
    </row>
    <row r="1909" spans="1:23" x14ac:dyDescent="0.25">
      <c r="A1909" t="s">
        <v>397</v>
      </c>
      <c r="B1909">
        <v>2001</v>
      </c>
      <c r="C1909" t="s">
        <v>273</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COUNT(LifeExpectancyData[[#This Row],[Life expectancy]:[Schooling]])=19</f>
        <v>0</v>
      </c>
    </row>
    <row r="1910" spans="1:23" x14ac:dyDescent="0.25">
      <c r="A1910" t="s">
        <v>397</v>
      </c>
      <c r="B1910">
        <v>2000</v>
      </c>
      <c r="C1910" t="s">
        <v>273</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COUNT(LifeExpectancyData[[#This Row],[Life expectancy]:[Schooling]])=19</f>
        <v>0</v>
      </c>
    </row>
    <row r="1911" spans="1:23" x14ac:dyDescent="0.25">
      <c r="A1911" t="s">
        <v>398</v>
      </c>
      <c r="B1911">
        <v>2013</v>
      </c>
      <c r="C1911" t="s">
        <v>273</v>
      </c>
      <c r="F1911">
        <v>0</v>
      </c>
      <c r="G1911">
        <v>0.01</v>
      </c>
      <c r="H1911">
        <v>0</v>
      </c>
      <c r="I1911">
        <v>99</v>
      </c>
      <c r="J1911">
        <v>0</v>
      </c>
      <c r="K1911">
        <v>77.3</v>
      </c>
      <c r="L1911">
        <v>0</v>
      </c>
      <c r="M1911">
        <v>99</v>
      </c>
      <c r="N1911">
        <v>7.2</v>
      </c>
      <c r="O1911">
        <v>99</v>
      </c>
      <c r="P1911">
        <v>0.1</v>
      </c>
      <c r="S1911">
        <v>0.1</v>
      </c>
      <c r="T1911">
        <v>0.1</v>
      </c>
      <c r="W1911" t="b">
        <f>COUNT(LifeExpectancyData[[#This Row],[Life expectancy]:[Schooling]])=19</f>
        <v>0</v>
      </c>
    </row>
    <row r="1912" spans="1:23" x14ac:dyDescent="0.25">
      <c r="A1912" t="s">
        <v>399</v>
      </c>
      <c r="B1912">
        <v>2015</v>
      </c>
      <c r="C1912" t="s">
        <v>281</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COUNT(LifeExpectancyData[[#This Row],[Life expectancy]:[Schooling]])=19</f>
        <v>0</v>
      </c>
    </row>
    <row r="1913" spans="1:23" x14ac:dyDescent="0.25">
      <c r="A1913" t="s">
        <v>399</v>
      </c>
      <c r="B1913">
        <v>2014</v>
      </c>
      <c r="C1913" t="s">
        <v>281</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COUNT(LifeExpectancyData[[#This Row],[Life expectancy]:[Schooling]])=19</f>
        <v>0</v>
      </c>
    </row>
    <row r="1914" spans="1:23" x14ac:dyDescent="0.25">
      <c r="A1914" t="s">
        <v>399</v>
      </c>
      <c r="B1914">
        <v>2013</v>
      </c>
      <c r="C1914" t="s">
        <v>281</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COUNT(LifeExpectancyData[[#This Row],[Life expectancy]:[Schooling]])=19</f>
        <v>0</v>
      </c>
    </row>
    <row r="1915" spans="1:23" x14ac:dyDescent="0.25">
      <c r="A1915" t="s">
        <v>399</v>
      </c>
      <c r="B1915">
        <v>2012</v>
      </c>
      <c r="C1915" t="s">
        <v>281</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COUNT(LifeExpectancyData[[#This Row],[Life expectancy]:[Schooling]])=19</f>
        <v>0</v>
      </c>
    </row>
    <row r="1916" spans="1:23" x14ac:dyDescent="0.25">
      <c r="A1916" t="s">
        <v>399</v>
      </c>
      <c r="B1916">
        <v>2011</v>
      </c>
      <c r="C1916" t="s">
        <v>281</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COUNT(LifeExpectancyData[[#This Row],[Life expectancy]:[Schooling]])=19</f>
        <v>0</v>
      </c>
    </row>
    <row r="1917" spans="1:23" x14ac:dyDescent="0.25">
      <c r="A1917" t="s">
        <v>399</v>
      </c>
      <c r="B1917">
        <v>2010</v>
      </c>
      <c r="C1917" t="s">
        <v>281</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COUNT(LifeExpectancyData[[#This Row],[Life expectancy]:[Schooling]])=19</f>
        <v>0</v>
      </c>
    </row>
    <row r="1918" spans="1:23" x14ac:dyDescent="0.25">
      <c r="A1918" t="s">
        <v>399</v>
      </c>
      <c r="B1918">
        <v>2009</v>
      </c>
      <c r="C1918" t="s">
        <v>281</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COUNT(LifeExpectancyData[[#This Row],[Life expectancy]:[Schooling]])=19</f>
        <v>0</v>
      </c>
    </row>
    <row r="1919" spans="1:23" x14ac:dyDescent="0.25">
      <c r="A1919" t="s">
        <v>399</v>
      </c>
      <c r="B1919">
        <v>2008</v>
      </c>
      <c r="C1919" t="s">
        <v>281</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COUNT(LifeExpectancyData[[#This Row],[Life expectancy]:[Schooling]])=19</f>
        <v>0</v>
      </c>
    </row>
    <row r="1920" spans="1:23" x14ac:dyDescent="0.25">
      <c r="A1920" t="s">
        <v>399</v>
      </c>
      <c r="B1920">
        <v>2007</v>
      </c>
      <c r="C1920" t="s">
        <v>281</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COUNT(LifeExpectancyData[[#This Row],[Life expectancy]:[Schooling]])=19</f>
        <v>0</v>
      </c>
    </row>
    <row r="1921" spans="1:23" x14ac:dyDescent="0.25">
      <c r="A1921" t="s">
        <v>399</v>
      </c>
      <c r="B1921">
        <v>2006</v>
      </c>
      <c r="C1921" t="s">
        <v>281</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COUNT(LifeExpectancyData[[#This Row],[Life expectancy]:[Schooling]])=19</f>
        <v>0</v>
      </c>
    </row>
    <row r="1922" spans="1:23" x14ac:dyDescent="0.25">
      <c r="A1922" t="s">
        <v>399</v>
      </c>
      <c r="B1922">
        <v>2005</v>
      </c>
      <c r="C1922" t="s">
        <v>281</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COUNT(LifeExpectancyData[[#This Row],[Life expectancy]:[Schooling]])=19</f>
        <v>0</v>
      </c>
    </row>
    <row r="1923" spans="1:23" x14ac:dyDescent="0.25">
      <c r="A1923" t="s">
        <v>399</v>
      </c>
      <c r="B1923">
        <v>2004</v>
      </c>
      <c r="C1923" t="s">
        <v>281</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COUNT(LifeExpectancyData[[#This Row],[Life expectancy]:[Schooling]])=19</f>
        <v>0</v>
      </c>
    </row>
    <row r="1924" spans="1:23" x14ac:dyDescent="0.25">
      <c r="A1924" t="s">
        <v>399</v>
      </c>
      <c r="B1924">
        <v>2003</v>
      </c>
      <c r="C1924" t="s">
        <v>281</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COUNT(LifeExpectancyData[[#This Row],[Life expectancy]:[Schooling]])=19</f>
        <v>0</v>
      </c>
    </row>
    <row r="1925" spans="1:23" x14ac:dyDescent="0.25">
      <c r="A1925" t="s">
        <v>399</v>
      </c>
      <c r="B1925">
        <v>2002</v>
      </c>
      <c r="C1925" t="s">
        <v>281</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COUNT(LifeExpectancyData[[#This Row],[Life expectancy]:[Schooling]])=19</f>
        <v>0</v>
      </c>
    </row>
    <row r="1926" spans="1:23" x14ac:dyDescent="0.25">
      <c r="A1926" t="s">
        <v>399</v>
      </c>
      <c r="B1926">
        <v>2001</v>
      </c>
      <c r="C1926" t="s">
        <v>281</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COUNT(LifeExpectancyData[[#This Row],[Life expectancy]:[Schooling]])=19</f>
        <v>0</v>
      </c>
    </row>
    <row r="1927" spans="1:23" x14ac:dyDescent="0.25">
      <c r="A1927" t="s">
        <v>399</v>
      </c>
      <c r="B1927">
        <v>2000</v>
      </c>
      <c r="C1927" t="s">
        <v>281</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COUNT(LifeExpectancyData[[#This Row],[Life expectancy]:[Schooling]])=19</f>
        <v>0</v>
      </c>
    </row>
    <row r="1928" spans="1:23" x14ac:dyDescent="0.25">
      <c r="A1928" t="s">
        <v>400</v>
      </c>
      <c r="B1928">
        <v>2015</v>
      </c>
      <c r="C1928" t="s">
        <v>273</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COUNT(LifeExpectancyData[[#This Row],[Life expectancy]:[Schooling]])=19</f>
        <v>0</v>
      </c>
    </row>
    <row r="1929" spans="1:23" x14ac:dyDescent="0.25">
      <c r="A1929" t="s">
        <v>400</v>
      </c>
      <c r="B1929">
        <v>2014</v>
      </c>
      <c r="C1929" t="s">
        <v>273</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COUNT(LifeExpectancyData[[#This Row],[Life expectancy]:[Schooling]])=19</f>
        <v>0</v>
      </c>
    </row>
    <row r="1930" spans="1:23" x14ac:dyDescent="0.25">
      <c r="A1930" t="s">
        <v>400</v>
      </c>
      <c r="B1930">
        <v>2013</v>
      </c>
      <c r="C1930" t="s">
        <v>273</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COUNT(LifeExpectancyData[[#This Row],[Life expectancy]:[Schooling]])=19</f>
        <v>0</v>
      </c>
    </row>
    <row r="1931" spans="1:23" x14ac:dyDescent="0.25">
      <c r="A1931" t="s">
        <v>400</v>
      </c>
      <c r="B1931">
        <v>2012</v>
      </c>
      <c r="C1931" t="s">
        <v>273</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COUNT(LifeExpectancyData[[#This Row],[Life expectancy]:[Schooling]])=19</f>
        <v>0</v>
      </c>
    </row>
    <row r="1932" spans="1:23" x14ac:dyDescent="0.25">
      <c r="A1932" t="s">
        <v>400</v>
      </c>
      <c r="B1932">
        <v>2011</v>
      </c>
      <c r="C1932" t="s">
        <v>273</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COUNT(LifeExpectancyData[[#This Row],[Life expectancy]:[Schooling]])=19</f>
        <v>0</v>
      </c>
    </row>
    <row r="1933" spans="1:23" x14ac:dyDescent="0.25">
      <c r="A1933" t="s">
        <v>400</v>
      </c>
      <c r="B1933">
        <v>2010</v>
      </c>
      <c r="C1933" t="s">
        <v>273</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COUNT(LifeExpectancyData[[#This Row],[Life expectancy]:[Schooling]])=19</f>
        <v>0</v>
      </c>
    </row>
    <row r="1934" spans="1:23" x14ac:dyDescent="0.25">
      <c r="A1934" t="s">
        <v>400</v>
      </c>
      <c r="B1934">
        <v>2009</v>
      </c>
      <c r="C1934" t="s">
        <v>273</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COUNT(LifeExpectancyData[[#This Row],[Life expectancy]:[Schooling]])=19</f>
        <v>0</v>
      </c>
    </row>
    <row r="1935" spans="1:23" x14ac:dyDescent="0.25">
      <c r="A1935" t="s">
        <v>400</v>
      </c>
      <c r="B1935">
        <v>2008</v>
      </c>
      <c r="C1935" t="s">
        <v>273</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COUNT(LifeExpectancyData[[#This Row],[Life expectancy]:[Schooling]])=19</f>
        <v>0</v>
      </c>
    </row>
    <row r="1936" spans="1:23" x14ac:dyDescent="0.25">
      <c r="A1936" t="s">
        <v>400</v>
      </c>
      <c r="B1936">
        <v>2007</v>
      </c>
      <c r="C1936" t="s">
        <v>273</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COUNT(LifeExpectancyData[[#This Row],[Life expectancy]:[Schooling]])=19</f>
        <v>0</v>
      </c>
    </row>
    <row r="1937" spans="1:23" x14ac:dyDescent="0.25">
      <c r="A1937" t="s">
        <v>400</v>
      </c>
      <c r="B1937">
        <v>2006</v>
      </c>
      <c r="C1937" t="s">
        <v>273</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COUNT(LifeExpectancyData[[#This Row],[Life expectancy]:[Schooling]])=19</f>
        <v>0</v>
      </c>
    </row>
    <row r="1938" spans="1:23" x14ac:dyDescent="0.25">
      <c r="A1938" t="s">
        <v>400</v>
      </c>
      <c r="B1938">
        <v>2005</v>
      </c>
      <c r="C1938" t="s">
        <v>273</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COUNT(LifeExpectancyData[[#This Row],[Life expectancy]:[Schooling]])=19</f>
        <v>0</v>
      </c>
    </row>
    <row r="1939" spans="1:23" x14ac:dyDescent="0.25">
      <c r="A1939" t="s">
        <v>400</v>
      </c>
      <c r="B1939">
        <v>2004</v>
      </c>
      <c r="C1939" t="s">
        <v>273</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COUNT(LifeExpectancyData[[#This Row],[Life expectancy]:[Schooling]])=19</f>
        <v>0</v>
      </c>
    </row>
    <row r="1940" spans="1:23" x14ac:dyDescent="0.25">
      <c r="A1940" t="s">
        <v>400</v>
      </c>
      <c r="B1940">
        <v>2003</v>
      </c>
      <c r="C1940" t="s">
        <v>273</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COUNT(LifeExpectancyData[[#This Row],[Life expectancy]:[Schooling]])=19</f>
        <v>0</v>
      </c>
    </row>
    <row r="1941" spans="1:23" x14ac:dyDescent="0.25">
      <c r="A1941" t="s">
        <v>400</v>
      </c>
      <c r="B1941">
        <v>2002</v>
      </c>
      <c r="C1941" t="s">
        <v>273</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COUNT(LifeExpectancyData[[#This Row],[Life expectancy]:[Schooling]])=19</f>
        <v>0</v>
      </c>
    </row>
    <row r="1942" spans="1:23" x14ac:dyDescent="0.25">
      <c r="A1942" t="s">
        <v>400</v>
      </c>
      <c r="B1942">
        <v>2001</v>
      </c>
      <c r="C1942" t="s">
        <v>273</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COUNT(LifeExpectancyData[[#This Row],[Life expectancy]:[Schooling]])=19</f>
        <v>0</v>
      </c>
    </row>
    <row r="1943" spans="1:23" x14ac:dyDescent="0.25">
      <c r="A1943" t="s">
        <v>400</v>
      </c>
      <c r="B1943">
        <v>2000</v>
      </c>
      <c r="C1943" t="s">
        <v>273</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COUNT(LifeExpectancyData[[#This Row],[Life expectancy]:[Schooling]])=19</f>
        <v>0</v>
      </c>
    </row>
    <row r="1944" spans="1:23" x14ac:dyDescent="0.25">
      <c r="A1944" t="s">
        <v>401</v>
      </c>
      <c r="B1944">
        <v>2015</v>
      </c>
      <c r="C1944" t="s">
        <v>273</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COUNT(LifeExpectancyData[[#This Row],[Life expectancy]:[Schooling]])=19</f>
        <v>0</v>
      </c>
    </row>
    <row r="1945" spans="1:23" x14ac:dyDescent="0.25">
      <c r="A1945" t="s">
        <v>401</v>
      </c>
      <c r="B1945">
        <v>2014</v>
      </c>
      <c r="C1945" t="s">
        <v>273</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COUNT(LifeExpectancyData[[#This Row],[Life expectancy]:[Schooling]])=19</f>
        <v>1</v>
      </c>
    </row>
    <row r="1946" spans="1:23" x14ac:dyDescent="0.25">
      <c r="A1946" t="s">
        <v>401</v>
      </c>
      <c r="B1946">
        <v>2013</v>
      </c>
      <c r="C1946" t="s">
        <v>273</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COUNT(LifeExpectancyData[[#This Row],[Life expectancy]:[Schooling]])=19</f>
        <v>1</v>
      </c>
    </row>
    <row r="1947" spans="1:23" x14ac:dyDescent="0.25">
      <c r="A1947" t="s">
        <v>401</v>
      </c>
      <c r="B1947">
        <v>2012</v>
      </c>
      <c r="C1947" t="s">
        <v>273</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COUNT(LifeExpectancyData[[#This Row],[Life expectancy]:[Schooling]])=19</f>
        <v>1</v>
      </c>
    </row>
    <row r="1948" spans="1:23" x14ac:dyDescent="0.25">
      <c r="A1948" t="s">
        <v>401</v>
      </c>
      <c r="B1948">
        <v>2011</v>
      </c>
      <c r="C1948" t="s">
        <v>273</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COUNT(LifeExpectancyData[[#This Row],[Life expectancy]:[Schooling]])=19</f>
        <v>1</v>
      </c>
    </row>
    <row r="1949" spans="1:23" x14ac:dyDescent="0.25">
      <c r="A1949" t="s">
        <v>401</v>
      </c>
      <c r="B1949">
        <v>2010</v>
      </c>
      <c r="C1949" t="s">
        <v>273</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COUNT(LifeExpectancyData[[#This Row],[Life expectancy]:[Schooling]])=19</f>
        <v>1</v>
      </c>
    </row>
    <row r="1950" spans="1:23" x14ac:dyDescent="0.25">
      <c r="A1950" t="s">
        <v>401</v>
      </c>
      <c r="B1950">
        <v>2009</v>
      </c>
      <c r="C1950" t="s">
        <v>273</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COUNT(LifeExpectancyData[[#This Row],[Life expectancy]:[Schooling]])=19</f>
        <v>1</v>
      </c>
    </row>
    <row r="1951" spans="1:23" x14ac:dyDescent="0.25">
      <c r="A1951" t="s">
        <v>401</v>
      </c>
      <c r="B1951">
        <v>2008</v>
      </c>
      <c r="C1951" t="s">
        <v>273</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COUNT(LifeExpectancyData[[#This Row],[Life expectancy]:[Schooling]])=19</f>
        <v>1</v>
      </c>
    </row>
    <row r="1952" spans="1:23" x14ac:dyDescent="0.25">
      <c r="A1952" t="s">
        <v>401</v>
      </c>
      <c r="B1952">
        <v>2007</v>
      </c>
      <c r="C1952" t="s">
        <v>273</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COUNT(LifeExpectancyData[[#This Row],[Life expectancy]:[Schooling]])=19</f>
        <v>1</v>
      </c>
    </row>
    <row r="1953" spans="1:23" x14ac:dyDescent="0.25">
      <c r="A1953" t="s">
        <v>401</v>
      </c>
      <c r="B1953">
        <v>2006</v>
      </c>
      <c r="C1953" t="s">
        <v>273</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COUNT(LifeExpectancyData[[#This Row],[Life expectancy]:[Schooling]])=19</f>
        <v>1</v>
      </c>
    </row>
    <row r="1954" spans="1:23" x14ac:dyDescent="0.25">
      <c r="A1954" t="s">
        <v>401</v>
      </c>
      <c r="B1954">
        <v>2005</v>
      </c>
      <c r="C1954" t="s">
        <v>273</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COUNT(LifeExpectancyData[[#This Row],[Life expectancy]:[Schooling]])=19</f>
        <v>1</v>
      </c>
    </row>
    <row r="1955" spans="1:23" x14ac:dyDescent="0.25">
      <c r="A1955" t="s">
        <v>401</v>
      </c>
      <c r="B1955">
        <v>2004</v>
      </c>
      <c r="C1955" t="s">
        <v>273</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COUNT(LifeExpectancyData[[#This Row],[Life expectancy]:[Schooling]])=19</f>
        <v>1</v>
      </c>
    </row>
    <row r="1956" spans="1:23" x14ac:dyDescent="0.25">
      <c r="A1956" t="s">
        <v>401</v>
      </c>
      <c r="B1956">
        <v>2003</v>
      </c>
      <c r="C1956" t="s">
        <v>273</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COUNT(LifeExpectancyData[[#This Row],[Life expectancy]:[Schooling]])=19</f>
        <v>1</v>
      </c>
    </row>
    <row r="1957" spans="1:23" x14ac:dyDescent="0.25">
      <c r="A1957" t="s">
        <v>401</v>
      </c>
      <c r="B1957">
        <v>2002</v>
      </c>
      <c r="C1957" t="s">
        <v>273</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COUNT(LifeExpectancyData[[#This Row],[Life expectancy]:[Schooling]])=19</f>
        <v>0</v>
      </c>
    </row>
    <row r="1958" spans="1:23" x14ac:dyDescent="0.25">
      <c r="A1958" t="s">
        <v>401</v>
      </c>
      <c r="B1958">
        <v>2001</v>
      </c>
      <c r="C1958" t="s">
        <v>273</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COUNT(LifeExpectancyData[[#This Row],[Life expectancy]:[Schooling]])=19</f>
        <v>0</v>
      </c>
    </row>
    <row r="1959" spans="1:23" x14ac:dyDescent="0.25">
      <c r="A1959" t="s">
        <v>401</v>
      </c>
      <c r="B1959">
        <v>2000</v>
      </c>
      <c r="C1959" t="s">
        <v>273</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COUNT(LifeExpectancyData[[#This Row],[Life expectancy]:[Schooling]])=19</f>
        <v>0</v>
      </c>
    </row>
    <row r="1960" spans="1:23" x14ac:dyDescent="0.25">
      <c r="A1960" t="s">
        <v>402</v>
      </c>
      <c r="B1960">
        <v>2013</v>
      </c>
      <c r="C1960" t="s">
        <v>273</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COUNT(LifeExpectancyData[[#This Row],[Life expectancy]:[Schooling]])=19</f>
        <v>0</v>
      </c>
    </row>
    <row r="1961" spans="1:23" x14ac:dyDescent="0.25">
      <c r="A1961" t="s">
        <v>403</v>
      </c>
      <c r="B1961">
        <v>2015</v>
      </c>
      <c r="C1961" t="s">
        <v>273</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COUNT(LifeExpectancyData[[#This Row],[Life expectancy]:[Schooling]])=19</f>
        <v>0</v>
      </c>
    </row>
    <row r="1962" spans="1:23" x14ac:dyDescent="0.25">
      <c r="A1962" t="s">
        <v>403</v>
      </c>
      <c r="B1962">
        <v>2014</v>
      </c>
      <c r="C1962" t="s">
        <v>273</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COUNT(LifeExpectancyData[[#This Row],[Life expectancy]:[Schooling]])=19</f>
        <v>1</v>
      </c>
    </row>
    <row r="1963" spans="1:23" x14ac:dyDescent="0.25">
      <c r="A1963" t="s">
        <v>403</v>
      </c>
      <c r="B1963">
        <v>2013</v>
      </c>
      <c r="C1963" t="s">
        <v>273</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COUNT(LifeExpectancyData[[#This Row],[Life expectancy]:[Schooling]])=19</f>
        <v>1</v>
      </c>
    </row>
    <row r="1964" spans="1:23" x14ac:dyDescent="0.25">
      <c r="A1964" t="s">
        <v>403</v>
      </c>
      <c r="B1964">
        <v>2012</v>
      </c>
      <c r="C1964" t="s">
        <v>273</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COUNT(LifeExpectancyData[[#This Row],[Life expectancy]:[Schooling]])=19</f>
        <v>1</v>
      </c>
    </row>
    <row r="1965" spans="1:23" x14ac:dyDescent="0.25">
      <c r="A1965" t="s">
        <v>403</v>
      </c>
      <c r="B1965">
        <v>2011</v>
      </c>
      <c r="C1965" t="s">
        <v>273</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COUNT(LifeExpectancyData[[#This Row],[Life expectancy]:[Schooling]])=19</f>
        <v>1</v>
      </c>
    </row>
    <row r="1966" spans="1:23" x14ac:dyDescent="0.25">
      <c r="A1966" t="s">
        <v>403</v>
      </c>
      <c r="B1966">
        <v>2010</v>
      </c>
      <c r="C1966" t="s">
        <v>273</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COUNT(LifeExpectancyData[[#This Row],[Life expectancy]:[Schooling]])=19</f>
        <v>1</v>
      </c>
    </row>
    <row r="1967" spans="1:23" x14ac:dyDescent="0.25">
      <c r="A1967" t="s">
        <v>403</v>
      </c>
      <c r="B1967">
        <v>2009</v>
      </c>
      <c r="C1967" t="s">
        <v>273</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COUNT(LifeExpectancyData[[#This Row],[Life expectancy]:[Schooling]])=19</f>
        <v>1</v>
      </c>
    </row>
    <row r="1968" spans="1:23" x14ac:dyDescent="0.25">
      <c r="A1968" t="s">
        <v>403</v>
      </c>
      <c r="B1968">
        <v>2008</v>
      </c>
      <c r="C1968" t="s">
        <v>273</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COUNT(LifeExpectancyData[[#This Row],[Life expectancy]:[Schooling]])=19</f>
        <v>1</v>
      </c>
    </row>
    <row r="1969" spans="1:23" x14ac:dyDescent="0.25">
      <c r="A1969" t="s">
        <v>403</v>
      </c>
      <c r="B1969">
        <v>2007</v>
      </c>
      <c r="C1969" t="s">
        <v>273</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COUNT(LifeExpectancyData[[#This Row],[Life expectancy]:[Schooling]])=19</f>
        <v>1</v>
      </c>
    </row>
    <row r="1970" spans="1:23" x14ac:dyDescent="0.25">
      <c r="A1970" t="s">
        <v>403</v>
      </c>
      <c r="B1970">
        <v>2006</v>
      </c>
      <c r="C1970" t="s">
        <v>273</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COUNT(LifeExpectancyData[[#This Row],[Life expectancy]:[Schooling]])=19</f>
        <v>1</v>
      </c>
    </row>
    <row r="1971" spans="1:23" x14ac:dyDescent="0.25">
      <c r="A1971" t="s">
        <v>403</v>
      </c>
      <c r="B1971">
        <v>2005</v>
      </c>
      <c r="C1971" t="s">
        <v>273</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COUNT(LifeExpectancyData[[#This Row],[Life expectancy]:[Schooling]])=19</f>
        <v>1</v>
      </c>
    </row>
    <row r="1972" spans="1:23" x14ac:dyDescent="0.25">
      <c r="A1972" t="s">
        <v>403</v>
      </c>
      <c r="B1972">
        <v>2004</v>
      </c>
      <c r="C1972" t="s">
        <v>273</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COUNT(LifeExpectancyData[[#This Row],[Life expectancy]:[Schooling]])=19</f>
        <v>1</v>
      </c>
    </row>
    <row r="1973" spans="1:23" x14ac:dyDescent="0.25">
      <c r="A1973" t="s">
        <v>403</v>
      </c>
      <c r="B1973">
        <v>2003</v>
      </c>
      <c r="C1973" t="s">
        <v>273</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COUNT(LifeExpectancyData[[#This Row],[Life expectancy]:[Schooling]])=19</f>
        <v>1</v>
      </c>
    </row>
    <row r="1974" spans="1:23" x14ac:dyDescent="0.25">
      <c r="A1974" t="s">
        <v>403</v>
      </c>
      <c r="B1974">
        <v>2002</v>
      </c>
      <c r="C1974" t="s">
        <v>273</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COUNT(LifeExpectancyData[[#This Row],[Life expectancy]:[Schooling]])=19</f>
        <v>1</v>
      </c>
    </row>
    <row r="1975" spans="1:23" x14ac:dyDescent="0.25">
      <c r="A1975" t="s">
        <v>403</v>
      </c>
      <c r="B1975">
        <v>2001</v>
      </c>
      <c r="C1975" t="s">
        <v>273</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COUNT(LifeExpectancyData[[#This Row],[Life expectancy]:[Schooling]])=19</f>
        <v>1</v>
      </c>
    </row>
    <row r="1976" spans="1:23" x14ac:dyDescent="0.25">
      <c r="A1976" t="s">
        <v>403</v>
      </c>
      <c r="B1976">
        <v>2000</v>
      </c>
      <c r="C1976" t="s">
        <v>273</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COUNT(LifeExpectancyData[[#This Row],[Life expectancy]:[Schooling]])=19</f>
        <v>0</v>
      </c>
    </row>
    <row r="1977" spans="1:23" x14ac:dyDescent="0.25">
      <c r="A1977" t="s">
        <v>404</v>
      </c>
      <c r="B1977">
        <v>2015</v>
      </c>
      <c r="C1977" t="s">
        <v>273</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COUNT(LifeExpectancyData[[#This Row],[Life expectancy]:[Schooling]])=19</f>
        <v>0</v>
      </c>
    </row>
    <row r="1978" spans="1:23" x14ac:dyDescent="0.25">
      <c r="A1978" t="s">
        <v>404</v>
      </c>
      <c r="B1978">
        <v>2014</v>
      </c>
      <c r="C1978" t="s">
        <v>273</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COUNT(LifeExpectancyData[[#This Row],[Life expectancy]:[Schooling]])=19</f>
        <v>1</v>
      </c>
    </row>
    <row r="1979" spans="1:23" x14ac:dyDescent="0.25">
      <c r="A1979" t="s">
        <v>404</v>
      </c>
      <c r="B1979">
        <v>2013</v>
      </c>
      <c r="C1979" t="s">
        <v>273</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COUNT(LifeExpectancyData[[#This Row],[Life expectancy]:[Schooling]])=19</f>
        <v>1</v>
      </c>
    </row>
    <row r="1980" spans="1:23" x14ac:dyDescent="0.25">
      <c r="A1980" t="s">
        <v>404</v>
      </c>
      <c r="B1980">
        <v>2012</v>
      </c>
      <c r="C1980" t="s">
        <v>273</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COUNT(LifeExpectancyData[[#This Row],[Life expectancy]:[Schooling]])=19</f>
        <v>1</v>
      </c>
    </row>
    <row r="1981" spans="1:23" x14ac:dyDescent="0.25">
      <c r="A1981" t="s">
        <v>404</v>
      </c>
      <c r="B1981">
        <v>2011</v>
      </c>
      <c r="C1981" t="s">
        <v>273</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COUNT(LifeExpectancyData[[#This Row],[Life expectancy]:[Schooling]])=19</f>
        <v>1</v>
      </c>
    </row>
    <row r="1982" spans="1:23" x14ac:dyDescent="0.25">
      <c r="A1982" t="s">
        <v>404</v>
      </c>
      <c r="B1982">
        <v>2010</v>
      </c>
      <c r="C1982" t="s">
        <v>273</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COUNT(LifeExpectancyData[[#This Row],[Life expectancy]:[Schooling]])=19</f>
        <v>1</v>
      </c>
    </row>
    <row r="1983" spans="1:23" x14ac:dyDescent="0.25">
      <c r="A1983" t="s">
        <v>404</v>
      </c>
      <c r="B1983">
        <v>2009</v>
      </c>
      <c r="C1983" t="s">
        <v>273</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COUNT(LifeExpectancyData[[#This Row],[Life expectancy]:[Schooling]])=19</f>
        <v>1</v>
      </c>
    </row>
    <row r="1984" spans="1:23" x14ac:dyDescent="0.25">
      <c r="A1984" t="s">
        <v>404</v>
      </c>
      <c r="B1984">
        <v>2008</v>
      </c>
      <c r="C1984" t="s">
        <v>273</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COUNT(LifeExpectancyData[[#This Row],[Life expectancy]:[Schooling]])=19</f>
        <v>1</v>
      </c>
    </row>
    <row r="1985" spans="1:23" x14ac:dyDescent="0.25">
      <c r="A1985" t="s">
        <v>404</v>
      </c>
      <c r="B1985">
        <v>2007</v>
      </c>
      <c r="C1985" t="s">
        <v>273</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COUNT(LifeExpectancyData[[#This Row],[Life expectancy]:[Schooling]])=19</f>
        <v>1</v>
      </c>
    </row>
    <row r="1986" spans="1:23" x14ac:dyDescent="0.25">
      <c r="A1986" t="s">
        <v>404</v>
      </c>
      <c r="B1986">
        <v>2006</v>
      </c>
      <c r="C1986" t="s">
        <v>273</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COUNT(LifeExpectancyData[[#This Row],[Life expectancy]:[Schooling]])=19</f>
        <v>1</v>
      </c>
    </row>
    <row r="1987" spans="1:23" x14ac:dyDescent="0.25">
      <c r="A1987" t="s">
        <v>404</v>
      </c>
      <c r="B1987">
        <v>2005</v>
      </c>
      <c r="C1987" t="s">
        <v>273</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COUNT(LifeExpectancyData[[#This Row],[Life expectancy]:[Schooling]])=19</f>
        <v>1</v>
      </c>
    </row>
    <row r="1988" spans="1:23" x14ac:dyDescent="0.25">
      <c r="A1988" t="s">
        <v>404</v>
      </c>
      <c r="B1988">
        <v>2004</v>
      </c>
      <c r="C1988" t="s">
        <v>273</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COUNT(LifeExpectancyData[[#This Row],[Life expectancy]:[Schooling]])=19</f>
        <v>1</v>
      </c>
    </row>
    <row r="1989" spans="1:23" x14ac:dyDescent="0.25">
      <c r="A1989" t="s">
        <v>404</v>
      </c>
      <c r="B1989">
        <v>2003</v>
      </c>
      <c r="C1989" t="s">
        <v>273</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COUNT(LifeExpectancyData[[#This Row],[Life expectancy]:[Schooling]])=19</f>
        <v>1</v>
      </c>
    </row>
    <row r="1990" spans="1:23" x14ac:dyDescent="0.25">
      <c r="A1990" t="s">
        <v>404</v>
      </c>
      <c r="B1990">
        <v>2002</v>
      </c>
      <c r="C1990" t="s">
        <v>273</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COUNT(LifeExpectancyData[[#This Row],[Life expectancy]:[Schooling]])=19</f>
        <v>1</v>
      </c>
    </row>
    <row r="1991" spans="1:23" x14ac:dyDescent="0.25">
      <c r="A1991" t="s">
        <v>404</v>
      </c>
      <c r="B1991">
        <v>2001</v>
      </c>
      <c r="C1991" t="s">
        <v>273</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COUNT(LifeExpectancyData[[#This Row],[Life expectancy]:[Schooling]])=19</f>
        <v>1</v>
      </c>
    </row>
    <row r="1992" spans="1:23" x14ac:dyDescent="0.25">
      <c r="A1992" t="s">
        <v>404</v>
      </c>
      <c r="B1992">
        <v>2000</v>
      </c>
      <c r="C1992" t="s">
        <v>273</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COUNT(LifeExpectancyData[[#This Row],[Life expectancy]:[Schooling]])=19</f>
        <v>1</v>
      </c>
    </row>
    <row r="1993" spans="1:23" x14ac:dyDescent="0.25">
      <c r="A1993" t="s">
        <v>405</v>
      </c>
      <c r="B1993">
        <v>2015</v>
      </c>
      <c r="C1993" t="s">
        <v>273</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COUNT(LifeExpectancyData[[#This Row],[Life expectancy]:[Schooling]])=19</f>
        <v>0</v>
      </c>
    </row>
    <row r="1994" spans="1:23" x14ac:dyDescent="0.25">
      <c r="A1994" t="s">
        <v>405</v>
      </c>
      <c r="B1994">
        <v>2014</v>
      </c>
      <c r="C1994" t="s">
        <v>273</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COUNT(LifeExpectancyData[[#This Row],[Life expectancy]:[Schooling]])=19</f>
        <v>1</v>
      </c>
    </row>
    <row r="1995" spans="1:23" x14ac:dyDescent="0.25">
      <c r="A1995" t="s">
        <v>405</v>
      </c>
      <c r="B1995">
        <v>2013</v>
      </c>
      <c r="C1995" t="s">
        <v>273</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COUNT(LifeExpectancyData[[#This Row],[Life expectancy]:[Schooling]])=19</f>
        <v>1</v>
      </c>
    </row>
    <row r="1996" spans="1:23" x14ac:dyDescent="0.25">
      <c r="A1996" t="s">
        <v>405</v>
      </c>
      <c r="B1996">
        <v>2012</v>
      </c>
      <c r="C1996" t="s">
        <v>273</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COUNT(LifeExpectancyData[[#This Row],[Life expectancy]:[Schooling]])=19</f>
        <v>1</v>
      </c>
    </row>
    <row r="1997" spans="1:23" x14ac:dyDescent="0.25">
      <c r="A1997" t="s">
        <v>405</v>
      </c>
      <c r="B1997">
        <v>2011</v>
      </c>
      <c r="C1997" t="s">
        <v>273</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COUNT(LifeExpectancyData[[#This Row],[Life expectancy]:[Schooling]])=19</f>
        <v>1</v>
      </c>
    </row>
    <row r="1998" spans="1:23" x14ac:dyDescent="0.25">
      <c r="A1998" t="s">
        <v>405</v>
      </c>
      <c r="B1998">
        <v>2010</v>
      </c>
      <c r="C1998" t="s">
        <v>273</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COUNT(LifeExpectancyData[[#This Row],[Life expectancy]:[Schooling]])=19</f>
        <v>1</v>
      </c>
    </row>
    <row r="1999" spans="1:23" x14ac:dyDescent="0.25">
      <c r="A1999" t="s">
        <v>405</v>
      </c>
      <c r="B1999">
        <v>2009</v>
      </c>
      <c r="C1999" t="s">
        <v>273</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COUNT(LifeExpectancyData[[#This Row],[Life expectancy]:[Schooling]])=19</f>
        <v>1</v>
      </c>
    </row>
    <row r="2000" spans="1:23" x14ac:dyDescent="0.25">
      <c r="A2000" t="s">
        <v>405</v>
      </c>
      <c r="B2000">
        <v>2008</v>
      </c>
      <c r="C2000" t="s">
        <v>273</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COUNT(LifeExpectancyData[[#This Row],[Life expectancy]:[Schooling]])=19</f>
        <v>1</v>
      </c>
    </row>
    <row r="2001" spans="1:23" x14ac:dyDescent="0.25">
      <c r="A2001" t="s">
        <v>405</v>
      </c>
      <c r="B2001">
        <v>2007</v>
      </c>
      <c r="C2001" t="s">
        <v>273</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COUNT(LifeExpectancyData[[#This Row],[Life expectancy]:[Schooling]])=19</f>
        <v>1</v>
      </c>
    </row>
    <row r="2002" spans="1:23" x14ac:dyDescent="0.25">
      <c r="A2002" t="s">
        <v>405</v>
      </c>
      <c r="B2002">
        <v>2006</v>
      </c>
      <c r="C2002" t="s">
        <v>273</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COUNT(LifeExpectancyData[[#This Row],[Life expectancy]:[Schooling]])=19</f>
        <v>1</v>
      </c>
    </row>
    <row r="2003" spans="1:23" x14ac:dyDescent="0.25">
      <c r="A2003" t="s">
        <v>405</v>
      </c>
      <c r="B2003">
        <v>2005</v>
      </c>
      <c r="C2003" t="s">
        <v>273</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COUNT(LifeExpectancyData[[#This Row],[Life expectancy]:[Schooling]])=19</f>
        <v>1</v>
      </c>
    </row>
    <row r="2004" spans="1:23" x14ac:dyDescent="0.25">
      <c r="A2004" t="s">
        <v>405</v>
      </c>
      <c r="B2004">
        <v>2004</v>
      </c>
      <c r="C2004" t="s">
        <v>273</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COUNT(LifeExpectancyData[[#This Row],[Life expectancy]:[Schooling]])=19</f>
        <v>1</v>
      </c>
    </row>
    <row r="2005" spans="1:23" x14ac:dyDescent="0.25">
      <c r="A2005" t="s">
        <v>405</v>
      </c>
      <c r="B2005">
        <v>2003</v>
      </c>
      <c r="C2005" t="s">
        <v>273</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COUNT(LifeExpectancyData[[#This Row],[Life expectancy]:[Schooling]])=19</f>
        <v>1</v>
      </c>
    </row>
    <row r="2006" spans="1:23" x14ac:dyDescent="0.25">
      <c r="A2006" t="s">
        <v>405</v>
      </c>
      <c r="B2006">
        <v>2002</v>
      </c>
      <c r="C2006" t="s">
        <v>273</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COUNT(LifeExpectancyData[[#This Row],[Life expectancy]:[Schooling]])=19</f>
        <v>0</v>
      </c>
    </row>
    <row r="2007" spans="1:23" x14ac:dyDescent="0.25">
      <c r="A2007" t="s">
        <v>405</v>
      </c>
      <c r="B2007">
        <v>2001</v>
      </c>
      <c r="C2007" t="s">
        <v>273</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COUNT(LifeExpectancyData[[#This Row],[Life expectancy]:[Schooling]])=19</f>
        <v>0</v>
      </c>
    </row>
    <row r="2008" spans="1:23" x14ac:dyDescent="0.25">
      <c r="A2008" t="s">
        <v>405</v>
      </c>
      <c r="B2008">
        <v>2000</v>
      </c>
      <c r="C2008" t="s">
        <v>273</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COUNT(LifeExpectancyData[[#This Row],[Life expectancy]:[Schooling]])=19</f>
        <v>0</v>
      </c>
    </row>
    <row r="2009" spans="1:23" x14ac:dyDescent="0.25">
      <c r="A2009" t="s">
        <v>406</v>
      </c>
      <c r="B2009">
        <v>2015</v>
      </c>
      <c r="C2009" t="s">
        <v>273</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COUNT(LifeExpectancyData[[#This Row],[Life expectancy]:[Schooling]])=19</f>
        <v>0</v>
      </c>
    </row>
    <row r="2010" spans="1:23" x14ac:dyDescent="0.25">
      <c r="A2010" t="s">
        <v>406</v>
      </c>
      <c r="B2010">
        <v>2014</v>
      </c>
      <c r="C2010" t="s">
        <v>273</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COUNT(LifeExpectancyData[[#This Row],[Life expectancy]:[Schooling]])=19</f>
        <v>1</v>
      </c>
    </row>
    <row r="2011" spans="1:23" x14ac:dyDescent="0.25">
      <c r="A2011" t="s">
        <v>406</v>
      </c>
      <c r="B2011">
        <v>2013</v>
      </c>
      <c r="C2011" t="s">
        <v>273</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COUNT(LifeExpectancyData[[#This Row],[Life expectancy]:[Schooling]])=19</f>
        <v>1</v>
      </c>
    </row>
    <row r="2012" spans="1:23" x14ac:dyDescent="0.25">
      <c r="A2012" t="s">
        <v>406</v>
      </c>
      <c r="B2012">
        <v>2012</v>
      </c>
      <c r="C2012" t="s">
        <v>273</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COUNT(LifeExpectancyData[[#This Row],[Life expectancy]:[Schooling]])=19</f>
        <v>1</v>
      </c>
    </row>
    <row r="2013" spans="1:23" x14ac:dyDescent="0.25">
      <c r="A2013" t="s">
        <v>406</v>
      </c>
      <c r="B2013">
        <v>2011</v>
      </c>
      <c r="C2013" t="s">
        <v>273</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COUNT(LifeExpectancyData[[#This Row],[Life expectancy]:[Schooling]])=19</f>
        <v>1</v>
      </c>
    </row>
    <row r="2014" spans="1:23" x14ac:dyDescent="0.25">
      <c r="A2014" t="s">
        <v>406</v>
      </c>
      <c r="B2014">
        <v>2010</v>
      </c>
      <c r="C2014" t="s">
        <v>273</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COUNT(LifeExpectancyData[[#This Row],[Life expectancy]:[Schooling]])=19</f>
        <v>1</v>
      </c>
    </row>
    <row r="2015" spans="1:23" x14ac:dyDescent="0.25">
      <c r="A2015" t="s">
        <v>406</v>
      </c>
      <c r="B2015">
        <v>2009</v>
      </c>
      <c r="C2015" t="s">
        <v>273</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COUNT(LifeExpectancyData[[#This Row],[Life expectancy]:[Schooling]])=19</f>
        <v>1</v>
      </c>
    </row>
    <row r="2016" spans="1:23" x14ac:dyDescent="0.25">
      <c r="A2016" t="s">
        <v>406</v>
      </c>
      <c r="B2016">
        <v>2008</v>
      </c>
      <c r="C2016" t="s">
        <v>273</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COUNT(LifeExpectancyData[[#This Row],[Life expectancy]:[Schooling]])=19</f>
        <v>1</v>
      </c>
    </row>
    <row r="2017" spans="1:23" x14ac:dyDescent="0.25">
      <c r="A2017" t="s">
        <v>406</v>
      </c>
      <c r="B2017">
        <v>2007</v>
      </c>
      <c r="C2017" t="s">
        <v>273</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COUNT(LifeExpectancyData[[#This Row],[Life expectancy]:[Schooling]])=19</f>
        <v>1</v>
      </c>
    </row>
    <row r="2018" spans="1:23" x14ac:dyDescent="0.25">
      <c r="A2018" t="s">
        <v>406</v>
      </c>
      <c r="B2018">
        <v>2006</v>
      </c>
      <c r="C2018" t="s">
        <v>273</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COUNT(LifeExpectancyData[[#This Row],[Life expectancy]:[Schooling]])=19</f>
        <v>1</v>
      </c>
    </row>
    <row r="2019" spans="1:23" x14ac:dyDescent="0.25">
      <c r="A2019" t="s">
        <v>406</v>
      </c>
      <c r="B2019">
        <v>2005</v>
      </c>
      <c r="C2019" t="s">
        <v>273</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COUNT(LifeExpectancyData[[#This Row],[Life expectancy]:[Schooling]])=19</f>
        <v>1</v>
      </c>
    </row>
    <row r="2020" spans="1:23" x14ac:dyDescent="0.25">
      <c r="A2020" t="s">
        <v>406</v>
      </c>
      <c r="B2020">
        <v>2004</v>
      </c>
      <c r="C2020" t="s">
        <v>273</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COUNT(LifeExpectancyData[[#This Row],[Life expectancy]:[Schooling]])=19</f>
        <v>1</v>
      </c>
    </row>
    <row r="2021" spans="1:23" x14ac:dyDescent="0.25">
      <c r="A2021" t="s">
        <v>406</v>
      </c>
      <c r="B2021">
        <v>2003</v>
      </c>
      <c r="C2021" t="s">
        <v>273</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COUNT(LifeExpectancyData[[#This Row],[Life expectancy]:[Schooling]])=19</f>
        <v>1</v>
      </c>
    </row>
    <row r="2022" spans="1:23" x14ac:dyDescent="0.25">
      <c r="A2022" t="s">
        <v>406</v>
      </c>
      <c r="B2022">
        <v>2002</v>
      </c>
      <c r="C2022" t="s">
        <v>273</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COUNT(LifeExpectancyData[[#This Row],[Life expectancy]:[Schooling]])=19</f>
        <v>0</v>
      </c>
    </row>
    <row r="2023" spans="1:23" x14ac:dyDescent="0.25">
      <c r="A2023" t="s">
        <v>406</v>
      </c>
      <c r="B2023">
        <v>2001</v>
      </c>
      <c r="C2023" t="s">
        <v>273</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COUNT(LifeExpectancyData[[#This Row],[Life expectancy]:[Schooling]])=19</f>
        <v>0</v>
      </c>
    </row>
    <row r="2024" spans="1:23" x14ac:dyDescent="0.25">
      <c r="A2024" t="s">
        <v>406</v>
      </c>
      <c r="B2024">
        <v>2000</v>
      </c>
      <c r="C2024" t="s">
        <v>273</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COUNT(LifeExpectancyData[[#This Row],[Life expectancy]:[Schooling]])=19</f>
        <v>0</v>
      </c>
    </row>
    <row r="2025" spans="1:23" x14ac:dyDescent="0.25">
      <c r="A2025" t="s">
        <v>407</v>
      </c>
      <c r="B2025">
        <v>2015</v>
      </c>
      <c r="C2025" t="s">
        <v>273</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COUNT(LifeExpectancyData[[#This Row],[Life expectancy]:[Schooling]])=19</f>
        <v>0</v>
      </c>
    </row>
    <row r="2026" spans="1:23" x14ac:dyDescent="0.25">
      <c r="A2026" t="s">
        <v>407</v>
      </c>
      <c r="B2026">
        <v>2014</v>
      </c>
      <c r="C2026" t="s">
        <v>273</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COUNT(LifeExpectancyData[[#This Row],[Life expectancy]:[Schooling]])=19</f>
        <v>1</v>
      </c>
    </row>
    <row r="2027" spans="1:23" x14ac:dyDescent="0.25">
      <c r="A2027" t="s">
        <v>407</v>
      </c>
      <c r="B2027">
        <v>2013</v>
      </c>
      <c r="C2027" t="s">
        <v>273</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COUNT(LifeExpectancyData[[#This Row],[Life expectancy]:[Schooling]])=19</f>
        <v>1</v>
      </c>
    </row>
    <row r="2028" spans="1:23" x14ac:dyDescent="0.25">
      <c r="A2028" t="s">
        <v>407</v>
      </c>
      <c r="B2028">
        <v>2012</v>
      </c>
      <c r="C2028" t="s">
        <v>273</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COUNT(LifeExpectancyData[[#This Row],[Life expectancy]:[Schooling]])=19</f>
        <v>1</v>
      </c>
    </row>
    <row r="2029" spans="1:23" x14ac:dyDescent="0.25">
      <c r="A2029" t="s">
        <v>407</v>
      </c>
      <c r="B2029">
        <v>2011</v>
      </c>
      <c r="C2029" t="s">
        <v>273</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COUNT(LifeExpectancyData[[#This Row],[Life expectancy]:[Schooling]])=19</f>
        <v>1</v>
      </c>
    </row>
    <row r="2030" spans="1:23" x14ac:dyDescent="0.25">
      <c r="A2030" t="s">
        <v>407</v>
      </c>
      <c r="B2030">
        <v>2010</v>
      </c>
      <c r="C2030" t="s">
        <v>273</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COUNT(LifeExpectancyData[[#This Row],[Life expectancy]:[Schooling]])=19</f>
        <v>1</v>
      </c>
    </row>
    <row r="2031" spans="1:23" x14ac:dyDescent="0.25">
      <c r="A2031" t="s">
        <v>407</v>
      </c>
      <c r="B2031">
        <v>2009</v>
      </c>
      <c r="C2031" t="s">
        <v>273</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COUNT(LifeExpectancyData[[#This Row],[Life expectancy]:[Schooling]])=19</f>
        <v>1</v>
      </c>
    </row>
    <row r="2032" spans="1:23" x14ac:dyDescent="0.25">
      <c r="A2032" t="s">
        <v>407</v>
      </c>
      <c r="B2032">
        <v>2008</v>
      </c>
      <c r="C2032" t="s">
        <v>273</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COUNT(LifeExpectancyData[[#This Row],[Life expectancy]:[Schooling]])=19</f>
        <v>1</v>
      </c>
    </row>
    <row r="2033" spans="1:23" x14ac:dyDescent="0.25">
      <c r="A2033" t="s">
        <v>407</v>
      </c>
      <c r="B2033">
        <v>2007</v>
      </c>
      <c r="C2033" t="s">
        <v>273</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COUNT(LifeExpectancyData[[#This Row],[Life expectancy]:[Schooling]])=19</f>
        <v>1</v>
      </c>
    </row>
    <row r="2034" spans="1:23" x14ac:dyDescent="0.25">
      <c r="A2034" t="s">
        <v>407</v>
      </c>
      <c r="B2034">
        <v>2006</v>
      </c>
      <c r="C2034" t="s">
        <v>273</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COUNT(LifeExpectancyData[[#This Row],[Life expectancy]:[Schooling]])=19</f>
        <v>1</v>
      </c>
    </row>
    <row r="2035" spans="1:23" x14ac:dyDescent="0.25">
      <c r="A2035" t="s">
        <v>407</v>
      </c>
      <c r="B2035">
        <v>2005</v>
      </c>
      <c r="C2035" t="s">
        <v>273</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COUNT(LifeExpectancyData[[#This Row],[Life expectancy]:[Schooling]])=19</f>
        <v>1</v>
      </c>
    </row>
    <row r="2036" spans="1:23" x14ac:dyDescent="0.25">
      <c r="A2036" t="s">
        <v>407</v>
      </c>
      <c r="B2036">
        <v>2004</v>
      </c>
      <c r="C2036" t="s">
        <v>273</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COUNT(LifeExpectancyData[[#This Row],[Life expectancy]:[Schooling]])=19</f>
        <v>1</v>
      </c>
    </row>
    <row r="2037" spans="1:23" x14ac:dyDescent="0.25">
      <c r="A2037" t="s">
        <v>407</v>
      </c>
      <c r="B2037">
        <v>2003</v>
      </c>
      <c r="C2037" t="s">
        <v>273</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COUNT(LifeExpectancyData[[#This Row],[Life expectancy]:[Schooling]])=19</f>
        <v>1</v>
      </c>
    </row>
    <row r="2038" spans="1:23" x14ac:dyDescent="0.25">
      <c r="A2038" t="s">
        <v>407</v>
      </c>
      <c r="B2038">
        <v>2002</v>
      </c>
      <c r="C2038" t="s">
        <v>273</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COUNT(LifeExpectancyData[[#This Row],[Life expectancy]:[Schooling]])=19</f>
        <v>1</v>
      </c>
    </row>
    <row r="2039" spans="1:23" x14ac:dyDescent="0.25">
      <c r="A2039" t="s">
        <v>407</v>
      </c>
      <c r="B2039">
        <v>2001</v>
      </c>
      <c r="C2039" t="s">
        <v>273</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COUNT(LifeExpectancyData[[#This Row],[Life expectancy]:[Schooling]])=19</f>
        <v>1</v>
      </c>
    </row>
    <row r="2040" spans="1:23" x14ac:dyDescent="0.25">
      <c r="A2040" t="s">
        <v>407</v>
      </c>
      <c r="B2040">
        <v>2000</v>
      </c>
      <c r="C2040" t="s">
        <v>273</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COUNT(LifeExpectancyData[[#This Row],[Life expectancy]:[Schooling]])=19</f>
        <v>1</v>
      </c>
    </row>
    <row r="2041" spans="1:23" x14ac:dyDescent="0.25">
      <c r="A2041" t="s">
        <v>408</v>
      </c>
      <c r="B2041">
        <v>2015</v>
      </c>
      <c r="C2041" t="s">
        <v>281</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COUNT(LifeExpectancyData[[#This Row],[Life expectancy]:[Schooling]])=19</f>
        <v>0</v>
      </c>
    </row>
    <row r="2042" spans="1:23" x14ac:dyDescent="0.25">
      <c r="A2042" t="s">
        <v>408</v>
      </c>
      <c r="B2042">
        <v>2014</v>
      </c>
      <c r="C2042" t="s">
        <v>281</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COUNT(LifeExpectancyData[[#This Row],[Life expectancy]:[Schooling]])=19</f>
        <v>1</v>
      </c>
    </row>
    <row r="2043" spans="1:23" x14ac:dyDescent="0.25">
      <c r="A2043" t="s">
        <v>408</v>
      </c>
      <c r="B2043">
        <v>2013</v>
      </c>
      <c r="C2043" t="s">
        <v>281</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COUNT(LifeExpectancyData[[#This Row],[Life expectancy]:[Schooling]])=19</f>
        <v>1</v>
      </c>
    </row>
    <row r="2044" spans="1:23" x14ac:dyDescent="0.25">
      <c r="A2044" t="s">
        <v>408</v>
      </c>
      <c r="B2044">
        <v>2012</v>
      </c>
      <c r="C2044" t="s">
        <v>281</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COUNT(LifeExpectancyData[[#This Row],[Life expectancy]:[Schooling]])=19</f>
        <v>1</v>
      </c>
    </row>
    <row r="2045" spans="1:23" x14ac:dyDescent="0.25">
      <c r="A2045" t="s">
        <v>408</v>
      </c>
      <c r="B2045">
        <v>2011</v>
      </c>
      <c r="C2045" t="s">
        <v>281</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COUNT(LifeExpectancyData[[#This Row],[Life expectancy]:[Schooling]])=19</f>
        <v>1</v>
      </c>
    </row>
    <row r="2046" spans="1:23" x14ac:dyDescent="0.25">
      <c r="A2046" t="s">
        <v>408</v>
      </c>
      <c r="B2046">
        <v>2010</v>
      </c>
      <c r="C2046" t="s">
        <v>281</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COUNT(LifeExpectancyData[[#This Row],[Life expectancy]:[Schooling]])=19</f>
        <v>1</v>
      </c>
    </row>
    <row r="2047" spans="1:23" x14ac:dyDescent="0.25">
      <c r="A2047" t="s">
        <v>408</v>
      </c>
      <c r="B2047">
        <v>2009</v>
      </c>
      <c r="C2047" t="s">
        <v>281</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COUNT(LifeExpectancyData[[#This Row],[Life expectancy]:[Schooling]])=19</f>
        <v>1</v>
      </c>
    </row>
    <row r="2048" spans="1:23" x14ac:dyDescent="0.25">
      <c r="A2048" t="s">
        <v>408</v>
      </c>
      <c r="B2048">
        <v>2008</v>
      </c>
      <c r="C2048" t="s">
        <v>281</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COUNT(LifeExpectancyData[[#This Row],[Life expectancy]:[Schooling]])=19</f>
        <v>1</v>
      </c>
    </row>
    <row r="2049" spans="1:23" x14ac:dyDescent="0.25">
      <c r="A2049" t="s">
        <v>408</v>
      </c>
      <c r="B2049">
        <v>2007</v>
      </c>
      <c r="C2049" t="s">
        <v>281</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COUNT(LifeExpectancyData[[#This Row],[Life expectancy]:[Schooling]])=19</f>
        <v>1</v>
      </c>
    </row>
    <row r="2050" spans="1:23" x14ac:dyDescent="0.25">
      <c r="A2050" t="s">
        <v>408</v>
      </c>
      <c r="B2050">
        <v>2006</v>
      </c>
      <c r="C2050" t="s">
        <v>281</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COUNT(LifeExpectancyData[[#This Row],[Life expectancy]:[Schooling]])=19</f>
        <v>1</v>
      </c>
    </row>
    <row r="2051" spans="1:23" x14ac:dyDescent="0.25">
      <c r="A2051" t="s">
        <v>408</v>
      </c>
      <c r="B2051">
        <v>2005</v>
      </c>
      <c r="C2051" t="s">
        <v>281</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COUNT(LifeExpectancyData[[#This Row],[Life expectancy]:[Schooling]])=19</f>
        <v>1</v>
      </c>
    </row>
    <row r="2052" spans="1:23" x14ac:dyDescent="0.25">
      <c r="A2052" t="s">
        <v>408</v>
      </c>
      <c r="B2052">
        <v>2004</v>
      </c>
      <c r="C2052" t="s">
        <v>281</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COUNT(LifeExpectancyData[[#This Row],[Life expectancy]:[Schooling]])=19</f>
        <v>1</v>
      </c>
    </row>
    <row r="2053" spans="1:23" x14ac:dyDescent="0.25">
      <c r="A2053" t="s">
        <v>408</v>
      </c>
      <c r="B2053">
        <v>2003</v>
      </c>
      <c r="C2053" t="s">
        <v>281</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COUNT(LifeExpectancyData[[#This Row],[Life expectancy]:[Schooling]])=19</f>
        <v>1</v>
      </c>
    </row>
    <row r="2054" spans="1:23" x14ac:dyDescent="0.25">
      <c r="A2054" t="s">
        <v>408</v>
      </c>
      <c r="B2054">
        <v>2002</v>
      </c>
      <c r="C2054" t="s">
        <v>281</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COUNT(LifeExpectancyData[[#This Row],[Life expectancy]:[Schooling]])=19</f>
        <v>1</v>
      </c>
    </row>
    <row r="2055" spans="1:23" x14ac:dyDescent="0.25">
      <c r="A2055" t="s">
        <v>408</v>
      </c>
      <c r="B2055">
        <v>2001</v>
      </c>
      <c r="C2055" t="s">
        <v>281</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COUNT(LifeExpectancyData[[#This Row],[Life expectancy]:[Schooling]])=19</f>
        <v>1</v>
      </c>
    </row>
    <row r="2056" spans="1:23" x14ac:dyDescent="0.25">
      <c r="A2056" t="s">
        <v>408</v>
      </c>
      <c r="B2056">
        <v>2000</v>
      </c>
      <c r="C2056" t="s">
        <v>281</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COUNT(LifeExpectancyData[[#This Row],[Life expectancy]:[Schooling]])=19</f>
        <v>1</v>
      </c>
    </row>
    <row r="2057" spans="1:23" x14ac:dyDescent="0.25">
      <c r="A2057" t="s">
        <v>409</v>
      </c>
      <c r="B2057">
        <v>2015</v>
      </c>
      <c r="C2057" t="s">
        <v>281</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COUNT(LifeExpectancyData[[#This Row],[Life expectancy]:[Schooling]])=19</f>
        <v>0</v>
      </c>
    </row>
    <row r="2058" spans="1:23" x14ac:dyDescent="0.25">
      <c r="A2058" t="s">
        <v>409</v>
      </c>
      <c r="B2058">
        <v>2014</v>
      </c>
      <c r="C2058" t="s">
        <v>281</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COUNT(LifeExpectancyData[[#This Row],[Life expectancy]:[Schooling]])=19</f>
        <v>1</v>
      </c>
    </row>
    <row r="2059" spans="1:23" x14ac:dyDescent="0.25">
      <c r="A2059" t="s">
        <v>409</v>
      </c>
      <c r="B2059">
        <v>2013</v>
      </c>
      <c r="C2059" t="s">
        <v>281</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COUNT(LifeExpectancyData[[#This Row],[Life expectancy]:[Schooling]])=19</f>
        <v>1</v>
      </c>
    </row>
    <row r="2060" spans="1:23" x14ac:dyDescent="0.25">
      <c r="A2060" t="s">
        <v>409</v>
      </c>
      <c r="B2060">
        <v>2012</v>
      </c>
      <c r="C2060" t="s">
        <v>281</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COUNT(LifeExpectancyData[[#This Row],[Life expectancy]:[Schooling]])=19</f>
        <v>1</v>
      </c>
    </row>
    <row r="2061" spans="1:23" x14ac:dyDescent="0.25">
      <c r="A2061" t="s">
        <v>409</v>
      </c>
      <c r="B2061">
        <v>2011</v>
      </c>
      <c r="C2061" t="s">
        <v>281</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COUNT(LifeExpectancyData[[#This Row],[Life expectancy]:[Schooling]])=19</f>
        <v>1</v>
      </c>
    </row>
    <row r="2062" spans="1:23" x14ac:dyDescent="0.25">
      <c r="A2062" t="s">
        <v>409</v>
      </c>
      <c r="B2062">
        <v>2010</v>
      </c>
      <c r="C2062" t="s">
        <v>281</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COUNT(LifeExpectancyData[[#This Row],[Life expectancy]:[Schooling]])=19</f>
        <v>1</v>
      </c>
    </row>
    <row r="2063" spans="1:23" x14ac:dyDescent="0.25">
      <c r="A2063" t="s">
        <v>409</v>
      </c>
      <c r="B2063">
        <v>2009</v>
      </c>
      <c r="C2063" t="s">
        <v>281</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COUNT(LifeExpectancyData[[#This Row],[Life expectancy]:[Schooling]])=19</f>
        <v>1</v>
      </c>
    </row>
    <row r="2064" spans="1:23" x14ac:dyDescent="0.25">
      <c r="A2064" t="s">
        <v>409</v>
      </c>
      <c r="B2064">
        <v>2008</v>
      </c>
      <c r="C2064" t="s">
        <v>281</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COUNT(LifeExpectancyData[[#This Row],[Life expectancy]:[Schooling]])=19</f>
        <v>1</v>
      </c>
    </row>
    <row r="2065" spans="1:23" x14ac:dyDescent="0.25">
      <c r="A2065" t="s">
        <v>409</v>
      </c>
      <c r="B2065">
        <v>2007</v>
      </c>
      <c r="C2065" t="s">
        <v>281</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COUNT(LifeExpectancyData[[#This Row],[Life expectancy]:[Schooling]])=19</f>
        <v>1</v>
      </c>
    </row>
    <row r="2066" spans="1:23" x14ac:dyDescent="0.25">
      <c r="A2066" t="s">
        <v>409</v>
      </c>
      <c r="B2066">
        <v>2006</v>
      </c>
      <c r="C2066" t="s">
        <v>281</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COUNT(LifeExpectancyData[[#This Row],[Life expectancy]:[Schooling]])=19</f>
        <v>1</v>
      </c>
    </row>
    <row r="2067" spans="1:23" x14ac:dyDescent="0.25">
      <c r="A2067" t="s">
        <v>409</v>
      </c>
      <c r="B2067">
        <v>2005</v>
      </c>
      <c r="C2067" t="s">
        <v>281</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COUNT(LifeExpectancyData[[#This Row],[Life expectancy]:[Schooling]])=19</f>
        <v>1</v>
      </c>
    </row>
    <row r="2068" spans="1:23" x14ac:dyDescent="0.25">
      <c r="A2068" t="s">
        <v>409</v>
      </c>
      <c r="B2068">
        <v>2004</v>
      </c>
      <c r="C2068" t="s">
        <v>281</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COUNT(LifeExpectancyData[[#This Row],[Life expectancy]:[Schooling]])=19</f>
        <v>1</v>
      </c>
    </row>
    <row r="2069" spans="1:23" x14ac:dyDescent="0.25">
      <c r="A2069" t="s">
        <v>409</v>
      </c>
      <c r="B2069">
        <v>2003</v>
      </c>
      <c r="C2069" t="s">
        <v>281</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COUNT(LifeExpectancyData[[#This Row],[Life expectancy]:[Schooling]])=19</f>
        <v>1</v>
      </c>
    </row>
    <row r="2070" spans="1:23" x14ac:dyDescent="0.25">
      <c r="A2070" t="s">
        <v>409</v>
      </c>
      <c r="B2070">
        <v>2002</v>
      </c>
      <c r="C2070" t="s">
        <v>281</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COUNT(LifeExpectancyData[[#This Row],[Life expectancy]:[Schooling]])=19</f>
        <v>1</v>
      </c>
    </row>
    <row r="2071" spans="1:23" x14ac:dyDescent="0.25">
      <c r="A2071" t="s">
        <v>409</v>
      </c>
      <c r="B2071">
        <v>2001</v>
      </c>
      <c r="C2071" t="s">
        <v>281</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COUNT(LifeExpectancyData[[#This Row],[Life expectancy]:[Schooling]])=19</f>
        <v>1</v>
      </c>
    </row>
    <row r="2072" spans="1:23" x14ac:dyDescent="0.25">
      <c r="A2072" t="s">
        <v>409</v>
      </c>
      <c r="B2072">
        <v>2000</v>
      </c>
      <c r="C2072" t="s">
        <v>281</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COUNT(LifeExpectancyData[[#This Row],[Life expectancy]:[Schooling]])=19</f>
        <v>1</v>
      </c>
    </row>
    <row r="2073" spans="1:23" x14ac:dyDescent="0.25">
      <c r="A2073" t="s">
        <v>410</v>
      </c>
      <c r="B2073">
        <v>2015</v>
      </c>
      <c r="C2073" t="s">
        <v>273</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COUNT(LifeExpectancyData[[#This Row],[Life expectancy]:[Schooling]])=19</f>
        <v>0</v>
      </c>
    </row>
    <row r="2074" spans="1:23" x14ac:dyDescent="0.25">
      <c r="A2074" t="s">
        <v>410</v>
      </c>
      <c r="B2074">
        <v>2014</v>
      </c>
      <c r="C2074" t="s">
        <v>273</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COUNT(LifeExpectancyData[[#This Row],[Life expectancy]:[Schooling]])=19</f>
        <v>0</v>
      </c>
    </row>
    <row r="2075" spans="1:23" x14ac:dyDescent="0.25">
      <c r="A2075" t="s">
        <v>410</v>
      </c>
      <c r="B2075">
        <v>2013</v>
      </c>
      <c r="C2075" t="s">
        <v>273</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COUNT(LifeExpectancyData[[#This Row],[Life expectancy]:[Schooling]])=19</f>
        <v>0</v>
      </c>
    </row>
    <row r="2076" spans="1:23" x14ac:dyDescent="0.25">
      <c r="A2076" t="s">
        <v>410</v>
      </c>
      <c r="B2076">
        <v>2012</v>
      </c>
      <c r="C2076" t="s">
        <v>273</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COUNT(LifeExpectancyData[[#This Row],[Life expectancy]:[Schooling]])=19</f>
        <v>0</v>
      </c>
    </row>
    <row r="2077" spans="1:23" x14ac:dyDescent="0.25">
      <c r="A2077" t="s">
        <v>410</v>
      </c>
      <c r="B2077">
        <v>2011</v>
      </c>
      <c r="C2077" t="s">
        <v>273</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COUNT(LifeExpectancyData[[#This Row],[Life expectancy]:[Schooling]])=19</f>
        <v>0</v>
      </c>
    </row>
    <row r="2078" spans="1:23" x14ac:dyDescent="0.25">
      <c r="A2078" t="s">
        <v>410</v>
      </c>
      <c r="B2078">
        <v>2010</v>
      </c>
      <c r="C2078" t="s">
        <v>273</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COUNT(LifeExpectancyData[[#This Row],[Life expectancy]:[Schooling]])=19</f>
        <v>0</v>
      </c>
    </row>
    <row r="2079" spans="1:23" x14ac:dyDescent="0.25">
      <c r="A2079" t="s">
        <v>410</v>
      </c>
      <c r="B2079">
        <v>2009</v>
      </c>
      <c r="C2079" t="s">
        <v>273</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COUNT(LifeExpectancyData[[#This Row],[Life expectancy]:[Schooling]])=19</f>
        <v>0</v>
      </c>
    </row>
    <row r="2080" spans="1:23" x14ac:dyDescent="0.25">
      <c r="A2080" t="s">
        <v>410</v>
      </c>
      <c r="B2080">
        <v>2008</v>
      </c>
      <c r="C2080" t="s">
        <v>273</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COUNT(LifeExpectancyData[[#This Row],[Life expectancy]:[Schooling]])=19</f>
        <v>0</v>
      </c>
    </row>
    <row r="2081" spans="1:23" x14ac:dyDescent="0.25">
      <c r="A2081" t="s">
        <v>410</v>
      </c>
      <c r="B2081">
        <v>2007</v>
      </c>
      <c r="C2081" t="s">
        <v>273</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COUNT(LifeExpectancyData[[#This Row],[Life expectancy]:[Schooling]])=19</f>
        <v>0</v>
      </c>
    </row>
    <row r="2082" spans="1:23" x14ac:dyDescent="0.25">
      <c r="A2082" t="s">
        <v>410</v>
      </c>
      <c r="B2082">
        <v>2006</v>
      </c>
      <c r="C2082" t="s">
        <v>273</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COUNT(LifeExpectancyData[[#This Row],[Life expectancy]:[Schooling]])=19</f>
        <v>0</v>
      </c>
    </row>
    <row r="2083" spans="1:23" x14ac:dyDescent="0.25">
      <c r="A2083" t="s">
        <v>410</v>
      </c>
      <c r="B2083">
        <v>2005</v>
      </c>
      <c r="C2083" t="s">
        <v>273</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COUNT(LifeExpectancyData[[#This Row],[Life expectancy]:[Schooling]])=19</f>
        <v>0</v>
      </c>
    </row>
    <row r="2084" spans="1:23" x14ac:dyDescent="0.25">
      <c r="A2084" t="s">
        <v>410</v>
      </c>
      <c r="B2084">
        <v>2004</v>
      </c>
      <c r="C2084" t="s">
        <v>273</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COUNT(LifeExpectancyData[[#This Row],[Life expectancy]:[Schooling]])=19</f>
        <v>0</v>
      </c>
    </row>
    <row r="2085" spans="1:23" x14ac:dyDescent="0.25">
      <c r="A2085" t="s">
        <v>410</v>
      </c>
      <c r="B2085">
        <v>2003</v>
      </c>
      <c r="C2085" t="s">
        <v>273</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COUNT(LifeExpectancyData[[#This Row],[Life expectancy]:[Schooling]])=19</f>
        <v>0</v>
      </c>
    </row>
    <row r="2086" spans="1:23" x14ac:dyDescent="0.25">
      <c r="A2086" t="s">
        <v>410</v>
      </c>
      <c r="B2086">
        <v>2002</v>
      </c>
      <c r="C2086" t="s">
        <v>273</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COUNT(LifeExpectancyData[[#This Row],[Life expectancy]:[Schooling]])=19</f>
        <v>0</v>
      </c>
    </row>
    <row r="2087" spans="1:23" x14ac:dyDescent="0.25">
      <c r="A2087" t="s">
        <v>410</v>
      </c>
      <c r="B2087">
        <v>2001</v>
      </c>
      <c r="C2087" t="s">
        <v>273</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COUNT(LifeExpectancyData[[#This Row],[Life expectancy]:[Schooling]])=19</f>
        <v>0</v>
      </c>
    </row>
    <row r="2088" spans="1:23" x14ac:dyDescent="0.25">
      <c r="A2088" t="s">
        <v>410</v>
      </c>
      <c r="B2088">
        <v>2000</v>
      </c>
      <c r="C2088" t="s">
        <v>273</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COUNT(LifeExpectancyData[[#This Row],[Life expectancy]:[Schooling]])=19</f>
        <v>0</v>
      </c>
    </row>
    <row r="2089" spans="1:23" x14ac:dyDescent="0.25">
      <c r="A2089" t="s">
        <v>411</v>
      </c>
      <c r="B2089">
        <v>2015</v>
      </c>
      <c r="C2089" t="s">
        <v>273</v>
      </c>
      <c r="D2089">
        <v>82.3</v>
      </c>
      <c r="E2089">
        <v>64</v>
      </c>
      <c r="F2089">
        <v>1</v>
      </c>
      <c r="H2089">
        <v>0</v>
      </c>
      <c r="I2089">
        <v>98</v>
      </c>
      <c r="J2089">
        <v>7</v>
      </c>
      <c r="K2089">
        <v>31.7</v>
      </c>
      <c r="L2089">
        <v>2</v>
      </c>
      <c r="M2089">
        <v>98</v>
      </c>
      <c r="O2089">
        <v>98</v>
      </c>
      <c r="P2089">
        <v>0.1</v>
      </c>
      <c r="S2089">
        <v>1.5</v>
      </c>
      <c r="T2089">
        <v>1</v>
      </c>
      <c r="W2089" t="b">
        <f>COUNT(LifeExpectancyData[[#This Row],[Life expectancy]:[Schooling]])=19</f>
        <v>0</v>
      </c>
    </row>
    <row r="2090" spans="1:23" x14ac:dyDescent="0.25">
      <c r="A2090" t="s">
        <v>411</v>
      </c>
      <c r="B2090">
        <v>2014</v>
      </c>
      <c r="C2090" t="s">
        <v>273</v>
      </c>
      <c r="D2090">
        <v>82</v>
      </c>
      <c r="E2090">
        <v>66</v>
      </c>
      <c r="F2090">
        <v>1</v>
      </c>
      <c r="G2090">
        <v>0.01</v>
      </c>
      <c r="H2090">
        <v>0</v>
      </c>
      <c r="I2090">
        <v>99</v>
      </c>
      <c r="J2090">
        <v>442</v>
      </c>
      <c r="K2090">
        <v>31.2</v>
      </c>
      <c r="L2090">
        <v>2</v>
      </c>
      <c r="M2090">
        <v>99</v>
      </c>
      <c r="N2090">
        <v>7.37</v>
      </c>
      <c r="O2090">
        <v>99</v>
      </c>
      <c r="P2090">
        <v>0.1</v>
      </c>
      <c r="S2090">
        <v>1.5</v>
      </c>
      <c r="T2090">
        <v>1</v>
      </c>
      <c r="W2090" t="b">
        <f>COUNT(LifeExpectancyData[[#This Row],[Life expectancy]:[Schooling]])=19</f>
        <v>0</v>
      </c>
    </row>
    <row r="2091" spans="1:23" x14ac:dyDescent="0.25">
      <c r="A2091" t="s">
        <v>411</v>
      </c>
      <c r="B2091">
        <v>2013</v>
      </c>
      <c r="C2091" t="s">
        <v>273</v>
      </c>
      <c r="D2091">
        <v>81.7</v>
      </c>
      <c r="E2091">
        <v>68</v>
      </c>
      <c r="F2091">
        <v>1</v>
      </c>
      <c r="G2091">
        <v>9.33</v>
      </c>
      <c r="H2091">
        <v>0</v>
      </c>
      <c r="I2091">
        <v>99</v>
      </c>
      <c r="J2091">
        <v>107</v>
      </c>
      <c r="K2091">
        <v>3.8</v>
      </c>
      <c r="L2091">
        <v>2</v>
      </c>
      <c r="M2091">
        <v>99</v>
      </c>
      <c r="N2091">
        <v>7.2</v>
      </c>
      <c r="O2091">
        <v>99</v>
      </c>
      <c r="P2091">
        <v>0.1</v>
      </c>
      <c r="S2091">
        <v>1.5</v>
      </c>
      <c r="T2091">
        <v>1</v>
      </c>
      <c r="W2091" t="b">
        <f>COUNT(LifeExpectancyData[[#This Row],[Life expectancy]:[Schooling]])=19</f>
        <v>0</v>
      </c>
    </row>
    <row r="2092" spans="1:23" x14ac:dyDescent="0.25">
      <c r="A2092" t="s">
        <v>411</v>
      </c>
      <c r="B2092">
        <v>2012</v>
      </c>
      <c r="C2092" t="s">
        <v>273</v>
      </c>
      <c r="D2092">
        <v>81.2</v>
      </c>
      <c r="E2092">
        <v>69</v>
      </c>
      <c r="F2092">
        <v>1</v>
      </c>
      <c r="G2092">
        <v>9.56</v>
      </c>
      <c r="H2092">
        <v>0</v>
      </c>
      <c r="I2092">
        <v>99</v>
      </c>
      <c r="J2092">
        <v>2</v>
      </c>
      <c r="K2092">
        <v>3.4</v>
      </c>
      <c r="L2092">
        <v>2</v>
      </c>
      <c r="M2092">
        <v>99</v>
      </c>
      <c r="N2092">
        <v>7.1</v>
      </c>
      <c r="O2092">
        <v>99</v>
      </c>
      <c r="P2092">
        <v>0.1</v>
      </c>
      <c r="S2092">
        <v>1.5</v>
      </c>
      <c r="T2092">
        <v>1</v>
      </c>
      <c r="W2092" t="b">
        <f>COUNT(LifeExpectancyData[[#This Row],[Life expectancy]:[Schooling]])=19</f>
        <v>0</v>
      </c>
    </row>
    <row r="2093" spans="1:23" x14ac:dyDescent="0.25">
      <c r="A2093" t="s">
        <v>411</v>
      </c>
      <c r="B2093">
        <v>2011</v>
      </c>
      <c r="C2093" t="s">
        <v>273</v>
      </c>
      <c r="D2093">
        <v>81.099999999999994</v>
      </c>
      <c r="E2093">
        <v>72</v>
      </c>
      <c r="F2093">
        <v>2</v>
      </c>
      <c r="G2093">
        <v>9.34</v>
      </c>
      <c r="H2093">
        <v>0</v>
      </c>
      <c r="I2093">
        <v>99</v>
      </c>
      <c r="J2093">
        <v>42</v>
      </c>
      <c r="K2093">
        <v>3</v>
      </c>
      <c r="L2093">
        <v>2</v>
      </c>
      <c r="M2093">
        <v>98</v>
      </c>
      <c r="N2093">
        <v>6.83</v>
      </c>
      <c r="O2093">
        <v>99</v>
      </c>
      <c r="P2093">
        <v>0.1</v>
      </c>
      <c r="S2093">
        <v>1.5</v>
      </c>
      <c r="T2093">
        <v>1</v>
      </c>
      <c r="W2093" t="b">
        <f>COUNT(LifeExpectancyData[[#This Row],[Life expectancy]:[Schooling]])=19</f>
        <v>0</v>
      </c>
    </row>
    <row r="2094" spans="1:23" x14ac:dyDescent="0.25">
      <c r="A2094" t="s">
        <v>411</v>
      </c>
      <c r="B2094">
        <v>2010</v>
      </c>
      <c r="C2094" t="s">
        <v>273</v>
      </c>
      <c r="D2094">
        <v>87</v>
      </c>
      <c r="E2094">
        <v>74</v>
      </c>
      <c r="F2094">
        <v>2</v>
      </c>
      <c r="G2094">
        <v>9.23</v>
      </c>
      <c r="H2094">
        <v>0</v>
      </c>
      <c r="I2094">
        <v>94</v>
      </c>
      <c r="J2094">
        <v>114</v>
      </c>
      <c r="K2094">
        <v>29.5</v>
      </c>
      <c r="L2094">
        <v>2</v>
      </c>
      <c r="M2094">
        <v>95</v>
      </c>
      <c r="N2094">
        <v>6.79</v>
      </c>
      <c r="O2094">
        <v>94</v>
      </c>
      <c r="P2094">
        <v>0.1</v>
      </c>
      <c r="S2094">
        <v>1.5</v>
      </c>
      <c r="T2094">
        <v>1</v>
      </c>
      <c r="W2094" t="b">
        <f>COUNT(LifeExpectancyData[[#This Row],[Life expectancy]:[Schooling]])=19</f>
        <v>0</v>
      </c>
    </row>
    <row r="2095" spans="1:23" x14ac:dyDescent="0.25">
      <c r="A2095" t="s">
        <v>411</v>
      </c>
      <c r="B2095">
        <v>2009</v>
      </c>
      <c r="C2095" t="s">
        <v>273</v>
      </c>
      <c r="D2095">
        <v>86</v>
      </c>
      <c r="E2095">
        <v>75</v>
      </c>
      <c r="F2095">
        <v>2</v>
      </c>
      <c r="G2095">
        <v>8.9700000000000006</v>
      </c>
      <c r="H2095">
        <v>0</v>
      </c>
      <c r="I2095">
        <v>94</v>
      </c>
      <c r="J2095">
        <v>17</v>
      </c>
      <c r="K2095">
        <v>29.1</v>
      </c>
      <c r="L2095">
        <v>2</v>
      </c>
      <c r="M2095">
        <v>95</v>
      </c>
      <c r="N2095">
        <v>6.66</v>
      </c>
      <c r="O2095">
        <v>94</v>
      </c>
      <c r="P2095">
        <v>0.1</v>
      </c>
      <c r="S2095">
        <v>1.5</v>
      </c>
      <c r="T2095">
        <v>1</v>
      </c>
      <c r="W2095" t="b">
        <f>COUNT(LifeExpectancyData[[#This Row],[Life expectancy]:[Schooling]])=19</f>
        <v>0</v>
      </c>
    </row>
    <row r="2096" spans="1:23" x14ac:dyDescent="0.25">
      <c r="A2096" t="s">
        <v>411</v>
      </c>
      <c r="B2096">
        <v>2008</v>
      </c>
      <c r="C2096" t="s">
        <v>273</v>
      </c>
      <c r="D2096">
        <v>83</v>
      </c>
      <c r="E2096">
        <v>75</v>
      </c>
      <c r="F2096">
        <v>2</v>
      </c>
      <c r="G2096">
        <v>9.31</v>
      </c>
      <c r="H2096">
        <v>0</v>
      </c>
      <c r="I2096">
        <v>94</v>
      </c>
      <c r="J2096">
        <v>2</v>
      </c>
      <c r="K2096">
        <v>28.6</v>
      </c>
      <c r="L2096">
        <v>2</v>
      </c>
      <c r="M2096">
        <v>92</v>
      </c>
      <c r="N2096">
        <v>6.16</v>
      </c>
      <c r="O2096">
        <v>94</v>
      </c>
      <c r="P2096">
        <v>0.1</v>
      </c>
      <c r="S2096">
        <v>1.5</v>
      </c>
      <c r="T2096">
        <v>1</v>
      </c>
      <c r="W2096" t="b">
        <f>COUNT(LifeExpectancyData[[#This Row],[Life expectancy]:[Schooling]])=19</f>
        <v>0</v>
      </c>
    </row>
    <row r="2097" spans="1:23" x14ac:dyDescent="0.25">
      <c r="A2097" t="s">
        <v>411</v>
      </c>
      <c r="B2097">
        <v>2007</v>
      </c>
      <c r="C2097" t="s">
        <v>273</v>
      </c>
      <c r="D2097">
        <v>79.8</v>
      </c>
      <c r="E2097">
        <v>77</v>
      </c>
      <c r="F2097">
        <v>2</v>
      </c>
      <c r="G2097">
        <v>9.0500000000000007</v>
      </c>
      <c r="H2097">
        <v>0</v>
      </c>
      <c r="I2097">
        <v>91</v>
      </c>
      <c r="J2097">
        <v>194</v>
      </c>
      <c r="K2097">
        <v>28.2</v>
      </c>
      <c r="L2097">
        <v>2</v>
      </c>
      <c r="M2097">
        <v>91</v>
      </c>
      <c r="N2097">
        <v>5.99</v>
      </c>
      <c r="O2097">
        <v>91</v>
      </c>
      <c r="P2097">
        <v>0.1</v>
      </c>
      <c r="S2097">
        <v>1.5</v>
      </c>
      <c r="T2097">
        <v>1</v>
      </c>
      <c r="W2097" t="b">
        <f>COUNT(LifeExpectancyData[[#This Row],[Life expectancy]:[Schooling]])=19</f>
        <v>0</v>
      </c>
    </row>
    <row r="2098" spans="1:23" x14ac:dyDescent="0.25">
      <c r="A2098" t="s">
        <v>411</v>
      </c>
      <c r="B2098">
        <v>2006</v>
      </c>
      <c r="C2098" t="s">
        <v>273</v>
      </c>
      <c r="D2098">
        <v>79.400000000000006</v>
      </c>
      <c r="E2098">
        <v>79</v>
      </c>
      <c r="F2098">
        <v>2</v>
      </c>
      <c r="G2098">
        <v>8.83</v>
      </c>
      <c r="H2098">
        <v>0</v>
      </c>
      <c r="I2098">
        <v>99</v>
      </c>
      <c r="J2098">
        <v>28</v>
      </c>
      <c r="K2098">
        <v>27.7</v>
      </c>
      <c r="L2098">
        <v>2</v>
      </c>
      <c r="M2098">
        <v>98</v>
      </c>
      <c r="N2098">
        <v>5.76</v>
      </c>
      <c r="O2098">
        <v>98</v>
      </c>
      <c r="P2098">
        <v>0.1</v>
      </c>
      <c r="S2098">
        <v>1.5</v>
      </c>
      <c r="T2098">
        <v>1</v>
      </c>
      <c r="W2098" t="b">
        <f>COUNT(LifeExpectancyData[[#This Row],[Life expectancy]:[Schooling]])=19</f>
        <v>0</v>
      </c>
    </row>
    <row r="2099" spans="1:23" x14ac:dyDescent="0.25">
      <c r="A2099" t="s">
        <v>411</v>
      </c>
      <c r="B2099">
        <v>2005</v>
      </c>
      <c r="C2099" t="s">
        <v>273</v>
      </c>
      <c r="D2099">
        <v>78.7</v>
      </c>
      <c r="E2099">
        <v>84</v>
      </c>
      <c r="F2099">
        <v>2</v>
      </c>
      <c r="G2099">
        <v>9.0299999999999994</v>
      </c>
      <c r="H2099">
        <v>0</v>
      </c>
      <c r="I2099">
        <v>99</v>
      </c>
      <c r="J2099">
        <v>7</v>
      </c>
      <c r="K2099">
        <v>27.2</v>
      </c>
      <c r="L2099">
        <v>3</v>
      </c>
      <c r="M2099">
        <v>96</v>
      </c>
      <c r="N2099">
        <v>5.33</v>
      </c>
      <c r="O2099">
        <v>96</v>
      </c>
      <c r="P2099">
        <v>0.1</v>
      </c>
      <c r="S2099">
        <v>1.6</v>
      </c>
      <c r="T2099">
        <v>1</v>
      </c>
      <c r="W2099" t="b">
        <f>COUNT(LifeExpectancyData[[#This Row],[Life expectancy]:[Schooling]])=19</f>
        <v>0</v>
      </c>
    </row>
    <row r="2100" spans="1:23" x14ac:dyDescent="0.25">
      <c r="A2100" t="s">
        <v>411</v>
      </c>
      <c r="B2100">
        <v>2004</v>
      </c>
      <c r="C2100" t="s">
        <v>273</v>
      </c>
      <c r="D2100">
        <v>78.2</v>
      </c>
      <c r="E2100">
        <v>89</v>
      </c>
      <c r="F2100">
        <v>3</v>
      </c>
      <c r="G2100">
        <v>9.18</v>
      </c>
      <c r="H2100">
        <v>0</v>
      </c>
      <c r="I2100">
        <v>92</v>
      </c>
      <c r="J2100">
        <v>11</v>
      </c>
      <c r="K2100">
        <v>26.7</v>
      </c>
      <c r="L2100">
        <v>3</v>
      </c>
      <c r="M2100">
        <v>9</v>
      </c>
      <c r="N2100">
        <v>4.96</v>
      </c>
      <c r="O2100">
        <v>88</v>
      </c>
      <c r="P2100">
        <v>0.1</v>
      </c>
      <c r="S2100">
        <v>1.6</v>
      </c>
      <c r="T2100">
        <v>1</v>
      </c>
      <c r="W2100" t="b">
        <f>COUNT(LifeExpectancyData[[#This Row],[Life expectancy]:[Schooling]])=19</f>
        <v>0</v>
      </c>
    </row>
    <row r="2101" spans="1:23" x14ac:dyDescent="0.25">
      <c r="A2101" t="s">
        <v>411</v>
      </c>
      <c r="B2101">
        <v>2003</v>
      </c>
      <c r="C2101" t="s">
        <v>273</v>
      </c>
      <c r="D2101">
        <v>77.599999999999994</v>
      </c>
      <c r="E2101">
        <v>95</v>
      </c>
      <c r="F2101">
        <v>3</v>
      </c>
      <c r="G2101">
        <v>9.66</v>
      </c>
      <c r="H2101">
        <v>0</v>
      </c>
      <c r="I2101">
        <v>91</v>
      </c>
      <c r="J2101">
        <v>33</v>
      </c>
      <c r="K2101">
        <v>26.2</v>
      </c>
      <c r="L2101">
        <v>3</v>
      </c>
      <c r="M2101">
        <v>94</v>
      </c>
      <c r="N2101">
        <v>4.93</v>
      </c>
      <c r="O2101">
        <v>97</v>
      </c>
      <c r="P2101">
        <v>0.1</v>
      </c>
      <c r="S2101">
        <v>1.6</v>
      </c>
      <c r="T2101">
        <v>1</v>
      </c>
      <c r="W2101" t="b">
        <f>COUNT(LifeExpectancyData[[#This Row],[Life expectancy]:[Schooling]])=19</f>
        <v>0</v>
      </c>
    </row>
    <row r="2102" spans="1:23" x14ac:dyDescent="0.25">
      <c r="A2102" t="s">
        <v>411</v>
      </c>
      <c r="B2102">
        <v>2002</v>
      </c>
      <c r="C2102" t="s">
        <v>273</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COUNT(LifeExpectancyData[[#This Row],[Life expectancy]:[Schooling]])=19</f>
        <v>0</v>
      </c>
    </row>
    <row r="2103" spans="1:23" x14ac:dyDescent="0.25">
      <c r="A2103" t="s">
        <v>411</v>
      </c>
      <c r="B2103">
        <v>2001</v>
      </c>
      <c r="C2103" t="s">
        <v>273</v>
      </c>
      <c r="D2103">
        <v>76.7</v>
      </c>
      <c r="E2103">
        <v>17</v>
      </c>
      <c r="F2103">
        <v>3</v>
      </c>
      <c r="G2103">
        <v>11.45</v>
      </c>
      <c r="H2103">
        <v>0</v>
      </c>
      <c r="I2103">
        <v>89</v>
      </c>
      <c r="J2103">
        <v>23060</v>
      </c>
      <c r="K2103">
        <v>25.2</v>
      </c>
      <c r="L2103">
        <v>4</v>
      </c>
      <c r="M2103">
        <v>99</v>
      </c>
      <c r="N2103">
        <v>4.76</v>
      </c>
      <c r="O2103">
        <v>97</v>
      </c>
      <c r="P2103">
        <v>0.1</v>
      </c>
      <c r="S2103">
        <v>1.6</v>
      </c>
      <c r="T2103">
        <v>1.1000000000000001</v>
      </c>
      <c r="W2103" t="b">
        <f>COUNT(LifeExpectancyData[[#This Row],[Life expectancy]:[Schooling]])=19</f>
        <v>0</v>
      </c>
    </row>
    <row r="2104" spans="1:23" x14ac:dyDescent="0.25">
      <c r="A2104" t="s">
        <v>411</v>
      </c>
      <c r="B2104">
        <v>2000</v>
      </c>
      <c r="C2104" t="s">
        <v>273</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COUNT(LifeExpectancyData[[#This Row],[Life expectancy]:[Schooling]])=19</f>
        <v>0</v>
      </c>
    </row>
    <row r="2105" spans="1:23" x14ac:dyDescent="0.25">
      <c r="A2105" t="s">
        <v>412</v>
      </c>
      <c r="B2105">
        <v>2015</v>
      </c>
      <c r="C2105" t="s">
        <v>273</v>
      </c>
      <c r="D2105">
        <v>72.099999999999994</v>
      </c>
      <c r="E2105">
        <v>157</v>
      </c>
      <c r="F2105">
        <v>1</v>
      </c>
      <c r="H2105">
        <v>0</v>
      </c>
      <c r="I2105">
        <v>88</v>
      </c>
      <c r="J2105">
        <v>0</v>
      </c>
      <c r="K2105">
        <v>53.4</v>
      </c>
      <c r="L2105">
        <v>1</v>
      </c>
      <c r="M2105">
        <v>88</v>
      </c>
      <c r="O2105">
        <v>87</v>
      </c>
      <c r="P2105">
        <v>0.1</v>
      </c>
      <c r="S2105">
        <v>2.7</v>
      </c>
      <c r="T2105">
        <v>2.8</v>
      </c>
      <c r="W2105" t="b">
        <f>COUNT(LifeExpectancyData[[#This Row],[Life expectancy]:[Schooling]])=19</f>
        <v>0</v>
      </c>
    </row>
    <row r="2106" spans="1:23" x14ac:dyDescent="0.25">
      <c r="A2106" t="s">
        <v>412</v>
      </c>
      <c r="B2106">
        <v>2014</v>
      </c>
      <c r="C2106" t="s">
        <v>273</v>
      </c>
      <c r="D2106">
        <v>71.8</v>
      </c>
      <c r="E2106">
        <v>162</v>
      </c>
      <c r="F2106">
        <v>1</v>
      </c>
      <c r="G2106">
        <v>9.99</v>
      </c>
      <c r="H2106">
        <v>0</v>
      </c>
      <c r="I2106">
        <v>92</v>
      </c>
      <c r="J2106">
        <v>2</v>
      </c>
      <c r="K2106">
        <v>52.7</v>
      </c>
      <c r="L2106">
        <v>1</v>
      </c>
      <c r="M2106">
        <v>92</v>
      </c>
      <c r="N2106">
        <v>1.32</v>
      </c>
      <c r="O2106">
        <v>9</v>
      </c>
      <c r="P2106">
        <v>0.1</v>
      </c>
      <c r="S2106">
        <v>2.7</v>
      </c>
      <c r="T2106">
        <v>2.8</v>
      </c>
      <c r="W2106" t="b">
        <f>COUNT(LifeExpectancyData[[#This Row],[Life expectancy]:[Schooling]])=19</f>
        <v>0</v>
      </c>
    </row>
    <row r="2107" spans="1:23" x14ac:dyDescent="0.25">
      <c r="A2107" t="s">
        <v>412</v>
      </c>
      <c r="B2107">
        <v>2013</v>
      </c>
      <c r="C2107" t="s">
        <v>273</v>
      </c>
      <c r="D2107">
        <v>71.7</v>
      </c>
      <c r="E2107">
        <v>163</v>
      </c>
      <c r="F2107">
        <v>1</v>
      </c>
      <c r="G2107">
        <v>10.49</v>
      </c>
      <c r="H2107">
        <v>0</v>
      </c>
      <c r="I2107">
        <v>91</v>
      </c>
      <c r="J2107">
        <v>27</v>
      </c>
      <c r="K2107">
        <v>52.1</v>
      </c>
      <c r="L2107">
        <v>1</v>
      </c>
      <c r="M2107">
        <v>92</v>
      </c>
      <c r="N2107">
        <v>1.5</v>
      </c>
      <c r="O2107">
        <v>9</v>
      </c>
      <c r="P2107">
        <v>0.1</v>
      </c>
      <c r="S2107">
        <v>2.7</v>
      </c>
      <c r="T2107">
        <v>2.9</v>
      </c>
      <c r="W2107" t="b">
        <f>COUNT(LifeExpectancyData[[#This Row],[Life expectancy]:[Schooling]])=19</f>
        <v>0</v>
      </c>
    </row>
    <row r="2108" spans="1:23" x14ac:dyDescent="0.25">
      <c r="A2108" t="s">
        <v>412</v>
      </c>
      <c r="B2108">
        <v>2012</v>
      </c>
      <c r="C2108" t="s">
        <v>273</v>
      </c>
      <c r="D2108">
        <v>79</v>
      </c>
      <c r="E2108">
        <v>175</v>
      </c>
      <c r="F2108">
        <v>1</v>
      </c>
      <c r="G2108">
        <v>10.68</v>
      </c>
      <c r="H2108">
        <v>0</v>
      </c>
      <c r="I2108">
        <v>94</v>
      </c>
      <c r="J2108">
        <v>11</v>
      </c>
      <c r="K2108">
        <v>51.5</v>
      </c>
      <c r="L2108">
        <v>1</v>
      </c>
      <c r="M2108">
        <v>92</v>
      </c>
      <c r="N2108">
        <v>11.87</v>
      </c>
      <c r="O2108">
        <v>92</v>
      </c>
      <c r="P2108">
        <v>0.1</v>
      </c>
      <c r="S2108">
        <v>2.7</v>
      </c>
      <c r="T2108">
        <v>2.9</v>
      </c>
      <c r="W2108" t="b">
        <f>COUNT(LifeExpectancyData[[#This Row],[Life expectancy]:[Schooling]])=19</f>
        <v>0</v>
      </c>
    </row>
    <row r="2109" spans="1:23" x14ac:dyDescent="0.25">
      <c r="A2109" t="s">
        <v>412</v>
      </c>
      <c r="B2109">
        <v>2011</v>
      </c>
      <c r="C2109" t="s">
        <v>273</v>
      </c>
      <c r="D2109">
        <v>77</v>
      </c>
      <c r="E2109">
        <v>177</v>
      </c>
      <c r="F2109">
        <v>1</v>
      </c>
      <c r="G2109">
        <v>9.4499999999999993</v>
      </c>
      <c r="H2109">
        <v>0</v>
      </c>
      <c r="I2109">
        <v>96</v>
      </c>
      <c r="J2109">
        <v>0</v>
      </c>
      <c r="K2109">
        <v>5.9</v>
      </c>
      <c r="L2109">
        <v>1</v>
      </c>
      <c r="M2109">
        <v>96</v>
      </c>
      <c r="N2109">
        <v>1.61</v>
      </c>
      <c r="O2109">
        <v>93</v>
      </c>
      <c r="P2109">
        <v>0.1</v>
      </c>
      <c r="S2109">
        <v>2.8</v>
      </c>
      <c r="T2109">
        <v>3</v>
      </c>
      <c r="W2109" t="b">
        <f>COUNT(LifeExpectancyData[[#This Row],[Life expectancy]:[Schooling]])=19</f>
        <v>0</v>
      </c>
    </row>
    <row r="2110" spans="1:23" x14ac:dyDescent="0.25">
      <c r="A2110" t="s">
        <v>412</v>
      </c>
      <c r="B2110">
        <v>2010</v>
      </c>
      <c r="C2110" t="s">
        <v>273</v>
      </c>
      <c r="D2110">
        <v>68.8</v>
      </c>
      <c r="E2110">
        <v>219</v>
      </c>
      <c r="F2110">
        <v>1</v>
      </c>
      <c r="G2110">
        <v>8.25</v>
      </c>
      <c r="H2110">
        <v>0</v>
      </c>
      <c r="I2110">
        <v>98</v>
      </c>
      <c r="J2110">
        <v>0</v>
      </c>
      <c r="K2110">
        <v>5.4</v>
      </c>
      <c r="L2110">
        <v>1</v>
      </c>
      <c r="M2110">
        <v>97</v>
      </c>
      <c r="N2110">
        <v>12.8</v>
      </c>
      <c r="O2110">
        <v>9</v>
      </c>
      <c r="P2110">
        <v>0.1</v>
      </c>
      <c r="S2110">
        <v>2.8</v>
      </c>
      <c r="T2110">
        <v>3</v>
      </c>
      <c r="W2110" t="b">
        <f>COUNT(LifeExpectancyData[[#This Row],[Life expectancy]:[Schooling]])=19</f>
        <v>0</v>
      </c>
    </row>
    <row r="2111" spans="1:23" x14ac:dyDescent="0.25">
      <c r="A2111" t="s">
        <v>412</v>
      </c>
      <c r="B2111">
        <v>2009</v>
      </c>
      <c r="C2111" t="s">
        <v>273</v>
      </c>
      <c r="D2111">
        <v>69</v>
      </c>
      <c r="E2111">
        <v>218</v>
      </c>
      <c r="F2111">
        <v>1</v>
      </c>
      <c r="G2111">
        <v>8.4499999999999993</v>
      </c>
      <c r="H2111">
        <v>0</v>
      </c>
      <c r="I2111">
        <v>89</v>
      </c>
      <c r="J2111">
        <v>0</v>
      </c>
      <c r="K2111">
        <v>49.9</v>
      </c>
      <c r="L2111">
        <v>1</v>
      </c>
      <c r="M2111">
        <v>87</v>
      </c>
      <c r="N2111">
        <v>12.49</v>
      </c>
      <c r="O2111">
        <v>85</v>
      </c>
      <c r="P2111">
        <v>0.1</v>
      </c>
      <c r="S2111">
        <v>2.9</v>
      </c>
      <c r="T2111">
        <v>3.1</v>
      </c>
      <c r="W2111" t="b">
        <f>COUNT(LifeExpectancyData[[#This Row],[Life expectancy]:[Schooling]])=19</f>
        <v>0</v>
      </c>
    </row>
    <row r="2112" spans="1:23" x14ac:dyDescent="0.25">
      <c r="A2112" t="s">
        <v>412</v>
      </c>
      <c r="B2112">
        <v>2008</v>
      </c>
      <c r="C2112" t="s">
        <v>273</v>
      </c>
      <c r="D2112">
        <v>68.900000000000006</v>
      </c>
      <c r="E2112">
        <v>228</v>
      </c>
      <c r="F2112">
        <v>1</v>
      </c>
      <c r="G2112">
        <v>9.07</v>
      </c>
      <c r="H2112">
        <v>0</v>
      </c>
      <c r="I2112">
        <v>97</v>
      </c>
      <c r="J2112">
        <v>0</v>
      </c>
      <c r="K2112">
        <v>49.5</v>
      </c>
      <c r="L2112">
        <v>1</v>
      </c>
      <c r="M2112">
        <v>96</v>
      </c>
      <c r="N2112">
        <v>11.41</v>
      </c>
      <c r="O2112">
        <v>9</v>
      </c>
      <c r="P2112">
        <v>0.1</v>
      </c>
      <c r="S2112">
        <v>2.9</v>
      </c>
      <c r="T2112">
        <v>3.1</v>
      </c>
      <c r="W2112" t="b">
        <f>COUNT(LifeExpectancyData[[#This Row],[Life expectancy]:[Schooling]])=19</f>
        <v>0</v>
      </c>
    </row>
    <row r="2113" spans="1:23" x14ac:dyDescent="0.25">
      <c r="A2113" t="s">
        <v>412</v>
      </c>
      <c r="B2113">
        <v>2007</v>
      </c>
      <c r="C2113" t="s">
        <v>273</v>
      </c>
      <c r="D2113">
        <v>68.3</v>
      </c>
      <c r="E2113">
        <v>237</v>
      </c>
      <c r="F2113">
        <v>1</v>
      </c>
      <c r="G2113">
        <v>9.66</v>
      </c>
      <c r="H2113">
        <v>0</v>
      </c>
      <c r="I2113">
        <v>95</v>
      </c>
      <c r="J2113">
        <v>10</v>
      </c>
      <c r="K2113">
        <v>49.1</v>
      </c>
      <c r="L2113">
        <v>1</v>
      </c>
      <c r="M2113">
        <v>93</v>
      </c>
      <c r="N2113">
        <v>1.88</v>
      </c>
      <c r="O2113">
        <v>92</v>
      </c>
      <c r="P2113">
        <v>0.1</v>
      </c>
      <c r="S2113">
        <v>3</v>
      </c>
      <c r="T2113">
        <v>3.2</v>
      </c>
      <c r="W2113" t="b">
        <f>COUNT(LifeExpectancyData[[#This Row],[Life expectancy]:[Schooling]])=19</f>
        <v>0</v>
      </c>
    </row>
    <row r="2114" spans="1:23" x14ac:dyDescent="0.25">
      <c r="A2114" t="s">
        <v>412</v>
      </c>
      <c r="B2114">
        <v>2006</v>
      </c>
      <c r="C2114" t="s">
        <v>273</v>
      </c>
      <c r="D2114">
        <v>68</v>
      </c>
      <c r="E2114">
        <v>242</v>
      </c>
      <c r="F2114">
        <v>1</v>
      </c>
      <c r="G2114">
        <v>8.36</v>
      </c>
      <c r="H2114">
        <v>0</v>
      </c>
      <c r="I2114">
        <v>98</v>
      </c>
      <c r="J2114">
        <v>34</v>
      </c>
      <c r="K2114">
        <v>48.7</v>
      </c>
      <c r="L2114">
        <v>1</v>
      </c>
      <c r="M2114">
        <v>98</v>
      </c>
      <c r="N2114">
        <v>1.63</v>
      </c>
      <c r="O2114">
        <v>97</v>
      </c>
      <c r="P2114">
        <v>0.1</v>
      </c>
      <c r="S2114">
        <v>3.1</v>
      </c>
      <c r="T2114">
        <v>3.3</v>
      </c>
      <c r="W2114" t="b">
        <f>COUNT(LifeExpectancyData[[#This Row],[Life expectancy]:[Schooling]])=19</f>
        <v>0</v>
      </c>
    </row>
    <row r="2115" spans="1:23" x14ac:dyDescent="0.25">
      <c r="A2115" t="s">
        <v>412</v>
      </c>
      <c r="B2115">
        <v>2005</v>
      </c>
      <c r="C2115" t="s">
        <v>273</v>
      </c>
      <c r="D2115">
        <v>67.3</v>
      </c>
      <c r="E2115">
        <v>248</v>
      </c>
      <c r="F2115">
        <v>1</v>
      </c>
      <c r="G2115">
        <v>10.78</v>
      </c>
      <c r="H2115">
        <v>0</v>
      </c>
      <c r="I2115">
        <v>99</v>
      </c>
      <c r="J2115">
        <v>6</v>
      </c>
      <c r="K2115">
        <v>48.3</v>
      </c>
      <c r="L2115">
        <v>1</v>
      </c>
      <c r="M2115">
        <v>99</v>
      </c>
      <c r="N2115">
        <v>9.15</v>
      </c>
      <c r="O2115">
        <v>98</v>
      </c>
      <c r="P2115">
        <v>0.1</v>
      </c>
      <c r="S2115">
        <v>3.1</v>
      </c>
      <c r="T2115">
        <v>3.3</v>
      </c>
      <c r="W2115" t="b">
        <f>COUNT(LifeExpectancyData[[#This Row],[Life expectancy]:[Schooling]])=19</f>
        <v>0</v>
      </c>
    </row>
    <row r="2116" spans="1:23" x14ac:dyDescent="0.25">
      <c r="A2116" t="s">
        <v>412</v>
      </c>
      <c r="B2116">
        <v>2004</v>
      </c>
      <c r="C2116" t="s">
        <v>273</v>
      </c>
      <c r="D2116">
        <v>68</v>
      </c>
      <c r="E2116">
        <v>225</v>
      </c>
      <c r="F2116">
        <v>1</v>
      </c>
      <c r="G2116">
        <v>12.27</v>
      </c>
      <c r="H2116">
        <v>0</v>
      </c>
      <c r="I2116">
        <v>99</v>
      </c>
      <c r="J2116">
        <v>4</v>
      </c>
      <c r="K2116">
        <v>47.9</v>
      </c>
      <c r="L2116">
        <v>1</v>
      </c>
      <c r="M2116">
        <v>98</v>
      </c>
      <c r="N2116">
        <v>8.49</v>
      </c>
      <c r="O2116">
        <v>98</v>
      </c>
      <c r="P2116">
        <v>0.1</v>
      </c>
      <c r="S2116">
        <v>3.2</v>
      </c>
      <c r="T2116">
        <v>3.4</v>
      </c>
      <c r="W2116" t="b">
        <f>COUNT(LifeExpectancyData[[#This Row],[Life expectancy]:[Schooling]])=19</f>
        <v>0</v>
      </c>
    </row>
    <row r="2117" spans="1:23" x14ac:dyDescent="0.25">
      <c r="A2117" t="s">
        <v>412</v>
      </c>
      <c r="B2117">
        <v>2003</v>
      </c>
      <c r="C2117" t="s">
        <v>273</v>
      </c>
      <c r="D2117">
        <v>67.599999999999994</v>
      </c>
      <c r="E2117">
        <v>226</v>
      </c>
      <c r="F2117">
        <v>1</v>
      </c>
      <c r="G2117">
        <v>8.15</v>
      </c>
      <c r="H2117">
        <v>0</v>
      </c>
      <c r="I2117">
        <v>99</v>
      </c>
      <c r="J2117">
        <v>87</v>
      </c>
      <c r="K2117">
        <v>47.6</v>
      </c>
      <c r="L2117">
        <v>1</v>
      </c>
      <c r="M2117">
        <v>98</v>
      </c>
      <c r="N2117">
        <v>8.24</v>
      </c>
      <c r="O2117">
        <v>98</v>
      </c>
      <c r="P2117">
        <v>0.1</v>
      </c>
      <c r="S2117">
        <v>3.3</v>
      </c>
      <c r="T2117">
        <v>3.5</v>
      </c>
      <c r="W2117" t="b">
        <f>COUNT(LifeExpectancyData[[#This Row],[Life expectancy]:[Schooling]])=19</f>
        <v>0</v>
      </c>
    </row>
    <row r="2118" spans="1:23" x14ac:dyDescent="0.25">
      <c r="A2118" t="s">
        <v>412</v>
      </c>
      <c r="B2118">
        <v>2002</v>
      </c>
      <c r="C2118" t="s">
        <v>273</v>
      </c>
      <c r="D2118">
        <v>67.5</v>
      </c>
      <c r="E2118">
        <v>225</v>
      </c>
      <c r="F2118">
        <v>1</v>
      </c>
      <c r="G2118">
        <v>6.71</v>
      </c>
      <c r="H2118">
        <v>0</v>
      </c>
      <c r="I2118">
        <v>99</v>
      </c>
      <c r="J2118">
        <v>4929</v>
      </c>
      <c r="K2118">
        <v>47.2</v>
      </c>
      <c r="L2118">
        <v>1</v>
      </c>
      <c r="M2118">
        <v>98</v>
      </c>
      <c r="N2118">
        <v>8.31</v>
      </c>
      <c r="O2118">
        <v>97</v>
      </c>
      <c r="P2118">
        <v>0.1</v>
      </c>
      <c r="S2118">
        <v>3.4</v>
      </c>
      <c r="T2118">
        <v>3.6</v>
      </c>
      <c r="W2118" t="b">
        <f>COUNT(LifeExpectancyData[[#This Row],[Life expectancy]:[Schooling]])=19</f>
        <v>0</v>
      </c>
    </row>
    <row r="2119" spans="1:23" x14ac:dyDescent="0.25">
      <c r="A2119" t="s">
        <v>412</v>
      </c>
      <c r="B2119">
        <v>2001</v>
      </c>
      <c r="C2119" t="s">
        <v>273</v>
      </c>
      <c r="D2119">
        <v>67.599999999999994</v>
      </c>
      <c r="E2119">
        <v>228</v>
      </c>
      <c r="F2119">
        <v>1</v>
      </c>
      <c r="G2119">
        <v>10.98</v>
      </c>
      <c r="H2119">
        <v>0</v>
      </c>
      <c r="I2119">
        <v>94</v>
      </c>
      <c r="J2119">
        <v>457</v>
      </c>
      <c r="K2119">
        <v>46.8</v>
      </c>
      <c r="L2119">
        <v>1</v>
      </c>
      <c r="M2119">
        <v>98</v>
      </c>
      <c r="N2119">
        <v>7</v>
      </c>
      <c r="O2119">
        <v>97</v>
      </c>
      <c r="P2119">
        <v>0.1</v>
      </c>
      <c r="S2119">
        <v>3.5</v>
      </c>
      <c r="T2119">
        <v>3.6</v>
      </c>
      <c r="W2119" t="b">
        <f>COUNT(LifeExpectancyData[[#This Row],[Life expectancy]:[Schooling]])=19</f>
        <v>0</v>
      </c>
    </row>
    <row r="2120" spans="1:23" x14ac:dyDescent="0.25">
      <c r="A2120" t="s">
        <v>412</v>
      </c>
      <c r="B2120">
        <v>2000</v>
      </c>
      <c r="C2120" t="s">
        <v>273</v>
      </c>
      <c r="D2120">
        <v>67.099999999999994</v>
      </c>
      <c r="E2120">
        <v>235</v>
      </c>
      <c r="F2120">
        <v>1</v>
      </c>
      <c r="G2120">
        <v>9.89</v>
      </c>
      <c r="H2120">
        <v>0</v>
      </c>
      <c r="I2120">
        <v>92</v>
      </c>
      <c r="J2120">
        <v>687</v>
      </c>
      <c r="K2120">
        <v>46.5</v>
      </c>
      <c r="L2120">
        <v>2</v>
      </c>
      <c r="M2120">
        <v>97</v>
      </c>
      <c r="N2120">
        <v>6.65</v>
      </c>
      <c r="O2120">
        <v>95</v>
      </c>
      <c r="P2120">
        <v>0.1</v>
      </c>
      <c r="S2120">
        <v>3.6</v>
      </c>
      <c r="T2120">
        <v>3.7</v>
      </c>
      <c r="W2120" t="b">
        <f>COUNT(LifeExpectancyData[[#This Row],[Life expectancy]:[Schooling]])=19</f>
        <v>0</v>
      </c>
    </row>
    <row r="2121" spans="1:23" x14ac:dyDescent="0.25">
      <c r="A2121" t="s">
        <v>413</v>
      </c>
      <c r="B2121">
        <v>2015</v>
      </c>
      <c r="C2121" t="s">
        <v>281</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COUNT(LifeExpectancyData[[#This Row],[Life expectancy]:[Schooling]])=19</f>
        <v>0</v>
      </c>
    </row>
    <row r="2122" spans="1:23" x14ac:dyDescent="0.25">
      <c r="A2122" t="s">
        <v>413</v>
      </c>
      <c r="B2122">
        <v>2014</v>
      </c>
      <c r="C2122" t="s">
        <v>281</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COUNT(LifeExpectancyData[[#This Row],[Life expectancy]:[Schooling]])=19</f>
        <v>1</v>
      </c>
    </row>
    <row r="2123" spans="1:23" x14ac:dyDescent="0.25">
      <c r="A2123" t="s">
        <v>413</v>
      </c>
      <c r="B2123">
        <v>2013</v>
      </c>
      <c r="C2123" t="s">
        <v>281</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COUNT(LifeExpectancyData[[#This Row],[Life expectancy]:[Schooling]])=19</f>
        <v>1</v>
      </c>
    </row>
    <row r="2124" spans="1:23" x14ac:dyDescent="0.25">
      <c r="A2124" t="s">
        <v>413</v>
      </c>
      <c r="B2124">
        <v>2012</v>
      </c>
      <c r="C2124" t="s">
        <v>281</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COUNT(LifeExpectancyData[[#This Row],[Life expectancy]:[Schooling]])=19</f>
        <v>1</v>
      </c>
    </row>
    <row r="2125" spans="1:23" x14ac:dyDescent="0.25">
      <c r="A2125" t="s">
        <v>413</v>
      </c>
      <c r="B2125">
        <v>2011</v>
      </c>
      <c r="C2125" t="s">
        <v>281</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COUNT(LifeExpectancyData[[#This Row],[Life expectancy]:[Schooling]])=19</f>
        <v>1</v>
      </c>
    </row>
    <row r="2126" spans="1:23" x14ac:dyDescent="0.25">
      <c r="A2126" t="s">
        <v>413</v>
      </c>
      <c r="B2126">
        <v>2010</v>
      </c>
      <c r="C2126" t="s">
        <v>281</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COUNT(LifeExpectancyData[[#This Row],[Life expectancy]:[Schooling]])=19</f>
        <v>1</v>
      </c>
    </row>
    <row r="2127" spans="1:23" x14ac:dyDescent="0.25">
      <c r="A2127" t="s">
        <v>413</v>
      </c>
      <c r="B2127">
        <v>2009</v>
      </c>
      <c r="C2127" t="s">
        <v>281</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COUNT(LifeExpectancyData[[#This Row],[Life expectancy]:[Schooling]])=19</f>
        <v>1</v>
      </c>
    </row>
    <row r="2128" spans="1:23" x14ac:dyDescent="0.25">
      <c r="A2128" t="s">
        <v>413</v>
      </c>
      <c r="B2128">
        <v>2008</v>
      </c>
      <c r="C2128" t="s">
        <v>281</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COUNT(LifeExpectancyData[[#This Row],[Life expectancy]:[Schooling]])=19</f>
        <v>1</v>
      </c>
    </row>
    <row r="2129" spans="1:23" x14ac:dyDescent="0.25">
      <c r="A2129" t="s">
        <v>413</v>
      </c>
      <c r="B2129">
        <v>2007</v>
      </c>
      <c r="C2129" t="s">
        <v>281</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COUNT(LifeExpectancyData[[#This Row],[Life expectancy]:[Schooling]])=19</f>
        <v>1</v>
      </c>
    </row>
    <row r="2130" spans="1:23" x14ac:dyDescent="0.25">
      <c r="A2130" t="s">
        <v>413</v>
      </c>
      <c r="B2130">
        <v>2006</v>
      </c>
      <c r="C2130" t="s">
        <v>281</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COUNT(LifeExpectancyData[[#This Row],[Life expectancy]:[Schooling]])=19</f>
        <v>1</v>
      </c>
    </row>
    <row r="2131" spans="1:23" x14ac:dyDescent="0.25">
      <c r="A2131" t="s">
        <v>413</v>
      </c>
      <c r="B2131">
        <v>2005</v>
      </c>
      <c r="C2131" t="s">
        <v>281</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COUNT(LifeExpectancyData[[#This Row],[Life expectancy]:[Schooling]])=19</f>
        <v>1</v>
      </c>
    </row>
    <row r="2132" spans="1:23" x14ac:dyDescent="0.25">
      <c r="A2132" t="s">
        <v>413</v>
      </c>
      <c r="B2132">
        <v>2004</v>
      </c>
      <c r="C2132" t="s">
        <v>281</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COUNT(LifeExpectancyData[[#This Row],[Life expectancy]:[Schooling]])=19</f>
        <v>1</v>
      </c>
    </row>
    <row r="2133" spans="1:23" x14ac:dyDescent="0.25">
      <c r="A2133" t="s">
        <v>413</v>
      </c>
      <c r="B2133">
        <v>2003</v>
      </c>
      <c r="C2133" t="s">
        <v>281</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COUNT(LifeExpectancyData[[#This Row],[Life expectancy]:[Schooling]])=19</f>
        <v>1</v>
      </c>
    </row>
    <row r="2134" spans="1:23" x14ac:dyDescent="0.25">
      <c r="A2134" t="s">
        <v>413</v>
      </c>
      <c r="B2134">
        <v>2002</v>
      </c>
      <c r="C2134" t="s">
        <v>281</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COUNT(LifeExpectancyData[[#This Row],[Life expectancy]:[Schooling]])=19</f>
        <v>1</v>
      </c>
    </row>
    <row r="2135" spans="1:23" x14ac:dyDescent="0.25">
      <c r="A2135" t="s">
        <v>413</v>
      </c>
      <c r="B2135">
        <v>2001</v>
      </c>
      <c r="C2135" t="s">
        <v>281</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COUNT(LifeExpectancyData[[#This Row],[Life expectancy]:[Schooling]])=19</f>
        <v>1</v>
      </c>
    </row>
    <row r="2136" spans="1:23" x14ac:dyDescent="0.25">
      <c r="A2136" t="s">
        <v>413</v>
      </c>
      <c r="B2136">
        <v>2000</v>
      </c>
      <c r="C2136" t="s">
        <v>281</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COUNT(LifeExpectancyData[[#This Row],[Life expectancy]:[Schooling]])=19</f>
        <v>1</v>
      </c>
    </row>
    <row r="2137" spans="1:23" x14ac:dyDescent="0.25">
      <c r="A2137" t="s">
        <v>414</v>
      </c>
      <c r="B2137">
        <v>2015</v>
      </c>
      <c r="C2137" t="s">
        <v>273</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COUNT(LifeExpectancyData[[#This Row],[Life expectancy]:[Schooling]])=19</f>
        <v>0</v>
      </c>
    </row>
    <row r="2138" spans="1:23" x14ac:dyDescent="0.25">
      <c r="A2138" t="s">
        <v>414</v>
      </c>
      <c r="B2138">
        <v>2014</v>
      </c>
      <c r="C2138" t="s">
        <v>273</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COUNT(LifeExpectancyData[[#This Row],[Life expectancy]:[Schooling]])=19</f>
        <v>1</v>
      </c>
    </row>
    <row r="2139" spans="1:23" x14ac:dyDescent="0.25">
      <c r="A2139" t="s">
        <v>414</v>
      </c>
      <c r="B2139">
        <v>2013</v>
      </c>
      <c r="C2139" t="s">
        <v>273</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COUNT(LifeExpectancyData[[#This Row],[Life expectancy]:[Schooling]])=19</f>
        <v>1</v>
      </c>
    </row>
    <row r="2140" spans="1:23" x14ac:dyDescent="0.25">
      <c r="A2140" t="s">
        <v>414</v>
      </c>
      <c r="B2140">
        <v>2012</v>
      </c>
      <c r="C2140" t="s">
        <v>273</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COUNT(LifeExpectancyData[[#This Row],[Life expectancy]:[Schooling]])=19</f>
        <v>1</v>
      </c>
    </row>
    <row r="2141" spans="1:23" x14ac:dyDescent="0.25">
      <c r="A2141" t="s">
        <v>414</v>
      </c>
      <c r="B2141">
        <v>2011</v>
      </c>
      <c r="C2141" t="s">
        <v>273</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COUNT(LifeExpectancyData[[#This Row],[Life expectancy]:[Schooling]])=19</f>
        <v>1</v>
      </c>
    </row>
    <row r="2142" spans="1:23" x14ac:dyDescent="0.25">
      <c r="A2142" t="s">
        <v>414</v>
      </c>
      <c r="B2142">
        <v>2010</v>
      </c>
      <c r="C2142" t="s">
        <v>273</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COUNT(LifeExpectancyData[[#This Row],[Life expectancy]:[Schooling]])=19</f>
        <v>1</v>
      </c>
    </row>
    <row r="2143" spans="1:23" x14ac:dyDescent="0.25">
      <c r="A2143" t="s">
        <v>414</v>
      </c>
      <c r="B2143">
        <v>2009</v>
      </c>
      <c r="C2143" t="s">
        <v>273</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COUNT(LifeExpectancyData[[#This Row],[Life expectancy]:[Schooling]])=19</f>
        <v>1</v>
      </c>
    </row>
    <row r="2144" spans="1:23" x14ac:dyDescent="0.25">
      <c r="A2144" t="s">
        <v>414</v>
      </c>
      <c r="B2144">
        <v>2008</v>
      </c>
      <c r="C2144" t="s">
        <v>273</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COUNT(LifeExpectancyData[[#This Row],[Life expectancy]:[Schooling]])=19</f>
        <v>1</v>
      </c>
    </row>
    <row r="2145" spans="1:23" x14ac:dyDescent="0.25">
      <c r="A2145" t="s">
        <v>414</v>
      </c>
      <c r="B2145">
        <v>2007</v>
      </c>
      <c r="C2145" t="s">
        <v>273</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COUNT(LifeExpectancyData[[#This Row],[Life expectancy]:[Schooling]])=19</f>
        <v>1</v>
      </c>
    </row>
    <row r="2146" spans="1:23" x14ac:dyDescent="0.25">
      <c r="A2146" t="s">
        <v>414</v>
      </c>
      <c r="B2146">
        <v>2006</v>
      </c>
      <c r="C2146" t="s">
        <v>273</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COUNT(LifeExpectancyData[[#This Row],[Life expectancy]:[Schooling]])=19</f>
        <v>1</v>
      </c>
    </row>
    <row r="2147" spans="1:23" x14ac:dyDescent="0.25">
      <c r="A2147" t="s">
        <v>414</v>
      </c>
      <c r="B2147">
        <v>2005</v>
      </c>
      <c r="C2147" t="s">
        <v>273</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COUNT(LifeExpectancyData[[#This Row],[Life expectancy]:[Schooling]])=19</f>
        <v>1</v>
      </c>
    </row>
    <row r="2148" spans="1:23" x14ac:dyDescent="0.25">
      <c r="A2148" t="s">
        <v>414</v>
      </c>
      <c r="B2148">
        <v>2004</v>
      </c>
      <c r="C2148" t="s">
        <v>273</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COUNT(LifeExpectancyData[[#This Row],[Life expectancy]:[Schooling]])=19</f>
        <v>1</v>
      </c>
    </row>
    <row r="2149" spans="1:23" x14ac:dyDescent="0.25">
      <c r="A2149" t="s">
        <v>414</v>
      </c>
      <c r="B2149">
        <v>2003</v>
      </c>
      <c r="C2149" t="s">
        <v>273</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COUNT(LifeExpectancyData[[#This Row],[Life expectancy]:[Schooling]])=19</f>
        <v>1</v>
      </c>
    </row>
    <row r="2150" spans="1:23" x14ac:dyDescent="0.25">
      <c r="A2150" t="s">
        <v>414</v>
      </c>
      <c r="B2150">
        <v>2002</v>
      </c>
      <c r="C2150" t="s">
        <v>273</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COUNT(LifeExpectancyData[[#This Row],[Life expectancy]:[Schooling]])=19</f>
        <v>1</v>
      </c>
    </row>
    <row r="2151" spans="1:23" x14ac:dyDescent="0.25">
      <c r="A2151" t="s">
        <v>414</v>
      </c>
      <c r="B2151">
        <v>2001</v>
      </c>
      <c r="C2151" t="s">
        <v>273</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COUNT(LifeExpectancyData[[#This Row],[Life expectancy]:[Schooling]])=19</f>
        <v>1</v>
      </c>
    </row>
    <row r="2152" spans="1:23" x14ac:dyDescent="0.25">
      <c r="A2152" t="s">
        <v>414</v>
      </c>
      <c r="B2152">
        <v>2000</v>
      </c>
      <c r="C2152" t="s">
        <v>273</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COUNT(LifeExpectancyData[[#This Row],[Life expectancy]:[Schooling]])=19</f>
        <v>0</v>
      </c>
    </row>
    <row r="2153" spans="1:23" x14ac:dyDescent="0.25">
      <c r="A2153" t="s">
        <v>415</v>
      </c>
      <c r="B2153">
        <v>2015</v>
      </c>
      <c r="C2153" t="s">
        <v>273</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COUNT(LifeExpectancyData[[#This Row],[Life expectancy]:[Schooling]])=19</f>
        <v>0</v>
      </c>
    </row>
    <row r="2154" spans="1:23" x14ac:dyDescent="0.25">
      <c r="A2154" t="s">
        <v>415</v>
      </c>
      <c r="B2154">
        <v>2014</v>
      </c>
      <c r="C2154" t="s">
        <v>273</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COUNT(LifeExpectancyData[[#This Row],[Life expectancy]:[Schooling]])=19</f>
        <v>1</v>
      </c>
    </row>
    <row r="2155" spans="1:23" x14ac:dyDescent="0.25">
      <c r="A2155" t="s">
        <v>415</v>
      </c>
      <c r="B2155">
        <v>2013</v>
      </c>
      <c r="C2155" t="s">
        <v>273</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COUNT(LifeExpectancyData[[#This Row],[Life expectancy]:[Schooling]])=19</f>
        <v>1</v>
      </c>
    </row>
    <row r="2156" spans="1:23" x14ac:dyDescent="0.25">
      <c r="A2156" t="s">
        <v>415</v>
      </c>
      <c r="B2156">
        <v>2012</v>
      </c>
      <c r="C2156" t="s">
        <v>273</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COUNT(LifeExpectancyData[[#This Row],[Life expectancy]:[Schooling]])=19</f>
        <v>1</v>
      </c>
    </row>
    <row r="2157" spans="1:23" x14ac:dyDescent="0.25">
      <c r="A2157" t="s">
        <v>415</v>
      </c>
      <c r="B2157">
        <v>2011</v>
      </c>
      <c r="C2157" t="s">
        <v>273</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COUNT(LifeExpectancyData[[#This Row],[Life expectancy]:[Schooling]])=19</f>
        <v>1</v>
      </c>
    </row>
    <row r="2158" spans="1:23" x14ac:dyDescent="0.25">
      <c r="A2158" t="s">
        <v>415</v>
      </c>
      <c r="B2158">
        <v>2010</v>
      </c>
      <c r="C2158" t="s">
        <v>273</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COUNT(LifeExpectancyData[[#This Row],[Life expectancy]:[Schooling]])=19</f>
        <v>1</v>
      </c>
    </row>
    <row r="2159" spans="1:23" x14ac:dyDescent="0.25">
      <c r="A2159" t="s">
        <v>415</v>
      </c>
      <c r="B2159">
        <v>2009</v>
      </c>
      <c r="C2159" t="s">
        <v>273</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COUNT(LifeExpectancyData[[#This Row],[Life expectancy]:[Schooling]])=19</f>
        <v>1</v>
      </c>
    </row>
    <row r="2160" spans="1:23" x14ac:dyDescent="0.25">
      <c r="A2160" t="s">
        <v>415</v>
      </c>
      <c r="B2160">
        <v>2008</v>
      </c>
      <c r="C2160" t="s">
        <v>273</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COUNT(LifeExpectancyData[[#This Row],[Life expectancy]:[Schooling]])=19</f>
        <v>1</v>
      </c>
    </row>
    <row r="2161" spans="1:23" x14ac:dyDescent="0.25">
      <c r="A2161" t="s">
        <v>415</v>
      </c>
      <c r="B2161">
        <v>2007</v>
      </c>
      <c r="C2161" t="s">
        <v>273</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COUNT(LifeExpectancyData[[#This Row],[Life expectancy]:[Schooling]])=19</f>
        <v>1</v>
      </c>
    </row>
    <row r="2162" spans="1:23" x14ac:dyDescent="0.25">
      <c r="A2162" t="s">
        <v>415</v>
      </c>
      <c r="B2162">
        <v>2006</v>
      </c>
      <c r="C2162" t="s">
        <v>273</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COUNT(LifeExpectancyData[[#This Row],[Life expectancy]:[Schooling]])=19</f>
        <v>1</v>
      </c>
    </row>
    <row r="2163" spans="1:23" x14ac:dyDescent="0.25">
      <c r="A2163" t="s">
        <v>415</v>
      </c>
      <c r="B2163">
        <v>2005</v>
      </c>
      <c r="C2163" t="s">
        <v>273</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COUNT(LifeExpectancyData[[#This Row],[Life expectancy]:[Schooling]])=19</f>
        <v>1</v>
      </c>
    </row>
    <row r="2164" spans="1:23" x14ac:dyDescent="0.25">
      <c r="A2164" t="s">
        <v>415</v>
      </c>
      <c r="B2164">
        <v>2004</v>
      </c>
      <c r="C2164" t="s">
        <v>273</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COUNT(LifeExpectancyData[[#This Row],[Life expectancy]:[Schooling]])=19</f>
        <v>1</v>
      </c>
    </row>
    <row r="2165" spans="1:23" x14ac:dyDescent="0.25">
      <c r="A2165" t="s">
        <v>415</v>
      </c>
      <c r="B2165">
        <v>2003</v>
      </c>
      <c r="C2165" t="s">
        <v>273</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COUNT(LifeExpectancyData[[#This Row],[Life expectancy]:[Schooling]])=19</f>
        <v>1</v>
      </c>
    </row>
    <row r="2166" spans="1:23" x14ac:dyDescent="0.25">
      <c r="A2166" t="s">
        <v>415</v>
      </c>
      <c r="B2166">
        <v>2002</v>
      </c>
      <c r="C2166" t="s">
        <v>273</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COUNT(LifeExpectancyData[[#This Row],[Life expectancy]:[Schooling]])=19</f>
        <v>1</v>
      </c>
    </row>
    <row r="2167" spans="1:23" x14ac:dyDescent="0.25">
      <c r="A2167" t="s">
        <v>415</v>
      </c>
      <c r="B2167">
        <v>2001</v>
      </c>
      <c r="C2167" t="s">
        <v>273</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COUNT(LifeExpectancyData[[#This Row],[Life expectancy]:[Schooling]])=19</f>
        <v>0</v>
      </c>
    </row>
    <row r="2168" spans="1:23" x14ac:dyDescent="0.25">
      <c r="A2168" t="s">
        <v>415</v>
      </c>
      <c r="B2168">
        <v>2000</v>
      </c>
      <c r="C2168" t="s">
        <v>273</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COUNT(LifeExpectancyData[[#This Row],[Life expectancy]:[Schooling]])=19</f>
        <v>0</v>
      </c>
    </row>
    <row r="2169" spans="1:23" x14ac:dyDescent="0.25">
      <c r="A2169" t="s">
        <v>416</v>
      </c>
      <c r="B2169">
        <v>2013</v>
      </c>
      <c r="C2169" t="s">
        <v>273</v>
      </c>
      <c r="F2169">
        <v>0</v>
      </c>
      <c r="G2169">
        <v>8.5399999999999991</v>
      </c>
      <c r="H2169">
        <v>0</v>
      </c>
      <c r="I2169">
        <v>97</v>
      </c>
      <c r="J2169">
        <v>0</v>
      </c>
      <c r="K2169">
        <v>5.2</v>
      </c>
      <c r="L2169">
        <v>0</v>
      </c>
      <c r="M2169">
        <v>96</v>
      </c>
      <c r="N2169">
        <v>6.14</v>
      </c>
      <c r="O2169">
        <v>96</v>
      </c>
      <c r="P2169">
        <v>0.1</v>
      </c>
      <c r="S2169">
        <v>3.7</v>
      </c>
      <c r="T2169">
        <v>3.6</v>
      </c>
      <c r="U2169">
        <v>0.749</v>
      </c>
      <c r="V2169">
        <v>13.4</v>
      </c>
      <c r="W2169" t="b">
        <f>COUNT(LifeExpectancyData[[#This Row],[Life expectancy]:[Schooling]])=19</f>
        <v>0</v>
      </c>
    </row>
    <row r="2170" spans="1:23" x14ac:dyDescent="0.25">
      <c r="A2170" t="s">
        <v>417</v>
      </c>
      <c r="B2170">
        <v>2015</v>
      </c>
      <c r="C2170" t="s">
        <v>273</v>
      </c>
      <c r="D2170">
        <v>75.2</v>
      </c>
      <c r="E2170">
        <v>138</v>
      </c>
      <c r="F2170">
        <v>0</v>
      </c>
      <c r="H2170">
        <v>0</v>
      </c>
      <c r="I2170">
        <v>99</v>
      </c>
      <c r="J2170">
        <v>0</v>
      </c>
      <c r="K2170">
        <v>47.5</v>
      </c>
      <c r="L2170">
        <v>0</v>
      </c>
      <c r="M2170">
        <v>99</v>
      </c>
      <c r="O2170">
        <v>99</v>
      </c>
      <c r="P2170">
        <v>0.1</v>
      </c>
      <c r="S2170">
        <v>4.3</v>
      </c>
      <c r="T2170">
        <v>4.3</v>
      </c>
      <c r="U2170">
        <v>0.73499999999999999</v>
      </c>
      <c r="V2170">
        <v>13.1</v>
      </c>
      <c r="W2170" t="b">
        <f>COUNT(LifeExpectancyData[[#This Row],[Life expectancy]:[Schooling]])=19</f>
        <v>0</v>
      </c>
    </row>
    <row r="2171" spans="1:23" x14ac:dyDescent="0.25">
      <c r="A2171" t="s">
        <v>417</v>
      </c>
      <c r="B2171">
        <v>2014</v>
      </c>
      <c r="C2171" t="s">
        <v>273</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COUNT(LifeExpectancyData[[#This Row],[Life expectancy]:[Schooling]])=19</f>
        <v>0</v>
      </c>
    </row>
    <row r="2172" spans="1:23" x14ac:dyDescent="0.25">
      <c r="A2172" t="s">
        <v>417</v>
      </c>
      <c r="B2172">
        <v>2013</v>
      </c>
      <c r="C2172" t="s">
        <v>273</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COUNT(LifeExpectancyData[[#This Row],[Life expectancy]:[Schooling]])=19</f>
        <v>0</v>
      </c>
    </row>
    <row r="2173" spans="1:23" x14ac:dyDescent="0.25">
      <c r="A2173" t="s">
        <v>417</v>
      </c>
      <c r="B2173">
        <v>2012</v>
      </c>
      <c r="C2173" t="s">
        <v>273</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COUNT(LifeExpectancyData[[#This Row],[Life expectancy]:[Schooling]])=19</f>
        <v>0</v>
      </c>
    </row>
    <row r="2174" spans="1:23" x14ac:dyDescent="0.25">
      <c r="A2174" t="s">
        <v>417</v>
      </c>
      <c r="B2174">
        <v>2011</v>
      </c>
      <c r="C2174" t="s">
        <v>273</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COUNT(LifeExpectancyData[[#This Row],[Life expectancy]:[Schooling]])=19</f>
        <v>0</v>
      </c>
    </row>
    <row r="2175" spans="1:23" x14ac:dyDescent="0.25">
      <c r="A2175" t="s">
        <v>417</v>
      </c>
      <c r="B2175">
        <v>2010</v>
      </c>
      <c r="C2175" t="s">
        <v>273</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COUNT(LifeExpectancyData[[#This Row],[Life expectancy]:[Schooling]])=19</f>
        <v>0</v>
      </c>
    </row>
    <row r="2176" spans="1:23" x14ac:dyDescent="0.25">
      <c r="A2176" t="s">
        <v>417</v>
      </c>
      <c r="B2176">
        <v>2009</v>
      </c>
      <c r="C2176" t="s">
        <v>273</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COUNT(LifeExpectancyData[[#This Row],[Life expectancy]:[Schooling]])=19</f>
        <v>0</v>
      </c>
    </row>
    <row r="2177" spans="1:23" x14ac:dyDescent="0.25">
      <c r="A2177" t="s">
        <v>417</v>
      </c>
      <c r="B2177">
        <v>2008</v>
      </c>
      <c r="C2177" t="s">
        <v>273</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COUNT(LifeExpectancyData[[#This Row],[Life expectancy]:[Schooling]])=19</f>
        <v>0</v>
      </c>
    </row>
    <row r="2178" spans="1:23" x14ac:dyDescent="0.25">
      <c r="A2178" t="s">
        <v>417</v>
      </c>
      <c r="B2178">
        <v>2007</v>
      </c>
      <c r="C2178" t="s">
        <v>273</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COUNT(LifeExpectancyData[[#This Row],[Life expectancy]:[Schooling]])=19</f>
        <v>0</v>
      </c>
    </row>
    <row r="2179" spans="1:23" x14ac:dyDescent="0.25">
      <c r="A2179" t="s">
        <v>417</v>
      </c>
      <c r="B2179">
        <v>2006</v>
      </c>
      <c r="C2179" t="s">
        <v>273</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COUNT(LifeExpectancyData[[#This Row],[Life expectancy]:[Schooling]])=19</f>
        <v>0</v>
      </c>
    </row>
    <row r="2180" spans="1:23" x14ac:dyDescent="0.25">
      <c r="A2180" t="s">
        <v>417</v>
      </c>
      <c r="B2180">
        <v>2005</v>
      </c>
      <c r="C2180" t="s">
        <v>273</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COUNT(LifeExpectancyData[[#This Row],[Life expectancy]:[Schooling]])=19</f>
        <v>0</v>
      </c>
    </row>
    <row r="2181" spans="1:23" x14ac:dyDescent="0.25">
      <c r="A2181" t="s">
        <v>417</v>
      </c>
      <c r="B2181">
        <v>2004</v>
      </c>
      <c r="C2181" t="s">
        <v>273</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COUNT(LifeExpectancyData[[#This Row],[Life expectancy]:[Schooling]])=19</f>
        <v>0</v>
      </c>
    </row>
    <row r="2182" spans="1:23" x14ac:dyDescent="0.25">
      <c r="A2182" t="s">
        <v>417</v>
      </c>
      <c r="B2182">
        <v>2003</v>
      </c>
      <c r="C2182" t="s">
        <v>273</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COUNT(LifeExpectancyData[[#This Row],[Life expectancy]:[Schooling]])=19</f>
        <v>0</v>
      </c>
    </row>
    <row r="2183" spans="1:23" x14ac:dyDescent="0.25">
      <c r="A2183" t="s">
        <v>417</v>
      </c>
      <c r="B2183">
        <v>2002</v>
      </c>
      <c r="C2183" t="s">
        <v>273</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COUNT(LifeExpectancyData[[#This Row],[Life expectancy]:[Schooling]])=19</f>
        <v>0</v>
      </c>
    </row>
    <row r="2184" spans="1:23" x14ac:dyDescent="0.25">
      <c r="A2184" t="s">
        <v>417</v>
      </c>
      <c r="B2184">
        <v>2001</v>
      </c>
      <c r="C2184" t="s">
        <v>273</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COUNT(LifeExpectancyData[[#This Row],[Life expectancy]:[Schooling]])=19</f>
        <v>0</v>
      </c>
    </row>
    <row r="2185" spans="1:23" x14ac:dyDescent="0.25">
      <c r="A2185" t="s">
        <v>417</v>
      </c>
      <c r="B2185">
        <v>2000</v>
      </c>
      <c r="C2185" t="s">
        <v>273</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COUNT(LifeExpectancyData[[#This Row],[Life expectancy]:[Schooling]])=19</f>
        <v>0</v>
      </c>
    </row>
    <row r="2186" spans="1:23" x14ac:dyDescent="0.25">
      <c r="A2186" t="s">
        <v>418</v>
      </c>
      <c r="B2186">
        <v>2015</v>
      </c>
      <c r="C2186" t="s">
        <v>273</v>
      </c>
      <c r="D2186">
        <v>73.2</v>
      </c>
      <c r="E2186">
        <v>156</v>
      </c>
      <c r="F2186">
        <v>0</v>
      </c>
      <c r="H2186">
        <v>0</v>
      </c>
      <c r="I2186">
        <v>98</v>
      </c>
      <c r="J2186">
        <v>0</v>
      </c>
      <c r="K2186">
        <v>54.1</v>
      </c>
      <c r="L2186">
        <v>0</v>
      </c>
      <c r="M2186">
        <v>97</v>
      </c>
      <c r="O2186">
        <v>98</v>
      </c>
      <c r="P2186">
        <v>0.1</v>
      </c>
      <c r="S2186">
        <v>3.5</v>
      </c>
      <c r="T2186">
        <v>3.4</v>
      </c>
      <c r="U2186">
        <v>0.72</v>
      </c>
      <c r="V2186">
        <v>13.3</v>
      </c>
      <c r="W2186" t="b">
        <f>COUNT(LifeExpectancyData[[#This Row],[Life expectancy]:[Schooling]])=19</f>
        <v>0</v>
      </c>
    </row>
    <row r="2187" spans="1:23" x14ac:dyDescent="0.25">
      <c r="A2187" t="s">
        <v>418</v>
      </c>
      <c r="B2187">
        <v>2014</v>
      </c>
      <c r="C2187" t="s">
        <v>273</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COUNT(LifeExpectancyData[[#This Row],[Life expectancy]:[Schooling]])=19</f>
        <v>0</v>
      </c>
    </row>
    <row r="2188" spans="1:23" x14ac:dyDescent="0.25">
      <c r="A2188" t="s">
        <v>418</v>
      </c>
      <c r="B2188">
        <v>2013</v>
      </c>
      <c r="C2188" t="s">
        <v>273</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COUNT(LifeExpectancyData[[#This Row],[Life expectancy]:[Schooling]])=19</f>
        <v>0</v>
      </c>
    </row>
    <row r="2189" spans="1:23" x14ac:dyDescent="0.25">
      <c r="A2189" t="s">
        <v>418</v>
      </c>
      <c r="B2189">
        <v>2012</v>
      </c>
      <c r="C2189" t="s">
        <v>273</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COUNT(LifeExpectancyData[[#This Row],[Life expectancy]:[Schooling]])=19</f>
        <v>0</v>
      </c>
    </row>
    <row r="2190" spans="1:23" x14ac:dyDescent="0.25">
      <c r="A2190" t="s">
        <v>418</v>
      </c>
      <c r="B2190">
        <v>2011</v>
      </c>
      <c r="C2190" t="s">
        <v>273</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COUNT(LifeExpectancyData[[#This Row],[Life expectancy]:[Schooling]])=19</f>
        <v>0</v>
      </c>
    </row>
    <row r="2191" spans="1:23" x14ac:dyDescent="0.25">
      <c r="A2191" t="s">
        <v>418</v>
      </c>
      <c r="B2191">
        <v>2010</v>
      </c>
      <c r="C2191" t="s">
        <v>273</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COUNT(LifeExpectancyData[[#This Row],[Life expectancy]:[Schooling]])=19</f>
        <v>0</v>
      </c>
    </row>
    <row r="2192" spans="1:23" x14ac:dyDescent="0.25">
      <c r="A2192" t="s">
        <v>418</v>
      </c>
      <c r="B2192">
        <v>2009</v>
      </c>
      <c r="C2192" t="s">
        <v>273</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COUNT(LifeExpectancyData[[#This Row],[Life expectancy]:[Schooling]])=19</f>
        <v>0</v>
      </c>
    </row>
    <row r="2193" spans="1:23" x14ac:dyDescent="0.25">
      <c r="A2193" t="s">
        <v>418</v>
      </c>
      <c r="B2193">
        <v>2008</v>
      </c>
      <c r="C2193" t="s">
        <v>273</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COUNT(LifeExpectancyData[[#This Row],[Life expectancy]:[Schooling]])=19</f>
        <v>0</v>
      </c>
    </row>
    <row r="2194" spans="1:23" x14ac:dyDescent="0.25">
      <c r="A2194" t="s">
        <v>418</v>
      </c>
      <c r="B2194">
        <v>2007</v>
      </c>
      <c r="C2194" t="s">
        <v>273</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COUNT(LifeExpectancyData[[#This Row],[Life expectancy]:[Schooling]])=19</f>
        <v>0</v>
      </c>
    </row>
    <row r="2195" spans="1:23" x14ac:dyDescent="0.25">
      <c r="A2195" t="s">
        <v>418</v>
      </c>
      <c r="B2195">
        <v>2006</v>
      </c>
      <c r="C2195" t="s">
        <v>273</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COUNT(LifeExpectancyData[[#This Row],[Life expectancy]:[Schooling]])=19</f>
        <v>0</v>
      </c>
    </row>
    <row r="2196" spans="1:23" x14ac:dyDescent="0.25">
      <c r="A2196" t="s">
        <v>418</v>
      </c>
      <c r="B2196">
        <v>2005</v>
      </c>
      <c r="C2196" t="s">
        <v>273</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COUNT(LifeExpectancyData[[#This Row],[Life expectancy]:[Schooling]])=19</f>
        <v>0</v>
      </c>
    </row>
    <row r="2197" spans="1:23" x14ac:dyDescent="0.25">
      <c r="A2197" t="s">
        <v>418</v>
      </c>
      <c r="B2197">
        <v>2004</v>
      </c>
      <c r="C2197" t="s">
        <v>273</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COUNT(LifeExpectancyData[[#This Row],[Life expectancy]:[Schooling]])=19</f>
        <v>0</v>
      </c>
    </row>
    <row r="2198" spans="1:23" x14ac:dyDescent="0.25">
      <c r="A2198" t="s">
        <v>418</v>
      </c>
      <c r="B2198">
        <v>2003</v>
      </c>
      <c r="C2198" t="s">
        <v>273</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COUNT(LifeExpectancyData[[#This Row],[Life expectancy]:[Schooling]])=19</f>
        <v>0</v>
      </c>
    </row>
    <row r="2199" spans="1:23" x14ac:dyDescent="0.25">
      <c r="A2199" t="s">
        <v>418</v>
      </c>
      <c r="B2199">
        <v>2002</v>
      </c>
      <c r="C2199" t="s">
        <v>273</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COUNT(LifeExpectancyData[[#This Row],[Life expectancy]:[Schooling]])=19</f>
        <v>0</v>
      </c>
    </row>
    <row r="2200" spans="1:23" x14ac:dyDescent="0.25">
      <c r="A2200" t="s">
        <v>418</v>
      </c>
      <c r="B2200">
        <v>2001</v>
      </c>
      <c r="C2200" t="s">
        <v>273</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COUNT(LifeExpectancyData[[#This Row],[Life expectancy]:[Schooling]])=19</f>
        <v>0</v>
      </c>
    </row>
    <row r="2201" spans="1:23" x14ac:dyDescent="0.25">
      <c r="A2201" t="s">
        <v>418</v>
      </c>
      <c r="B2201">
        <v>2000</v>
      </c>
      <c r="C2201" t="s">
        <v>273</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COUNT(LifeExpectancyData[[#This Row],[Life expectancy]:[Schooling]])=19</f>
        <v>0</v>
      </c>
    </row>
    <row r="2202" spans="1:23" x14ac:dyDescent="0.25">
      <c r="A2202" t="s">
        <v>419</v>
      </c>
      <c r="B2202">
        <v>2015</v>
      </c>
      <c r="C2202" t="s">
        <v>273</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COUNT(LifeExpectancyData[[#This Row],[Life expectancy]:[Schooling]])=19</f>
        <v>0</v>
      </c>
    </row>
    <row r="2203" spans="1:23" x14ac:dyDescent="0.25">
      <c r="A2203" t="s">
        <v>419</v>
      </c>
      <c r="B2203">
        <v>2014</v>
      </c>
      <c r="C2203" t="s">
        <v>273</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COUNT(LifeExpectancyData[[#This Row],[Life expectancy]:[Schooling]])=19</f>
        <v>1</v>
      </c>
    </row>
    <row r="2204" spans="1:23" x14ac:dyDescent="0.25">
      <c r="A2204" t="s">
        <v>419</v>
      </c>
      <c r="B2204">
        <v>2013</v>
      </c>
      <c r="C2204" t="s">
        <v>273</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COUNT(LifeExpectancyData[[#This Row],[Life expectancy]:[Schooling]])=19</f>
        <v>1</v>
      </c>
    </row>
    <row r="2205" spans="1:23" x14ac:dyDescent="0.25">
      <c r="A2205" t="s">
        <v>419</v>
      </c>
      <c r="B2205">
        <v>2012</v>
      </c>
      <c r="C2205" t="s">
        <v>273</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COUNT(LifeExpectancyData[[#This Row],[Life expectancy]:[Schooling]])=19</f>
        <v>1</v>
      </c>
    </row>
    <row r="2206" spans="1:23" x14ac:dyDescent="0.25">
      <c r="A2206" t="s">
        <v>419</v>
      </c>
      <c r="B2206">
        <v>2011</v>
      </c>
      <c r="C2206" t="s">
        <v>273</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COUNT(LifeExpectancyData[[#This Row],[Life expectancy]:[Schooling]])=19</f>
        <v>1</v>
      </c>
    </row>
    <row r="2207" spans="1:23" x14ac:dyDescent="0.25">
      <c r="A2207" t="s">
        <v>419</v>
      </c>
      <c r="B2207">
        <v>2010</v>
      </c>
      <c r="C2207" t="s">
        <v>273</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COUNT(LifeExpectancyData[[#This Row],[Life expectancy]:[Schooling]])=19</f>
        <v>1</v>
      </c>
    </row>
    <row r="2208" spans="1:23" x14ac:dyDescent="0.25">
      <c r="A2208" t="s">
        <v>419</v>
      </c>
      <c r="B2208">
        <v>2009</v>
      </c>
      <c r="C2208" t="s">
        <v>273</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COUNT(LifeExpectancyData[[#This Row],[Life expectancy]:[Schooling]])=19</f>
        <v>1</v>
      </c>
    </row>
    <row r="2209" spans="1:23" x14ac:dyDescent="0.25">
      <c r="A2209" t="s">
        <v>419</v>
      </c>
      <c r="B2209">
        <v>2008</v>
      </c>
      <c r="C2209" t="s">
        <v>273</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COUNT(LifeExpectancyData[[#This Row],[Life expectancy]:[Schooling]])=19</f>
        <v>1</v>
      </c>
    </row>
    <row r="2210" spans="1:23" x14ac:dyDescent="0.25">
      <c r="A2210" t="s">
        <v>419</v>
      </c>
      <c r="B2210">
        <v>2007</v>
      </c>
      <c r="C2210" t="s">
        <v>273</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COUNT(LifeExpectancyData[[#This Row],[Life expectancy]:[Schooling]])=19</f>
        <v>1</v>
      </c>
    </row>
    <row r="2211" spans="1:23" x14ac:dyDescent="0.25">
      <c r="A2211" t="s">
        <v>419</v>
      </c>
      <c r="B2211">
        <v>2006</v>
      </c>
      <c r="C2211" t="s">
        <v>273</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COUNT(LifeExpectancyData[[#This Row],[Life expectancy]:[Schooling]])=19</f>
        <v>1</v>
      </c>
    </row>
    <row r="2212" spans="1:23" x14ac:dyDescent="0.25">
      <c r="A2212" t="s">
        <v>419</v>
      </c>
      <c r="B2212">
        <v>2005</v>
      </c>
      <c r="C2212" t="s">
        <v>273</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COUNT(LifeExpectancyData[[#This Row],[Life expectancy]:[Schooling]])=19</f>
        <v>1</v>
      </c>
    </row>
    <row r="2213" spans="1:23" x14ac:dyDescent="0.25">
      <c r="A2213" t="s">
        <v>419</v>
      </c>
      <c r="B2213">
        <v>2004</v>
      </c>
      <c r="C2213" t="s">
        <v>273</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COUNT(LifeExpectancyData[[#This Row],[Life expectancy]:[Schooling]])=19</f>
        <v>1</v>
      </c>
    </row>
    <row r="2214" spans="1:23" x14ac:dyDescent="0.25">
      <c r="A2214" t="s">
        <v>419</v>
      </c>
      <c r="B2214">
        <v>2003</v>
      </c>
      <c r="C2214" t="s">
        <v>273</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COUNT(LifeExpectancyData[[#This Row],[Life expectancy]:[Schooling]])=19</f>
        <v>1</v>
      </c>
    </row>
    <row r="2215" spans="1:23" x14ac:dyDescent="0.25">
      <c r="A2215" t="s">
        <v>419</v>
      </c>
      <c r="B2215">
        <v>2002</v>
      </c>
      <c r="C2215" t="s">
        <v>273</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COUNT(LifeExpectancyData[[#This Row],[Life expectancy]:[Schooling]])=19</f>
        <v>1</v>
      </c>
    </row>
    <row r="2216" spans="1:23" x14ac:dyDescent="0.25">
      <c r="A2216" t="s">
        <v>419</v>
      </c>
      <c r="B2216">
        <v>2001</v>
      </c>
      <c r="C2216" t="s">
        <v>273</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COUNT(LifeExpectancyData[[#This Row],[Life expectancy]:[Schooling]])=19</f>
        <v>1</v>
      </c>
    </row>
    <row r="2217" spans="1:23" x14ac:dyDescent="0.25">
      <c r="A2217" t="s">
        <v>419</v>
      </c>
      <c r="B2217">
        <v>2000</v>
      </c>
      <c r="C2217" t="s">
        <v>273</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COUNT(LifeExpectancyData[[#This Row],[Life expectancy]:[Schooling]])=19</f>
        <v>1</v>
      </c>
    </row>
    <row r="2218" spans="1:23" x14ac:dyDescent="0.25">
      <c r="A2218" t="s">
        <v>420</v>
      </c>
      <c r="B2218">
        <v>2013</v>
      </c>
      <c r="C2218" t="s">
        <v>273</v>
      </c>
      <c r="F2218">
        <v>0</v>
      </c>
      <c r="G2218">
        <v>0.01</v>
      </c>
      <c r="H2218">
        <v>0</v>
      </c>
      <c r="I2218">
        <v>69</v>
      </c>
      <c r="J2218">
        <v>0</v>
      </c>
      <c r="L2218">
        <v>0</v>
      </c>
      <c r="M2218">
        <v>69</v>
      </c>
      <c r="N2218">
        <v>6.5</v>
      </c>
      <c r="O2218">
        <v>69</v>
      </c>
      <c r="P2218">
        <v>0.1</v>
      </c>
      <c r="V2218">
        <v>15.1</v>
      </c>
      <c r="W2218" t="b">
        <f>COUNT(LifeExpectancyData[[#This Row],[Life expectancy]:[Schooling]])=19</f>
        <v>0</v>
      </c>
    </row>
    <row r="2219" spans="1:23" x14ac:dyDescent="0.25">
      <c r="A2219" t="s">
        <v>421</v>
      </c>
      <c r="B2219">
        <v>2015</v>
      </c>
      <c r="C2219" t="s">
        <v>273</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COUNT(LifeExpectancyData[[#This Row],[Life expectancy]:[Schooling]])=19</f>
        <v>0</v>
      </c>
    </row>
    <row r="2220" spans="1:23" x14ac:dyDescent="0.25">
      <c r="A2220" t="s">
        <v>421</v>
      </c>
      <c r="B2220">
        <v>2014</v>
      </c>
      <c r="C2220" t="s">
        <v>273</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COUNT(LifeExpectancyData[[#This Row],[Life expectancy]:[Schooling]])=19</f>
        <v>1</v>
      </c>
    </row>
    <row r="2221" spans="1:23" x14ac:dyDescent="0.25">
      <c r="A2221" t="s">
        <v>421</v>
      </c>
      <c r="B2221">
        <v>2013</v>
      </c>
      <c r="C2221" t="s">
        <v>273</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COUNT(LifeExpectancyData[[#This Row],[Life expectancy]:[Schooling]])=19</f>
        <v>1</v>
      </c>
    </row>
    <row r="2222" spans="1:23" x14ac:dyDescent="0.25">
      <c r="A2222" t="s">
        <v>421</v>
      </c>
      <c r="B2222">
        <v>2012</v>
      </c>
      <c r="C2222" t="s">
        <v>273</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COUNT(LifeExpectancyData[[#This Row],[Life expectancy]:[Schooling]])=19</f>
        <v>1</v>
      </c>
    </row>
    <row r="2223" spans="1:23" x14ac:dyDescent="0.25">
      <c r="A2223" t="s">
        <v>421</v>
      </c>
      <c r="B2223">
        <v>2011</v>
      </c>
      <c r="C2223" t="s">
        <v>273</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COUNT(LifeExpectancyData[[#This Row],[Life expectancy]:[Schooling]])=19</f>
        <v>1</v>
      </c>
    </row>
    <row r="2224" spans="1:23" x14ac:dyDescent="0.25">
      <c r="A2224" t="s">
        <v>421</v>
      </c>
      <c r="B2224">
        <v>2010</v>
      </c>
      <c r="C2224" t="s">
        <v>273</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COUNT(LifeExpectancyData[[#This Row],[Life expectancy]:[Schooling]])=19</f>
        <v>1</v>
      </c>
    </row>
    <row r="2225" spans="1:23" x14ac:dyDescent="0.25">
      <c r="A2225" t="s">
        <v>421</v>
      </c>
      <c r="B2225">
        <v>2009</v>
      </c>
      <c r="C2225" t="s">
        <v>273</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COUNT(LifeExpectancyData[[#This Row],[Life expectancy]:[Schooling]])=19</f>
        <v>1</v>
      </c>
    </row>
    <row r="2226" spans="1:23" x14ac:dyDescent="0.25">
      <c r="A2226" t="s">
        <v>421</v>
      </c>
      <c r="B2226">
        <v>2008</v>
      </c>
      <c r="C2226" t="s">
        <v>273</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COUNT(LifeExpectancyData[[#This Row],[Life expectancy]:[Schooling]])=19</f>
        <v>1</v>
      </c>
    </row>
    <row r="2227" spans="1:23" x14ac:dyDescent="0.25">
      <c r="A2227" t="s">
        <v>421</v>
      </c>
      <c r="B2227">
        <v>2007</v>
      </c>
      <c r="C2227" t="s">
        <v>273</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COUNT(LifeExpectancyData[[#This Row],[Life expectancy]:[Schooling]])=19</f>
        <v>1</v>
      </c>
    </row>
    <row r="2228" spans="1:23" x14ac:dyDescent="0.25">
      <c r="A2228" t="s">
        <v>421</v>
      </c>
      <c r="B2228">
        <v>2006</v>
      </c>
      <c r="C2228" t="s">
        <v>273</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COUNT(LifeExpectancyData[[#This Row],[Life expectancy]:[Schooling]])=19</f>
        <v>1</v>
      </c>
    </row>
    <row r="2229" spans="1:23" x14ac:dyDescent="0.25">
      <c r="A2229" t="s">
        <v>421</v>
      </c>
      <c r="B2229">
        <v>2005</v>
      </c>
      <c r="C2229" t="s">
        <v>273</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COUNT(LifeExpectancyData[[#This Row],[Life expectancy]:[Schooling]])=19</f>
        <v>1</v>
      </c>
    </row>
    <row r="2230" spans="1:23" x14ac:dyDescent="0.25">
      <c r="A2230" t="s">
        <v>421</v>
      </c>
      <c r="B2230">
        <v>2004</v>
      </c>
      <c r="C2230" t="s">
        <v>273</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COUNT(LifeExpectancyData[[#This Row],[Life expectancy]:[Schooling]])=19</f>
        <v>1</v>
      </c>
    </row>
    <row r="2231" spans="1:23" x14ac:dyDescent="0.25">
      <c r="A2231" t="s">
        <v>421</v>
      </c>
      <c r="B2231">
        <v>2003</v>
      </c>
      <c r="C2231" t="s">
        <v>273</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COUNT(LifeExpectancyData[[#This Row],[Life expectancy]:[Schooling]])=19</f>
        <v>1</v>
      </c>
    </row>
    <row r="2232" spans="1:23" x14ac:dyDescent="0.25">
      <c r="A2232" t="s">
        <v>421</v>
      </c>
      <c r="B2232">
        <v>2002</v>
      </c>
      <c r="C2232" t="s">
        <v>273</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COUNT(LifeExpectancyData[[#This Row],[Life expectancy]:[Schooling]])=19</f>
        <v>0</v>
      </c>
    </row>
    <row r="2233" spans="1:23" x14ac:dyDescent="0.25">
      <c r="A2233" t="s">
        <v>421</v>
      </c>
      <c r="B2233">
        <v>2001</v>
      </c>
      <c r="C2233" t="s">
        <v>273</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COUNT(LifeExpectancyData[[#This Row],[Life expectancy]:[Schooling]])=19</f>
        <v>0</v>
      </c>
    </row>
    <row r="2234" spans="1:23" x14ac:dyDescent="0.25">
      <c r="A2234" t="s">
        <v>421</v>
      </c>
      <c r="B2234">
        <v>2000</v>
      </c>
      <c r="C2234" t="s">
        <v>273</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COUNT(LifeExpectancyData[[#This Row],[Life expectancy]:[Schooling]])=19</f>
        <v>0</v>
      </c>
    </row>
    <row r="2235" spans="1:23" x14ac:dyDescent="0.25">
      <c r="A2235" t="s">
        <v>422</v>
      </c>
      <c r="B2235">
        <v>2015</v>
      </c>
      <c r="C2235" t="s">
        <v>273</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COUNT(LifeExpectancyData[[#This Row],[Life expectancy]:[Schooling]])=19</f>
        <v>0</v>
      </c>
    </row>
    <row r="2236" spans="1:23" x14ac:dyDescent="0.25">
      <c r="A2236" t="s">
        <v>422</v>
      </c>
      <c r="B2236">
        <v>2014</v>
      </c>
      <c r="C2236" t="s">
        <v>273</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COUNT(LifeExpectancyData[[#This Row],[Life expectancy]:[Schooling]])=19</f>
        <v>0</v>
      </c>
    </row>
    <row r="2237" spans="1:23" x14ac:dyDescent="0.25">
      <c r="A2237" t="s">
        <v>422</v>
      </c>
      <c r="B2237">
        <v>2013</v>
      </c>
      <c r="C2237" t="s">
        <v>273</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COUNT(LifeExpectancyData[[#This Row],[Life expectancy]:[Schooling]])=19</f>
        <v>0</v>
      </c>
    </row>
    <row r="2238" spans="1:23" x14ac:dyDescent="0.25">
      <c r="A2238" t="s">
        <v>422</v>
      </c>
      <c r="B2238">
        <v>2012</v>
      </c>
      <c r="C2238" t="s">
        <v>273</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COUNT(LifeExpectancyData[[#This Row],[Life expectancy]:[Schooling]])=19</f>
        <v>0</v>
      </c>
    </row>
    <row r="2239" spans="1:23" x14ac:dyDescent="0.25">
      <c r="A2239" t="s">
        <v>422</v>
      </c>
      <c r="B2239">
        <v>2011</v>
      </c>
      <c r="C2239" t="s">
        <v>273</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COUNT(LifeExpectancyData[[#This Row],[Life expectancy]:[Schooling]])=19</f>
        <v>0</v>
      </c>
    </row>
    <row r="2240" spans="1:23" x14ac:dyDescent="0.25">
      <c r="A2240" t="s">
        <v>422</v>
      </c>
      <c r="B2240">
        <v>2010</v>
      </c>
      <c r="C2240" t="s">
        <v>273</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COUNT(LifeExpectancyData[[#This Row],[Life expectancy]:[Schooling]])=19</f>
        <v>0</v>
      </c>
    </row>
    <row r="2241" spans="1:23" x14ac:dyDescent="0.25">
      <c r="A2241" t="s">
        <v>422</v>
      </c>
      <c r="B2241">
        <v>2009</v>
      </c>
      <c r="C2241" t="s">
        <v>273</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COUNT(LifeExpectancyData[[#This Row],[Life expectancy]:[Schooling]])=19</f>
        <v>0</v>
      </c>
    </row>
    <row r="2242" spans="1:23" x14ac:dyDescent="0.25">
      <c r="A2242" t="s">
        <v>422</v>
      </c>
      <c r="B2242">
        <v>2008</v>
      </c>
      <c r="C2242" t="s">
        <v>273</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COUNT(LifeExpectancyData[[#This Row],[Life expectancy]:[Schooling]])=19</f>
        <v>0</v>
      </c>
    </row>
    <row r="2243" spans="1:23" x14ac:dyDescent="0.25">
      <c r="A2243" t="s">
        <v>422</v>
      </c>
      <c r="B2243">
        <v>2007</v>
      </c>
      <c r="C2243" t="s">
        <v>273</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COUNT(LifeExpectancyData[[#This Row],[Life expectancy]:[Schooling]])=19</f>
        <v>0</v>
      </c>
    </row>
    <row r="2244" spans="1:23" x14ac:dyDescent="0.25">
      <c r="A2244" t="s">
        <v>422</v>
      </c>
      <c r="B2244">
        <v>2006</v>
      </c>
      <c r="C2244" t="s">
        <v>273</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COUNT(LifeExpectancyData[[#This Row],[Life expectancy]:[Schooling]])=19</f>
        <v>0</v>
      </c>
    </row>
    <row r="2245" spans="1:23" x14ac:dyDescent="0.25">
      <c r="A2245" t="s">
        <v>422</v>
      </c>
      <c r="B2245">
        <v>2005</v>
      </c>
      <c r="C2245" t="s">
        <v>273</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COUNT(LifeExpectancyData[[#This Row],[Life expectancy]:[Schooling]])=19</f>
        <v>0</v>
      </c>
    </row>
    <row r="2246" spans="1:23" x14ac:dyDescent="0.25">
      <c r="A2246" t="s">
        <v>422</v>
      </c>
      <c r="B2246">
        <v>2004</v>
      </c>
      <c r="C2246" t="s">
        <v>273</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COUNT(LifeExpectancyData[[#This Row],[Life expectancy]:[Schooling]])=19</f>
        <v>0</v>
      </c>
    </row>
    <row r="2247" spans="1:23" x14ac:dyDescent="0.25">
      <c r="A2247" t="s">
        <v>422</v>
      </c>
      <c r="B2247">
        <v>2003</v>
      </c>
      <c r="C2247" t="s">
        <v>273</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COUNT(LifeExpectancyData[[#This Row],[Life expectancy]:[Schooling]])=19</f>
        <v>0</v>
      </c>
    </row>
    <row r="2248" spans="1:23" x14ac:dyDescent="0.25">
      <c r="A2248" t="s">
        <v>422</v>
      </c>
      <c r="B2248">
        <v>2002</v>
      </c>
      <c r="C2248" t="s">
        <v>273</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COUNT(LifeExpectancyData[[#This Row],[Life expectancy]:[Schooling]])=19</f>
        <v>0</v>
      </c>
    </row>
    <row r="2249" spans="1:23" x14ac:dyDescent="0.25">
      <c r="A2249" t="s">
        <v>422</v>
      </c>
      <c r="B2249">
        <v>2001</v>
      </c>
      <c r="C2249" t="s">
        <v>273</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COUNT(LifeExpectancyData[[#This Row],[Life expectancy]:[Schooling]])=19</f>
        <v>0</v>
      </c>
    </row>
    <row r="2250" spans="1:23" x14ac:dyDescent="0.25">
      <c r="A2250" t="s">
        <v>422</v>
      </c>
      <c r="B2250">
        <v>2000</v>
      </c>
      <c r="C2250" t="s">
        <v>273</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COUNT(LifeExpectancyData[[#This Row],[Life expectancy]:[Schooling]])=19</f>
        <v>0</v>
      </c>
    </row>
    <row r="2251" spans="1:23" x14ac:dyDescent="0.25">
      <c r="A2251" t="s">
        <v>423</v>
      </c>
      <c r="B2251">
        <v>2015</v>
      </c>
      <c r="C2251" t="s">
        <v>273</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COUNT(LifeExpectancyData[[#This Row],[Life expectancy]:[Schooling]])=19</f>
        <v>0</v>
      </c>
    </row>
    <row r="2252" spans="1:23" x14ac:dyDescent="0.25">
      <c r="A2252" t="s">
        <v>423</v>
      </c>
      <c r="B2252">
        <v>2014</v>
      </c>
      <c r="C2252" t="s">
        <v>273</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COUNT(LifeExpectancyData[[#This Row],[Life expectancy]:[Schooling]])=19</f>
        <v>1</v>
      </c>
    </row>
    <row r="2253" spans="1:23" x14ac:dyDescent="0.25">
      <c r="A2253" t="s">
        <v>423</v>
      </c>
      <c r="B2253">
        <v>2013</v>
      </c>
      <c r="C2253" t="s">
        <v>273</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COUNT(LifeExpectancyData[[#This Row],[Life expectancy]:[Schooling]])=19</f>
        <v>1</v>
      </c>
    </row>
    <row r="2254" spans="1:23" x14ac:dyDescent="0.25">
      <c r="A2254" t="s">
        <v>423</v>
      </c>
      <c r="B2254">
        <v>2012</v>
      </c>
      <c r="C2254" t="s">
        <v>273</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COUNT(LifeExpectancyData[[#This Row],[Life expectancy]:[Schooling]])=19</f>
        <v>1</v>
      </c>
    </row>
    <row r="2255" spans="1:23" x14ac:dyDescent="0.25">
      <c r="A2255" t="s">
        <v>423</v>
      </c>
      <c r="B2255">
        <v>2011</v>
      </c>
      <c r="C2255" t="s">
        <v>273</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COUNT(LifeExpectancyData[[#This Row],[Life expectancy]:[Schooling]])=19</f>
        <v>1</v>
      </c>
    </row>
    <row r="2256" spans="1:23" x14ac:dyDescent="0.25">
      <c r="A2256" t="s">
        <v>423</v>
      </c>
      <c r="B2256">
        <v>2010</v>
      </c>
      <c r="C2256" t="s">
        <v>273</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COUNT(LifeExpectancyData[[#This Row],[Life expectancy]:[Schooling]])=19</f>
        <v>1</v>
      </c>
    </row>
    <row r="2257" spans="1:23" x14ac:dyDescent="0.25">
      <c r="A2257" t="s">
        <v>423</v>
      </c>
      <c r="B2257">
        <v>2009</v>
      </c>
      <c r="C2257" t="s">
        <v>273</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COUNT(LifeExpectancyData[[#This Row],[Life expectancy]:[Schooling]])=19</f>
        <v>1</v>
      </c>
    </row>
    <row r="2258" spans="1:23" x14ac:dyDescent="0.25">
      <c r="A2258" t="s">
        <v>423</v>
      </c>
      <c r="B2258">
        <v>2008</v>
      </c>
      <c r="C2258" t="s">
        <v>273</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COUNT(LifeExpectancyData[[#This Row],[Life expectancy]:[Schooling]])=19</f>
        <v>1</v>
      </c>
    </row>
    <row r="2259" spans="1:23" x14ac:dyDescent="0.25">
      <c r="A2259" t="s">
        <v>423</v>
      </c>
      <c r="B2259">
        <v>2007</v>
      </c>
      <c r="C2259" t="s">
        <v>273</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COUNT(LifeExpectancyData[[#This Row],[Life expectancy]:[Schooling]])=19</f>
        <v>1</v>
      </c>
    </row>
    <row r="2260" spans="1:23" x14ac:dyDescent="0.25">
      <c r="A2260" t="s">
        <v>423</v>
      </c>
      <c r="B2260">
        <v>2006</v>
      </c>
      <c r="C2260" t="s">
        <v>273</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COUNT(LifeExpectancyData[[#This Row],[Life expectancy]:[Schooling]])=19</f>
        <v>1</v>
      </c>
    </row>
    <row r="2261" spans="1:23" x14ac:dyDescent="0.25">
      <c r="A2261" t="s">
        <v>423</v>
      </c>
      <c r="B2261">
        <v>2005</v>
      </c>
      <c r="C2261" t="s">
        <v>273</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COUNT(LifeExpectancyData[[#This Row],[Life expectancy]:[Schooling]])=19</f>
        <v>1</v>
      </c>
    </row>
    <row r="2262" spans="1:23" x14ac:dyDescent="0.25">
      <c r="A2262" t="s">
        <v>423</v>
      </c>
      <c r="B2262">
        <v>2004</v>
      </c>
      <c r="C2262" t="s">
        <v>273</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COUNT(LifeExpectancyData[[#This Row],[Life expectancy]:[Schooling]])=19</f>
        <v>1</v>
      </c>
    </row>
    <row r="2263" spans="1:23" x14ac:dyDescent="0.25">
      <c r="A2263" t="s">
        <v>423</v>
      </c>
      <c r="B2263">
        <v>2003</v>
      </c>
      <c r="C2263" t="s">
        <v>273</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COUNT(LifeExpectancyData[[#This Row],[Life expectancy]:[Schooling]])=19</f>
        <v>0</v>
      </c>
    </row>
    <row r="2264" spans="1:23" x14ac:dyDescent="0.25">
      <c r="A2264" t="s">
        <v>423</v>
      </c>
      <c r="B2264">
        <v>2002</v>
      </c>
      <c r="C2264" t="s">
        <v>273</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COUNT(LifeExpectancyData[[#This Row],[Life expectancy]:[Schooling]])=19</f>
        <v>0</v>
      </c>
    </row>
    <row r="2265" spans="1:23" x14ac:dyDescent="0.25">
      <c r="A2265" t="s">
        <v>423</v>
      </c>
      <c r="B2265">
        <v>2001</v>
      </c>
      <c r="C2265" t="s">
        <v>273</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COUNT(LifeExpectancyData[[#This Row],[Life expectancy]:[Schooling]])=19</f>
        <v>0</v>
      </c>
    </row>
    <row r="2266" spans="1:23" x14ac:dyDescent="0.25">
      <c r="A2266" t="s">
        <v>423</v>
      </c>
      <c r="B2266">
        <v>2000</v>
      </c>
      <c r="C2266" t="s">
        <v>273</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COUNT(LifeExpectancyData[[#This Row],[Life expectancy]:[Schooling]])=19</f>
        <v>0</v>
      </c>
    </row>
    <row r="2267" spans="1:23" x14ac:dyDescent="0.25">
      <c r="A2267" t="s">
        <v>424</v>
      </c>
      <c r="B2267">
        <v>2015</v>
      </c>
      <c r="C2267" t="s">
        <v>273</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COUNT(LifeExpectancyData[[#This Row],[Life expectancy]:[Schooling]])=19</f>
        <v>0</v>
      </c>
    </row>
    <row r="2268" spans="1:23" x14ac:dyDescent="0.25">
      <c r="A2268" t="s">
        <v>424</v>
      </c>
      <c r="B2268">
        <v>2014</v>
      </c>
      <c r="C2268" t="s">
        <v>273</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COUNT(LifeExpectancyData[[#This Row],[Life expectancy]:[Schooling]])=19</f>
        <v>1</v>
      </c>
    </row>
    <row r="2269" spans="1:23" x14ac:dyDescent="0.25">
      <c r="A2269" t="s">
        <v>424</v>
      </c>
      <c r="B2269">
        <v>2013</v>
      </c>
      <c r="C2269" t="s">
        <v>273</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COUNT(LifeExpectancyData[[#This Row],[Life expectancy]:[Schooling]])=19</f>
        <v>1</v>
      </c>
    </row>
    <row r="2270" spans="1:23" x14ac:dyDescent="0.25">
      <c r="A2270" t="s">
        <v>424</v>
      </c>
      <c r="B2270">
        <v>2012</v>
      </c>
      <c r="C2270" t="s">
        <v>273</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COUNT(LifeExpectancyData[[#This Row],[Life expectancy]:[Schooling]])=19</f>
        <v>1</v>
      </c>
    </row>
    <row r="2271" spans="1:23" x14ac:dyDescent="0.25">
      <c r="A2271" t="s">
        <v>424</v>
      </c>
      <c r="B2271">
        <v>2011</v>
      </c>
      <c r="C2271" t="s">
        <v>273</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COUNT(LifeExpectancyData[[#This Row],[Life expectancy]:[Schooling]])=19</f>
        <v>1</v>
      </c>
    </row>
    <row r="2272" spans="1:23" x14ac:dyDescent="0.25">
      <c r="A2272" t="s">
        <v>424</v>
      </c>
      <c r="B2272">
        <v>2010</v>
      </c>
      <c r="C2272" t="s">
        <v>273</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COUNT(LifeExpectancyData[[#This Row],[Life expectancy]:[Schooling]])=19</f>
        <v>1</v>
      </c>
    </row>
    <row r="2273" spans="1:23" x14ac:dyDescent="0.25">
      <c r="A2273" t="s">
        <v>424</v>
      </c>
      <c r="B2273">
        <v>2009</v>
      </c>
      <c r="C2273" t="s">
        <v>273</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COUNT(LifeExpectancyData[[#This Row],[Life expectancy]:[Schooling]])=19</f>
        <v>1</v>
      </c>
    </row>
    <row r="2274" spans="1:23" x14ac:dyDescent="0.25">
      <c r="A2274" t="s">
        <v>424</v>
      </c>
      <c r="B2274">
        <v>2008</v>
      </c>
      <c r="C2274" t="s">
        <v>273</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COUNT(LifeExpectancyData[[#This Row],[Life expectancy]:[Schooling]])=19</f>
        <v>1</v>
      </c>
    </row>
    <row r="2275" spans="1:23" x14ac:dyDescent="0.25">
      <c r="A2275" t="s">
        <v>424</v>
      </c>
      <c r="B2275">
        <v>2007</v>
      </c>
      <c r="C2275" t="s">
        <v>273</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COUNT(LifeExpectancyData[[#This Row],[Life expectancy]:[Schooling]])=19</f>
        <v>1</v>
      </c>
    </row>
    <row r="2276" spans="1:23" x14ac:dyDescent="0.25">
      <c r="A2276" t="s">
        <v>424</v>
      </c>
      <c r="B2276">
        <v>2006</v>
      </c>
      <c r="C2276" t="s">
        <v>273</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COUNT(LifeExpectancyData[[#This Row],[Life expectancy]:[Schooling]])=19</f>
        <v>1</v>
      </c>
    </row>
    <row r="2277" spans="1:23" x14ac:dyDescent="0.25">
      <c r="A2277" t="s">
        <v>424</v>
      </c>
      <c r="B2277">
        <v>2005</v>
      </c>
      <c r="C2277" t="s">
        <v>273</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COUNT(LifeExpectancyData[[#This Row],[Life expectancy]:[Schooling]])=19</f>
        <v>1</v>
      </c>
    </row>
    <row r="2278" spans="1:23" x14ac:dyDescent="0.25">
      <c r="A2278" t="s">
        <v>424</v>
      </c>
      <c r="B2278">
        <v>2004</v>
      </c>
      <c r="C2278" t="s">
        <v>273</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COUNT(LifeExpectancyData[[#This Row],[Life expectancy]:[Schooling]])=19</f>
        <v>1</v>
      </c>
    </row>
    <row r="2279" spans="1:23" x14ac:dyDescent="0.25">
      <c r="A2279" t="s">
        <v>424</v>
      </c>
      <c r="B2279">
        <v>2003</v>
      </c>
      <c r="C2279" t="s">
        <v>273</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COUNT(LifeExpectancyData[[#This Row],[Life expectancy]:[Schooling]])=19</f>
        <v>0</v>
      </c>
    </row>
    <row r="2280" spans="1:23" x14ac:dyDescent="0.25">
      <c r="A2280" t="s">
        <v>424</v>
      </c>
      <c r="B2280">
        <v>2002</v>
      </c>
      <c r="C2280" t="s">
        <v>273</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COUNT(LifeExpectancyData[[#This Row],[Life expectancy]:[Schooling]])=19</f>
        <v>0</v>
      </c>
    </row>
    <row r="2281" spans="1:23" x14ac:dyDescent="0.25">
      <c r="A2281" t="s">
        <v>424</v>
      </c>
      <c r="B2281">
        <v>2001</v>
      </c>
      <c r="C2281" t="s">
        <v>273</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COUNT(LifeExpectancyData[[#This Row],[Life expectancy]:[Schooling]])=19</f>
        <v>0</v>
      </c>
    </row>
    <row r="2282" spans="1:23" x14ac:dyDescent="0.25">
      <c r="A2282" t="s">
        <v>424</v>
      </c>
      <c r="B2282">
        <v>2000</v>
      </c>
      <c r="C2282" t="s">
        <v>273</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COUNT(LifeExpectancyData[[#This Row],[Life expectancy]:[Schooling]])=19</f>
        <v>0</v>
      </c>
    </row>
    <row r="2283" spans="1:23" x14ac:dyDescent="0.25">
      <c r="A2283" t="s">
        <v>425</v>
      </c>
      <c r="B2283">
        <v>2015</v>
      </c>
      <c r="C2283" t="s">
        <v>273</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COUNT(LifeExpectancyData[[#This Row],[Life expectancy]:[Schooling]])=19</f>
        <v>0</v>
      </c>
    </row>
    <row r="2284" spans="1:23" x14ac:dyDescent="0.25">
      <c r="A2284" t="s">
        <v>425</v>
      </c>
      <c r="B2284">
        <v>2014</v>
      </c>
      <c r="C2284" t="s">
        <v>273</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COUNT(LifeExpectancyData[[#This Row],[Life expectancy]:[Schooling]])=19</f>
        <v>1</v>
      </c>
    </row>
    <row r="2285" spans="1:23" x14ac:dyDescent="0.25">
      <c r="A2285" t="s">
        <v>425</v>
      </c>
      <c r="B2285">
        <v>2013</v>
      </c>
      <c r="C2285" t="s">
        <v>273</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COUNT(LifeExpectancyData[[#This Row],[Life expectancy]:[Schooling]])=19</f>
        <v>1</v>
      </c>
    </row>
    <row r="2286" spans="1:23" x14ac:dyDescent="0.25">
      <c r="A2286" t="s">
        <v>425</v>
      </c>
      <c r="B2286">
        <v>2012</v>
      </c>
      <c r="C2286" t="s">
        <v>273</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COUNT(LifeExpectancyData[[#This Row],[Life expectancy]:[Schooling]])=19</f>
        <v>1</v>
      </c>
    </row>
    <row r="2287" spans="1:23" x14ac:dyDescent="0.25">
      <c r="A2287" t="s">
        <v>425</v>
      </c>
      <c r="B2287">
        <v>2011</v>
      </c>
      <c r="C2287" t="s">
        <v>273</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COUNT(LifeExpectancyData[[#This Row],[Life expectancy]:[Schooling]])=19</f>
        <v>1</v>
      </c>
    </row>
    <row r="2288" spans="1:23" x14ac:dyDescent="0.25">
      <c r="A2288" t="s">
        <v>425</v>
      </c>
      <c r="B2288">
        <v>2010</v>
      </c>
      <c r="C2288" t="s">
        <v>273</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COUNT(LifeExpectancyData[[#This Row],[Life expectancy]:[Schooling]])=19</f>
        <v>1</v>
      </c>
    </row>
    <row r="2289" spans="1:23" x14ac:dyDescent="0.25">
      <c r="A2289" t="s">
        <v>425</v>
      </c>
      <c r="B2289">
        <v>2009</v>
      </c>
      <c r="C2289" t="s">
        <v>273</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COUNT(LifeExpectancyData[[#This Row],[Life expectancy]:[Schooling]])=19</f>
        <v>1</v>
      </c>
    </row>
    <row r="2290" spans="1:23" x14ac:dyDescent="0.25">
      <c r="A2290" t="s">
        <v>425</v>
      </c>
      <c r="B2290">
        <v>2008</v>
      </c>
      <c r="C2290" t="s">
        <v>273</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COUNT(LifeExpectancyData[[#This Row],[Life expectancy]:[Schooling]])=19</f>
        <v>1</v>
      </c>
    </row>
    <row r="2291" spans="1:23" x14ac:dyDescent="0.25">
      <c r="A2291" t="s">
        <v>425</v>
      </c>
      <c r="B2291">
        <v>2007</v>
      </c>
      <c r="C2291" t="s">
        <v>273</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COUNT(LifeExpectancyData[[#This Row],[Life expectancy]:[Schooling]])=19</f>
        <v>1</v>
      </c>
    </row>
    <row r="2292" spans="1:23" x14ac:dyDescent="0.25">
      <c r="A2292" t="s">
        <v>425</v>
      </c>
      <c r="B2292">
        <v>2006</v>
      </c>
      <c r="C2292" t="s">
        <v>273</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COUNT(LifeExpectancyData[[#This Row],[Life expectancy]:[Schooling]])=19</f>
        <v>1</v>
      </c>
    </row>
    <row r="2293" spans="1:23" x14ac:dyDescent="0.25">
      <c r="A2293" t="s">
        <v>425</v>
      </c>
      <c r="B2293">
        <v>2005</v>
      </c>
      <c r="C2293" t="s">
        <v>273</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COUNT(LifeExpectancyData[[#This Row],[Life expectancy]:[Schooling]])=19</f>
        <v>1</v>
      </c>
    </row>
    <row r="2294" spans="1:23" x14ac:dyDescent="0.25">
      <c r="A2294" t="s">
        <v>425</v>
      </c>
      <c r="B2294">
        <v>2004</v>
      </c>
      <c r="C2294" t="s">
        <v>273</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COUNT(LifeExpectancyData[[#This Row],[Life expectancy]:[Schooling]])=19</f>
        <v>1</v>
      </c>
    </row>
    <row r="2295" spans="1:23" x14ac:dyDescent="0.25">
      <c r="A2295" t="s">
        <v>425</v>
      </c>
      <c r="B2295">
        <v>2003</v>
      </c>
      <c r="C2295" t="s">
        <v>273</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COUNT(LifeExpectancyData[[#This Row],[Life expectancy]:[Schooling]])=19</f>
        <v>1</v>
      </c>
    </row>
    <row r="2296" spans="1:23" x14ac:dyDescent="0.25">
      <c r="A2296" t="s">
        <v>425</v>
      </c>
      <c r="B2296">
        <v>2002</v>
      </c>
      <c r="C2296" t="s">
        <v>273</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COUNT(LifeExpectancyData[[#This Row],[Life expectancy]:[Schooling]])=19</f>
        <v>1</v>
      </c>
    </row>
    <row r="2297" spans="1:23" x14ac:dyDescent="0.25">
      <c r="A2297" t="s">
        <v>425</v>
      </c>
      <c r="B2297">
        <v>2001</v>
      </c>
      <c r="C2297" t="s">
        <v>273</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COUNT(LifeExpectancyData[[#This Row],[Life expectancy]:[Schooling]])=19</f>
        <v>1</v>
      </c>
    </row>
    <row r="2298" spans="1:23" x14ac:dyDescent="0.25">
      <c r="A2298" t="s">
        <v>425</v>
      </c>
      <c r="B2298">
        <v>2000</v>
      </c>
      <c r="C2298" t="s">
        <v>273</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COUNT(LifeExpectancyData[[#This Row],[Life expectancy]:[Schooling]])=19</f>
        <v>1</v>
      </c>
    </row>
    <row r="2299" spans="1:23" x14ac:dyDescent="0.25">
      <c r="A2299" t="s">
        <v>426</v>
      </c>
      <c r="B2299">
        <v>2015</v>
      </c>
      <c r="C2299" t="s">
        <v>273</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COUNT(LifeExpectancyData[[#This Row],[Life expectancy]:[Schooling]])=19</f>
        <v>0</v>
      </c>
    </row>
    <row r="2300" spans="1:23" x14ac:dyDescent="0.25">
      <c r="A2300" t="s">
        <v>426</v>
      </c>
      <c r="B2300">
        <v>2014</v>
      </c>
      <c r="C2300" t="s">
        <v>273</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COUNT(LifeExpectancyData[[#This Row],[Life expectancy]:[Schooling]])=19</f>
        <v>1</v>
      </c>
    </row>
    <row r="2301" spans="1:23" x14ac:dyDescent="0.25">
      <c r="A2301" t="s">
        <v>426</v>
      </c>
      <c r="B2301">
        <v>2013</v>
      </c>
      <c r="C2301" t="s">
        <v>273</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COUNT(LifeExpectancyData[[#This Row],[Life expectancy]:[Schooling]])=19</f>
        <v>1</v>
      </c>
    </row>
    <row r="2302" spans="1:23" x14ac:dyDescent="0.25">
      <c r="A2302" t="s">
        <v>426</v>
      </c>
      <c r="B2302">
        <v>2012</v>
      </c>
      <c r="C2302" t="s">
        <v>273</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COUNT(LifeExpectancyData[[#This Row],[Life expectancy]:[Schooling]])=19</f>
        <v>1</v>
      </c>
    </row>
    <row r="2303" spans="1:23" x14ac:dyDescent="0.25">
      <c r="A2303" t="s">
        <v>426</v>
      </c>
      <c r="B2303">
        <v>2011</v>
      </c>
      <c r="C2303" t="s">
        <v>273</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COUNT(LifeExpectancyData[[#This Row],[Life expectancy]:[Schooling]])=19</f>
        <v>1</v>
      </c>
    </row>
    <row r="2304" spans="1:23" x14ac:dyDescent="0.25">
      <c r="A2304" t="s">
        <v>426</v>
      </c>
      <c r="B2304">
        <v>2010</v>
      </c>
      <c r="C2304" t="s">
        <v>273</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COUNT(LifeExpectancyData[[#This Row],[Life expectancy]:[Schooling]])=19</f>
        <v>1</v>
      </c>
    </row>
    <row r="2305" spans="1:23" x14ac:dyDescent="0.25">
      <c r="A2305" t="s">
        <v>426</v>
      </c>
      <c r="B2305">
        <v>2009</v>
      </c>
      <c r="C2305" t="s">
        <v>273</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COUNT(LifeExpectancyData[[#This Row],[Life expectancy]:[Schooling]])=19</f>
        <v>1</v>
      </c>
    </row>
    <row r="2306" spans="1:23" x14ac:dyDescent="0.25">
      <c r="A2306" t="s">
        <v>426</v>
      </c>
      <c r="B2306">
        <v>2008</v>
      </c>
      <c r="C2306" t="s">
        <v>273</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COUNT(LifeExpectancyData[[#This Row],[Life expectancy]:[Schooling]])=19</f>
        <v>1</v>
      </c>
    </row>
    <row r="2307" spans="1:23" x14ac:dyDescent="0.25">
      <c r="A2307" t="s">
        <v>426</v>
      </c>
      <c r="B2307">
        <v>2007</v>
      </c>
      <c r="C2307" t="s">
        <v>273</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COUNT(LifeExpectancyData[[#This Row],[Life expectancy]:[Schooling]])=19</f>
        <v>1</v>
      </c>
    </row>
    <row r="2308" spans="1:23" x14ac:dyDescent="0.25">
      <c r="A2308" t="s">
        <v>426</v>
      </c>
      <c r="B2308">
        <v>2006</v>
      </c>
      <c r="C2308" t="s">
        <v>273</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COUNT(LifeExpectancyData[[#This Row],[Life expectancy]:[Schooling]])=19</f>
        <v>0</v>
      </c>
    </row>
    <row r="2309" spans="1:23" x14ac:dyDescent="0.25">
      <c r="A2309" t="s">
        <v>426</v>
      </c>
      <c r="B2309">
        <v>2005</v>
      </c>
      <c r="C2309" t="s">
        <v>273</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COUNT(LifeExpectancyData[[#This Row],[Life expectancy]:[Schooling]])=19</f>
        <v>0</v>
      </c>
    </row>
    <row r="2310" spans="1:23" x14ac:dyDescent="0.25">
      <c r="A2310" t="s">
        <v>426</v>
      </c>
      <c r="B2310">
        <v>2004</v>
      </c>
      <c r="C2310" t="s">
        <v>273</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COUNT(LifeExpectancyData[[#This Row],[Life expectancy]:[Schooling]])=19</f>
        <v>0</v>
      </c>
    </row>
    <row r="2311" spans="1:23" x14ac:dyDescent="0.25">
      <c r="A2311" t="s">
        <v>426</v>
      </c>
      <c r="B2311">
        <v>2003</v>
      </c>
      <c r="C2311" t="s">
        <v>273</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COUNT(LifeExpectancyData[[#This Row],[Life expectancy]:[Schooling]])=19</f>
        <v>0</v>
      </c>
    </row>
    <row r="2312" spans="1:23" x14ac:dyDescent="0.25">
      <c r="A2312" t="s">
        <v>426</v>
      </c>
      <c r="B2312">
        <v>2002</v>
      </c>
      <c r="C2312" t="s">
        <v>273</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COUNT(LifeExpectancyData[[#This Row],[Life expectancy]:[Schooling]])=19</f>
        <v>0</v>
      </c>
    </row>
    <row r="2313" spans="1:23" x14ac:dyDescent="0.25">
      <c r="A2313" t="s">
        <v>426</v>
      </c>
      <c r="B2313">
        <v>2001</v>
      </c>
      <c r="C2313" t="s">
        <v>273</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COUNT(LifeExpectancyData[[#This Row],[Life expectancy]:[Schooling]])=19</f>
        <v>0</v>
      </c>
    </row>
    <row r="2314" spans="1:23" x14ac:dyDescent="0.25">
      <c r="A2314" t="s">
        <v>426</v>
      </c>
      <c r="B2314">
        <v>2000</v>
      </c>
      <c r="C2314" t="s">
        <v>273</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COUNT(LifeExpectancyData[[#This Row],[Life expectancy]:[Schooling]])=19</f>
        <v>0</v>
      </c>
    </row>
    <row r="2315" spans="1:23" x14ac:dyDescent="0.25">
      <c r="A2315" t="s">
        <v>427</v>
      </c>
      <c r="B2315">
        <v>2015</v>
      </c>
      <c r="C2315" t="s">
        <v>281</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COUNT(LifeExpectancyData[[#This Row],[Life expectancy]:[Schooling]])=19</f>
        <v>0</v>
      </c>
    </row>
    <row r="2316" spans="1:23" x14ac:dyDescent="0.25">
      <c r="A2316" t="s">
        <v>427</v>
      </c>
      <c r="B2316">
        <v>2014</v>
      </c>
      <c r="C2316" t="s">
        <v>281</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COUNT(LifeExpectancyData[[#This Row],[Life expectancy]:[Schooling]])=19</f>
        <v>0</v>
      </c>
    </row>
    <row r="2317" spans="1:23" x14ac:dyDescent="0.25">
      <c r="A2317" t="s">
        <v>427</v>
      </c>
      <c r="B2317">
        <v>2013</v>
      </c>
      <c r="C2317" t="s">
        <v>281</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COUNT(LifeExpectancyData[[#This Row],[Life expectancy]:[Schooling]])=19</f>
        <v>0</v>
      </c>
    </row>
    <row r="2318" spans="1:23" x14ac:dyDescent="0.25">
      <c r="A2318" t="s">
        <v>427</v>
      </c>
      <c r="B2318">
        <v>2012</v>
      </c>
      <c r="C2318" t="s">
        <v>281</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COUNT(LifeExpectancyData[[#This Row],[Life expectancy]:[Schooling]])=19</f>
        <v>0</v>
      </c>
    </row>
    <row r="2319" spans="1:23" x14ac:dyDescent="0.25">
      <c r="A2319" t="s">
        <v>427</v>
      </c>
      <c r="B2319">
        <v>2011</v>
      </c>
      <c r="C2319" t="s">
        <v>281</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COUNT(LifeExpectancyData[[#This Row],[Life expectancy]:[Schooling]])=19</f>
        <v>0</v>
      </c>
    </row>
    <row r="2320" spans="1:23" x14ac:dyDescent="0.25">
      <c r="A2320" t="s">
        <v>427</v>
      </c>
      <c r="B2320">
        <v>2010</v>
      </c>
      <c r="C2320" t="s">
        <v>281</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COUNT(LifeExpectancyData[[#This Row],[Life expectancy]:[Schooling]])=19</f>
        <v>0</v>
      </c>
    </row>
    <row r="2321" spans="1:23" x14ac:dyDescent="0.25">
      <c r="A2321" t="s">
        <v>427</v>
      </c>
      <c r="B2321">
        <v>2009</v>
      </c>
      <c r="C2321" t="s">
        <v>281</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COUNT(LifeExpectancyData[[#This Row],[Life expectancy]:[Schooling]])=19</f>
        <v>0</v>
      </c>
    </row>
    <row r="2322" spans="1:23" x14ac:dyDescent="0.25">
      <c r="A2322" t="s">
        <v>427</v>
      </c>
      <c r="B2322">
        <v>2008</v>
      </c>
      <c r="C2322" t="s">
        <v>281</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COUNT(LifeExpectancyData[[#This Row],[Life expectancy]:[Schooling]])=19</f>
        <v>0</v>
      </c>
    </row>
    <row r="2323" spans="1:23" x14ac:dyDescent="0.25">
      <c r="A2323" t="s">
        <v>427</v>
      </c>
      <c r="B2323">
        <v>2007</v>
      </c>
      <c r="C2323" t="s">
        <v>281</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COUNT(LifeExpectancyData[[#This Row],[Life expectancy]:[Schooling]])=19</f>
        <v>0</v>
      </c>
    </row>
    <row r="2324" spans="1:23" x14ac:dyDescent="0.25">
      <c r="A2324" t="s">
        <v>427</v>
      </c>
      <c r="B2324">
        <v>2006</v>
      </c>
      <c r="C2324" t="s">
        <v>281</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COUNT(LifeExpectancyData[[#This Row],[Life expectancy]:[Schooling]])=19</f>
        <v>0</v>
      </c>
    </row>
    <row r="2325" spans="1:23" x14ac:dyDescent="0.25">
      <c r="A2325" t="s">
        <v>427</v>
      </c>
      <c r="B2325">
        <v>2005</v>
      </c>
      <c r="C2325" t="s">
        <v>281</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COUNT(LifeExpectancyData[[#This Row],[Life expectancy]:[Schooling]])=19</f>
        <v>0</v>
      </c>
    </row>
    <row r="2326" spans="1:23" x14ac:dyDescent="0.25">
      <c r="A2326" t="s">
        <v>427</v>
      </c>
      <c r="B2326">
        <v>2004</v>
      </c>
      <c r="C2326" t="s">
        <v>281</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COUNT(LifeExpectancyData[[#This Row],[Life expectancy]:[Schooling]])=19</f>
        <v>0</v>
      </c>
    </row>
    <row r="2327" spans="1:23" x14ac:dyDescent="0.25">
      <c r="A2327" t="s">
        <v>427</v>
      </c>
      <c r="B2327">
        <v>2003</v>
      </c>
      <c r="C2327" t="s">
        <v>281</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COUNT(LifeExpectancyData[[#This Row],[Life expectancy]:[Schooling]])=19</f>
        <v>0</v>
      </c>
    </row>
    <row r="2328" spans="1:23" x14ac:dyDescent="0.25">
      <c r="A2328" t="s">
        <v>427</v>
      </c>
      <c r="B2328">
        <v>2002</v>
      </c>
      <c r="C2328" t="s">
        <v>281</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COUNT(LifeExpectancyData[[#This Row],[Life expectancy]:[Schooling]])=19</f>
        <v>0</v>
      </c>
    </row>
    <row r="2329" spans="1:23" x14ac:dyDescent="0.25">
      <c r="A2329" t="s">
        <v>427</v>
      </c>
      <c r="B2329">
        <v>2001</v>
      </c>
      <c r="C2329" t="s">
        <v>281</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COUNT(LifeExpectancyData[[#This Row],[Life expectancy]:[Schooling]])=19</f>
        <v>0</v>
      </c>
    </row>
    <row r="2330" spans="1:23" x14ac:dyDescent="0.25">
      <c r="A2330" t="s">
        <v>427</v>
      </c>
      <c r="B2330">
        <v>2000</v>
      </c>
      <c r="C2330" t="s">
        <v>281</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COUNT(LifeExpectancyData[[#This Row],[Life expectancy]:[Schooling]])=19</f>
        <v>0</v>
      </c>
    </row>
    <row r="2331" spans="1:23" x14ac:dyDescent="0.25">
      <c r="A2331" t="s">
        <v>428</v>
      </c>
      <c r="B2331">
        <v>2015</v>
      </c>
      <c r="C2331" t="s">
        <v>281</v>
      </c>
      <c r="D2331">
        <v>76.7</v>
      </c>
      <c r="E2331">
        <v>19</v>
      </c>
      <c r="F2331">
        <v>0</v>
      </c>
      <c r="H2331">
        <v>0</v>
      </c>
      <c r="I2331">
        <v>96</v>
      </c>
      <c r="J2331">
        <v>1</v>
      </c>
      <c r="K2331">
        <v>59.1</v>
      </c>
      <c r="L2331">
        <v>0</v>
      </c>
      <c r="M2331">
        <v>96</v>
      </c>
      <c r="O2331">
        <v>96</v>
      </c>
      <c r="P2331">
        <v>0.1</v>
      </c>
      <c r="S2331">
        <v>1.2</v>
      </c>
      <c r="T2331">
        <v>1.2</v>
      </c>
      <c r="U2331">
        <v>0.84199999999999997</v>
      </c>
      <c r="V2331">
        <v>15</v>
      </c>
      <c r="W2331" t="b">
        <f>COUNT(LifeExpectancyData[[#This Row],[Life expectancy]:[Schooling]])=19</f>
        <v>0</v>
      </c>
    </row>
    <row r="2332" spans="1:23" x14ac:dyDescent="0.25">
      <c r="A2332" t="s">
        <v>428</v>
      </c>
      <c r="B2332">
        <v>2014</v>
      </c>
      <c r="C2332" t="s">
        <v>281</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COUNT(LifeExpectancyData[[#This Row],[Life expectancy]:[Schooling]])=19</f>
        <v>0</v>
      </c>
    </row>
    <row r="2333" spans="1:23" x14ac:dyDescent="0.25">
      <c r="A2333" t="s">
        <v>428</v>
      </c>
      <c r="B2333">
        <v>2013</v>
      </c>
      <c r="C2333" t="s">
        <v>281</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COUNT(LifeExpectancyData[[#This Row],[Life expectancy]:[Schooling]])=19</f>
        <v>0</v>
      </c>
    </row>
    <row r="2334" spans="1:23" x14ac:dyDescent="0.25">
      <c r="A2334" t="s">
        <v>428</v>
      </c>
      <c r="B2334">
        <v>2012</v>
      </c>
      <c r="C2334" t="s">
        <v>281</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COUNT(LifeExpectancyData[[#This Row],[Life expectancy]:[Schooling]])=19</f>
        <v>0</v>
      </c>
    </row>
    <row r="2335" spans="1:23" x14ac:dyDescent="0.25">
      <c r="A2335" t="s">
        <v>428</v>
      </c>
      <c r="B2335">
        <v>2011</v>
      </c>
      <c r="C2335" t="s">
        <v>281</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COUNT(LifeExpectancyData[[#This Row],[Life expectancy]:[Schooling]])=19</f>
        <v>0</v>
      </c>
    </row>
    <row r="2336" spans="1:23" x14ac:dyDescent="0.25">
      <c r="A2336" t="s">
        <v>428</v>
      </c>
      <c r="B2336">
        <v>2010</v>
      </c>
      <c r="C2336" t="s">
        <v>281</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COUNT(LifeExpectancyData[[#This Row],[Life expectancy]:[Schooling]])=19</f>
        <v>0</v>
      </c>
    </row>
    <row r="2337" spans="1:23" x14ac:dyDescent="0.25">
      <c r="A2337" t="s">
        <v>428</v>
      </c>
      <c r="B2337">
        <v>2009</v>
      </c>
      <c r="C2337" t="s">
        <v>281</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COUNT(LifeExpectancyData[[#This Row],[Life expectancy]:[Schooling]])=19</f>
        <v>0</v>
      </c>
    </row>
    <row r="2338" spans="1:23" x14ac:dyDescent="0.25">
      <c r="A2338" t="s">
        <v>428</v>
      </c>
      <c r="B2338">
        <v>2008</v>
      </c>
      <c r="C2338" t="s">
        <v>281</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COUNT(LifeExpectancyData[[#This Row],[Life expectancy]:[Schooling]])=19</f>
        <v>0</v>
      </c>
    </row>
    <row r="2339" spans="1:23" x14ac:dyDescent="0.25">
      <c r="A2339" t="s">
        <v>428</v>
      </c>
      <c r="B2339">
        <v>2007</v>
      </c>
      <c r="C2339" t="s">
        <v>281</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COUNT(LifeExpectancyData[[#This Row],[Life expectancy]:[Schooling]])=19</f>
        <v>0</v>
      </c>
    </row>
    <row r="2340" spans="1:23" x14ac:dyDescent="0.25">
      <c r="A2340" t="s">
        <v>428</v>
      </c>
      <c r="B2340">
        <v>2006</v>
      </c>
      <c r="C2340" t="s">
        <v>281</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COUNT(LifeExpectancyData[[#This Row],[Life expectancy]:[Schooling]])=19</f>
        <v>0</v>
      </c>
    </row>
    <row r="2341" spans="1:23" x14ac:dyDescent="0.25">
      <c r="A2341" t="s">
        <v>428</v>
      </c>
      <c r="B2341">
        <v>2005</v>
      </c>
      <c r="C2341" t="s">
        <v>281</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COUNT(LifeExpectancyData[[#This Row],[Life expectancy]:[Schooling]])=19</f>
        <v>0</v>
      </c>
    </row>
    <row r="2342" spans="1:23" x14ac:dyDescent="0.25">
      <c r="A2342" t="s">
        <v>428</v>
      </c>
      <c r="B2342">
        <v>2004</v>
      </c>
      <c r="C2342" t="s">
        <v>281</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COUNT(LifeExpectancyData[[#This Row],[Life expectancy]:[Schooling]])=19</f>
        <v>0</v>
      </c>
    </row>
    <row r="2343" spans="1:23" x14ac:dyDescent="0.25">
      <c r="A2343" t="s">
        <v>428</v>
      </c>
      <c r="B2343">
        <v>2003</v>
      </c>
      <c r="C2343" t="s">
        <v>281</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COUNT(LifeExpectancyData[[#This Row],[Life expectancy]:[Schooling]])=19</f>
        <v>0</v>
      </c>
    </row>
    <row r="2344" spans="1:23" x14ac:dyDescent="0.25">
      <c r="A2344" t="s">
        <v>428</v>
      </c>
      <c r="B2344">
        <v>2002</v>
      </c>
      <c r="C2344" t="s">
        <v>281</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COUNT(LifeExpectancyData[[#This Row],[Life expectancy]:[Schooling]])=19</f>
        <v>0</v>
      </c>
    </row>
    <row r="2345" spans="1:23" x14ac:dyDescent="0.25">
      <c r="A2345" t="s">
        <v>428</v>
      </c>
      <c r="B2345">
        <v>2001</v>
      </c>
      <c r="C2345" t="s">
        <v>281</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COUNT(LifeExpectancyData[[#This Row],[Life expectancy]:[Schooling]])=19</f>
        <v>0</v>
      </c>
    </row>
    <row r="2346" spans="1:23" x14ac:dyDescent="0.25">
      <c r="A2346" t="s">
        <v>428</v>
      </c>
      <c r="B2346">
        <v>2000</v>
      </c>
      <c r="C2346" t="s">
        <v>281</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COUNT(LifeExpectancyData[[#This Row],[Life expectancy]:[Schooling]])=19</f>
        <v>0</v>
      </c>
    </row>
    <row r="2347" spans="1:23" x14ac:dyDescent="0.25">
      <c r="A2347" t="s">
        <v>429</v>
      </c>
      <c r="B2347">
        <v>2015</v>
      </c>
      <c r="C2347" t="s">
        <v>281</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COUNT(LifeExpectancyData[[#This Row],[Life expectancy]:[Schooling]])=19</f>
        <v>0</v>
      </c>
    </row>
    <row r="2348" spans="1:23" x14ac:dyDescent="0.25">
      <c r="A2348" t="s">
        <v>429</v>
      </c>
      <c r="B2348">
        <v>2014</v>
      </c>
      <c r="C2348" t="s">
        <v>281</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COUNT(LifeExpectancyData[[#This Row],[Life expectancy]:[Schooling]])=19</f>
        <v>0</v>
      </c>
    </row>
    <row r="2349" spans="1:23" x14ac:dyDescent="0.25">
      <c r="A2349" t="s">
        <v>429</v>
      </c>
      <c r="B2349">
        <v>2013</v>
      </c>
      <c r="C2349" t="s">
        <v>281</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COUNT(LifeExpectancyData[[#This Row],[Life expectancy]:[Schooling]])=19</f>
        <v>0</v>
      </c>
    </row>
    <row r="2350" spans="1:23" x14ac:dyDescent="0.25">
      <c r="A2350" t="s">
        <v>429</v>
      </c>
      <c r="B2350">
        <v>2012</v>
      </c>
      <c r="C2350" t="s">
        <v>281</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COUNT(LifeExpectancyData[[#This Row],[Life expectancy]:[Schooling]])=19</f>
        <v>0</v>
      </c>
    </row>
    <row r="2351" spans="1:23" x14ac:dyDescent="0.25">
      <c r="A2351" t="s">
        <v>429</v>
      </c>
      <c r="B2351">
        <v>2011</v>
      </c>
      <c r="C2351" t="s">
        <v>281</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COUNT(LifeExpectancyData[[#This Row],[Life expectancy]:[Schooling]])=19</f>
        <v>0</v>
      </c>
    </row>
    <row r="2352" spans="1:23" x14ac:dyDescent="0.25">
      <c r="A2352" t="s">
        <v>429</v>
      </c>
      <c r="B2352">
        <v>2010</v>
      </c>
      <c r="C2352" t="s">
        <v>281</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COUNT(LifeExpectancyData[[#This Row],[Life expectancy]:[Schooling]])=19</f>
        <v>0</v>
      </c>
    </row>
    <row r="2353" spans="1:23" x14ac:dyDescent="0.25">
      <c r="A2353" t="s">
        <v>429</v>
      </c>
      <c r="B2353">
        <v>2009</v>
      </c>
      <c r="C2353" t="s">
        <v>281</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COUNT(LifeExpectancyData[[#This Row],[Life expectancy]:[Schooling]])=19</f>
        <v>0</v>
      </c>
    </row>
    <row r="2354" spans="1:23" x14ac:dyDescent="0.25">
      <c r="A2354" t="s">
        <v>429</v>
      </c>
      <c r="B2354">
        <v>2008</v>
      </c>
      <c r="C2354" t="s">
        <v>281</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COUNT(LifeExpectancyData[[#This Row],[Life expectancy]:[Schooling]])=19</f>
        <v>0</v>
      </c>
    </row>
    <row r="2355" spans="1:23" x14ac:dyDescent="0.25">
      <c r="A2355" t="s">
        <v>429</v>
      </c>
      <c r="B2355">
        <v>2007</v>
      </c>
      <c r="C2355" t="s">
        <v>281</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COUNT(LifeExpectancyData[[#This Row],[Life expectancy]:[Schooling]])=19</f>
        <v>0</v>
      </c>
    </row>
    <row r="2356" spans="1:23" x14ac:dyDescent="0.25">
      <c r="A2356" t="s">
        <v>429</v>
      </c>
      <c r="B2356">
        <v>2006</v>
      </c>
      <c r="C2356" t="s">
        <v>281</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COUNT(LifeExpectancyData[[#This Row],[Life expectancy]:[Schooling]])=19</f>
        <v>0</v>
      </c>
    </row>
    <row r="2357" spans="1:23" x14ac:dyDescent="0.25">
      <c r="A2357" t="s">
        <v>429</v>
      </c>
      <c r="B2357">
        <v>2005</v>
      </c>
      <c r="C2357" t="s">
        <v>281</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COUNT(LifeExpectancyData[[#This Row],[Life expectancy]:[Schooling]])=19</f>
        <v>0</v>
      </c>
    </row>
    <row r="2358" spans="1:23" x14ac:dyDescent="0.25">
      <c r="A2358" t="s">
        <v>429</v>
      </c>
      <c r="B2358">
        <v>2004</v>
      </c>
      <c r="C2358" t="s">
        <v>281</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COUNT(LifeExpectancyData[[#This Row],[Life expectancy]:[Schooling]])=19</f>
        <v>0</v>
      </c>
    </row>
    <row r="2359" spans="1:23" x14ac:dyDescent="0.25">
      <c r="A2359" t="s">
        <v>429</v>
      </c>
      <c r="B2359">
        <v>2003</v>
      </c>
      <c r="C2359" t="s">
        <v>281</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COUNT(LifeExpectancyData[[#This Row],[Life expectancy]:[Schooling]])=19</f>
        <v>0</v>
      </c>
    </row>
    <row r="2360" spans="1:23" x14ac:dyDescent="0.25">
      <c r="A2360" t="s">
        <v>429</v>
      </c>
      <c r="B2360">
        <v>2002</v>
      </c>
      <c r="C2360" t="s">
        <v>281</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COUNT(LifeExpectancyData[[#This Row],[Life expectancy]:[Schooling]])=19</f>
        <v>0</v>
      </c>
    </row>
    <row r="2361" spans="1:23" x14ac:dyDescent="0.25">
      <c r="A2361" t="s">
        <v>429</v>
      </c>
      <c r="B2361">
        <v>2001</v>
      </c>
      <c r="C2361" t="s">
        <v>281</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COUNT(LifeExpectancyData[[#This Row],[Life expectancy]:[Schooling]])=19</f>
        <v>0</v>
      </c>
    </row>
    <row r="2362" spans="1:23" x14ac:dyDescent="0.25">
      <c r="A2362" t="s">
        <v>429</v>
      </c>
      <c r="B2362">
        <v>2000</v>
      </c>
      <c r="C2362" t="s">
        <v>281</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COUNT(LifeExpectancyData[[#This Row],[Life expectancy]:[Schooling]])=19</f>
        <v>0</v>
      </c>
    </row>
    <row r="2363" spans="1:23" x14ac:dyDescent="0.25">
      <c r="A2363" t="s">
        <v>430</v>
      </c>
      <c r="B2363">
        <v>2015</v>
      </c>
      <c r="C2363" t="s">
        <v>273</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COUNT(LifeExpectancyData[[#This Row],[Life expectancy]:[Schooling]])=19</f>
        <v>0</v>
      </c>
    </row>
    <row r="2364" spans="1:23" x14ac:dyDescent="0.25">
      <c r="A2364" t="s">
        <v>430</v>
      </c>
      <c r="B2364">
        <v>2014</v>
      </c>
      <c r="C2364" t="s">
        <v>273</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COUNT(LifeExpectancyData[[#This Row],[Life expectancy]:[Schooling]])=19</f>
        <v>1</v>
      </c>
    </row>
    <row r="2365" spans="1:23" x14ac:dyDescent="0.25">
      <c r="A2365" t="s">
        <v>430</v>
      </c>
      <c r="B2365">
        <v>2013</v>
      </c>
      <c r="C2365" t="s">
        <v>273</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COUNT(LifeExpectancyData[[#This Row],[Life expectancy]:[Schooling]])=19</f>
        <v>1</v>
      </c>
    </row>
    <row r="2366" spans="1:23" x14ac:dyDescent="0.25">
      <c r="A2366" t="s">
        <v>430</v>
      </c>
      <c r="B2366">
        <v>2012</v>
      </c>
      <c r="C2366" t="s">
        <v>273</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COUNT(LifeExpectancyData[[#This Row],[Life expectancy]:[Schooling]])=19</f>
        <v>1</v>
      </c>
    </row>
    <row r="2367" spans="1:23" x14ac:dyDescent="0.25">
      <c r="A2367" t="s">
        <v>430</v>
      </c>
      <c r="B2367">
        <v>2011</v>
      </c>
      <c r="C2367" t="s">
        <v>273</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COUNT(LifeExpectancyData[[#This Row],[Life expectancy]:[Schooling]])=19</f>
        <v>1</v>
      </c>
    </row>
    <row r="2368" spans="1:23" x14ac:dyDescent="0.25">
      <c r="A2368" t="s">
        <v>430</v>
      </c>
      <c r="B2368">
        <v>2010</v>
      </c>
      <c r="C2368" t="s">
        <v>273</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COUNT(LifeExpectancyData[[#This Row],[Life expectancy]:[Schooling]])=19</f>
        <v>1</v>
      </c>
    </row>
    <row r="2369" spans="1:23" x14ac:dyDescent="0.25">
      <c r="A2369" t="s">
        <v>430</v>
      </c>
      <c r="B2369">
        <v>2009</v>
      </c>
      <c r="C2369" t="s">
        <v>273</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COUNT(LifeExpectancyData[[#This Row],[Life expectancy]:[Schooling]])=19</f>
        <v>1</v>
      </c>
    </row>
    <row r="2370" spans="1:23" x14ac:dyDescent="0.25">
      <c r="A2370" t="s">
        <v>430</v>
      </c>
      <c r="B2370">
        <v>2008</v>
      </c>
      <c r="C2370" t="s">
        <v>273</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COUNT(LifeExpectancyData[[#This Row],[Life expectancy]:[Schooling]])=19</f>
        <v>1</v>
      </c>
    </row>
    <row r="2371" spans="1:23" x14ac:dyDescent="0.25">
      <c r="A2371" t="s">
        <v>430</v>
      </c>
      <c r="B2371">
        <v>2007</v>
      </c>
      <c r="C2371" t="s">
        <v>273</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COUNT(LifeExpectancyData[[#This Row],[Life expectancy]:[Schooling]])=19</f>
        <v>1</v>
      </c>
    </row>
    <row r="2372" spans="1:23" x14ac:dyDescent="0.25">
      <c r="A2372" t="s">
        <v>430</v>
      </c>
      <c r="B2372">
        <v>2006</v>
      </c>
      <c r="C2372" t="s">
        <v>273</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COUNT(LifeExpectancyData[[#This Row],[Life expectancy]:[Schooling]])=19</f>
        <v>1</v>
      </c>
    </row>
    <row r="2373" spans="1:23" x14ac:dyDescent="0.25">
      <c r="A2373" t="s">
        <v>430</v>
      </c>
      <c r="B2373">
        <v>2005</v>
      </c>
      <c r="C2373" t="s">
        <v>273</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COUNT(LifeExpectancyData[[#This Row],[Life expectancy]:[Schooling]])=19</f>
        <v>1</v>
      </c>
    </row>
    <row r="2374" spans="1:23" x14ac:dyDescent="0.25">
      <c r="A2374" t="s">
        <v>430</v>
      </c>
      <c r="B2374">
        <v>2004</v>
      </c>
      <c r="C2374" t="s">
        <v>273</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COUNT(LifeExpectancyData[[#This Row],[Life expectancy]:[Schooling]])=19</f>
        <v>1</v>
      </c>
    </row>
    <row r="2375" spans="1:23" x14ac:dyDescent="0.25">
      <c r="A2375" t="s">
        <v>430</v>
      </c>
      <c r="B2375">
        <v>2003</v>
      </c>
      <c r="C2375" t="s">
        <v>273</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COUNT(LifeExpectancyData[[#This Row],[Life expectancy]:[Schooling]])=19</f>
        <v>1</v>
      </c>
    </row>
    <row r="2376" spans="1:23" x14ac:dyDescent="0.25">
      <c r="A2376" t="s">
        <v>430</v>
      </c>
      <c r="B2376">
        <v>2002</v>
      </c>
      <c r="C2376" t="s">
        <v>273</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COUNT(LifeExpectancyData[[#This Row],[Life expectancy]:[Schooling]])=19</f>
        <v>1</v>
      </c>
    </row>
    <row r="2377" spans="1:23" x14ac:dyDescent="0.25">
      <c r="A2377" t="s">
        <v>430</v>
      </c>
      <c r="B2377">
        <v>2001</v>
      </c>
      <c r="C2377" t="s">
        <v>273</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COUNT(LifeExpectancyData[[#This Row],[Life expectancy]:[Schooling]])=19</f>
        <v>1</v>
      </c>
    </row>
    <row r="2378" spans="1:23" x14ac:dyDescent="0.25">
      <c r="A2378" t="s">
        <v>430</v>
      </c>
      <c r="B2378">
        <v>2000</v>
      </c>
      <c r="C2378" t="s">
        <v>273</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COUNT(LifeExpectancyData[[#This Row],[Life expectancy]:[Schooling]])=19</f>
        <v>1</v>
      </c>
    </row>
    <row r="2379" spans="1:23" x14ac:dyDescent="0.25">
      <c r="A2379" t="s">
        <v>431</v>
      </c>
      <c r="B2379">
        <v>2015</v>
      </c>
      <c r="C2379" t="s">
        <v>273</v>
      </c>
      <c r="D2379">
        <v>55</v>
      </c>
      <c r="E2379">
        <v>312</v>
      </c>
      <c r="F2379">
        <v>50</v>
      </c>
      <c r="H2379">
        <v>0</v>
      </c>
      <c r="I2379">
        <v>42</v>
      </c>
      <c r="J2379">
        <v>7497</v>
      </c>
      <c r="K2379">
        <v>24.3</v>
      </c>
      <c r="L2379">
        <v>80</v>
      </c>
      <c r="M2379">
        <v>47</v>
      </c>
      <c r="O2379">
        <v>42</v>
      </c>
      <c r="P2379">
        <v>0.7</v>
      </c>
      <c r="Q2379">
        <v>426.98536999999999</v>
      </c>
      <c r="S2379">
        <v>6.6</v>
      </c>
      <c r="T2379">
        <v>6.4</v>
      </c>
      <c r="W2379" t="b">
        <f>COUNT(LifeExpectancyData[[#This Row],[Life expectancy]:[Schooling]])=19</f>
        <v>0</v>
      </c>
    </row>
    <row r="2380" spans="1:23" x14ac:dyDescent="0.25">
      <c r="A2380" t="s">
        <v>431</v>
      </c>
      <c r="B2380">
        <v>2014</v>
      </c>
      <c r="C2380" t="s">
        <v>273</v>
      </c>
      <c r="D2380">
        <v>54.3</v>
      </c>
      <c r="E2380">
        <v>321</v>
      </c>
      <c r="F2380">
        <v>51</v>
      </c>
      <c r="G2380">
        <v>0.01</v>
      </c>
      <c r="H2380">
        <v>0</v>
      </c>
      <c r="I2380">
        <v>42</v>
      </c>
      <c r="J2380">
        <v>10229</v>
      </c>
      <c r="K2380">
        <v>23.8</v>
      </c>
      <c r="L2380">
        <v>80</v>
      </c>
      <c r="M2380">
        <v>47</v>
      </c>
      <c r="O2380">
        <v>42</v>
      </c>
      <c r="P2380">
        <v>0.8</v>
      </c>
      <c r="Q2380">
        <v>417.89143000000001</v>
      </c>
      <c r="S2380">
        <v>6.7</v>
      </c>
      <c r="T2380">
        <v>6.5</v>
      </c>
      <c r="W2380" t="b">
        <f>COUNT(LifeExpectancyData[[#This Row],[Life expectancy]:[Schooling]])=19</f>
        <v>0</v>
      </c>
    </row>
    <row r="2381" spans="1:23" x14ac:dyDescent="0.25">
      <c r="A2381" t="s">
        <v>431</v>
      </c>
      <c r="B2381">
        <v>2013</v>
      </c>
      <c r="C2381" t="s">
        <v>273</v>
      </c>
      <c r="D2381">
        <v>54.2</v>
      </c>
      <c r="E2381">
        <v>318</v>
      </c>
      <c r="F2381">
        <v>51</v>
      </c>
      <c r="G2381">
        <v>0.01</v>
      </c>
      <c r="H2381">
        <v>0</v>
      </c>
      <c r="I2381">
        <v>42</v>
      </c>
      <c r="J2381">
        <v>3173</v>
      </c>
      <c r="K2381">
        <v>23.3</v>
      </c>
      <c r="L2381">
        <v>81</v>
      </c>
      <c r="M2381">
        <v>47</v>
      </c>
      <c r="O2381">
        <v>42</v>
      </c>
      <c r="P2381">
        <v>0.8</v>
      </c>
      <c r="Q2381">
        <v>47.5432354</v>
      </c>
      <c r="S2381">
        <v>6.8</v>
      </c>
      <c r="T2381">
        <v>6.6</v>
      </c>
      <c r="W2381" t="b">
        <f>COUNT(LifeExpectancyData[[#This Row],[Life expectancy]:[Schooling]])=19</f>
        <v>0</v>
      </c>
    </row>
    <row r="2382" spans="1:23" x14ac:dyDescent="0.25">
      <c r="A2382" t="s">
        <v>431</v>
      </c>
      <c r="B2382">
        <v>2012</v>
      </c>
      <c r="C2382" t="s">
        <v>273</v>
      </c>
      <c r="D2382">
        <v>53.1</v>
      </c>
      <c r="E2382">
        <v>336</v>
      </c>
      <c r="F2382">
        <v>51</v>
      </c>
      <c r="G2382">
        <v>0.01</v>
      </c>
      <c r="H2382">
        <v>0</v>
      </c>
      <c r="J2382">
        <v>9983</v>
      </c>
      <c r="K2382">
        <v>22.9</v>
      </c>
      <c r="L2382">
        <v>82</v>
      </c>
      <c r="M2382">
        <v>47</v>
      </c>
      <c r="O2382">
        <v>42</v>
      </c>
      <c r="P2382">
        <v>0.8</v>
      </c>
      <c r="S2382">
        <v>6.8</v>
      </c>
      <c r="T2382">
        <v>6.7</v>
      </c>
      <c r="W2382" t="b">
        <f>COUNT(LifeExpectancyData[[#This Row],[Life expectancy]:[Schooling]])=19</f>
        <v>0</v>
      </c>
    </row>
    <row r="2383" spans="1:23" x14ac:dyDescent="0.25">
      <c r="A2383" t="s">
        <v>431</v>
      </c>
      <c r="B2383">
        <v>2011</v>
      </c>
      <c r="C2383" t="s">
        <v>273</v>
      </c>
      <c r="D2383">
        <v>53.1</v>
      </c>
      <c r="E2383">
        <v>329</v>
      </c>
      <c r="F2383">
        <v>51</v>
      </c>
      <c r="G2383">
        <v>0.01</v>
      </c>
      <c r="H2383">
        <v>0</v>
      </c>
      <c r="J2383">
        <v>17298</v>
      </c>
      <c r="K2383">
        <v>22.4</v>
      </c>
      <c r="L2383">
        <v>82</v>
      </c>
      <c r="M2383">
        <v>49</v>
      </c>
      <c r="O2383">
        <v>41</v>
      </c>
      <c r="P2383">
        <v>0.8</v>
      </c>
      <c r="S2383">
        <v>6.9</v>
      </c>
      <c r="T2383">
        <v>6.7</v>
      </c>
      <c r="W2383" t="b">
        <f>COUNT(LifeExpectancyData[[#This Row],[Life expectancy]:[Schooling]])=19</f>
        <v>0</v>
      </c>
    </row>
    <row r="2384" spans="1:23" x14ac:dyDescent="0.25">
      <c r="A2384" t="s">
        <v>431</v>
      </c>
      <c r="B2384">
        <v>2010</v>
      </c>
      <c r="C2384" t="s">
        <v>273</v>
      </c>
      <c r="D2384">
        <v>52.4</v>
      </c>
      <c r="E2384">
        <v>336</v>
      </c>
      <c r="F2384">
        <v>52</v>
      </c>
      <c r="G2384">
        <v>0.01</v>
      </c>
      <c r="H2384">
        <v>0</v>
      </c>
      <c r="J2384">
        <v>115</v>
      </c>
      <c r="K2384">
        <v>22</v>
      </c>
      <c r="L2384">
        <v>83</v>
      </c>
      <c r="M2384">
        <v>49</v>
      </c>
      <c r="O2384">
        <v>45</v>
      </c>
      <c r="P2384">
        <v>0.8</v>
      </c>
      <c r="S2384">
        <v>7</v>
      </c>
      <c r="T2384">
        <v>6.8</v>
      </c>
      <c r="W2384" t="b">
        <f>COUNT(LifeExpectancyData[[#This Row],[Life expectancy]:[Schooling]])=19</f>
        <v>0</v>
      </c>
    </row>
    <row r="2385" spans="1:23" x14ac:dyDescent="0.25">
      <c r="A2385" t="s">
        <v>431</v>
      </c>
      <c r="B2385">
        <v>2009</v>
      </c>
      <c r="C2385" t="s">
        <v>273</v>
      </c>
      <c r="D2385">
        <v>52.2</v>
      </c>
      <c r="E2385">
        <v>335</v>
      </c>
      <c r="F2385">
        <v>52</v>
      </c>
      <c r="G2385">
        <v>0.01</v>
      </c>
      <c r="H2385">
        <v>0</v>
      </c>
      <c r="J2385">
        <v>13</v>
      </c>
      <c r="K2385">
        <v>21.5</v>
      </c>
      <c r="L2385">
        <v>84</v>
      </c>
      <c r="M2385">
        <v>41</v>
      </c>
      <c r="O2385">
        <v>42</v>
      </c>
      <c r="P2385">
        <v>0.8</v>
      </c>
      <c r="S2385">
        <v>7.1</v>
      </c>
      <c r="T2385">
        <v>6.9</v>
      </c>
      <c r="W2385" t="b">
        <f>COUNT(LifeExpectancyData[[#This Row],[Life expectancy]:[Schooling]])=19</f>
        <v>0</v>
      </c>
    </row>
    <row r="2386" spans="1:23" x14ac:dyDescent="0.25">
      <c r="A2386" t="s">
        <v>431</v>
      </c>
      <c r="B2386">
        <v>2008</v>
      </c>
      <c r="C2386" t="s">
        <v>273</v>
      </c>
      <c r="D2386">
        <v>51.9</v>
      </c>
      <c r="E2386">
        <v>336</v>
      </c>
      <c r="F2386">
        <v>52</v>
      </c>
      <c r="G2386">
        <v>0.01</v>
      </c>
      <c r="H2386">
        <v>0</v>
      </c>
      <c r="J2386">
        <v>1081</v>
      </c>
      <c r="K2386">
        <v>21.1</v>
      </c>
      <c r="L2386">
        <v>84</v>
      </c>
      <c r="M2386">
        <v>4</v>
      </c>
      <c r="O2386">
        <v>31</v>
      </c>
      <c r="P2386">
        <v>0.9</v>
      </c>
      <c r="S2386">
        <v>7.2</v>
      </c>
      <c r="T2386">
        <v>7</v>
      </c>
      <c r="W2386" t="b">
        <f>COUNT(LifeExpectancyData[[#This Row],[Life expectancy]:[Schooling]])=19</f>
        <v>0</v>
      </c>
    </row>
    <row r="2387" spans="1:23" x14ac:dyDescent="0.25">
      <c r="A2387" t="s">
        <v>431</v>
      </c>
      <c r="B2387">
        <v>2007</v>
      </c>
      <c r="C2387" t="s">
        <v>273</v>
      </c>
      <c r="D2387">
        <v>51.5</v>
      </c>
      <c r="E2387">
        <v>34</v>
      </c>
      <c r="F2387">
        <v>52</v>
      </c>
      <c r="G2387">
        <v>0.01</v>
      </c>
      <c r="H2387">
        <v>0</v>
      </c>
      <c r="J2387">
        <v>1149</v>
      </c>
      <c r="K2387">
        <v>2.7</v>
      </c>
      <c r="L2387">
        <v>84</v>
      </c>
      <c r="M2387">
        <v>4</v>
      </c>
      <c r="O2387">
        <v>4</v>
      </c>
      <c r="P2387">
        <v>0.9</v>
      </c>
      <c r="S2387">
        <v>7.3</v>
      </c>
      <c r="T2387">
        <v>7.1</v>
      </c>
      <c r="W2387" t="b">
        <f>COUNT(LifeExpectancyData[[#This Row],[Life expectancy]:[Schooling]])=19</f>
        <v>0</v>
      </c>
    </row>
    <row r="2388" spans="1:23" x14ac:dyDescent="0.25">
      <c r="A2388" t="s">
        <v>431</v>
      </c>
      <c r="B2388">
        <v>2006</v>
      </c>
      <c r="C2388" t="s">
        <v>273</v>
      </c>
      <c r="D2388">
        <v>51.5</v>
      </c>
      <c r="E2388">
        <v>337</v>
      </c>
      <c r="F2388">
        <v>51</v>
      </c>
      <c r="G2388">
        <v>0.01</v>
      </c>
      <c r="H2388">
        <v>0</v>
      </c>
      <c r="J2388">
        <v>7</v>
      </c>
      <c r="K2388">
        <v>2.2000000000000002</v>
      </c>
      <c r="L2388">
        <v>83</v>
      </c>
      <c r="M2388">
        <v>26</v>
      </c>
      <c r="O2388">
        <v>26</v>
      </c>
      <c r="P2388">
        <v>0.9</v>
      </c>
      <c r="S2388">
        <v>7.4</v>
      </c>
      <c r="T2388">
        <v>7.2</v>
      </c>
      <c r="W2388" t="b">
        <f>COUNT(LifeExpectancyData[[#This Row],[Life expectancy]:[Schooling]])=19</f>
        <v>0</v>
      </c>
    </row>
    <row r="2389" spans="1:23" x14ac:dyDescent="0.25">
      <c r="A2389" t="s">
        <v>431</v>
      </c>
      <c r="B2389">
        <v>2005</v>
      </c>
      <c r="C2389" t="s">
        <v>273</v>
      </c>
      <c r="D2389">
        <v>51.6</v>
      </c>
      <c r="E2389">
        <v>334</v>
      </c>
      <c r="F2389">
        <v>50</v>
      </c>
      <c r="G2389">
        <v>0.01</v>
      </c>
      <c r="H2389">
        <v>0</v>
      </c>
      <c r="J2389">
        <v>0</v>
      </c>
      <c r="K2389">
        <v>19.8</v>
      </c>
      <c r="L2389">
        <v>82</v>
      </c>
      <c r="M2389">
        <v>35</v>
      </c>
      <c r="O2389">
        <v>35</v>
      </c>
      <c r="P2389">
        <v>0.9</v>
      </c>
      <c r="S2389">
        <v>7.5</v>
      </c>
      <c r="T2389">
        <v>7.3</v>
      </c>
      <c r="W2389" t="b">
        <f>COUNT(LifeExpectancyData[[#This Row],[Life expectancy]:[Schooling]])=19</f>
        <v>0</v>
      </c>
    </row>
    <row r="2390" spans="1:23" x14ac:dyDescent="0.25">
      <c r="A2390" t="s">
        <v>431</v>
      </c>
      <c r="B2390">
        <v>2004</v>
      </c>
      <c r="C2390" t="s">
        <v>273</v>
      </c>
      <c r="D2390">
        <v>51.2</v>
      </c>
      <c r="E2390">
        <v>341</v>
      </c>
      <c r="F2390">
        <v>49</v>
      </c>
      <c r="G2390">
        <v>0.01</v>
      </c>
      <c r="H2390">
        <v>0</v>
      </c>
      <c r="J2390">
        <v>12008</v>
      </c>
      <c r="K2390">
        <v>19.399999999999999</v>
      </c>
      <c r="L2390">
        <v>80</v>
      </c>
      <c r="M2390">
        <v>3</v>
      </c>
      <c r="O2390">
        <v>3</v>
      </c>
      <c r="P2390">
        <v>0.9</v>
      </c>
      <c r="S2390">
        <v>7.6</v>
      </c>
      <c r="T2390">
        <v>7.4</v>
      </c>
      <c r="W2390" t="b">
        <f>COUNT(LifeExpectancyData[[#This Row],[Life expectancy]:[Schooling]])=19</f>
        <v>0</v>
      </c>
    </row>
    <row r="2391" spans="1:23" x14ac:dyDescent="0.25">
      <c r="A2391" t="s">
        <v>431</v>
      </c>
      <c r="B2391">
        <v>2003</v>
      </c>
      <c r="C2391" t="s">
        <v>273</v>
      </c>
      <c r="D2391">
        <v>51.1</v>
      </c>
      <c r="E2391">
        <v>344</v>
      </c>
      <c r="F2391">
        <v>48</v>
      </c>
      <c r="G2391">
        <v>0.01</v>
      </c>
      <c r="H2391">
        <v>0</v>
      </c>
      <c r="J2391">
        <v>8257</v>
      </c>
      <c r="K2391">
        <v>19</v>
      </c>
      <c r="L2391">
        <v>78</v>
      </c>
      <c r="M2391">
        <v>4</v>
      </c>
      <c r="O2391">
        <v>4</v>
      </c>
      <c r="P2391">
        <v>0.9</v>
      </c>
      <c r="S2391">
        <v>7.7</v>
      </c>
      <c r="T2391">
        <v>7.5</v>
      </c>
      <c r="W2391" t="b">
        <f>COUNT(LifeExpectancyData[[#This Row],[Life expectancy]:[Schooling]])=19</f>
        <v>0</v>
      </c>
    </row>
    <row r="2392" spans="1:23" x14ac:dyDescent="0.25">
      <c r="A2392" t="s">
        <v>431</v>
      </c>
      <c r="B2392">
        <v>2002</v>
      </c>
      <c r="C2392" t="s">
        <v>273</v>
      </c>
      <c r="D2392">
        <v>58</v>
      </c>
      <c r="E2392">
        <v>348</v>
      </c>
      <c r="F2392">
        <v>47</v>
      </c>
      <c r="G2392">
        <v>0.01</v>
      </c>
      <c r="H2392">
        <v>0</v>
      </c>
      <c r="J2392">
        <v>9559</v>
      </c>
      <c r="K2392">
        <v>18.600000000000001</v>
      </c>
      <c r="L2392">
        <v>77</v>
      </c>
      <c r="M2392">
        <v>4</v>
      </c>
      <c r="O2392">
        <v>4</v>
      </c>
      <c r="P2392">
        <v>0.9</v>
      </c>
      <c r="S2392">
        <v>7.8</v>
      </c>
      <c r="T2392">
        <v>7.6</v>
      </c>
      <c r="W2392" t="b">
        <f>COUNT(LifeExpectancyData[[#This Row],[Life expectancy]:[Schooling]])=19</f>
        <v>0</v>
      </c>
    </row>
    <row r="2393" spans="1:23" x14ac:dyDescent="0.25">
      <c r="A2393" t="s">
        <v>431</v>
      </c>
      <c r="B2393">
        <v>2001</v>
      </c>
      <c r="C2393" t="s">
        <v>273</v>
      </c>
      <c r="D2393">
        <v>57</v>
      </c>
      <c r="E2393">
        <v>352</v>
      </c>
      <c r="F2393">
        <v>46</v>
      </c>
      <c r="G2393">
        <v>0.01</v>
      </c>
      <c r="H2393">
        <v>0</v>
      </c>
      <c r="J2393">
        <v>3571</v>
      </c>
      <c r="K2393">
        <v>18.2</v>
      </c>
      <c r="L2393">
        <v>75</v>
      </c>
      <c r="M2393">
        <v>33</v>
      </c>
      <c r="O2393">
        <v>33</v>
      </c>
      <c r="P2393">
        <v>0.8</v>
      </c>
      <c r="S2393">
        <v>7.9</v>
      </c>
      <c r="T2393">
        <v>7.7</v>
      </c>
      <c r="W2393" t="b">
        <f>COUNT(LifeExpectancyData[[#This Row],[Life expectancy]:[Schooling]])=19</f>
        <v>0</v>
      </c>
    </row>
    <row r="2394" spans="1:23" x14ac:dyDescent="0.25">
      <c r="A2394" t="s">
        <v>431</v>
      </c>
      <c r="B2394">
        <v>2000</v>
      </c>
      <c r="C2394" t="s">
        <v>273</v>
      </c>
      <c r="D2394">
        <v>55</v>
      </c>
      <c r="E2394">
        <v>355</v>
      </c>
      <c r="F2394">
        <v>45</v>
      </c>
      <c r="G2394">
        <v>0.01</v>
      </c>
      <c r="H2394">
        <v>0</v>
      </c>
      <c r="J2394">
        <v>3965</v>
      </c>
      <c r="K2394">
        <v>17.8</v>
      </c>
      <c r="L2394">
        <v>74</v>
      </c>
      <c r="M2394">
        <v>37</v>
      </c>
      <c r="O2394">
        <v>33</v>
      </c>
      <c r="P2394">
        <v>0.8</v>
      </c>
      <c r="S2394">
        <v>8</v>
      </c>
      <c r="T2394">
        <v>7.9</v>
      </c>
      <c r="W2394" t="b">
        <f>COUNT(LifeExpectancyData[[#This Row],[Life expectancy]:[Schooling]])=19</f>
        <v>0</v>
      </c>
    </row>
    <row r="2395" spans="1:23" x14ac:dyDescent="0.25">
      <c r="A2395" t="s">
        <v>432</v>
      </c>
      <c r="B2395">
        <v>2015</v>
      </c>
      <c r="C2395" t="s">
        <v>273</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COUNT(LifeExpectancyData[[#This Row],[Life expectancy]:[Schooling]])=19</f>
        <v>0</v>
      </c>
    </row>
    <row r="2396" spans="1:23" x14ac:dyDescent="0.25">
      <c r="A2396" t="s">
        <v>432</v>
      </c>
      <c r="B2396">
        <v>2014</v>
      </c>
      <c r="C2396" t="s">
        <v>273</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COUNT(LifeExpectancyData[[#This Row],[Life expectancy]:[Schooling]])=19</f>
        <v>1</v>
      </c>
    </row>
    <row r="2397" spans="1:23" x14ac:dyDescent="0.25">
      <c r="A2397" t="s">
        <v>432</v>
      </c>
      <c r="B2397">
        <v>2013</v>
      </c>
      <c r="C2397" t="s">
        <v>273</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COUNT(LifeExpectancyData[[#This Row],[Life expectancy]:[Schooling]])=19</f>
        <v>1</v>
      </c>
    </row>
    <row r="2398" spans="1:23" x14ac:dyDescent="0.25">
      <c r="A2398" t="s">
        <v>432</v>
      </c>
      <c r="B2398">
        <v>2012</v>
      </c>
      <c r="C2398" t="s">
        <v>273</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COUNT(LifeExpectancyData[[#This Row],[Life expectancy]:[Schooling]])=19</f>
        <v>1</v>
      </c>
    </row>
    <row r="2399" spans="1:23" x14ac:dyDescent="0.25">
      <c r="A2399" t="s">
        <v>432</v>
      </c>
      <c r="B2399">
        <v>2011</v>
      </c>
      <c r="C2399" t="s">
        <v>273</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COUNT(LifeExpectancyData[[#This Row],[Life expectancy]:[Schooling]])=19</f>
        <v>1</v>
      </c>
    </row>
    <row r="2400" spans="1:23" x14ac:dyDescent="0.25">
      <c r="A2400" t="s">
        <v>432</v>
      </c>
      <c r="B2400">
        <v>2010</v>
      </c>
      <c r="C2400" t="s">
        <v>273</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COUNT(LifeExpectancyData[[#This Row],[Life expectancy]:[Schooling]])=19</f>
        <v>1</v>
      </c>
    </row>
    <row r="2401" spans="1:23" x14ac:dyDescent="0.25">
      <c r="A2401" t="s">
        <v>432</v>
      </c>
      <c r="B2401">
        <v>2009</v>
      </c>
      <c r="C2401" t="s">
        <v>273</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COUNT(LifeExpectancyData[[#This Row],[Life expectancy]:[Schooling]])=19</f>
        <v>1</v>
      </c>
    </row>
    <row r="2402" spans="1:23" x14ac:dyDescent="0.25">
      <c r="A2402" t="s">
        <v>432</v>
      </c>
      <c r="B2402">
        <v>2008</v>
      </c>
      <c r="C2402" t="s">
        <v>273</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COUNT(LifeExpectancyData[[#This Row],[Life expectancy]:[Schooling]])=19</f>
        <v>1</v>
      </c>
    </row>
    <row r="2403" spans="1:23" x14ac:dyDescent="0.25">
      <c r="A2403" t="s">
        <v>432</v>
      </c>
      <c r="B2403">
        <v>2007</v>
      </c>
      <c r="C2403" t="s">
        <v>273</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COUNT(LifeExpectancyData[[#This Row],[Life expectancy]:[Schooling]])=19</f>
        <v>1</v>
      </c>
    </row>
    <row r="2404" spans="1:23" x14ac:dyDescent="0.25">
      <c r="A2404" t="s">
        <v>432</v>
      </c>
      <c r="B2404">
        <v>2006</v>
      </c>
      <c r="C2404" t="s">
        <v>273</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COUNT(LifeExpectancyData[[#This Row],[Life expectancy]:[Schooling]])=19</f>
        <v>1</v>
      </c>
    </row>
    <row r="2405" spans="1:23" x14ac:dyDescent="0.25">
      <c r="A2405" t="s">
        <v>432</v>
      </c>
      <c r="B2405">
        <v>2005</v>
      </c>
      <c r="C2405" t="s">
        <v>273</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COUNT(LifeExpectancyData[[#This Row],[Life expectancy]:[Schooling]])=19</f>
        <v>1</v>
      </c>
    </row>
    <row r="2406" spans="1:23" x14ac:dyDescent="0.25">
      <c r="A2406" t="s">
        <v>432</v>
      </c>
      <c r="B2406">
        <v>2004</v>
      </c>
      <c r="C2406" t="s">
        <v>273</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COUNT(LifeExpectancyData[[#This Row],[Life expectancy]:[Schooling]])=19</f>
        <v>1</v>
      </c>
    </row>
    <row r="2407" spans="1:23" x14ac:dyDescent="0.25">
      <c r="A2407" t="s">
        <v>432</v>
      </c>
      <c r="B2407">
        <v>2003</v>
      </c>
      <c r="C2407" t="s">
        <v>273</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COUNT(LifeExpectancyData[[#This Row],[Life expectancy]:[Schooling]])=19</f>
        <v>1</v>
      </c>
    </row>
    <row r="2408" spans="1:23" x14ac:dyDescent="0.25">
      <c r="A2408" t="s">
        <v>432</v>
      </c>
      <c r="B2408">
        <v>2002</v>
      </c>
      <c r="C2408" t="s">
        <v>273</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COUNT(LifeExpectancyData[[#This Row],[Life expectancy]:[Schooling]])=19</f>
        <v>1</v>
      </c>
    </row>
    <row r="2409" spans="1:23" x14ac:dyDescent="0.25">
      <c r="A2409" t="s">
        <v>432</v>
      </c>
      <c r="B2409">
        <v>2001</v>
      </c>
      <c r="C2409" t="s">
        <v>273</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COUNT(LifeExpectancyData[[#This Row],[Life expectancy]:[Schooling]])=19</f>
        <v>1</v>
      </c>
    </row>
    <row r="2410" spans="1:23" x14ac:dyDescent="0.25">
      <c r="A2410" t="s">
        <v>432</v>
      </c>
      <c r="B2410">
        <v>2000</v>
      </c>
      <c r="C2410" t="s">
        <v>273</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COUNT(LifeExpectancyData[[#This Row],[Life expectancy]:[Schooling]])=19</f>
        <v>1</v>
      </c>
    </row>
    <row r="2411" spans="1:23" x14ac:dyDescent="0.25">
      <c r="A2411" t="s">
        <v>433</v>
      </c>
      <c r="B2411">
        <v>2015</v>
      </c>
      <c r="C2411" t="s">
        <v>273</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COUNT(LifeExpectancyData[[#This Row],[Life expectancy]:[Schooling]])=19</f>
        <v>0</v>
      </c>
    </row>
    <row r="2412" spans="1:23" x14ac:dyDescent="0.25">
      <c r="A2412" t="s">
        <v>433</v>
      </c>
      <c r="B2412">
        <v>2014</v>
      </c>
      <c r="C2412" t="s">
        <v>273</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COUNT(LifeExpectancyData[[#This Row],[Life expectancy]:[Schooling]])=19</f>
        <v>0</v>
      </c>
    </row>
    <row r="2413" spans="1:23" x14ac:dyDescent="0.25">
      <c r="A2413" t="s">
        <v>433</v>
      </c>
      <c r="B2413">
        <v>2013</v>
      </c>
      <c r="C2413" t="s">
        <v>273</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COUNT(LifeExpectancyData[[#This Row],[Life expectancy]:[Schooling]])=19</f>
        <v>0</v>
      </c>
    </row>
    <row r="2414" spans="1:23" x14ac:dyDescent="0.25">
      <c r="A2414" t="s">
        <v>433</v>
      </c>
      <c r="B2414">
        <v>2012</v>
      </c>
      <c r="C2414" t="s">
        <v>273</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COUNT(LifeExpectancyData[[#This Row],[Life expectancy]:[Schooling]])=19</f>
        <v>0</v>
      </c>
    </row>
    <row r="2415" spans="1:23" x14ac:dyDescent="0.25">
      <c r="A2415" t="s">
        <v>433</v>
      </c>
      <c r="B2415">
        <v>2011</v>
      </c>
      <c r="C2415" t="s">
        <v>273</v>
      </c>
      <c r="D2415">
        <v>55.4</v>
      </c>
      <c r="E2415">
        <v>355</v>
      </c>
      <c r="F2415">
        <v>27</v>
      </c>
      <c r="H2415">
        <v>0</v>
      </c>
      <c r="J2415">
        <v>1256</v>
      </c>
      <c r="L2415">
        <v>41</v>
      </c>
      <c r="M2415">
        <v>66</v>
      </c>
      <c r="O2415">
        <v>61</v>
      </c>
      <c r="P2415">
        <v>3.9</v>
      </c>
      <c r="Q2415">
        <v>176.97130000000001</v>
      </c>
      <c r="R2415">
        <v>1448857</v>
      </c>
      <c r="U2415">
        <v>0.42899999999999999</v>
      </c>
      <c r="V2415">
        <v>4.9000000000000004</v>
      </c>
      <c r="W2415" t="b">
        <f>COUNT(LifeExpectancyData[[#This Row],[Life expectancy]:[Schooling]])=19</f>
        <v>0</v>
      </c>
    </row>
    <row r="2416" spans="1:23" x14ac:dyDescent="0.25">
      <c r="A2416" t="s">
        <v>433</v>
      </c>
      <c r="B2416">
        <v>2010</v>
      </c>
      <c r="C2416" t="s">
        <v>273</v>
      </c>
      <c r="D2416">
        <v>55</v>
      </c>
      <c r="E2416">
        <v>359</v>
      </c>
      <c r="F2416">
        <v>27</v>
      </c>
      <c r="H2416">
        <v>0</v>
      </c>
      <c r="J2416">
        <v>0</v>
      </c>
      <c r="L2416">
        <v>41</v>
      </c>
      <c r="P2416">
        <v>4</v>
      </c>
      <c r="Q2416">
        <v>1562.2393460000001</v>
      </c>
      <c r="R2416">
        <v>167192</v>
      </c>
      <c r="U2416">
        <v>0</v>
      </c>
      <c r="V2416">
        <v>0</v>
      </c>
      <c r="W2416" t="b">
        <f>COUNT(LifeExpectancyData[[#This Row],[Life expectancy]:[Schooling]])=19</f>
        <v>0</v>
      </c>
    </row>
    <row r="2417" spans="1:23" x14ac:dyDescent="0.25">
      <c r="A2417" t="s">
        <v>433</v>
      </c>
      <c r="B2417">
        <v>2009</v>
      </c>
      <c r="C2417" t="s">
        <v>273</v>
      </c>
      <c r="D2417">
        <v>54.3</v>
      </c>
      <c r="E2417">
        <v>369</v>
      </c>
      <c r="F2417">
        <v>27</v>
      </c>
      <c r="H2417">
        <v>0</v>
      </c>
      <c r="J2417">
        <v>0</v>
      </c>
      <c r="L2417">
        <v>42</v>
      </c>
      <c r="P2417">
        <v>4.2</v>
      </c>
      <c r="Q2417">
        <v>1264.78998</v>
      </c>
      <c r="R2417">
        <v>967667</v>
      </c>
      <c r="U2417">
        <v>0</v>
      </c>
      <c r="V2417">
        <v>0</v>
      </c>
      <c r="W2417" t="b">
        <f>COUNT(LifeExpectancyData[[#This Row],[Life expectancy]:[Schooling]])=19</f>
        <v>0</v>
      </c>
    </row>
    <row r="2418" spans="1:23" x14ac:dyDescent="0.25">
      <c r="A2418" t="s">
        <v>433</v>
      </c>
      <c r="B2418">
        <v>2008</v>
      </c>
      <c r="C2418" t="s">
        <v>273</v>
      </c>
      <c r="D2418">
        <v>53.6</v>
      </c>
      <c r="E2418">
        <v>377</v>
      </c>
      <c r="F2418">
        <v>27</v>
      </c>
      <c r="H2418">
        <v>0</v>
      </c>
      <c r="J2418">
        <v>0</v>
      </c>
      <c r="L2418">
        <v>42</v>
      </c>
      <c r="P2418">
        <v>4.2</v>
      </c>
      <c r="Q2418">
        <v>1678.7118620000001</v>
      </c>
      <c r="R2418">
        <v>9263136</v>
      </c>
      <c r="U2418">
        <v>0</v>
      </c>
      <c r="V2418">
        <v>0</v>
      </c>
      <c r="W2418" t="b">
        <f>COUNT(LifeExpectancyData[[#This Row],[Life expectancy]:[Schooling]])=19</f>
        <v>0</v>
      </c>
    </row>
    <row r="2419" spans="1:23" x14ac:dyDescent="0.25">
      <c r="A2419" t="s">
        <v>433</v>
      </c>
      <c r="B2419">
        <v>2007</v>
      </c>
      <c r="C2419" t="s">
        <v>273</v>
      </c>
      <c r="D2419">
        <v>53.1</v>
      </c>
      <c r="E2419">
        <v>381</v>
      </c>
      <c r="F2419">
        <v>27</v>
      </c>
      <c r="H2419">
        <v>0</v>
      </c>
      <c r="J2419">
        <v>0</v>
      </c>
      <c r="L2419">
        <v>43</v>
      </c>
      <c r="P2419">
        <v>4.2</v>
      </c>
      <c r="R2419">
        <v>88568</v>
      </c>
      <c r="U2419">
        <v>0</v>
      </c>
      <c r="V2419">
        <v>0</v>
      </c>
      <c r="W2419" t="b">
        <f>COUNT(LifeExpectancyData[[#This Row],[Life expectancy]:[Schooling]])=19</f>
        <v>0</v>
      </c>
    </row>
    <row r="2420" spans="1:23" x14ac:dyDescent="0.25">
      <c r="A2420" t="s">
        <v>433</v>
      </c>
      <c r="B2420">
        <v>2006</v>
      </c>
      <c r="C2420" t="s">
        <v>273</v>
      </c>
      <c r="D2420">
        <v>52.5</v>
      </c>
      <c r="E2420">
        <v>383</v>
      </c>
      <c r="F2420">
        <v>28</v>
      </c>
      <c r="H2420">
        <v>0</v>
      </c>
      <c r="J2420">
        <v>0</v>
      </c>
      <c r="L2420">
        <v>43</v>
      </c>
      <c r="P2420">
        <v>4.0999999999999996</v>
      </c>
      <c r="R2420">
        <v>8468152</v>
      </c>
      <c r="U2420">
        <v>0</v>
      </c>
      <c r="V2420">
        <v>0</v>
      </c>
      <c r="W2420" t="b">
        <f>COUNT(LifeExpectancyData[[#This Row],[Life expectancy]:[Schooling]])=19</f>
        <v>0</v>
      </c>
    </row>
    <row r="2421" spans="1:23" x14ac:dyDescent="0.25">
      <c r="A2421" t="s">
        <v>433</v>
      </c>
      <c r="B2421">
        <v>2005</v>
      </c>
      <c r="C2421" t="s">
        <v>273</v>
      </c>
      <c r="D2421">
        <v>51.9</v>
      </c>
      <c r="E2421">
        <v>383</v>
      </c>
      <c r="F2421">
        <v>28</v>
      </c>
      <c r="H2421">
        <v>0</v>
      </c>
      <c r="J2421">
        <v>0</v>
      </c>
      <c r="L2421">
        <v>44</v>
      </c>
      <c r="P2421">
        <v>3.9</v>
      </c>
      <c r="R2421">
        <v>818877</v>
      </c>
      <c r="U2421">
        <v>0</v>
      </c>
      <c r="V2421">
        <v>0</v>
      </c>
      <c r="W2421" t="b">
        <f>COUNT(LifeExpectancyData[[#This Row],[Life expectancy]:[Schooling]])=19</f>
        <v>0</v>
      </c>
    </row>
    <row r="2422" spans="1:23" x14ac:dyDescent="0.25">
      <c r="A2422" t="s">
        <v>433</v>
      </c>
      <c r="B2422">
        <v>2004</v>
      </c>
      <c r="C2422" t="s">
        <v>273</v>
      </c>
      <c r="D2422">
        <v>51.4</v>
      </c>
      <c r="E2422">
        <v>383</v>
      </c>
      <c r="F2422">
        <v>29</v>
      </c>
      <c r="H2422">
        <v>0</v>
      </c>
      <c r="J2422">
        <v>0</v>
      </c>
      <c r="L2422">
        <v>45</v>
      </c>
      <c r="P2422">
        <v>3.8</v>
      </c>
      <c r="R2422">
        <v>7787655</v>
      </c>
      <c r="U2422">
        <v>0</v>
      </c>
      <c r="V2422">
        <v>0</v>
      </c>
      <c r="W2422" t="b">
        <f>COUNT(LifeExpectancyData[[#This Row],[Life expectancy]:[Schooling]])=19</f>
        <v>0</v>
      </c>
    </row>
    <row r="2423" spans="1:23" x14ac:dyDescent="0.25">
      <c r="A2423" t="s">
        <v>433</v>
      </c>
      <c r="B2423">
        <v>2003</v>
      </c>
      <c r="C2423" t="s">
        <v>273</v>
      </c>
      <c r="D2423">
        <v>58</v>
      </c>
      <c r="E2423">
        <v>383</v>
      </c>
      <c r="F2423">
        <v>29</v>
      </c>
      <c r="H2423">
        <v>0</v>
      </c>
      <c r="J2423">
        <v>0</v>
      </c>
      <c r="L2423">
        <v>46</v>
      </c>
      <c r="P2423">
        <v>3.5</v>
      </c>
      <c r="R2423">
        <v>751642</v>
      </c>
      <c r="U2423">
        <v>0</v>
      </c>
      <c r="V2423">
        <v>0</v>
      </c>
      <c r="W2423" t="b">
        <f>COUNT(LifeExpectancyData[[#This Row],[Life expectancy]:[Schooling]])=19</f>
        <v>0</v>
      </c>
    </row>
    <row r="2424" spans="1:23" x14ac:dyDescent="0.25">
      <c r="A2424" t="s">
        <v>433</v>
      </c>
      <c r="B2424">
        <v>2002</v>
      </c>
      <c r="C2424" t="s">
        <v>273</v>
      </c>
      <c r="D2424">
        <v>52</v>
      </c>
      <c r="E2424">
        <v>382</v>
      </c>
      <c r="F2424">
        <v>30</v>
      </c>
      <c r="H2424">
        <v>0</v>
      </c>
      <c r="J2424">
        <v>0</v>
      </c>
      <c r="L2424">
        <v>48</v>
      </c>
      <c r="P2424">
        <v>3.3</v>
      </c>
      <c r="R2424">
        <v>7237276</v>
      </c>
      <c r="U2424">
        <v>0</v>
      </c>
      <c r="V2424">
        <v>0</v>
      </c>
      <c r="W2424" t="b">
        <f>COUNT(LifeExpectancyData[[#This Row],[Life expectancy]:[Schooling]])=19</f>
        <v>0</v>
      </c>
    </row>
    <row r="2425" spans="1:23" x14ac:dyDescent="0.25">
      <c r="A2425" t="s">
        <v>433</v>
      </c>
      <c r="B2425">
        <v>2001</v>
      </c>
      <c r="C2425" t="s">
        <v>273</v>
      </c>
      <c r="D2425">
        <v>49.6</v>
      </c>
      <c r="E2425">
        <v>381</v>
      </c>
      <c r="F2425">
        <v>30</v>
      </c>
      <c r="H2425">
        <v>0</v>
      </c>
      <c r="J2425">
        <v>0</v>
      </c>
      <c r="L2425">
        <v>49</v>
      </c>
      <c r="P2425">
        <v>3</v>
      </c>
      <c r="R2425">
        <v>6974442</v>
      </c>
      <c r="U2425">
        <v>0</v>
      </c>
      <c r="V2425">
        <v>0</v>
      </c>
      <c r="W2425" t="b">
        <f>COUNT(LifeExpectancyData[[#This Row],[Life expectancy]:[Schooling]])=19</f>
        <v>0</v>
      </c>
    </row>
    <row r="2426" spans="1:23" x14ac:dyDescent="0.25">
      <c r="A2426" t="s">
        <v>433</v>
      </c>
      <c r="B2426">
        <v>2000</v>
      </c>
      <c r="C2426" t="s">
        <v>273</v>
      </c>
      <c r="D2426">
        <v>48.9</v>
      </c>
      <c r="E2426">
        <v>38</v>
      </c>
      <c r="F2426">
        <v>31</v>
      </c>
      <c r="H2426">
        <v>0</v>
      </c>
      <c r="J2426">
        <v>0</v>
      </c>
      <c r="L2426">
        <v>50</v>
      </c>
      <c r="P2426">
        <v>2.7</v>
      </c>
      <c r="R2426">
        <v>67656</v>
      </c>
      <c r="U2426">
        <v>0</v>
      </c>
      <c r="V2426">
        <v>0</v>
      </c>
      <c r="W2426" t="b">
        <f>COUNT(LifeExpectancyData[[#This Row],[Life expectancy]:[Schooling]])=19</f>
        <v>0</v>
      </c>
    </row>
    <row r="2427" spans="1:23" x14ac:dyDescent="0.25">
      <c r="A2427" t="s">
        <v>434</v>
      </c>
      <c r="B2427">
        <v>2015</v>
      </c>
      <c r="C2427" t="s">
        <v>281</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COUNT(LifeExpectancyData[[#This Row],[Life expectancy]:[Schooling]])=19</f>
        <v>0</v>
      </c>
    </row>
    <row r="2428" spans="1:23" x14ac:dyDescent="0.25">
      <c r="A2428" t="s">
        <v>434</v>
      </c>
      <c r="B2428">
        <v>2014</v>
      </c>
      <c r="C2428" t="s">
        <v>281</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COUNT(LifeExpectancyData[[#This Row],[Life expectancy]:[Schooling]])=19</f>
        <v>1</v>
      </c>
    </row>
    <row r="2429" spans="1:23" x14ac:dyDescent="0.25">
      <c r="A2429" t="s">
        <v>434</v>
      </c>
      <c r="B2429">
        <v>2013</v>
      </c>
      <c r="C2429" t="s">
        <v>281</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COUNT(LifeExpectancyData[[#This Row],[Life expectancy]:[Schooling]])=19</f>
        <v>1</v>
      </c>
    </row>
    <row r="2430" spans="1:23" x14ac:dyDescent="0.25">
      <c r="A2430" t="s">
        <v>434</v>
      </c>
      <c r="B2430">
        <v>2012</v>
      </c>
      <c r="C2430" t="s">
        <v>281</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COUNT(LifeExpectancyData[[#This Row],[Life expectancy]:[Schooling]])=19</f>
        <v>1</v>
      </c>
    </row>
    <row r="2431" spans="1:23" x14ac:dyDescent="0.25">
      <c r="A2431" t="s">
        <v>434</v>
      </c>
      <c r="B2431">
        <v>2011</v>
      </c>
      <c r="C2431" t="s">
        <v>281</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COUNT(LifeExpectancyData[[#This Row],[Life expectancy]:[Schooling]])=19</f>
        <v>1</v>
      </c>
    </row>
    <row r="2432" spans="1:23" x14ac:dyDescent="0.25">
      <c r="A2432" t="s">
        <v>434</v>
      </c>
      <c r="B2432">
        <v>2010</v>
      </c>
      <c r="C2432" t="s">
        <v>281</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COUNT(LifeExpectancyData[[#This Row],[Life expectancy]:[Schooling]])=19</f>
        <v>1</v>
      </c>
    </row>
    <row r="2433" spans="1:23" x14ac:dyDescent="0.25">
      <c r="A2433" t="s">
        <v>434</v>
      </c>
      <c r="B2433">
        <v>2009</v>
      </c>
      <c r="C2433" t="s">
        <v>281</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COUNT(LifeExpectancyData[[#This Row],[Life expectancy]:[Schooling]])=19</f>
        <v>1</v>
      </c>
    </row>
    <row r="2434" spans="1:23" x14ac:dyDescent="0.25">
      <c r="A2434" t="s">
        <v>434</v>
      </c>
      <c r="B2434">
        <v>2008</v>
      </c>
      <c r="C2434" t="s">
        <v>281</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COUNT(LifeExpectancyData[[#This Row],[Life expectancy]:[Schooling]])=19</f>
        <v>1</v>
      </c>
    </row>
    <row r="2435" spans="1:23" x14ac:dyDescent="0.25">
      <c r="A2435" t="s">
        <v>434</v>
      </c>
      <c r="B2435">
        <v>2007</v>
      </c>
      <c r="C2435" t="s">
        <v>281</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COUNT(LifeExpectancyData[[#This Row],[Life expectancy]:[Schooling]])=19</f>
        <v>1</v>
      </c>
    </row>
    <row r="2436" spans="1:23" x14ac:dyDescent="0.25">
      <c r="A2436" t="s">
        <v>434</v>
      </c>
      <c r="B2436">
        <v>2006</v>
      </c>
      <c r="C2436" t="s">
        <v>281</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COUNT(LifeExpectancyData[[#This Row],[Life expectancy]:[Schooling]])=19</f>
        <v>1</v>
      </c>
    </row>
    <row r="2437" spans="1:23" x14ac:dyDescent="0.25">
      <c r="A2437" t="s">
        <v>434</v>
      </c>
      <c r="B2437">
        <v>2005</v>
      </c>
      <c r="C2437" t="s">
        <v>281</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COUNT(LifeExpectancyData[[#This Row],[Life expectancy]:[Schooling]])=19</f>
        <v>1</v>
      </c>
    </row>
    <row r="2438" spans="1:23" x14ac:dyDescent="0.25">
      <c r="A2438" t="s">
        <v>434</v>
      </c>
      <c r="B2438">
        <v>2004</v>
      </c>
      <c r="C2438" t="s">
        <v>281</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COUNT(LifeExpectancyData[[#This Row],[Life expectancy]:[Schooling]])=19</f>
        <v>1</v>
      </c>
    </row>
    <row r="2439" spans="1:23" x14ac:dyDescent="0.25">
      <c r="A2439" t="s">
        <v>434</v>
      </c>
      <c r="B2439">
        <v>2003</v>
      </c>
      <c r="C2439" t="s">
        <v>281</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COUNT(LifeExpectancyData[[#This Row],[Life expectancy]:[Schooling]])=19</f>
        <v>1</v>
      </c>
    </row>
    <row r="2440" spans="1:23" x14ac:dyDescent="0.25">
      <c r="A2440" t="s">
        <v>434</v>
      </c>
      <c r="B2440">
        <v>2002</v>
      </c>
      <c r="C2440" t="s">
        <v>281</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COUNT(LifeExpectancyData[[#This Row],[Life expectancy]:[Schooling]])=19</f>
        <v>1</v>
      </c>
    </row>
    <row r="2441" spans="1:23" x14ac:dyDescent="0.25">
      <c r="A2441" t="s">
        <v>434</v>
      </c>
      <c r="B2441">
        <v>2001</v>
      </c>
      <c r="C2441" t="s">
        <v>281</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COUNT(LifeExpectancyData[[#This Row],[Life expectancy]:[Schooling]])=19</f>
        <v>1</v>
      </c>
    </row>
    <row r="2442" spans="1:23" x14ac:dyDescent="0.25">
      <c r="A2442" t="s">
        <v>434</v>
      </c>
      <c r="B2442">
        <v>2000</v>
      </c>
      <c r="C2442" t="s">
        <v>281</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COUNT(LifeExpectancyData[[#This Row],[Life expectancy]:[Schooling]])=19</f>
        <v>1</v>
      </c>
    </row>
    <row r="2443" spans="1:23" x14ac:dyDescent="0.25">
      <c r="A2443" t="s">
        <v>435</v>
      </c>
      <c r="B2443">
        <v>2015</v>
      </c>
      <c r="C2443" t="s">
        <v>273</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COUNT(LifeExpectancyData[[#This Row],[Life expectancy]:[Schooling]])=19</f>
        <v>0</v>
      </c>
    </row>
    <row r="2444" spans="1:23" x14ac:dyDescent="0.25">
      <c r="A2444" t="s">
        <v>435</v>
      </c>
      <c r="B2444">
        <v>2014</v>
      </c>
      <c r="C2444" t="s">
        <v>273</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COUNT(LifeExpectancyData[[#This Row],[Life expectancy]:[Schooling]])=19</f>
        <v>1</v>
      </c>
    </row>
    <row r="2445" spans="1:23" x14ac:dyDescent="0.25">
      <c r="A2445" t="s">
        <v>435</v>
      </c>
      <c r="B2445">
        <v>2013</v>
      </c>
      <c r="C2445" t="s">
        <v>273</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COUNT(LifeExpectancyData[[#This Row],[Life expectancy]:[Schooling]])=19</f>
        <v>1</v>
      </c>
    </row>
    <row r="2446" spans="1:23" x14ac:dyDescent="0.25">
      <c r="A2446" t="s">
        <v>435</v>
      </c>
      <c r="B2446">
        <v>2012</v>
      </c>
      <c r="C2446" t="s">
        <v>273</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COUNT(LifeExpectancyData[[#This Row],[Life expectancy]:[Schooling]])=19</f>
        <v>1</v>
      </c>
    </row>
    <row r="2447" spans="1:23" x14ac:dyDescent="0.25">
      <c r="A2447" t="s">
        <v>435</v>
      </c>
      <c r="B2447">
        <v>2011</v>
      </c>
      <c r="C2447" t="s">
        <v>273</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COUNT(LifeExpectancyData[[#This Row],[Life expectancy]:[Schooling]])=19</f>
        <v>1</v>
      </c>
    </row>
    <row r="2448" spans="1:23" x14ac:dyDescent="0.25">
      <c r="A2448" t="s">
        <v>435</v>
      </c>
      <c r="B2448">
        <v>2010</v>
      </c>
      <c r="C2448" t="s">
        <v>273</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COUNT(LifeExpectancyData[[#This Row],[Life expectancy]:[Schooling]])=19</f>
        <v>1</v>
      </c>
    </row>
    <row r="2449" spans="1:23" x14ac:dyDescent="0.25">
      <c r="A2449" t="s">
        <v>435</v>
      </c>
      <c r="B2449">
        <v>2009</v>
      </c>
      <c r="C2449" t="s">
        <v>273</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COUNT(LifeExpectancyData[[#This Row],[Life expectancy]:[Schooling]])=19</f>
        <v>1</v>
      </c>
    </row>
    <row r="2450" spans="1:23" x14ac:dyDescent="0.25">
      <c r="A2450" t="s">
        <v>435</v>
      </c>
      <c r="B2450">
        <v>2008</v>
      </c>
      <c r="C2450" t="s">
        <v>273</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COUNT(LifeExpectancyData[[#This Row],[Life expectancy]:[Schooling]])=19</f>
        <v>1</v>
      </c>
    </row>
    <row r="2451" spans="1:23" x14ac:dyDescent="0.25">
      <c r="A2451" t="s">
        <v>435</v>
      </c>
      <c r="B2451">
        <v>2007</v>
      </c>
      <c r="C2451" t="s">
        <v>273</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COUNT(LifeExpectancyData[[#This Row],[Life expectancy]:[Schooling]])=19</f>
        <v>1</v>
      </c>
    </row>
    <row r="2452" spans="1:23" x14ac:dyDescent="0.25">
      <c r="A2452" t="s">
        <v>435</v>
      </c>
      <c r="B2452">
        <v>2006</v>
      </c>
      <c r="C2452" t="s">
        <v>273</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COUNT(LifeExpectancyData[[#This Row],[Life expectancy]:[Schooling]])=19</f>
        <v>1</v>
      </c>
    </row>
    <row r="2453" spans="1:23" x14ac:dyDescent="0.25">
      <c r="A2453" t="s">
        <v>435</v>
      </c>
      <c r="B2453">
        <v>2005</v>
      </c>
      <c r="C2453" t="s">
        <v>273</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COUNT(LifeExpectancyData[[#This Row],[Life expectancy]:[Schooling]])=19</f>
        <v>1</v>
      </c>
    </row>
    <row r="2454" spans="1:23" x14ac:dyDescent="0.25">
      <c r="A2454" t="s">
        <v>435</v>
      </c>
      <c r="B2454">
        <v>2004</v>
      </c>
      <c r="C2454" t="s">
        <v>273</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COUNT(LifeExpectancyData[[#This Row],[Life expectancy]:[Schooling]])=19</f>
        <v>1</v>
      </c>
    </row>
    <row r="2455" spans="1:23" x14ac:dyDescent="0.25">
      <c r="A2455" t="s">
        <v>435</v>
      </c>
      <c r="B2455">
        <v>2003</v>
      </c>
      <c r="C2455" t="s">
        <v>273</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COUNT(LifeExpectancyData[[#This Row],[Life expectancy]:[Schooling]])=19</f>
        <v>1</v>
      </c>
    </row>
    <row r="2456" spans="1:23" x14ac:dyDescent="0.25">
      <c r="A2456" t="s">
        <v>435</v>
      </c>
      <c r="B2456">
        <v>2002</v>
      </c>
      <c r="C2456" t="s">
        <v>273</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COUNT(LifeExpectancyData[[#This Row],[Life expectancy]:[Schooling]])=19</f>
        <v>0</v>
      </c>
    </row>
    <row r="2457" spans="1:23" x14ac:dyDescent="0.25">
      <c r="A2457" t="s">
        <v>435</v>
      </c>
      <c r="B2457">
        <v>2001</v>
      </c>
      <c r="C2457" t="s">
        <v>273</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COUNT(LifeExpectancyData[[#This Row],[Life expectancy]:[Schooling]])=19</f>
        <v>0</v>
      </c>
    </row>
    <row r="2458" spans="1:23" x14ac:dyDescent="0.25">
      <c r="A2458" t="s">
        <v>435</v>
      </c>
      <c r="B2458">
        <v>2000</v>
      </c>
      <c r="C2458" t="s">
        <v>273</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COUNT(LifeExpectancyData[[#This Row],[Life expectancy]:[Schooling]])=19</f>
        <v>0</v>
      </c>
    </row>
    <row r="2459" spans="1:23" x14ac:dyDescent="0.25">
      <c r="A2459" t="s">
        <v>436</v>
      </c>
      <c r="B2459">
        <v>2015</v>
      </c>
      <c r="C2459" t="s">
        <v>273</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COUNT(LifeExpectancyData[[#This Row],[Life expectancy]:[Schooling]])=19</f>
        <v>0</v>
      </c>
    </row>
    <row r="2460" spans="1:23" x14ac:dyDescent="0.25">
      <c r="A2460" t="s">
        <v>436</v>
      </c>
      <c r="B2460">
        <v>2014</v>
      </c>
      <c r="C2460" t="s">
        <v>273</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COUNT(LifeExpectancyData[[#This Row],[Life expectancy]:[Schooling]])=19</f>
        <v>0</v>
      </c>
    </row>
    <row r="2461" spans="1:23" x14ac:dyDescent="0.25">
      <c r="A2461" t="s">
        <v>436</v>
      </c>
      <c r="B2461">
        <v>2013</v>
      </c>
      <c r="C2461" t="s">
        <v>273</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COUNT(LifeExpectancyData[[#This Row],[Life expectancy]:[Schooling]])=19</f>
        <v>0</v>
      </c>
    </row>
    <row r="2462" spans="1:23" x14ac:dyDescent="0.25">
      <c r="A2462" t="s">
        <v>436</v>
      </c>
      <c r="B2462">
        <v>2012</v>
      </c>
      <c r="C2462" t="s">
        <v>273</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COUNT(LifeExpectancyData[[#This Row],[Life expectancy]:[Schooling]])=19</f>
        <v>0</v>
      </c>
    </row>
    <row r="2463" spans="1:23" x14ac:dyDescent="0.25">
      <c r="A2463" t="s">
        <v>436</v>
      </c>
      <c r="B2463">
        <v>2011</v>
      </c>
      <c r="C2463" t="s">
        <v>273</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COUNT(LifeExpectancyData[[#This Row],[Life expectancy]:[Schooling]])=19</f>
        <v>0</v>
      </c>
    </row>
    <row r="2464" spans="1:23" x14ac:dyDescent="0.25">
      <c r="A2464" t="s">
        <v>436</v>
      </c>
      <c r="B2464">
        <v>2010</v>
      </c>
      <c r="C2464" t="s">
        <v>273</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COUNT(LifeExpectancyData[[#This Row],[Life expectancy]:[Schooling]])=19</f>
        <v>0</v>
      </c>
    </row>
    <row r="2465" spans="1:23" x14ac:dyDescent="0.25">
      <c r="A2465" t="s">
        <v>436</v>
      </c>
      <c r="B2465">
        <v>2009</v>
      </c>
      <c r="C2465" t="s">
        <v>273</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COUNT(LifeExpectancyData[[#This Row],[Life expectancy]:[Schooling]])=19</f>
        <v>0</v>
      </c>
    </row>
    <row r="2466" spans="1:23" x14ac:dyDescent="0.25">
      <c r="A2466" t="s">
        <v>436</v>
      </c>
      <c r="B2466">
        <v>2008</v>
      </c>
      <c r="C2466" t="s">
        <v>273</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COUNT(LifeExpectancyData[[#This Row],[Life expectancy]:[Schooling]])=19</f>
        <v>0</v>
      </c>
    </row>
    <row r="2467" spans="1:23" x14ac:dyDescent="0.25">
      <c r="A2467" t="s">
        <v>436</v>
      </c>
      <c r="B2467">
        <v>2007</v>
      </c>
      <c r="C2467" t="s">
        <v>273</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COUNT(LifeExpectancyData[[#This Row],[Life expectancy]:[Schooling]])=19</f>
        <v>0</v>
      </c>
    </row>
    <row r="2468" spans="1:23" x14ac:dyDescent="0.25">
      <c r="A2468" t="s">
        <v>436</v>
      </c>
      <c r="B2468">
        <v>2006</v>
      </c>
      <c r="C2468" t="s">
        <v>273</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COUNT(LifeExpectancyData[[#This Row],[Life expectancy]:[Schooling]])=19</f>
        <v>0</v>
      </c>
    </row>
    <row r="2469" spans="1:23" x14ac:dyDescent="0.25">
      <c r="A2469" t="s">
        <v>436</v>
      </c>
      <c r="B2469">
        <v>2005</v>
      </c>
      <c r="C2469" t="s">
        <v>273</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COUNT(LifeExpectancyData[[#This Row],[Life expectancy]:[Schooling]])=19</f>
        <v>0</v>
      </c>
    </row>
    <row r="2470" spans="1:23" x14ac:dyDescent="0.25">
      <c r="A2470" t="s">
        <v>436</v>
      </c>
      <c r="B2470">
        <v>2004</v>
      </c>
      <c r="C2470" t="s">
        <v>273</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COUNT(LifeExpectancyData[[#This Row],[Life expectancy]:[Schooling]])=19</f>
        <v>0</v>
      </c>
    </row>
    <row r="2471" spans="1:23" x14ac:dyDescent="0.25">
      <c r="A2471" t="s">
        <v>436</v>
      </c>
      <c r="B2471">
        <v>2003</v>
      </c>
      <c r="C2471" t="s">
        <v>273</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COUNT(LifeExpectancyData[[#This Row],[Life expectancy]:[Schooling]])=19</f>
        <v>0</v>
      </c>
    </row>
    <row r="2472" spans="1:23" x14ac:dyDescent="0.25">
      <c r="A2472" t="s">
        <v>436</v>
      </c>
      <c r="B2472">
        <v>2002</v>
      </c>
      <c r="C2472" t="s">
        <v>273</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COUNT(LifeExpectancyData[[#This Row],[Life expectancy]:[Schooling]])=19</f>
        <v>0</v>
      </c>
    </row>
    <row r="2473" spans="1:23" x14ac:dyDescent="0.25">
      <c r="A2473" t="s">
        <v>436</v>
      </c>
      <c r="B2473">
        <v>2001</v>
      </c>
      <c r="C2473" t="s">
        <v>273</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COUNT(LifeExpectancyData[[#This Row],[Life expectancy]:[Schooling]])=19</f>
        <v>0</v>
      </c>
    </row>
    <row r="2474" spans="1:23" x14ac:dyDescent="0.25">
      <c r="A2474" t="s">
        <v>436</v>
      </c>
      <c r="B2474">
        <v>2000</v>
      </c>
      <c r="C2474" t="s">
        <v>273</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COUNT(LifeExpectancyData[[#This Row],[Life expectancy]:[Schooling]])=19</f>
        <v>0</v>
      </c>
    </row>
    <row r="2475" spans="1:23" x14ac:dyDescent="0.25">
      <c r="A2475" t="s">
        <v>437</v>
      </c>
      <c r="B2475">
        <v>2015</v>
      </c>
      <c r="C2475" t="s">
        <v>273</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COUNT(LifeExpectancyData[[#This Row],[Life expectancy]:[Schooling]])=19</f>
        <v>0</v>
      </c>
    </row>
    <row r="2476" spans="1:23" x14ac:dyDescent="0.25">
      <c r="A2476" t="s">
        <v>437</v>
      </c>
      <c r="B2476">
        <v>2014</v>
      </c>
      <c r="C2476" t="s">
        <v>273</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COUNT(LifeExpectancyData[[#This Row],[Life expectancy]:[Schooling]])=19</f>
        <v>1</v>
      </c>
    </row>
    <row r="2477" spans="1:23" x14ac:dyDescent="0.25">
      <c r="A2477" t="s">
        <v>437</v>
      </c>
      <c r="B2477">
        <v>2013</v>
      </c>
      <c r="C2477" t="s">
        <v>273</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COUNT(LifeExpectancyData[[#This Row],[Life expectancy]:[Schooling]])=19</f>
        <v>1</v>
      </c>
    </row>
    <row r="2478" spans="1:23" x14ac:dyDescent="0.25">
      <c r="A2478" t="s">
        <v>437</v>
      </c>
      <c r="B2478">
        <v>2012</v>
      </c>
      <c r="C2478" t="s">
        <v>273</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COUNT(LifeExpectancyData[[#This Row],[Life expectancy]:[Schooling]])=19</f>
        <v>1</v>
      </c>
    </row>
    <row r="2479" spans="1:23" x14ac:dyDescent="0.25">
      <c r="A2479" t="s">
        <v>437</v>
      </c>
      <c r="B2479">
        <v>2011</v>
      </c>
      <c r="C2479" t="s">
        <v>273</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COUNT(LifeExpectancyData[[#This Row],[Life expectancy]:[Schooling]])=19</f>
        <v>1</v>
      </c>
    </row>
    <row r="2480" spans="1:23" x14ac:dyDescent="0.25">
      <c r="A2480" t="s">
        <v>437</v>
      </c>
      <c r="B2480">
        <v>2010</v>
      </c>
      <c r="C2480" t="s">
        <v>273</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COUNT(LifeExpectancyData[[#This Row],[Life expectancy]:[Schooling]])=19</f>
        <v>1</v>
      </c>
    </row>
    <row r="2481" spans="1:23" x14ac:dyDescent="0.25">
      <c r="A2481" t="s">
        <v>437</v>
      </c>
      <c r="B2481">
        <v>2009</v>
      </c>
      <c r="C2481" t="s">
        <v>273</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COUNT(LifeExpectancyData[[#This Row],[Life expectancy]:[Schooling]])=19</f>
        <v>1</v>
      </c>
    </row>
    <row r="2482" spans="1:23" x14ac:dyDescent="0.25">
      <c r="A2482" t="s">
        <v>437</v>
      </c>
      <c r="B2482">
        <v>2008</v>
      </c>
      <c r="C2482" t="s">
        <v>273</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COUNT(LifeExpectancyData[[#This Row],[Life expectancy]:[Schooling]])=19</f>
        <v>1</v>
      </c>
    </row>
    <row r="2483" spans="1:23" x14ac:dyDescent="0.25">
      <c r="A2483" t="s">
        <v>437</v>
      </c>
      <c r="B2483">
        <v>2007</v>
      </c>
      <c r="C2483" t="s">
        <v>273</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COUNT(LifeExpectancyData[[#This Row],[Life expectancy]:[Schooling]])=19</f>
        <v>1</v>
      </c>
    </row>
    <row r="2484" spans="1:23" x14ac:dyDescent="0.25">
      <c r="A2484" t="s">
        <v>437</v>
      </c>
      <c r="B2484">
        <v>2006</v>
      </c>
      <c r="C2484" t="s">
        <v>273</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COUNT(LifeExpectancyData[[#This Row],[Life expectancy]:[Schooling]])=19</f>
        <v>1</v>
      </c>
    </row>
    <row r="2485" spans="1:23" x14ac:dyDescent="0.25">
      <c r="A2485" t="s">
        <v>437</v>
      </c>
      <c r="B2485">
        <v>2005</v>
      </c>
      <c r="C2485" t="s">
        <v>273</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COUNT(LifeExpectancyData[[#This Row],[Life expectancy]:[Schooling]])=19</f>
        <v>1</v>
      </c>
    </row>
    <row r="2486" spans="1:23" x14ac:dyDescent="0.25">
      <c r="A2486" t="s">
        <v>437</v>
      </c>
      <c r="B2486">
        <v>2004</v>
      </c>
      <c r="C2486" t="s">
        <v>273</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COUNT(LifeExpectancyData[[#This Row],[Life expectancy]:[Schooling]])=19</f>
        <v>0</v>
      </c>
    </row>
    <row r="2487" spans="1:23" x14ac:dyDescent="0.25">
      <c r="A2487" t="s">
        <v>437</v>
      </c>
      <c r="B2487">
        <v>2003</v>
      </c>
      <c r="C2487" t="s">
        <v>273</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COUNT(LifeExpectancyData[[#This Row],[Life expectancy]:[Schooling]])=19</f>
        <v>0</v>
      </c>
    </row>
    <row r="2488" spans="1:23" x14ac:dyDescent="0.25">
      <c r="A2488" t="s">
        <v>437</v>
      </c>
      <c r="B2488">
        <v>2002</v>
      </c>
      <c r="C2488" t="s">
        <v>273</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COUNT(LifeExpectancyData[[#This Row],[Life expectancy]:[Schooling]])=19</f>
        <v>0</v>
      </c>
    </row>
    <row r="2489" spans="1:23" x14ac:dyDescent="0.25">
      <c r="A2489" t="s">
        <v>437</v>
      </c>
      <c r="B2489">
        <v>2001</v>
      </c>
      <c r="C2489" t="s">
        <v>273</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COUNT(LifeExpectancyData[[#This Row],[Life expectancy]:[Schooling]])=19</f>
        <v>0</v>
      </c>
    </row>
    <row r="2490" spans="1:23" x14ac:dyDescent="0.25">
      <c r="A2490" t="s">
        <v>437</v>
      </c>
      <c r="B2490">
        <v>2000</v>
      </c>
      <c r="C2490" t="s">
        <v>273</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COUNT(LifeExpectancyData[[#This Row],[Life expectancy]:[Schooling]])=19</f>
        <v>0</v>
      </c>
    </row>
    <row r="2491" spans="1:23" x14ac:dyDescent="0.25">
      <c r="A2491" t="s">
        <v>438</v>
      </c>
      <c r="B2491">
        <v>2015</v>
      </c>
      <c r="C2491" t="s">
        <v>273</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COUNT(LifeExpectancyData[[#This Row],[Life expectancy]:[Schooling]])=19</f>
        <v>0</v>
      </c>
    </row>
    <row r="2492" spans="1:23" x14ac:dyDescent="0.25">
      <c r="A2492" t="s">
        <v>438</v>
      </c>
      <c r="B2492">
        <v>2014</v>
      </c>
      <c r="C2492" t="s">
        <v>273</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COUNT(LifeExpectancyData[[#This Row],[Life expectancy]:[Schooling]])=19</f>
        <v>1</v>
      </c>
    </row>
    <row r="2493" spans="1:23" x14ac:dyDescent="0.25">
      <c r="A2493" t="s">
        <v>438</v>
      </c>
      <c r="B2493">
        <v>2013</v>
      </c>
      <c r="C2493" t="s">
        <v>273</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COUNT(LifeExpectancyData[[#This Row],[Life expectancy]:[Schooling]])=19</f>
        <v>1</v>
      </c>
    </row>
    <row r="2494" spans="1:23" x14ac:dyDescent="0.25">
      <c r="A2494" t="s">
        <v>438</v>
      </c>
      <c r="B2494">
        <v>2012</v>
      </c>
      <c r="C2494" t="s">
        <v>273</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COUNT(LifeExpectancyData[[#This Row],[Life expectancy]:[Schooling]])=19</f>
        <v>1</v>
      </c>
    </row>
    <row r="2495" spans="1:23" x14ac:dyDescent="0.25">
      <c r="A2495" t="s">
        <v>438</v>
      </c>
      <c r="B2495">
        <v>2011</v>
      </c>
      <c r="C2495" t="s">
        <v>273</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COUNT(LifeExpectancyData[[#This Row],[Life expectancy]:[Schooling]])=19</f>
        <v>1</v>
      </c>
    </row>
    <row r="2496" spans="1:23" x14ac:dyDescent="0.25">
      <c r="A2496" t="s">
        <v>438</v>
      </c>
      <c r="B2496">
        <v>2010</v>
      </c>
      <c r="C2496" t="s">
        <v>273</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COUNT(LifeExpectancyData[[#This Row],[Life expectancy]:[Schooling]])=19</f>
        <v>1</v>
      </c>
    </row>
    <row r="2497" spans="1:23" x14ac:dyDescent="0.25">
      <c r="A2497" t="s">
        <v>438</v>
      </c>
      <c r="B2497">
        <v>2009</v>
      </c>
      <c r="C2497" t="s">
        <v>273</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COUNT(LifeExpectancyData[[#This Row],[Life expectancy]:[Schooling]])=19</f>
        <v>1</v>
      </c>
    </row>
    <row r="2498" spans="1:23" x14ac:dyDescent="0.25">
      <c r="A2498" t="s">
        <v>438</v>
      </c>
      <c r="B2498">
        <v>2008</v>
      </c>
      <c r="C2498" t="s">
        <v>273</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COUNT(LifeExpectancyData[[#This Row],[Life expectancy]:[Schooling]])=19</f>
        <v>1</v>
      </c>
    </row>
    <row r="2499" spans="1:23" x14ac:dyDescent="0.25">
      <c r="A2499" t="s">
        <v>438</v>
      </c>
      <c r="B2499">
        <v>2007</v>
      </c>
      <c r="C2499" t="s">
        <v>273</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COUNT(LifeExpectancyData[[#This Row],[Life expectancy]:[Schooling]])=19</f>
        <v>1</v>
      </c>
    </row>
    <row r="2500" spans="1:23" x14ac:dyDescent="0.25">
      <c r="A2500" t="s">
        <v>438</v>
      </c>
      <c r="B2500">
        <v>2006</v>
      </c>
      <c r="C2500" t="s">
        <v>273</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COUNT(LifeExpectancyData[[#This Row],[Life expectancy]:[Schooling]])=19</f>
        <v>1</v>
      </c>
    </row>
    <row r="2501" spans="1:23" x14ac:dyDescent="0.25">
      <c r="A2501" t="s">
        <v>438</v>
      </c>
      <c r="B2501">
        <v>2005</v>
      </c>
      <c r="C2501" t="s">
        <v>273</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COUNT(LifeExpectancyData[[#This Row],[Life expectancy]:[Schooling]])=19</f>
        <v>1</v>
      </c>
    </row>
    <row r="2502" spans="1:23" x14ac:dyDescent="0.25">
      <c r="A2502" t="s">
        <v>438</v>
      </c>
      <c r="B2502">
        <v>2004</v>
      </c>
      <c r="C2502" t="s">
        <v>273</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COUNT(LifeExpectancyData[[#This Row],[Life expectancy]:[Schooling]])=19</f>
        <v>1</v>
      </c>
    </row>
    <row r="2503" spans="1:23" x14ac:dyDescent="0.25">
      <c r="A2503" t="s">
        <v>438</v>
      </c>
      <c r="B2503">
        <v>2003</v>
      </c>
      <c r="C2503" t="s">
        <v>273</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COUNT(LifeExpectancyData[[#This Row],[Life expectancy]:[Schooling]])=19</f>
        <v>1</v>
      </c>
    </row>
    <row r="2504" spans="1:23" x14ac:dyDescent="0.25">
      <c r="A2504" t="s">
        <v>438</v>
      </c>
      <c r="B2504">
        <v>2002</v>
      </c>
      <c r="C2504" t="s">
        <v>273</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COUNT(LifeExpectancyData[[#This Row],[Life expectancy]:[Schooling]])=19</f>
        <v>1</v>
      </c>
    </row>
    <row r="2505" spans="1:23" x14ac:dyDescent="0.25">
      <c r="A2505" t="s">
        <v>438</v>
      </c>
      <c r="B2505">
        <v>2001</v>
      </c>
      <c r="C2505" t="s">
        <v>273</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COUNT(LifeExpectancyData[[#This Row],[Life expectancy]:[Schooling]])=19</f>
        <v>1</v>
      </c>
    </row>
    <row r="2506" spans="1:23" x14ac:dyDescent="0.25">
      <c r="A2506" t="s">
        <v>438</v>
      </c>
      <c r="B2506">
        <v>2000</v>
      </c>
      <c r="C2506" t="s">
        <v>273</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COUNT(LifeExpectancyData[[#This Row],[Life expectancy]:[Schooling]])=19</f>
        <v>1</v>
      </c>
    </row>
    <row r="2507" spans="1:23" x14ac:dyDescent="0.25">
      <c r="A2507" t="s">
        <v>439</v>
      </c>
      <c r="B2507">
        <v>2015</v>
      </c>
      <c r="C2507" t="s">
        <v>281</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COUNT(LifeExpectancyData[[#This Row],[Life expectancy]:[Schooling]])=19</f>
        <v>0</v>
      </c>
    </row>
    <row r="2508" spans="1:23" x14ac:dyDescent="0.25">
      <c r="A2508" t="s">
        <v>439</v>
      </c>
      <c r="B2508">
        <v>2014</v>
      </c>
      <c r="C2508" t="s">
        <v>281</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COUNT(LifeExpectancyData[[#This Row],[Life expectancy]:[Schooling]])=19</f>
        <v>1</v>
      </c>
    </row>
    <row r="2509" spans="1:23" x14ac:dyDescent="0.25">
      <c r="A2509" t="s">
        <v>439</v>
      </c>
      <c r="B2509">
        <v>2013</v>
      </c>
      <c r="C2509" t="s">
        <v>281</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COUNT(LifeExpectancyData[[#This Row],[Life expectancy]:[Schooling]])=19</f>
        <v>1</v>
      </c>
    </row>
    <row r="2510" spans="1:23" x14ac:dyDescent="0.25">
      <c r="A2510" t="s">
        <v>439</v>
      </c>
      <c r="B2510">
        <v>2012</v>
      </c>
      <c r="C2510" t="s">
        <v>281</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COUNT(LifeExpectancyData[[#This Row],[Life expectancy]:[Schooling]])=19</f>
        <v>1</v>
      </c>
    </row>
    <row r="2511" spans="1:23" x14ac:dyDescent="0.25">
      <c r="A2511" t="s">
        <v>439</v>
      </c>
      <c r="B2511">
        <v>2011</v>
      </c>
      <c r="C2511" t="s">
        <v>281</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COUNT(LifeExpectancyData[[#This Row],[Life expectancy]:[Schooling]])=19</f>
        <v>1</v>
      </c>
    </row>
    <row r="2512" spans="1:23" x14ac:dyDescent="0.25">
      <c r="A2512" t="s">
        <v>439</v>
      </c>
      <c r="B2512">
        <v>2010</v>
      </c>
      <c r="C2512" t="s">
        <v>281</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COUNT(LifeExpectancyData[[#This Row],[Life expectancy]:[Schooling]])=19</f>
        <v>0</v>
      </c>
    </row>
    <row r="2513" spans="1:23" x14ac:dyDescent="0.25">
      <c r="A2513" t="s">
        <v>439</v>
      </c>
      <c r="B2513">
        <v>2009</v>
      </c>
      <c r="C2513" t="s">
        <v>281</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COUNT(LifeExpectancyData[[#This Row],[Life expectancy]:[Schooling]])=19</f>
        <v>0</v>
      </c>
    </row>
    <row r="2514" spans="1:23" x14ac:dyDescent="0.25">
      <c r="A2514" t="s">
        <v>439</v>
      </c>
      <c r="B2514">
        <v>2008</v>
      </c>
      <c r="C2514" t="s">
        <v>281</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COUNT(LifeExpectancyData[[#This Row],[Life expectancy]:[Schooling]])=19</f>
        <v>0</v>
      </c>
    </row>
    <row r="2515" spans="1:23" x14ac:dyDescent="0.25">
      <c r="A2515" t="s">
        <v>439</v>
      </c>
      <c r="B2515">
        <v>2007</v>
      </c>
      <c r="C2515" t="s">
        <v>281</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COUNT(LifeExpectancyData[[#This Row],[Life expectancy]:[Schooling]])=19</f>
        <v>0</v>
      </c>
    </row>
    <row r="2516" spans="1:23" x14ac:dyDescent="0.25">
      <c r="A2516" t="s">
        <v>439</v>
      </c>
      <c r="B2516">
        <v>2006</v>
      </c>
      <c r="C2516" t="s">
        <v>281</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COUNT(LifeExpectancyData[[#This Row],[Life expectancy]:[Schooling]])=19</f>
        <v>0</v>
      </c>
    </row>
    <row r="2517" spans="1:23" x14ac:dyDescent="0.25">
      <c r="A2517" t="s">
        <v>439</v>
      </c>
      <c r="B2517">
        <v>2005</v>
      </c>
      <c r="C2517" t="s">
        <v>281</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COUNT(LifeExpectancyData[[#This Row],[Life expectancy]:[Schooling]])=19</f>
        <v>0</v>
      </c>
    </row>
    <row r="2518" spans="1:23" x14ac:dyDescent="0.25">
      <c r="A2518" t="s">
        <v>439</v>
      </c>
      <c r="B2518">
        <v>2004</v>
      </c>
      <c r="C2518" t="s">
        <v>281</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COUNT(LifeExpectancyData[[#This Row],[Life expectancy]:[Schooling]])=19</f>
        <v>0</v>
      </c>
    </row>
    <row r="2519" spans="1:23" x14ac:dyDescent="0.25">
      <c r="A2519" t="s">
        <v>439</v>
      </c>
      <c r="B2519">
        <v>2003</v>
      </c>
      <c r="C2519" t="s">
        <v>281</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COUNT(LifeExpectancyData[[#This Row],[Life expectancy]:[Schooling]])=19</f>
        <v>0</v>
      </c>
    </row>
    <row r="2520" spans="1:23" x14ac:dyDescent="0.25">
      <c r="A2520" t="s">
        <v>439</v>
      </c>
      <c r="B2520">
        <v>2002</v>
      </c>
      <c r="C2520" t="s">
        <v>281</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COUNT(LifeExpectancyData[[#This Row],[Life expectancy]:[Schooling]])=19</f>
        <v>0</v>
      </c>
    </row>
    <row r="2521" spans="1:23" x14ac:dyDescent="0.25">
      <c r="A2521" t="s">
        <v>439</v>
      </c>
      <c r="B2521">
        <v>2001</v>
      </c>
      <c r="C2521" t="s">
        <v>281</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COUNT(LifeExpectancyData[[#This Row],[Life expectancy]:[Schooling]])=19</f>
        <v>0</v>
      </c>
    </row>
    <row r="2522" spans="1:23" x14ac:dyDescent="0.25">
      <c r="A2522" t="s">
        <v>439</v>
      </c>
      <c r="B2522">
        <v>2000</v>
      </c>
      <c r="C2522" t="s">
        <v>281</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COUNT(LifeExpectancyData[[#This Row],[Life expectancy]:[Schooling]])=19</f>
        <v>0</v>
      </c>
    </row>
    <row r="2523" spans="1:23" x14ac:dyDescent="0.25">
      <c r="A2523" t="s">
        <v>440</v>
      </c>
      <c r="B2523">
        <v>2015</v>
      </c>
      <c r="C2523" t="s">
        <v>281</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COUNT(LifeExpectancyData[[#This Row],[Life expectancy]:[Schooling]])=19</f>
        <v>0</v>
      </c>
    </row>
    <row r="2524" spans="1:23" x14ac:dyDescent="0.25">
      <c r="A2524" t="s">
        <v>440</v>
      </c>
      <c r="B2524">
        <v>2014</v>
      </c>
      <c r="C2524" t="s">
        <v>281</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COUNT(LifeExpectancyData[[#This Row],[Life expectancy]:[Schooling]])=19</f>
        <v>0</v>
      </c>
    </row>
    <row r="2525" spans="1:23" x14ac:dyDescent="0.25">
      <c r="A2525" t="s">
        <v>440</v>
      </c>
      <c r="B2525">
        <v>2013</v>
      </c>
      <c r="C2525" t="s">
        <v>281</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COUNT(LifeExpectancyData[[#This Row],[Life expectancy]:[Schooling]])=19</f>
        <v>0</v>
      </c>
    </row>
    <row r="2526" spans="1:23" x14ac:dyDescent="0.25">
      <c r="A2526" t="s">
        <v>440</v>
      </c>
      <c r="B2526">
        <v>2012</v>
      </c>
      <c r="C2526" t="s">
        <v>281</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COUNT(LifeExpectancyData[[#This Row],[Life expectancy]:[Schooling]])=19</f>
        <v>0</v>
      </c>
    </row>
    <row r="2527" spans="1:23" x14ac:dyDescent="0.25">
      <c r="A2527" t="s">
        <v>440</v>
      </c>
      <c r="B2527">
        <v>2011</v>
      </c>
      <c r="C2527" t="s">
        <v>281</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COUNT(LifeExpectancyData[[#This Row],[Life expectancy]:[Schooling]])=19</f>
        <v>0</v>
      </c>
    </row>
    <row r="2528" spans="1:23" x14ac:dyDescent="0.25">
      <c r="A2528" t="s">
        <v>440</v>
      </c>
      <c r="B2528">
        <v>2010</v>
      </c>
      <c r="C2528" t="s">
        <v>281</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COUNT(LifeExpectancyData[[#This Row],[Life expectancy]:[Schooling]])=19</f>
        <v>0</v>
      </c>
    </row>
    <row r="2529" spans="1:23" x14ac:dyDescent="0.25">
      <c r="A2529" t="s">
        <v>440</v>
      </c>
      <c r="B2529">
        <v>2009</v>
      </c>
      <c r="C2529" t="s">
        <v>281</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COUNT(LifeExpectancyData[[#This Row],[Life expectancy]:[Schooling]])=19</f>
        <v>0</v>
      </c>
    </row>
    <row r="2530" spans="1:23" x14ac:dyDescent="0.25">
      <c r="A2530" t="s">
        <v>440</v>
      </c>
      <c r="B2530">
        <v>2008</v>
      </c>
      <c r="C2530" t="s">
        <v>281</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COUNT(LifeExpectancyData[[#This Row],[Life expectancy]:[Schooling]])=19</f>
        <v>0</v>
      </c>
    </row>
    <row r="2531" spans="1:23" x14ac:dyDescent="0.25">
      <c r="A2531" t="s">
        <v>440</v>
      </c>
      <c r="B2531">
        <v>2007</v>
      </c>
      <c r="C2531" t="s">
        <v>281</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COUNT(LifeExpectancyData[[#This Row],[Life expectancy]:[Schooling]])=19</f>
        <v>0</v>
      </c>
    </row>
    <row r="2532" spans="1:23" x14ac:dyDescent="0.25">
      <c r="A2532" t="s">
        <v>440</v>
      </c>
      <c r="B2532">
        <v>2006</v>
      </c>
      <c r="C2532" t="s">
        <v>281</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COUNT(LifeExpectancyData[[#This Row],[Life expectancy]:[Schooling]])=19</f>
        <v>0</v>
      </c>
    </row>
    <row r="2533" spans="1:23" x14ac:dyDescent="0.25">
      <c r="A2533" t="s">
        <v>440</v>
      </c>
      <c r="B2533">
        <v>2005</v>
      </c>
      <c r="C2533" t="s">
        <v>281</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COUNT(LifeExpectancyData[[#This Row],[Life expectancy]:[Schooling]])=19</f>
        <v>0</v>
      </c>
    </row>
    <row r="2534" spans="1:23" x14ac:dyDescent="0.25">
      <c r="A2534" t="s">
        <v>440</v>
      </c>
      <c r="B2534">
        <v>2004</v>
      </c>
      <c r="C2534" t="s">
        <v>281</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COUNT(LifeExpectancyData[[#This Row],[Life expectancy]:[Schooling]])=19</f>
        <v>0</v>
      </c>
    </row>
    <row r="2535" spans="1:23" x14ac:dyDescent="0.25">
      <c r="A2535" t="s">
        <v>440</v>
      </c>
      <c r="B2535">
        <v>2003</v>
      </c>
      <c r="C2535" t="s">
        <v>281</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COUNT(LifeExpectancyData[[#This Row],[Life expectancy]:[Schooling]])=19</f>
        <v>0</v>
      </c>
    </row>
    <row r="2536" spans="1:23" x14ac:dyDescent="0.25">
      <c r="A2536" t="s">
        <v>440</v>
      </c>
      <c r="B2536">
        <v>2002</v>
      </c>
      <c r="C2536" t="s">
        <v>281</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COUNT(LifeExpectancyData[[#This Row],[Life expectancy]:[Schooling]])=19</f>
        <v>0</v>
      </c>
    </row>
    <row r="2537" spans="1:23" x14ac:dyDescent="0.25">
      <c r="A2537" t="s">
        <v>440</v>
      </c>
      <c r="B2537">
        <v>2001</v>
      </c>
      <c r="C2537" t="s">
        <v>281</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COUNT(LifeExpectancyData[[#This Row],[Life expectancy]:[Schooling]])=19</f>
        <v>0</v>
      </c>
    </row>
    <row r="2538" spans="1:23" x14ac:dyDescent="0.25">
      <c r="A2538" t="s">
        <v>440</v>
      </c>
      <c r="B2538">
        <v>2000</v>
      </c>
      <c r="C2538" t="s">
        <v>281</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COUNT(LifeExpectancyData[[#This Row],[Life expectancy]:[Schooling]])=19</f>
        <v>0</v>
      </c>
    </row>
    <row r="2539" spans="1:23" x14ac:dyDescent="0.25">
      <c r="A2539" t="s">
        <v>441</v>
      </c>
      <c r="B2539">
        <v>2015</v>
      </c>
      <c r="C2539" t="s">
        <v>273</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COUNT(LifeExpectancyData[[#This Row],[Life expectancy]:[Schooling]])=19</f>
        <v>0</v>
      </c>
    </row>
    <row r="2540" spans="1:23" x14ac:dyDescent="0.25">
      <c r="A2540" t="s">
        <v>441</v>
      </c>
      <c r="B2540">
        <v>2014</v>
      </c>
      <c r="C2540" t="s">
        <v>273</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COUNT(LifeExpectancyData[[#This Row],[Life expectancy]:[Schooling]])=19</f>
        <v>0</v>
      </c>
    </row>
    <row r="2541" spans="1:23" x14ac:dyDescent="0.25">
      <c r="A2541" t="s">
        <v>441</v>
      </c>
      <c r="B2541">
        <v>2013</v>
      </c>
      <c r="C2541" t="s">
        <v>273</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COUNT(LifeExpectancyData[[#This Row],[Life expectancy]:[Schooling]])=19</f>
        <v>0</v>
      </c>
    </row>
    <row r="2542" spans="1:23" x14ac:dyDescent="0.25">
      <c r="A2542" t="s">
        <v>441</v>
      </c>
      <c r="B2542">
        <v>2012</v>
      </c>
      <c r="C2542" t="s">
        <v>273</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COUNT(LifeExpectancyData[[#This Row],[Life expectancy]:[Schooling]])=19</f>
        <v>0</v>
      </c>
    </row>
    <row r="2543" spans="1:23" x14ac:dyDescent="0.25">
      <c r="A2543" t="s">
        <v>441</v>
      </c>
      <c r="B2543">
        <v>2011</v>
      </c>
      <c r="C2543" t="s">
        <v>273</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COUNT(LifeExpectancyData[[#This Row],[Life expectancy]:[Schooling]])=19</f>
        <v>0</v>
      </c>
    </row>
    <row r="2544" spans="1:23" x14ac:dyDescent="0.25">
      <c r="A2544" t="s">
        <v>441</v>
      </c>
      <c r="B2544">
        <v>2010</v>
      </c>
      <c r="C2544" t="s">
        <v>273</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COUNT(LifeExpectancyData[[#This Row],[Life expectancy]:[Schooling]])=19</f>
        <v>0</v>
      </c>
    </row>
    <row r="2545" spans="1:23" x14ac:dyDescent="0.25">
      <c r="A2545" t="s">
        <v>441</v>
      </c>
      <c r="B2545">
        <v>2009</v>
      </c>
      <c r="C2545" t="s">
        <v>273</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COUNT(LifeExpectancyData[[#This Row],[Life expectancy]:[Schooling]])=19</f>
        <v>0</v>
      </c>
    </row>
    <row r="2546" spans="1:23" x14ac:dyDescent="0.25">
      <c r="A2546" t="s">
        <v>441</v>
      </c>
      <c r="B2546">
        <v>2008</v>
      </c>
      <c r="C2546" t="s">
        <v>273</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COUNT(LifeExpectancyData[[#This Row],[Life expectancy]:[Schooling]])=19</f>
        <v>0</v>
      </c>
    </row>
    <row r="2547" spans="1:23" x14ac:dyDescent="0.25">
      <c r="A2547" t="s">
        <v>441</v>
      </c>
      <c r="B2547">
        <v>2007</v>
      </c>
      <c r="C2547" t="s">
        <v>273</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COUNT(LifeExpectancyData[[#This Row],[Life expectancy]:[Schooling]])=19</f>
        <v>1</v>
      </c>
    </row>
    <row r="2548" spans="1:23" x14ac:dyDescent="0.25">
      <c r="A2548" t="s">
        <v>441</v>
      </c>
      <c r="B2548">
        <v>2006</v>
      </c>
      <c r="C2548" t="s">
        <v>273</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COUNT(LifeExpectancyData[[#This Row],[Life expectancy]:[Schooling]])=19</f>
        <v>1</v>
      </c>
    </row>
    <row r="2549" spans="1:23" x14ac:dyDescent="0.25">
      <c r="A2549" t="s">
        <v>441</v>
      </c>
      <c r="B2549">
        <v>2005</v>
      </c>
      <c r="C2549" t="s">
        <v>273</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COUNT(LifeExpectancyData[[#This Row],[Life expectancy]:[Schooling]])=19</f>
        <v>1</v>
      </c>
    </row>
    <row r="2550" spans="1:23" x14ac:dyDescent="0.25">
      <c r="A2550" t="s">
        <v>441</v>
      </c>
      <c r="B2550">
        <v>2004</v>
      </c>
      <c r="C2550" t="s">
        <v>273</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COUNT(LifeExpectancyData[[#This Row],[Life expectancy]:[Schooling]])=19</f>
        <v>1</v>
      </c>
    </row>
    <row r="2551" spans="1:23" x14ac:dyDescent="0.25">
      <c r="A2551" t="s">
        <v>441</v>
      </c>
      <c r="B2551">
        <v>2003</v>
      </c>
      <c r="C2551" t="s">
        <v>273</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COUNT(LifeExpectancyData[[#This Row],[Life expectancy]:[Schooling]])=19</f>
        <v>1</v>
      </c>
    </row>
    <row r="2552" spans="1:23" x14ac:dyDescent="0.25">
      <c r="A2552" t="s">
        <v>441</v>
      </c>
      <c r="B2552">
        <v>2002</v>
      </c>
      <c r="C2552" t="s">
        <v>273</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COUNT(LifeExpectancyData[[#This Row],[Life expectancy]:[Schooling]])=19</f>
        <v>1</v>
      </c>
    </row>
    <row r="2553" spans="1:23" x14ac:dyDescent="0.25">
      <c r="A2553" t="s">
        <v>441</v>
      </c>
      <c r="B2553">
        <v>2001</v>
      </c>
      <c r="C2553" t="s">
        <v>273</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COUNT(LifeExpectancyData[[#This Row],[Life expectancy]:[Schooling]])=19</f>
        <v>1</v>
      </c>
    </row>
    <row r="2554" spans="1:23" x14ac:dyDescent="0.25">
      <c r="A2554" t="s">
        <v>441</v>
      </c>
      <c r="B2554">
        <v>2000</v>
      </c>
      <c r="C2554" t="s">
        <v>273</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COUNT(LifeExpectancyData[[#This Row],[Life expectancy]:[Schooling]])=19</f>
        <v>1</v>
      </c>
    </row>
    <row r="2555" spans="1:23" x14ac:dyDescent="0.25">
      <c r="A2555" t="s">
        <v>442</v>
      </c>
      <c r="B2555">
        <v>2015</v>
      </c>
      <c r="C2555" t="s">
        <v>273</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COUNT(LifeExpectancyData[[#This Row],[Life expectancy]:[Schooling]])=19</f>
        <v>0</v>
      </c>
    </row>
    <row r="2556" spans="1:23" x14ac:dyDescent="0.25">
      <c r="A2556" t="s">
        <v>442</v>
      </c>
      <c r="B2556">
        <v>2014</v>
      </c>
      <c r="C2556" t="s">
        <v>273</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COUNT(LifeExpectancyData[[#This Row],[Life expectancy]:[Schooling]])=19</f>
        <v>1</v>
      </c>
    </row>
    <row r="2557" spans="1:23" x14ac:dyDescent="0.25">
      <c r="A2557" t="s">
        <v>442</v>
      </c>
      <c r="B2557">
        <v>2013</v>
      </c>
      <c r="C2557" t="s">
        <v>273</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COUNT(LifeExpectancyData[[#This Row],[Life expectancy]:[Schooling]])=19</f>
        <v>1</v>
      </c>
    </row>
    <row r="2558" spans="1:23" x14ac:dyDescent="0.25">
      <c r="A2558" t="s">
        <v>442</v>
      </c>
      <c r="B2558">
        <v>2012</v>
      </c>
      <c r="C2558" t="s">
        <v>273</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COUNT(LifeExpectancyData[[#This Row],[Life expectancy]:[Schooling]])=19</f>
        <v>1</v>
      </c>
    </row>
    <row r="2559" spans="1:23" x14ac:dyDescent="0.25">
      <c r="A2559" t="s">
        <v>442</v>
      </c>
      <c r="B2559">
        <v>2011</v>
      </c>
      <c r="C2559" t="s">
        <v>273</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COUNT(LifeExpectancyData[[#This Row],[Life expectancy]:[Schooling]])=19</f>
        <v>1</v>
      </c>
    </row>
    <row r="2560" spans="1:23" x14ac:dyDescent="0.25">
      <c r="A2560" t="s">
        <v>442</v>
      </c>
      <c r="B2560">
        <v>2010</v>
      </c>
      <c r="C2560" t="s">
        <v>273</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COUNT(LifeExpectancyData[[#This Row],[Life expectancy]:[Schooling]])=19</f>
        <v>1</v>
      </c>
    </row>
    <row r="2561" spans="1:23" x14ac:dyDescent="0.25">
      <c r="A2561" t="s">
        <v>442</v>
      </c>
      <c r="B2561">
        <v>2009</v>
      </c>
      <c r="C2561" t="s">
        <v>273</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COUNT(LifeExpectancyData[[#This Row],[Life expectancy]:[Schooling]])=19</f>
        <v>1</v>
      </c>
    </row>
    <row r="2562" spans="1:23" x14ac:dyDescent="0.25">
      <c r="A2562" t="s">
        <v>442</v>
      </c>
      <c r="B2562">
        <v>2008</v>
      </c>
      <c r="C2562" t="s">
        <v>273</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COUNT(LifeExpectancyData[[#This Row],[Life expectancy]:[Schooling]])=19</f>
        <v>1</v>
      </c>
    </row>
    <row r="2563" spans="1:23" x14ac:dyDescent="0.25">
      <c r="A2563" t="s">
        <v>442</v>
      </c>
      <c r="B2563">
        <v>2007</v>
      </c>
      <c r="C2563" t="s">
        <v>273</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COUNT(LifeExpectancyData[[#This Row],[Life expectancy]:[Schooling]])=19</f>
        <v>1</v>
      </c>
    </row>
    <row r="2564" spans="1:23" x14ac:dyDescent="0.25">
      <c r="A2564" t="s">
        <v>442</v>
      </c>
      <c r="B2564">
        <v>2006</v>
      </c>
      <c r="C2564" t="s">
        <v>273</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COUNT(LifeExpectancyData[[#This Row],[Life expectancy]:[Schooling]])=19</f>
        <v>1</v>
      </c>
    </row>
    <row r="2565" spans="1:23" x14ac:dyDescent="0.25">
      <c r="A2565" t="s">
        <v>442</v>
      </c>
      <c r="B2565">
        <v>2005</v>
      </c>
      <c r="C2565" t="s">
        <v>273</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COUNT(LifeExpectancyData[[#This Row],[Life expectancy]:[Schooling]])=19</f>
        <v>1</v>
      </c>
    </row>
    <row r="2566" spans="1:23" x14ac:dyDescent="0.25">
      <c r="A2566" t="s">
        <v>442</v>
      </c>
      <c r="B2566">
        <v>2004</v>
      </c>
      <c r="C2566" t="s">
        <v>273</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COUNT(LifeExpectancyData[[#This Row],[Life expectancy]:[Schooling]])=19</f>
        <v>1</v>
      </c>
    </row>
    <row r="2567" spans="1:23" x14ac:dyDescent="0.25">
      <c r="A2567" t="s">
        <v>442</v>
      </c>
      <c r="B2567">
        <v>2003</v>
      </c>
      <c r="C2567" t="s">
        <v>273</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COUNT(LifeExpectancyData[[#This Row],[Life expectancy]:[Schooling]])=19</f>
        <v>1</v>
      </c>
    </row>
    <row r="2568" spans="1:23" x14ac:dyDescent="0.25">
      <c r="A2568" t="s">
        <v>442</v>
      </c>
      <c r="B2568">
        <v>2002</v>
      </c>
      <c r="C2568" t="s">
        <v>273</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COUNT(LifeExpectancyData[[#This Row],[Life expectancy]:[Schooling]])=19</f>
        <v>1</v>
      </c>
    </row>
    <row r="2569" spans="1:23" x14ac:dyDescent="0.25">
      <c r="A2569" t="s">
        <v>442</v>
      </c>
      <c r="B2569">
        <v>2001</v>
      </c>
      <c r="C2569" t="s">
        <v>273</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COUNT(LifeExpectancyData[[#This Row],[Life expectancy]:[Schooling]])=19</f>
        <v>0</v>
      </c>
    </row>
    <row r="2570" spans="1:23" x14ac:dyDescent="0.25">
      <c r="A2570" t="s">
        <v>442</v>
      </c>
      <c r="B2570">
        <v>2000</v>
      </c>
      <c r="C2570" t="s">
        <v>273</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COUNT(LifeExpectancyData[[#This Row],[Life expectancy]:[Schooling]])=19</f>
        <v>0</v>
      </c>
    </row>
    <row r="2571" spans="1:23" x14ac:dyDescent="0.25">
      <c r="A2571" t="s">
        <v>443</v>
      </c>
      <c r="B2571">
        <v>2015</v>
      </c>
      <c r="C2571" t="s">
        <v>273</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COUNT(LifeExpectancyData[[#This Row],[Life expectancy]:[Schooling]])=19</f>
        <v>0</v>
      </c>
    </row>
    <row r="2572" spans="1:23" x14ac:dyDescent="0.25">
      <c r="A2572" t="s">
        <v>443</v>
      </c>
      <c r="B2572">
        <v>2014</v>
      </c>
      <c r="C2572" t="s">
        <v>273</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COUNT(LifeExpectancyData[[#This Row],[Life expectancy]:[Schooling]])=19</f>
        <v>1</v>
      </c>
    </row>
    <row r="2573" spans="1:23" x14ac:dyDescent="0.25">
      <c r="A2573" t="s">
        <v>443</v>
      </c>
      <c r="B2573">
        <v>2013</v>
      </c>
      <c r="C2573" t="s">
        <v>273</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COUNT(LifeExpectancyData[[#This Row],[Life expectancy]:[Schooling]])=19</f>
        <v>1</v>
      </c>
    </row>
    <row r="2574" spans="1:23" x14ac:dyDescent="0.25">
      <c r="A2574" t="s">
        <v>443</v>
      </c>
      <c r="B2574">
        <v>2012</v>
      </c>
      <c r="C2574" t="s">
        <v>273</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COUNT(LifeExpectancyData[[#This Row],[Life expectancy]:[Schooling]])=19</f>
        <v>1</v>
      </c>
    </row>
    <row r="2575" spans="1:23" x14ac:dyDescent="0.25">
      <c r="A2575" t="s">
        <v>443</v>
      </c>
      <c r="B2575">
        <v>2011</v>
      </c>
      <c r="C2575" t="s">
        <v>273</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COUNT(LifeExpectancyData[[#This Row],[Life expectancy]:[Schooling]])=19</f>
        <v>1</v>
      </c>
    </row>
    <row r="2576" spans="1:23" x14ac:dyDescent="0.25">
      <c r="A2576" t="s">
        <v>443</v>
      </c>
      <c r="B2576">
        <v>2010</v>
      </c>
      <c r="C2576" t="s">
        <v>273</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COUNT(LifeExpectancyData[[#This Row],[Life expectancy]:[Schooling]])=19</f>
        <v>1</v>
      </c>
    </row>
    <row r="2577" spans="1:23" x14ac:dyDescent="0.25">
      <c r="A2577" t="s">
        <v>443</v>
      </c>
      <c r="B2577">
        <v>2009</v>
      </c>
      <c r="C2577" t="s">
        <v>273</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COUNT(LifeExpectancyData[[#This Row],[Life expectancy]:[Schooling]])=19</f>
        <v>1</v>
      </c>
    </row>
    <row r="2578" spans="1:23" x14ac:dyDescent="0.25">
      <c r="A2578" t="s">
        <v>443</v>
      </c>
      <c r="B2578">
        <v>2008</v>
      </c>
      <c r="C2578" t="s">
        <v>273</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COUNT(LifeExpectancyData[[#This Row],[Life expectancy]:[Schooling]])=19</f>
        <v>1</v>
      </c>
    </row>
    <row r="2579" spans="1:23" x14ac:dyDescent="0.25">
      <c r="A2579" t="s">
        <v>443</v>
      </c>
      <c r="B2579">
        <v>2007</v>
      </c>
      <c r="C2579" t="s">
        <v>273</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COUNT(LifeExpectancyData[[#This Row],[Life expectancy]:[Schooling]])=19</f>
        <v>1</v>
      </c>
    </row>
    <row r="2580" spans="1:23" x14ac:dyDescent="0.25">
      <c r="A2580" t="s">
        <v>443</v>
      </c>
      <c r="B2580">
        <v>2006</v>
      </c>
      <c r="C2580" t="s">
        <v>273</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COUNT(LifeExpectancyData[[#This Row],[Life expectancy]:[Schooling]])=19</f>
        <v>1</v>
      </c>
    </row>
    <row r="2581" spans="1:23" x14ac:dyDescent="0.25">
      <c r="A2581" t="s">
        <v>443</v>
      </c>
      <c r="B2581">
        <v>2005</v>
      </c>
      <c r="C2581" t="s">
        <v>273</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COUNT(LifeExpectancyData[[#This Row],[Life expectancy]:[Schooling]])=19</f>
        <v>1</v>
      </c>
    </row>
    <row r="2582" spans="1:23" x14ac:dyDescent="0.25">
      <c r="A2582" t="s">
        <v>443</v>
      </c>
      <c r="B2582">
        <v>2004</v>
      </c>
      <c r="C2582" t="s">
        <v>273</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COUNT(LifeExpectancyData[[#This Row],[Life expectancy]:[Schooling]])=19</f>
        <v>1</v>
      </c>
    </row>
    <row r="2583" spans="1:23" x14ac:dyDescent="0.25">
      <c r="A2583" t="s">
        <v>443</v>
      </c>
      <c r="B2583">
        <v>2003</v>
      </c>
      <c r="C2583" t="s">
        <v>273</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COUNT(LifeExpectancyData[[#This Row],[Life expectancy]:[Schooling]])=19</f>
        <v>1</v>
      </c>
    </row>
    <row r="2584" spans="1:23" x14ac:dyDescent="0.25">
      <c r="A2584" t="s">
        <v>443</v>
      </c>
      <c r="B2584">
        <v>2002</v>
      </c>
      <c r="C2584" t="s">
        <v>273</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COUNT(LifeExpectancyData[[#This Row],[Life expectancy]:[Schooling]])=19</f>
        <v>1</v>
      </c>
    </row>
    <row r="2585" spans="1:23" x14ac:dyDescent="0.25">
      <c r="A2585" t="s">
        <v>443</v>
      </c>
      <c r="B2585">
        <v>2001</v>
      </c>
      <c r="C2585" t="s">
        <v>273</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COUNT(LifeExpectancyData[[#This Row],[Life expectancy]:[Schooling]])=19</f>
        <v>1</v>
      </c>
    </row>
    <row r="2586" spans="1:23" x14ac:dyDescent="0.25">
      <c r="A2586" t="s">
        <v>443</v>
      </c>
      <c r="B2586">
        <v>2000</v>
      </c>
      <c r="C2586" t="s">
        <v>273</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COUNT(LifeExpectancyData[[#This Row],[Life expectancy]:[Schooling]])=19</f>
        <v>1</v>
      </c>
    </row>
    <row r="2587" spans="1:23" x14ac:dyDescent="0.25">
      <c r="A2587" t="s">
        <v>444</v>
      </c>
      <c r="B2587">
        <v>2015</v>
      </c>
      <c r="C2587" t="s">
        <v>273</v>
      </c>
      <c r="D2587">
        <v>75.7</v>
      </c>
      <c r="E2587">
        <v>12</v>
      </c>
      <c r="F2587">
        <v>0</v>
      </c>
      <c r="H2587">
        <v>0</v>
      </c>
      <c r="I2587">
        <v>92</v>
      </c>
      <c r="J2587">
        <v>1</v>
      </c>
      <c r="K2587">
        <v>6.3</v>
      </c>
      <c r="L2587">
        <v>0</v>
      </c>
      <c r="M2587">
        <v>92</v>
      </c>
      <c r="O2587">
        <v>91</v>
      </c>
      <c r="P2587">
        <v>0.1</v>
      </c>
      <c r="S2587">
        <v>2.1</v>
      </c>
      <c r="T2587">
        <v>2.1</v>
      </c>
      <c r="U2587">
        <v>0.746</v>
      </c>
      <c r="V2587">
        <v>12.9</v>
      </c>
      <c r="W2587" t="b">
        <f>COUNT(LifeExpectancyData[[#This Row],[Life expectancy]:[Schooling]])=19</f>
        <v>0</v>
      </c>
    </row>
    <row r="2588" spans="1:23" x14ac:dyDescent="0.25">
      <c r="A2588" t="s">
        <v>444</v>
      </c>
      <c r="B2588">
        <v>2014</v>
      </c>
      <c r="C2588" t="s">
        <v>273</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COUNT(LifeExpectancyData[[#This Row],[Life expectancy]:[Schooling]])=19</f>
        <v>0</v>
      </c>
    </row>
    <row r="2589" spans="1:23" x14ac:dyDescent="0.25">
      <c r="A2589" t="s">
        <v>444</v>
      </c>
      <c r="B2589">
        <v>2013</v>
      </c>
      <c r="C2589" t="s">
        <v>273</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COUNT(LifeExpectancyData[[#This Row],[Life expectancy]:[Schooling]])=19</f>
        <v>0</v>
      </c>
    </row>
    <row r="2590" spans="1:23" x14ac:dyDescent="0.25">
      <c r="A2590" t="s">
        <v>444</v>
      </c>
      <c r="B2590">
        <v>2012</v>
      </c>
      <c r="C2590" t="s">
        <v>273</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COUNT(LifeExpectancyData[[#This Row],[Life expectancy]:[Schooling]])=19</f>
        <v>0</v>
      </c>
    </row>
    <row r="2591" spans="1:23" x14ac:dyDescent="0.25">
      <c r="A2591" t="s">
        <v>444</v>
      </c>
      <c r="B2591">
        <v>2011</v>
      </c>
      <c r="C2591" t="s">
        <v>273</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COUNT(LifeExpectancyData[[#This Row],[Life expectancy]:[Schooling]])=19</f>
        <v>0</v>
      </c>
    </row>
    <row r="2592" spans="1:23" x14ac:dyDescent="0.25">
      <c r="A2592" t="s">
        <v>444</v>
      </c>
      <c r="B2592">
        <v>2010</v>
      </c>
      <c r="C2592" t="s">
        <v>273</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COUNT(LifeExpectancyData[[#This Row],[Life expectancy]:[Schooling]])=19</f>
        <v>0</v>
      </c>
    </row>
    <row r="2593" spans="1:23" x14ac:dyDescent="0.25">
      <c r="A2593" t="s">
        <v>444</v>
      </c>
      <c r="B2593">
        <v>2009</v>
      </c>
      <c r="C2593" t="s">
        <v>273</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COUNT(LifeExpectancyData[[#This Row],[Life expectancy]:[Schooling]])=19</f>
        <v>0</v>
      </c>
    </row>
    <row r="2594" spans="1:23" x14ac:dyDescent="0.25">
      <c r="A2594" t="s">
        <v>444</v>
      </c>
      <c r="B2594">
        <v>2008</v>
      </c>
      <c r="C2594" t="s">
        <v>273</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COUNT(LifeExpectancyData[[#This Row],[Life expectancy]:[Schooling]])=19</f>
        <v>0</v>
      </c>
    </row>
    <row r="2595" spans="1:23" x14ac:dyDescent="0.25">
      <c r="A2595" t="s">
        <v>444</v>
      </c>
      <c r="B2595">
        <v>2007</v>
      </c>
      <c r="C2595" t="s">
        <v>273</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COUNT(LifeExpectancyData[[#This Row],[Life expectancy]:[Schooling]])=19</f>
        <v>0</v>
      </c>
    </row>
    <row r="2596" spans="1:23" x14ac:dyDescent="0.25">
      <c r="A2596" t="s">
        <v>444</v>
      </c>
      <c r="B2596">
        <v>2006</v>
      </c>
      <c r="C2596" t="s">
        <v>273</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COUNT(LifeExpectancyData[[#This Row],[Life expectancy]:[Schooling]])=19</f>
        <v>0</v>
      </c>
    </row>
    <row r="2597" spans="1:23" x14ac:dyDescent="0.25">
      <c r="A2597" t="s">
        <v>444</v>
      </c>
      <c r="B2597">
        <v>2005</v>
      </c>
      <c r="C2597" t="s">
        <v>273</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COUNT(LifeExpectancyData[[#This Row],[Life expectancy]:[Schooling]])=19</f>
        <v>0</v>
      </c>
    </row>
    <row r="2598" spans="1:23" x14ac:dyDescent="0.25">
      <c r="A2598" t="s">
        <v>444</v>
      </c>
      <c r="B2598">
        <v>2004</v>
      </c>
      <c r="C2598" t="s">
        <v>273</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COUNT(LifeExpectancyData[[#This Row],[Life expectancy]:[Schooling]])=19</f>
        <v>0</v>
      </c>
    </row>
    <row r="2599" spans="1:23" x14ac:dyDescent="0.25">
      <c r="A2599" t="s">
        <v>444</v>
      </c>
      <c r="B2599">
        <v>2003</v>
      </c>
      <c r="C2599" t="s">
        <v>273</v>
      </c>
      <c r="D2599">
        <v>73.2</v>
      </c>
      <c r="E2599">
        <v>126</v>
      </c>
      <c r="F2599">
        <v>0</v>
      </c>
      <c r="G2599">
        <v>2.4</v>
      </c>
      <c r="H2599">
        <v>0</v>
      </c>
      <c r="J2599">
        <v>18</v>
      </c>
      <c r="K2599">
        <v>54.1</v>
      </c>
      <c r="L2599">
        <v>0</v>
      </c>
      <c r="M2599">
        <v>96</v>
      </c>
      <c r="N2599">
        <v>9.17</v>
      </c>
      <c r="O2599">
        <v>96</v>
      </c>
      <c r="P2599">
        <v>0.1</v>
      </c>
      <c r="S2599">
        <v>2.7</v>
      </c>
      <c r="T2599">
        <v>2.7</v>
      </c>
      <c r="U2599">
        <v>0</v>
      </c>
      <c r="V2599">
        <v>11.9</v>
      </c>
      <c r="W2599" t="b">
        <f>COUNT(LifeExpectancyData[[#This Row],[Life expectancy]:[Schooling]])=19</f>
        <v>0</v>
      </c>
    </row>
    <row r="2600" spans="1:23" x14ac:dyDescent="0.25">
      <c r="A2600" t="s">
        <v>444</v>
      </c>
      <c r="B2600">
        <v>2002</v>
      </c>
      <c r="C2600" t="s">
        <v>273</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COUNT(LifeExpectancyData[[#This Row],[Life expectancy]:[Schooling]])=19</f>
        <v>0</v>
      </c>
    </row>
    <row r="2601" spans="1:23" x14ac:dyDescent="0.25">
      <c r="A2601" t="s">
        <v>444</v>
      </c>
      <c r="B2601">
        <v>2001</v>
      </c>
      <c r="C2601" t="s">
        <v>273</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COUNT(LifeExpectancyData[[#This Row],[Life expectancy]:[Schooling]])=19</f>
        <v>0</v>
      </c>
    </row>
    <row r="2602" spans="1:23" x14ac:dyDescent="0.25">
      <c r="A2602" t="s">
        <v>444</v>
      </c>
      <c r="B2602">
        <v>2000</v>
      </c>
      <c r="C2602" t="s">
        <v>273</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COUNT(LifeExpectancyData[[#This Row],[Life expectancy]:[Schooling]])=19</f>
        <v>0</v>
      </c>
    </row>
    <row r="2603" spans="1:23" x14ac:dyDescent="0.25">
      <c r="A2603" t="s">
        <v>445</v>
      </c>
      <c r="B2603">
        <v>2015</v>
      </c>
      <c r="C2603" t="s">
        <v>273</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COUNT(LifeExpectancyData[[#This Row],[Life expectancy]:[Schooling]])=19</f>
        <v>0</v>
      </c>
    </row>
    <row r="2604" spans="1:23" x14ac:dyDescent="0.25">
      <c r="A2604" t="s">
        <v>445</v>
      </c>
      <c r="B2604">
        <v>2014</v>
      </c>
      <c r="C2604" t="s">
        <v>273</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COUNT(LifeExpectancyData[[#This Row],[Life expectancy]:[Schooling]])=19</f>
        <v>1</v>
      </c>
    </row>
    <row r="2605" spans="1:23" x14ac:dyDescent="0.25">
      <c r="A2605" t="s">
        <v>445</v>
      </c>
      <c r="B2605">
        <v>2013</v>
      </c>
      <c r="C2605" t="s">
        <v>273</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COUNT(LifeExpectancyData[[#This Row],[Life expectancy]:[Schooling]])=19</f>
        <v>1</v>
      </c>
    </row>
    <row r="2606" spans="1:23" x14ac:dyDescent="0.25">
      <c r="A2606" t="s">
        <v>445</v>
      </c>
      <c r="B2606">
        <v>2012</v>
      </c>
      <c r="C2606" t="s">
        <v>273</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COUNT(LifeExpectancyData[[#This Row],[Life expectancy]:[Schooling]])=19</f>
        <v>1</v>
      </c>
    </row>
    <row r="2607" spans="1:23" x14ac:dyDescent="0.25">
      <c r="A2607" t="s">
        <v>445</v>
      </c>
      <c r="B2607">
        <v>2011</v>
      </c>
      <c r="C2607" t="s">
        <v>273</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COUNT(LifeExpectancyData[[#This Row],[Life expectancy]:[Schooling]])=19</f>
        <v>1</v>
      </c>
    </row>
    <row r="2608" spans="1:23" x14ac:dyDescent="0.25">
      <c r="A2608" t="s">
        <v>445</v>
      </c>
      <c r="B2608">
        <v>2010</v>
      </c>
      <c r="C2608" t="s">
        <v>273</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COUNT(LifeExpectancyData[[#This Row],[Life expectancy]:[Schooling]])=19</f>
        <v>1</v>
      </c>
    </row>
    <row r="2609" spans="1:23" x14ac:dyDescent="0.25">
      <c r="A2609" t="s">
        <v>445</v>
      </c>
      <c r="B2609">
        <v>2009</v>
      </c>
      <c r="C2609" t="s">
        <v>273</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COUNT(LifeExpectancyData[[#This Row],[Life expectancy]:[Schooling]])=19</f>
        <v>1</v>
      </c>
    </row>
    <row r="2610" spans="1:23" x14ac:dyDescent="0.25">
      <c r="A2610" t="s">
        <v>445</v>
      </c>
      <c r="B2610">
        <v>2008</v>
      </c>
      <c r="C2610" t="s">
        <v>273</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COUNT(LifeExpectancyData[[#This Row],[Life expectancy]:[Schooling]])=19</f>
        <v>1</v>
      </c>
    </row>
    <row r="2611" spans="1:23" x14ac:dyDescent="0.25">
      <c r="A2611" t="s">
        <v>445</v>
      </c>
      <c r="B2611">
        <v>2007</v>
      </c>
      <c r="C2611" t="s">
        <v>273</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COUNT(LifeExpectancyData[[#This Row],[Life expectancy]:[Schooling]])=19</f>
        <v>0</v>
      </c>
    </row>
    <row r="2612" spans="1:23" x14ac:dyDescent="0.25">
      <c r="A2612" t="s">
        <v>445</v>
      </c>
      <c r="B2612">
        <v>2006</v>
      </c>
      <c r="C2612" t="s">
        <v>273</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COUNT(LifeExpectancyData[[#This Row],[Life expectancy]:[Schooling]])=19</f>
        <v>0</v>
      </c>
    </row>
    <row r="2613" spans="1:23" x14ac:dyDescent="0.25">
      <c r="A2613" t="s">
        <v>445</v>
      </c>
      <c r="B2613">
        <v>2005</v>
      </c>
      <c r="C2613" t="s">
        <v>273</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COUNT(LifeExpectancyData[[#This Row],[Life expectancy]:[Schooling]])=19</f>
        <v>0</v>
      </c>
    </row>
    <row r="2614" spans="1:23" x14ac:dyDescent="0.25">
      <c r="A2614" t="s">
        <v>445</v>
      </c>
      <c r="B2614">
        <v>2004</v>
      </c>
      <c r="C2614" t="s">
        <v>273</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COUNT(LifeExpectancyData[[#This Row],[Life expectancy]:[Schooling]])=19</f>
        <v>0</v>
      </c>
    </row>
    <row r="2615" spans="1:23" x14ac:dyDescent="0.25">
      <c r="A2615" t="s">
        <v>445</v>
      </c>
      <c r="B2615">
        <v>2003</v>
      </c>
      <c r="C2615" t="s">
        <v>273</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COUNT(LifeExpectancyData[[#This Row],[Life expectancy]:[Schooling]])=19</f>
        <v>0</v>
      </c>
    </row>
    <row r="2616" spans="1:23" x14ac:dyDescent="0.25">
      <c r="A2616" t="s">
        <v>445</v>
      </c>
      <c r="B2616">
        <v>2002</v>
      </c>
      <c r="C2616" t="s">
        <v>273</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COUNT(LifeExpectancyData[[#This Row],[Life expectancy]:[Schooling]])=19</f>
        <v>0</v>
      </c>
    </row>
    <row r="2617" spans="1:23" x14ac:dyDescent="0.25">
      <c r="A2617" t="s">
        <v>445</v>
      </c>
      <c r="B2617">
        <v>2001</v>
      </c>
      <c r="C2617" t="s">
        <v>273</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COUNT(LifeExpectancyData[[#This Row],[Life expectancy]:[Schooling]])=19</f>
        <v>0</v>
      </c>
    </row>
    <row r="2618" spans="1:23" x14ac:dyDescent="0.25">
      <c r="A2618" t="s">
        <v>445</v>
      </c>
      <c r="B2618">
        <v>2000</v>
      </c>
      <c r="C2618" t="s">
        <v>273</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COUNT(LifeExpectancyData[[#This Row],[Life expectancy]:[Schooling]])=19</f>
        <v>0</v>
      </c>
    </row>
    <row r="2619" spans="1:23" x14ac:dyDescent="0.25">
      <c r="A2619" t="s">
        <v>446</v>
      </c>
      <c r="B2619">
        <v>2015</v>
      </c>
      <c r="C2619" t="s">
        <v>273</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COUNT(LifeExpectancyData[[#This Row],[Life expectancy]:[Schooling]])=19</f>
        <v>0</v>
      </c>
    </row>
    <row r="2620" spans="1:23" x14ac:dyDescent="0.25">
      <c r="A2620" t="s">
        <v>446</v>
      </c>
      <c r="B2620">
        <v>2014</v>
      </c>
      <c r="C2620" t="s">
        <v>273</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COUNT(LifeExpectancyData[[#This Row],[Life expectancy]:[Schooling]])=19</f>
        <v>1</v>
      </c>
    </row>
    <row r="2621" spans="1:23" x14ac:dyDescent="0.25">
      <c r="A2621" t="s">
        <v>446</v>
      </c>
      <c r="B2621">
        <v>2013</v>
      </c>
      <c r="C2621" t="s">
        <v>273</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COUNT(LifeExpectancyData[[#This Row],[Life expectancy]:[Schooling]])=19</f>
        <v>1</v>
      </c>
    </row>
    <row r="2622" spans="1:23" x14ac:dyDescent="0.25">
      <c r="A2622" t="s">
        <v>446</v>
      </c>
      <c r="B2622">
        <v>2012</v>
      </c>
      <c r="C2622" t="s">
        <v>273</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COUNT(LifeExpectancyData[[#This Row],[Life expectancy]:[Schooling]])=19</f>
        <v>1</v>
      </c>
    </row>
    <row r="2623" spans="1:23" x14ac:dyDescent="0.25">
      <c r="A2623" t="s">
        <v>446</v>
      </c>
      <c r="B2623">
        <v>2011</v>
      </c>
      <c r="C2623" t="s">
        <v>273</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COUNT(LifeExpectancyData[[#This Row],[Life expectancy]:[Schooling]])=19</f>
        <v>1</v>
      </c>
    </row>
    <row r="2624" spans="1:23" x14ac:dyDescent="0.25">
      <c r="A2624" t="s">
        <v>446</v>
      </c>
      <c r="B2624">
        <v>2010</v>
      </c>
      <c r="C2624" t="s">
        <v>273</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COUNT(LifeExpectancyData[[#This Row],[Life expectancy]:[Schooling]])=19</f>
        <v>1</v>
      </c>
    </row>
    <row r="2625" spans="1:23" x14ac:dyDescent="0.25">
      <c r="A2625" t="s">
        <v>446</v>
      </c>
      <c r="B2625">
        <v>2009</v>
      </c>
      <c r="C2625" t="s">
        <v>273</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COUNT(LifeExpectancyData[[#This Row],[Life expectancy]:[Schooling]])=19</f>
        <v>1</v>
      </c>
    </row>
    <row r="2626" spans="1:23" x14ac:dyDescent="0.25">
      <c r="A2626" t="s">
        <v>446</v>
      </c>
      <c r="B2626">
        <v>2008</v>
      </c>
      <c r="C2626" t="s">
        <v>273</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COUNT(LifeExpectancyData[[#This Row],[Life expectancy]:[Schooling]])=19</f>
        <v>1</v>
      </c>
    </row>
    <row r="2627" spans="1:23" x14ac:dyDescent="0.25">
      <c r="A2627" t="s">
        <v>446</v>
      </c>
      <c r="B2627">
        <v>2007</v>
      </c>
      <c r="C2627" t="s">
        <v>273</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COUNT(LifeExpectancyData[[#This Row],[Life expectancy]:[Schooling]])=19</f>
        <v>0</v>
      </c>
    </row>
    <row r="2628" spans="1:23" x14ac:dyDescent="0.25">
      <c r="A2628" t="s">
        <v>446</v>
      </c>
      <c r="B2628">
        <v>2006</v>
      </c>
      <c r="C2628" t="s">
        <v>273</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COUNT(LifeExpectancyData[[#This Row],[Life expectancy]:[Schooling]])=19</f>
        <v>0</v>
      </c>
    </row>
    <row r="2629" spans="1:23" x14ac:dyDescent="0.25">
      <c r="A2629" t="s">
        <v>446</v>
      </c>
      <c r="B2629">
        <v>2005</v>
      </c>
      <c r="C2629" t="s">
        <v>273</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COUNT(LifeExpectancyData[[#This Row],[Life expectancy]:[Schooling]])=19</f>
        <v>0</v>
      </c>
    </row>
    <row r="2630" spans="1:23" x14ac:dyDescent="0.25">
      <c r="A2630" t="s">
        <v>446</v>
      </c>
      <c r="B2630">
        <v>2004</v>
      </c>
      <c r="C2630" t="s">
        <v>273</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COUNT(LifeExpectancyData[[#This Row],[Life expectancy]:[Schooling]])=19</f>
        <v>0</v>
      </c>
    </row>
    <row r="2631" spans="1:23" x14ac:dyDescent="0.25">
      <c r="A2631" t="s">
        <v>446</v>
      </c>
      <c r="B2631">
        <v>2003</v>
      </c>
      <c r="C2631" t="s">
        <v>273</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COUNT(LifeExpectancyData[[#This Row],[Life expectancy]:[Schooling]])=19</f>
        <v>0</v>
      </c>
    </row>
    <row r="2632" spans="1:23" x14ac:dyDescent="0.25">
      <c r="A2632" t="s">
        <v>446</v>
      </c>
      <c r="B2632">
        <v>2002</v>
      </c>
      <c r="C2632" t="s">
        <v>273</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COUNT(LifeExpectancyData[[#This Row],[Life expectancy]:[Schooling]])=19</f>
        <v>0</v>
      </c>
    </row>
    <row r="2633" spans="1:23" x14ac:dyDescent="0.25">
      <c r="A2633" t="s">
        <v>446</v>
      </c>
      <c r="B2633">
        <v>2001</v>
      </c>
      <c r="C2633" t="s">
        <v>273</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COUNT(LifeExpectancyData[[#This Row],[Life expectancy]:[Schooling]])=19</f>
        <v>0</v>
      </c>
    </row>
    <row r="2634" spans="1:23" x14ac:dyDescent="0.25">
      <c r="A2634" t="s">
        <v>446</v>
      </c>
      <c r="B2634">
        <v>2000</v>
      </c>
      <c r="C2634" t="s">
        <v>273</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COUNT(LifeExpectancyData[[#This Row],[Life expectancy]:[Schooling]])=19</f>
        <v>0</v>
      </c>
    </row>
    <row r="2635" spans="1:23" x14ac:dyDescent="0.25">
      <c r="A2635" t="s">
        <v>447</v>
      </c>
      <c r="B2635">
        <v>2015</v>
      </c>
      <c r="C2635" t="s">
        <v>273</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COUNT(LifeExpectancyData[[#This Row],[Life expectancy]:[Schooling]])=19</f>
        <v>0</v>
      </c>
    </row>
    <row r="2636" spans="1:23" x14ac:dyDescent="0.25">
      <c r="A2636" t="s">
        <v>447</v>
      </c>
      <c r="B2636">
        <v>2014</v>
      </c>
      <c r="C2636" t="s">
        <v>273</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COUNT(LifeExpectancyData[[#This Row],[Life expectancy]:[Schooling]])=19</f>
        <v>1</v>
      </c>
    </row>
    <row r="2637" spans="1:23" x14ac:dyDescent="0.25">
      <c r="A2637" t="s">
        <v>447</v>
      </c>
      <c r="B2637">
        <v>2013</v>
      </c>
      <c r="C2637" t="s">
        <v>273</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COUNT(LifeExpectancyData[[#This Row],[Life expectancy]:[Schooling]])=19</f>
        <v>1</v>
      </c>
    </row>
    <row r="2638" spans="1:23" x14ac:dyDescent="0.25">
      <c r="A2638" t="s">
        <v>447</v>
      </c>
      <c r="B2638">
        <v>2012</v>
      </c>
      <c r="C2638" t="s">
        <v>273</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COUNT(LifeExpectancyData[[#This Row],[Life expectancy]:[Schooling]])=19</f>
        <v>1</v>
      </c>
    </row>
    <row r="2639" spans="1:23" x14ac:dyDescent="0.25">
      <c r="A2639" t="s">
        <v>447</v>
      </c>
      <c r="B2639">
        <v>2011</v>
      </c>
      <c r="C2639" t="s">
        <v>273</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COUNT(LifeExpectancyData[[#This Row],[Life expectancy]:[Schooling]])=19</f>
        <v>1</v>
      </c>
    </row>
    <row r="2640" spans="1:23" x14ac:dyDescent="0.25">
      <c r="A2640" t="s">
        <v>447</v>
      </c>
      <c r="B2640">
        <v>2010</v>
      </c>
      <c r="C2640" t="s">
        <v>273</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COUNT(LifeExpectancyData[[#This Row],[Life expectancy]:[Schooling]])=19</f>
        <v>1</v>
      </c>
    </row>
    <row r="2641" spans="1:23" x14ac:dyDescent="0.25">
      <c r="A2641" t="s">
        <v>447</v>
      </c>
      <c r="B2641">
        <v>2009</v>
      </c>
      <c r="C2641" t="s">
        <v>273</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COUNT(LifeExpectancyData[[#This Row],[Life expectancy]:[Schooling]])=19</f>
        <v>1</v>
      </c>
    </row>
    <row r="2642" spans="1:23" x14ac:dyDescent="0.25">
      <c r="A2642" t="s">
        <v>447</v>
      </c>
      <c r="B2642">
        <v>2008</v>
      </c>
      <c r="C2642" t="s">
        <v>273</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COUNT(LifeExpectancyData[[#This Row],[Life expectancy]:[Schooling]])=19</f>
        <v>1</v>
      </c>
    </row>
    <row r="2643" spans="1:23" x14ac:dyDescent="0.25">
      <c r="A2643" t="s">
        <v>447</v>
      </c>
      <c r="B2643">
        <v>2007</v>
      </c>
      <c r="C2643" t="s">
        <v>273</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COUNT(LifeExpectancyData[[#This Row],[Life expectancy]:[Schooling]])=19</f>
        <v>1</v>
      </c>
    </row>
    <row r="2644" spans="1:23" x14ac:dyDescent="0.25">
      <c r="A2644" t="s">
        <v>447</v>
      </c>
      <c r="B2644">
        <v>2006</v>
      </c>
      <c r="C2644" t="s">
        <v>273</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COUNT(LifeExpectancyData[[#This Row],[Life expectancy]:[Schooling]])=19</f>
        <v>1</v>
      </c>
    </row>
    <row r="2645" spans="1:23" x14ac:dyDescent="0.25">
      <c r="A2645" t="s">
        <v>447</v>
      </c>
      <c r="B2645">
        <v>2005</v>
      </c>
      <c r="C2645" t="s">
        <v>273</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COUNT(LifeExpectancyData[[#This Row],[Life expectancy]:[Schooling]])=19</f>
        <v>1</v>
      </c>
    </row>
    <row r="2646" spans="1:23" x14ac:dyDescent="0.25">
      <c r="A2646" t="s">
        <v>447</v>
      </c>
      <c r="B2646">
        <v>2004</v>
      </c>
      <c r="C2646" t="s">
        <v>273</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COUNT(LifeExpectancyData[[#This Row],[Life expectancy]:[Schooling]])=19</f>
        <v>1</v>
      </c>
    </row>
    <row r="2647" spans="1:23" x14ac:dyDescent="0.25">
      <c r="A2647" t="s">
        <v>447</v>
      </c>
      <c r="B2647">
        <v>2003</v>
      </c>
      <c r="C2647" t="s">
        <v>273</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COUNT(LifeExpectancyData[[#This Row],[Life expectancy]:[Schooling]])=19</f>
        <v>1</v>
      </c>
    </row>
    <row r="2648" spans="1:23" x14ac:dyDescent="0.25">
      <c r="A2648" t="s">
        <v>447</v>
      </c>
      <c r="B2648">
        <v>2002</v>
      </c>
      <c r="C2648" t="s">
        <v>273</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COUNT(LifeExpectancyData[[#This Row],[Life expectancy]:[Schooling]])=19</f>
        <v>1</v>
      </c>
    </row>
    <row r="2649" spans="1:23" x14ac:dyDescent="0.25">
      <c r="A2649" t="s">
        <v>447</v>
      </c>
      <c r="B2649">
        <v>2001</v>
      </c>
      <c r="C2649" t="s">
        <v>273</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COUNT(LifeExpectancyData[[#This Row],[Life expectancy]:[Schooling]])=19</f>
        <v>1</v>
      </c>
    </row>
    <row r="2650" spans="1:23" x14ac:dyDescent="0.25">
      <c r="A2650" t="s">
        <v>447</v>
      </c>
      <c r="B2650">
        <v>2000</v>
      </c>
      <c r="C2650" t="s">
        <v>273</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COUNT(LifeExpectancyData[[#This Row],[Life expectancy]:[Schooling]])=19</f>
        <v>1</v>
      </c>
    </row>
    <row r="2651" spans="1:23" x14ac:dyDescent="0.25">
      <c r="A2651" t="s">
        <v>448</v>
      </c>
      <c r="B2651">
        <v>2015</v>
      </c>
      <c r="C2651" t="s">
        <v>273</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COUNT(LifeExpectancyData[[#This Row],[Life expectancy]:[Schooling]])=19</f>
        <v>0</v>
      </c>
    </row>
    <row r="2652" spans="1:23" x14ac:dyDescent="0.25">
      <c r="A2652" t="s">
        <v>448</v>
      </c>
      <c r="B2652">
        <v>2014</v>
      </c>
      <c r="C2652" t="s">
        <v>273</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COUNT(LifeExpectancyData[[#This Row],[Life expectancy]:[Schooling]])=19</f>
        <v>1</v>
      </c>
    </row>
    <row r="2653" spans="1:23" x14ac:dyDescent="0.25">
      <c r="A2653" t="s">
        <v>448</v>
      </c>
      <c r="B2653">
        <v>2013</v>
      </c>
      <c r="C2653" t="s">
        <v>273</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COUNT(LifeExpectancyData[[#This Row],[Life expectancy]:[Schooling]])=19</f>
        <v>1</v>
      </c>
    </row>
    <row r="2654" spans="1:23" x14ac:dyDescent="0.25">
      <c r="A2654" t="s">
        <v>448</v>
      </c>
      <c r="B2654">
        <v>2012</v>
      </c>
      <c r="C2654" t="s">
        <v>273</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COUNT(LifeExpectancyData[[#This Row],[Life expectancy]:[Schooling]])=19</f>
        <v>1</v>
      </c>
    </row>
    <row r="2655" spans="1:23" x14ac:dyDescent="0.25">
      <c r="A2655" t="s">
        <v>448</v>
      </c>
      <c r="B2655">
        <v>2011</v>
      </c>
      <c r="C2655" t="s">
        <v>273</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COUNT(LifeExpectancyData[[#This Row],[Life expectancy]:[Schooling]])=19</f>
        <v>1</v>
      </c>
    </row>
    <row r="2656" spans="1:23" x14ac:dyDescent="0.25">
      <c r="A2656" t="s">
        <v>448</v>
      </c>
      <c r="B2656">
        <v>2010</v>
      </c>
      <c r="C2656" t="s">
        <v>273</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COUNT(LifeExpectancyData[[#This Row],[Life expectancy]:[Schooling]])=19</f>
        <v>1</v>
      </c>
    </row>
    <row r="2657" spans="1:23" x14ac:dyDescent="0.25">
      <c r="A2657" t="s">
        <v>448</v>
      </c>
      <c r="B2657">
        <v>2009</v>
      </c>
      <c r="C2657" t="s">
        <v>273</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COUNT(LifeExpectancyData[[#This Row],[Life expectancy]:[Schooling]])=19</f>
        <v>1</v>
      </c>
    </row>
    <row r="2658" spans="1:23" x14ac:dyDescent="0.25">
      <c r="A2658" t="s">
        <v>448</v>
      </c>
      <c r="B2658">
        <v>2008</v>
      </c>
      <c r="C2658" t="s">
        <v>273</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COUNT(LifeExpectancyData[[#This Row],[Life expectancy]:[Schooling]])=19</f>
        <v>1</v>
      </c>
    </row>
    <row r="2659" spans="1:23" x14ac:dyDescent="0.25">
      <c r="A2659" t="s">
        <v>448</v>
      </c>
      <c r="B2659">
        <v>2007</v>
      </c>
      <c r="C2659" t="s">
        <v>273</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COUNT(LifeExpectancyData[[#This Row],[Life expectancy]:[Schooling]])=19</f>
        <v>1</v>
      </c>
    </row>
    <row r="2660" spans="1:23" x14ac:dyDescent="0.25">
      <c r="A2660" t="s">
        <v>448</v>
      </c>
      <c r="B2660">
        <v>2006</v>
      </c>
      <c r="C2660" t="s">
        <v>273</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COUNT(LifeExpectancyData[[#This Row],[Life expectancy]:[Schooling]])=19</f>
        <v>1</v>
      </c>
    </row>
    <row r="2661" spans="1:23" x14ac:dyDescent="0.25">
      <c r="A2661" t="s">
        <v>448</v>
      </c>
      <c r="B2661">
        <v>2005</v>
      </c>
      <c r="C2661" t="s">
        <v>273</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COUNT(LifeExpectancyData[[#This Row],[Life expectancy]:[Schooling]])=19</f>
        <v>1</v>
      </c>
    </row>
    <row r="2662" spans="1:23" x14ac:dyDescent="0.25">
      <c r="A2662" t="s">
        <v>448</v>
      </c>
      <c r="B2662">
        <v>2004</v>
      </c>
      <c r="C2662" t="s">
        <v>273</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COUNT(LifeExpectancyData[[#This Row],[Life expectancy]:[Schooling]])=19</f>
        <v>1</v>
      </c>
    </row>
    <row r="2663" spans="1:23" x14ac:dyDescent="0.25">
      <c r="A2663" t="s">
        <v>448</v>
      </c>
      <c r="B2663">
        <v>2003</v>
      </c>
      <c r="C2663" t="s">
        <v>273</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COUNT(LifeExpectancyData[[#This Row],[Life expectancy]:[Schooling]])=19</f>
        <v>1</v>
      </c>
    </row>
    <row r="2664" spans="1:23" x14ac:dyDescent="0.25">
      <c r="A2664" t="s">
        <v>448</v>
      </c>
      <c r="B2664">
        <v>2002</v>
      </c>
      <c r="C2664" t="s">
        <v>273</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COUNT(LifeExpectancyData[[#This Row],[Life expectancy]:[Schooling]])=19</f>
        <v>1</v>
      </c>
    </row>
    <row r="2665" spans="1:23" x14ac:dyDescent="0.25">
      <c r="A2665" t="s">
        <v>448</v>
      </c>
      <c r="B2665">
        <v>2001</v>
      </c>
      <c r="C2665" t="s">
        <v>273</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COUNT(LifeExpectancyData[[#This Row],[Life expectancy]:[Schooling]])=19</f>
        <v>0</v>
      </c>
    </row>
    <row r="2666" spans="1:23" x14ac:dyDescent="0.25">
      <c r="A2666" t="s">
        <v>448</v>
      </c>
      <c r="B2666">
        <v>2000</v>
      </c>
      <c r="C2666" t="s">
        <v>273</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COUNT(LifeExpectancyData[[#This Row],[Life expectancy]:[Schooling]])=19</f>
        <v>0</v>
      </c>
    </row>
    <row r="2667" spans="1:23" x14ac:dyDescent="0.25">
      <c r="A2667" t="s">
        <v>449</v>
      </c>
      <c r="B2667">
        <v>2015</v>
      </c>
      <c r="C2667" t="s">
        <v>273</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COUNT(LifeExpectancyData[[#This Row],[Life expectancy]:[Schooling]])=19</f>
        <v>0</v>
      </c>
    </row>
    <row r="2668" spans="1:23" x14ac:dyDescent="0.25">
      <c r="A2668" t="s">
        <v>449</v>
      </c>
      <c r="B2668">
        <v>2014</v>
      </c>
      <c r="C2668" t="s">
        <v>273</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COUNT(LifeExpectancyData[[#This Row],[Life expectancy]:[Schooling]])=19</f>
        <v>1</v>
      </c>
    </row>
    <row r="2669" spans="1:23" x14ac:dyDescent="0.25">
      <c r="A2669" t="s">
        <v>449</v>
      </c>
      <c r="B2669">
        <v>2013</v>
      </c>
      <c r="C2669" t="s">
        <v>273</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COUNT(LifeExpectancyData[[#This Row],[Life expectancy]:[Schooling]])=19</f>
        <v>1</v>
      </c>
    </row>
    <row r="2670" spans="1:23" x14ac:dyDescent="0.25">
      <c r="A2670" t="s">
        <v>449</v>
      </c>
      <c r="B2670">
        <v>2012</v>
      </c>
      <c r="C2670" t="s">
        <v>273</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COUNT(LifeExpectancyData[[#This Row],[Life expectancy]:[Schooling]])=19</f>
        <v>1</v>
      </c>
    </row>
    <row r="2671" spans="1:23" x14ac:dyDescent="0.25">
      <c r="A2671" t="s">
        <v>449</v>
      </c>
      <c r="B2671">
        <v>2011</v>
      </c>
      <c r="C2671" t="s">
        <v>273</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COUNT(LifeExpectancyData[[#This Row],[Life expectancy]:[Schooling]])=19</f>
        <v>1</v>
      </c>
    </row>
    <row r="2672" spans="1:23" x14ac:dyDescent="0.25">
      <c r="A2672" t="s">
        <v>449</v>
      </c>
      <c r="B2672">
        <v>2010</v>
      </c>
      <c r="C2672" t="s">
        <v>273</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COUNT(LifeExpectancyData[[#This Row],[Life expectancy]:[Schooling]])=19</f>
        <v>1</v>
      </c>
    </row>
    <row r="2673" spans="1:23" x14ac:dyDescent="0.25">
      <c r="A2673" t="s">
        <v>449</v>
      </c>
      <c r="B2673">
        <v>2009</v>
      </c>
      <c r="C2673" t="s">
        <v>273</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COUNT(LifeExpectancyData[[#This Row],[Life expectancy]:[Schooling]])=19</f>
        <v>1</v>
      </c>
    </row>
    <row r="2674" spans="1:23" x14ac:dyDescent="0.25">
      <c r="A2674" t="s">
        <v>449</v>
      </c>
      <c r="B2674">
        <v>2008</v>
      </c>
      <c r="C2674" t="s">
        <v>273</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COUNT(LifeExpectancyData[[#This Row],[Life expectancy]:[Schooling]])=19</f>
        <v>1</v>
      </c>
    </row>
    <row r="2675" spans="1:23" x14ac:dyDescent="0.25">
      <c r="A2675" t="s">
        <v>449</v>
      </c>
      <c r="B2675">
        <v>2007</v>
      </c>
      <c r="C2675" t="s">
        <v>273</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COUNT(LifeExpectancyData[[#This Row],[Life expectancy]:[Schooling]])=19</f>
        <v>1</v>
      </c>
    </row>
    <row r="2676" spans="1:23" x14ac:dyDescent="0.25">
      <c r="A2676" t="s">
        <v>449</v>
      </c>
      <c r="B2676">
        <v>2006</v>
      </c>
      <c r="C2676" t="s">
        <v>273</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COUNT(LifeExpectancyData[[#This Row],[Life expectancy]:[Schooling]])=19</f>
        <v>1</v>
      </c>
    </row>
    <row r="2677" spans="1:23" x14ac:dyDescent="0.25">
      <c r="A2677" t="s">
        <v>449</v>
      </c>
      <c r="B2677">
        <v>2005</v>
      </c>
      <c r="C2677" t="s">
        <v>273</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COUNT(LifeExpectancyData[[#This Row],[Life expectancy]:[Schooling]])=19</f>
        <v>1</v>
      </c>
    </row>
    <row r="2678" spans="1:23" x14ac:dyDescent="0.25">
      <c r="A2678" t="s">
        <v>449</v>
      </c>
      <c r="B2678">
        <v>2004</v>
      </c>
      <c r="C2678" t="s">
        <v>273</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COUNT(LifeExpectancyData[[#This Row],[Life expectancy]:[Schooling]])=19</f>
        <v>1</v>
      </c>
    </row>
    <row r="2679" spans="1:23" x14ac:dyDescent="0.25">
      <c r="A2679" t="s">
        <v>449</v>
      </c>
      <c r="B2679">
        <v>2003</v>
      </c>
      <c r="C2679" t="s">
        <v>273</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COUNT(LifeExpectancyData[[#This Row],[Life expectancy]:[Schooling]])=19</f>
        <v>1</v>
      </c>
    </row>
    <row r="2680" spans="1:23" x14ac:dyDescent="0.25">
      <c r="A2680" t="s">
        <v>449</v>
      </c>
      <c r="B2680">
        <v>2002</v>
      </c>
      <c r="C2680" t="s">
        <v>273</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COUNT(LifeExpectancyData[[#This Row],[Life expectancy]:[Schooling]])=19</f>
        <v>1</v>
      </c>
    </row>
    <row r="2681" spans="1:23" x14ac:dyDescent="0.25">
      <c r="A2681" t="s">
        <v>449</v>
      </c>
      <c r="B2681">
        <v>2001</v>
      </c>
      <c r="C2681" t="s">
        <v>273</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COUNT(LifeExpectancyData[[#This Row],[Life expectancy]:[Schooling]])=19</f>
        <v>1</v>
      </c>
    </row>
    <row r="2682" spans="1:23" x14ac:dyDescent="0.25">
      <c r="A2682" t="s">
        <v>449</v>
      </c>
      <c r="B2682">
        <v>2000</v>
      </c>
      <c r="C2682" t="s">
        <v>273</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COUNT(LifeExpectancyData[[#This Row],[Life expectancy]:[Schooling]])=19</f>
        <v>1</v>
      </c>
    </row>
    <row r="2683" spans="1:23" x14ac:dyDescent="0.25">
      <c r="A2683" t="s">
        <v>450</v>
      </c>
      <c r="B2683">
        <v>2015</v>
      </c>
      <c r="C2683" t="s">
        <v>273</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COUNT(LifeExpectancyData[[#This Row],[Life expectancy]:[Schooling]])=19</f>
        <v>0</v>
      </c>
    </row>
    <row r="2684" spans="1:23" x14ac:dyDescent="0.25">
      <c r="A2684" t="s">
        <v>450</v>
      </c>
      <c r="B2684">
        <v>2014</v>
      </c>
      <c r="C2684" t="s">
        <v>273</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COUNT(LifeExpectancyData[[#This Row],[Life expectancy]:[Schooling]])=19</f>
        <v>1</v>
      </c>
    </row>
    <row r="2685" spans="1:23" x14ac:dyDescent="0.25">
      <c r="A2685" t="s">
        <v>450</v>
      </c>
      <c r="B2685">
        <v>2013</v>
      </c>
      <c r="C2685" t="s">
        <v>273</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COUNT(LifeExpectancyData[[#This Row],[Life expectancy]:[Schooling]])=19</f>
        <v>1</v>
      </c>
    </row>
    <row r="2686" spans="1:23" x14ac:dyDescent="0.25">
      <c r="A2686" t="s">
        <v>450</v>
      </c>
      <c r="B2686">
        <v>2012</v>
      </c>
      <c r="C2686" t="s">
        <v>273</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COUNT(LifeExpectancyData[[#This Row],[Life expectancy]:[Schooling]])=19</f>
        <v>1</v>
      </c>
    </row>
    <row r="2687" spans="1:23" x14ac:dyDescent="0.25">
      <c r="A2687" t="s">
        <v>450</v>
      </c>
      <c r="B2687">
        <v>2011</v>
      </c>
      <c r="C2687" t="s">
        <v>273</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COUNT(LifeExpectancyData[[#This Row],[Life expectancy]:[Schooling]])=19</f>
        <v>1</v>
      </c>
    </row>
    <row r="2688" spans="1:23" x14ac:dyDescent="0.25">
      <c r="A2688" t="s">
        <v>450</v>
      </c>
      <c r="B2688">
        <v>2010</v>
      </c>
      <c r="C2688" t="s">
        <v>273</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COUNT(LifeExpectancyData[[#This Row],[Life expectancy]:[Schooling]])=19</f>
        <v>1</v>
      </c>
    </row>
    <row r="2689" spans="1:23" x14ac:dyDescent="0.25">
      <c r="A2689" t="s">
        <v>450</v>
      </c>
      <c r="B2689">
        <v>2009</v>
      </c>
      <c r="C2689" t="s">
        <v>273</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COUNT(LifeExpectancyData[[#This Row],[Life expectancy]:[Schooling]])=19</f>
        <v>1</v>
      </c>
    </row>
    <row r="2690" spans="1:23" x14ac:dyDescent="0.25">
      <c r="A2690" t="s">
        <v>450</v>
      </c>
      <c r="B2690">
        <v>2008</v>
      </c>
      <c r="C2690" t="s">
        <v>273</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COUNT(LifeExpectancyData[[#This Row],[Life expectancy]:[Schooling]])=19</f>
        <v>1</v>
      </c>
    </row>
    <row r="2691" spans="1:23" x14ac:dyDescent="0.25">
      <c r="A2691" t="s">
        <v>450</v>
      </c>
      <c r="B2691">
        <v>2007</v>
      </c>
      <c r="C2691" t="s">
        <v>273</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COUNT(LifeExpectancyData[[#This Row],[Life expectancy]:[Schooling]])=19</f>
        <v>1</v>
      </c>
    </row>
    <row r="2692" spans="1:23" x14ac:dyDescent="0.25">
      <c r="A2692" t="s">
        <v>450</v>
      </c>
      <c r="B2692">
        <v>2006</v>
      </c>
      <c r="C2692" t="s">
        <v>273</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COUNT(LifeExpectancyData[[#This Row],[Life expectancy]:[Schooling]])=19</f>
        <v>1</v>
      </c>
    </row>
    <row r="2693" spans="1:23" x14ac:dyDescent="0.25">
      <c r="A2693" t="s">
        <v>450</v>
      </c>
      <c r="B2693">
        <v>2005</v>
      </c>
      <c r="C2693" t="s">
        <v>273</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COUNT(LifeExpectancyData[[#This Row],[Life expectancy]:[Schooling]])=19</f>
        <v>1</v>
      </c>
    </row>
    <row r="2694" spans="1:23" x14ac:dyDescent="0.25">
      <c r="A2694" t="s">
        <v>450</v>
      </c>
      <c r="B2694">
        <v>2004</v>
      </c>
      <c r="C2694" t="s">
        <v>273</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COUNT(LifeExpectancyData[[#This Row],[Life expectancy]:[Schooling]])=19</f>
        <v>1</v>
      </c>
    </row>
    <row r="2695" spans="1:23" x14ac:dyDescent="0.25">
      <c r="A2695" t="s">
        <v>450</v>
      </c>
      <c r="B2695">
        <v>2003</v>
      </c>
      <c r="C2695" t="s">
        <v>273</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COUNT(LifeExpectancyData[[#This Row],[Life expectancy]:[Schooling]])=19</f>
        <v>1</v>
      </c>
    </row>
    <row r="2696" spans="1:23" x14ac:dyDescent="0.25">
      <c r="A2696" t="s">
        <v>450</v>
      </c>
      <c r="B2696">
        <v>2002</v>
      </c>
      <c r="C2696" t="s">
        <v>273</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COUNT(LifeExpectancyData[[#This Row],[Life expectancy]:[Schooling]])=19</f>
        <v>1</v>
      </c>
    </row>
    <row r="2697" spans="1:23" x14ac:dyDescent="0.25">
      <c r="A2697" t="s">
        <v>450</v>
      </c>
      <c r="B2697">
        <v>2001</v>
      </c>
      <c r="C2697" t="s">
        <v>273</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COUNT(LifeExpectancyData[[#This Row],[Life expectancy]:[Schooling]])=19</f>
        <v>1</v>
      </c>
    </row>
    <row r="2698" spans="1:23" x14ac:dyDescent="0.25">
      <c r="A2698" t="s">
        <v>450</v>
      </c>
      <c r="B2698">
        <v>2000</v>
      </c>
      <c r="C2698" t="s">
        <v>273</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COUNT(LifeExpectancyData[[#This Row],[Life expectancy]:[Schooling]])=19</f>
        <v>1</v>
      </c>
    </row>
    <row r="2699" spans="1:23" x14ac:dyDescent="0.25">
      <c r="A2699" t="s">
        <v>451</v>
      </c>
      <c r="B2699">
        <v>2015</v>
      </c>
      <c r="C2699" t="s">
        <v>273</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COUNT(LifeExpectancyData[[#This Row],[Life expectancy]:[Schooling]])=19</f>
        <v>0</v>
      </c>
    </row>
    <row r="2700" spans="1:23" x14ac:dyDescent="0.25">
      <c r="A2700" t="s">
        <v>451</v>
      </c>
      <c r="B2700">
        <v>2014</v>
      </c>
      <c r="C2700" t="s">
        <v>273</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COUNT(LifeExpectancyData[[#This Row],[Life expectancy]:[Schooling]])=19</f>
        <v>1</v>
      </c>
    </row>
    <row r="2701" spans="1:23" x14ac:dyDescent="0.25">
      <c r="A2701" t="s">
        <v>451</v>
      </c>
      <c r="B2701">
        <v>2013</v>
      </c>
      <c r="C2701" t="s">
        <v>273</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COUNT(LifeExpectancyData[[#This Row],[Life expectancy]:[Schooling]])=19</f>
        <v>1</v>
      </c>
    </row>
    <row r="2702" spans="1:23" x14ac:dyDescent="0.25">
      <c r="A2702" t="s">
        <v>451</v>
      </c>
      <c r="B2702">
        <v>2012</v>
      </c>
      <c r="C2702" t="s">
        <v>273</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COUNT(LifeExpectancyData[[#This Row],[Life expectancy]:[Schooling]])=19</f>
        <v>1</v>
      </c>
    </row>
    <row r="2703" spans="1:23" x14ac:dyDescent="0.25">
      <c r="A2703" t="s">
        <v>451</v>
      </c>
      <c r="B2703">
        <v>2011</v>
      </c>
      <c r="C2703" t="s">
        <v>273</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COUNT(LifeExpectancyData[[#This Row],[Life expectancy]:[Schooling]])=19</f>
        <v>1</v>
      </c>
    </row>
    <row r="2704" spans="1:23" x14ac:dyDescent="0.25">
      <c r="A2704" t="s">
        <v>451</v>
      </c>
      <c r="B2704">
        <v>2010</v>
      </c>
      <c r="C2704" t="s">
        <v>273</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COUNT(LifeExpectancyData[[#This Row],[Life expectancy]:[Schooling]])=19</f>
        <v>1</v>
      </c>
    </row>
    <row r="2705" spans="1:23" x14ac:dyDescent="0.25">
      <c r="A2705" t="s">
        <v>451</v>
      </c>
      <c r="B2705">
        <v>2009</v>
      </c>
      <c r="C2705" t="s">
        <v>273</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COUNT(LifeExpectancyData[[#This Row],[Life expectancy]:[Schooling]])=19</f>
        <v>1</v>
      </c>
    </row>
    <row r="2706" spans="1:23" x14ac:dyDescent="0.25">
      <c r="A2706" t="s">
        <v>451</v>
      </c>
      <c r="B2706">
        <v>2008</v>
      </c>
      <c r="C2706" t="s">
        <v>273</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COUNT(LifeExpectancyData[[#This Row],[Life expectancy]:[Schooling]])=19</f>
        <v>1</v>
      </c>
    </row>
    <row r="2707" spans="1:23" x14ac:dyDescent="0.25">
      <c r="A2707" t="s">
        <v>451</v>
      </c>
      <c r="B2707">
        <v>2007</v>
      </c>
      <c r="C2707" t="s">
        <v>273</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COUNT(LifeExpectancyData[[#This Row],[Life expectancy]:[Schooling]])=19</f>
        <v>1</v>
      </c>
    </row>
    <row r="2708" spans="1:23" x14ac:dyDescent="0.25">
      <c r="A2708" t="s">
        <v>451</v>
      </c>
      <c r="B2708">
        <v>2006</v>
      </c>
      <c r="C2708" t="s">
        <v>273</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COUNT(LifeExpectancyData[[#This Row],[Life expectancy]:[Schooling]])=19</f>
        <v>1</v>
      </c>
    </row>
    <row r="2709" spans="1:23" x14ac:dyDescent="0.25">
      <c r="A2709" t="s">
        <v>451</v>
      </c>
      <c r="B2709">
        <v>2005</v>
      </c>
      <c r="C2709" t="s">
        <v>273</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COUNT(LifeExpectancyData[[#This Row],[Life expectancy]:[Schooling]])=19</f>
        <v>1</v>
      </c>
    </row>
    <row r="2710" spans="1:23" x14ac:dyDescent="0.25">
      <c r="A2710" t="s">
        <v>451</v>
      </c>
      <c r="B2710">
        <v>2004</v>
      </c>
      <c r="C2710" t="s">
        <v>273</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COUNT(LifeExpectancyData[[#This Row],[Life expectancy]:[Schooling]])=19</f>
        <v>1</v>
      </c>
    </row>
    <row r="2711" spans="1:23" x14ac:dyDescent="0.25">
      <c r="A2711" t="s">
        <v>451</v>
      </c>
      <c r="B2711">
        <v>2003</v>
      </c>
      <c r="C2711" t="s">
        <v>273</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COUNT(LifeExpectancyData[[#This Row],[Life expectancy]:[Schooling]])=19</f>
        <v>1</v>
      </c>
    </row>
    <row r="2712" spans="1:23" x14ac:dyDescent="0.25">
      <c r="A2712" t="s">
        <v>451</v>
      </c>
      <c r="B2712">
        <v>2002</v>
      </c>
      <c r="C2712" t="s">
        <v>273</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COUNT(LifeExpectancyData[[#This Row],[Life expectancy]:[Schooling]])=19</f>
        <v>1</v>
      </c>
    </row>
    <row r="2713" spans="1:23" x14ac:dyDescent="0.25">
      <c r="A2713" t="s">
        <v>451</v>
      </c>
      <c r="B2713">
        <v>2001</v>
      </c>
      <c r="C2713" t="s">
        <v>273</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COUNT(LifeExpectancyData[[#This Row],[Life expectancy]:[Schooling]])=19</f>
        <v>0</v>
      </c>
    </row>
    <row r="2714" spans="1:23" x14ac:dyDescent="0.25">
      <c r="A2714" t="s">
        <v>451</v>
      </c>
      <c r="B2714">
        <v>2000</v>
      </c>
      <c r="C2714" t="s">
        <v>273</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COUNT(LifeExpectancyData[[#This Row],[Life expectancy]:[Schooling]])=19</f>
        <v>0</v>
      </c>
    </row>
    <row r="2715" spans="1:23" x14ac:dyDescent="0.25">
      <c r="A2715" t="s">
        <v>452</v>
      </c>
      <c r="B2715">
        <v>2013</v>
      </c>
      <c r="C2715" t="s">
        <v>273</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COUNT(LifeExpectancyData[[#This Row],[Life expectancy]:[Schooling]])=19</f>
        <v>0</v>
      </c>
    </row>
    <row r="2716" spans="1:23" x14ac:dyDescent="0.25">
      <c r="A2716" t="s">
        <v>453</v>
      </c>
      <c r="B2716">
        <v>2015</v>
      </c>
      <c r="C2716" t="s">
        <v>273</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COUNT(LifeExpectancyData[[#This Row],[Life expectancy]:[Schooling]])=19</f>
        <v>0</v>
      </c>
    </row>
    <row r="2717" spans="1:23" x14ac:dyDescent="0.25">
      <c r="A2717" t="s">
        <v>453</v>
      </c>
      <c r="B2717">
        <v>2014</v>
      </c>
      <c r="C2717" t="s">
        <v>273</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COUNT(LifeExpectancyData[[#This Row],[Life expectancy]:[Schooling]])=19</f>
        <v>1</v>
      </c>
    </row>
    <row r="2718" spans="1:23" x14ac:dyDescent="0.25">
      <c r="A2718" t="s">
        <v>453</v>
      </c>
      <c r="B2718">
        <v>2013</v>
      </c>
      <c r="C2718" t="s">
        <v>273</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COUNT(LifeExpectancyData[[#This Row],[Life expectancy]:[Schooling]])=19</f>
        <v>1</v>
      </c>
    </row>
    <row r="2719" spans="1:23" x14ac:dyDescent="0.25">
      <c r="A2719" t="s">
        <v>453</v>
      </c>
      <c r="B2719">
        <v>2012</v>
      </c>
      <c r="C2719" t="s">
        <v>273</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COUNT(LifeExpectancyData[[#This Row],[Life expectancy]:[Schooling]])=19</f>
        <v>1</v>
      </c>
    </row>
    <row r="2720" spans="1:23" x14ac:dyDescent="0.25">
      <c r="A2720" t="s">
        <v>453</v>
      </c>
      <c r="B2720">
        <v>2011</v>
      </c>
      <c r="C2720" t="s">
        <v>273</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COUNT(LifeExpectancyData[[#This Row],[Life expectancy]:[Schooling]])=19</f>
        <v>1</v>
      </c>
    </row>
    <row r="2721" spans="1:23" x14ac:dyDescent="0.25">
      <c r="A2721" t="s">
        <v>453</v>
      </c>
      <c r="B2721">
        <v>2010</v>
      </c>
      <c r="C2721" t="s">
        <v>273</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COUNT(LifeExpectancyData[[#This Row],[Life expectancy]:[Schooling]])=19</f>
        <v>1</v>
      </c>
    </row>
    <row r="2722" spans="1:23" x14ac:dyDescent="0.25">
      <c r="A2722" t="s">
        <v>453</v>
      </c>
      <c r="B2722">
        <v>2009</v>
      </c>
      <c r="C2722" t="s">
        <v>273</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COUNT(LifeExpectancyData[[#This Row],[Life expectancy]:[Schooling]])=19</f>
        <v>1</v>
      </c>
    </row>
    <row r="2723" spans="1:23" x14ac:dyDescent="0.25">
      <c r="A2723" t="s">
        <v>453</v>
      </c>
      <c r="B2723">
        <v>2008</v>
      </c>
      <c r="C2723" t="s">
        <v>273</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COUNT(LifeExpectancyData[[#This Row],[Life expectancy]:[Schooling]])=19</f>
        <v>1</v>
      </c>
    </row>
    <row r="2724" spans="1:23" x14ac:dyDescent="0.25">
      <c r="A2724" t="s">
        <v>453</v>
      </c>
      <c r="B2724">
        <v>2007</v>
      </c>
      <c r="C2724" t="s">
        <v>273</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COUNT(LifeExpectancyData[[#This Row],[Life expectancy]:[Schooling]])=19</f>
        <v>1</v>
      </c>
    </row>
    <row r="2725" spans="1:23" x14ac:dyDescent="0.25">
      <c r="A2725" t="s">
        <v>453</v>
      </c>
      <c r="B2725">
        <v>2006</v>
      </c>
      <c r="C2725" t="s">
        <v>273</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COUNT(LifeExpectancyData[[#This Row],[Life expectancy]:[Schooling]])=19</f>
        <v>1</v>
      </c>
    </row>
    <row r="2726" spans="1:23" x14ac:dyDescent="0.25">
      <c r="A2726" t="s">
        <v>453</v>
      </c>
      <c r="B2726">
        <v>2005</v>
      </c>
      <c r="C2726" t="s">
        <v>273</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COUNT(LifeExpectancyData[[#This Row],[Life expectancy]:[Schooling]])=19</f>
        <v>1</v>
      </c>
    </row>
    <row r="2727" spans="1:23" x14ac:dyDescent="0.25">
      <c r="A2727" t="s">
        <v>453</v>
      </c>
      <c r="B2727">
        <v>2004</v>
      </c>
      <c r="C2727" t="s">
        <v>273</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COUNT(LifeExpectancyData[[#This Row],[Life expectancy]:[Schooling]])=19</f>
        <v>1</v>
      </c>
    </row>
    <row r="2728" spans="1:23" x14ac:dyDescent="0.25">
      <c r="A2728" t="s">
        <v>453</v>
      </c>
      <c r="B2728">
        <v>2003</v>
      </c>
      <c r="C2728" t="s">
        <v>273</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COUNT(LifeExpectancyData[[#This Row],[Life expectancy]:[Schooling]])=19</f>
        <v>1</v>
      </c>
    </row>
    <row r="2729" spans="1:23" x14ac:dyDescent="0.25">
      <c r="A2729" t="s">
        <v>453</v>
      </c>
      <c r="B2729">
        <v>2002</v>
      </c>
      <c r="C2729" t="s">
        <v>273</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COUNT(LifeExpectancyData[[#This Row],[Life expectancy]:[Schooling]])=19</f>
        <v>1</v>
      </c>
    </row>
    <row r="2730" spans="1:23" x14ac:dyDescent="0.25">
      <c r="A2730" t="s">
        <v>453</v>
      </c>
      <c r="B2730">
        <v>2001</v>
      </c>
      <c r="C2730" t="s">
        <v>273</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COUNT(LifeExpectancyData[[#This Row],[Life expectancy]:[Schooling]])=19</f>
        <v>0</v>
      </c>
    </row>
    <row r="2731" spans="1:23" x14ac:dyDescent="0.25">
      <c r="A2731" t="s">
        <v>453</v>
      </c>
      <c r="B2731">
        <v>2000</v>
      </c>
      <c r="C2731" t="s">
        <v>273</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COUNT(LifeExpectancyData[[#This Row],[Life expectancy]:[Schooling]])=19</f>
        <v>0</v>
      </c>
    </row>
    <row r="2732" spans="1:23" x14ac:dyDescent="0.25">
      <c r="A2732" t="s">
        <v>454</v>
      </c>
      <c r="B2732">
        <v>2015</v>
      </c>
      <c r="C2732" t="s">
        <v>273</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COUNT(LifeExpectancyData[[#This Row],[Life expectancy]:[Schooling]])=19</f>
        <v>0</v>
      </c>
    </row>
    <row r="2733" spans="1:23" x14ac:dyDescent="0.25">
      <c r="A2733" t="s">
        <v>454</v>
      </c>
      <c r="B2733">
        <v>2014</v>
      </c>
      <c r="C2733" t="s">
        <v>273</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COUNT(LifeExpectancyData[[#This Row],[Life expectancy]:[Schooling]])=19</f>
        <v>1</v>
      </c>
    </row>
    <row r="2734" spans="1:23" x14ac:dyDescent="0.25">
      <c r="A2734" t="s">
        <v>454</v>
      </c>
      <c r="B2734">
        <v>2013</v>
      </c>
      <c r="C2734" t="s">
        <v>273</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COUNT(LifeExpectancyData[[#This Row],[Life expectancy]:[Schooling]])=19</f>
        <v>1</v>
      </c>
    </row>
    <row r="2735" spans="1:23" x14ac:dyDescent="0.25">
      <c r="A2735" t="s">
        <v>454</v>
      </c>
      <c r="B2735">
        <v>2012</v>
      </c>
      <c r="C2735" t="s">
        <v>273</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COUNT(LifeExpectancyData[[#This Row],[Life expectancy]:[Schooling]])=19</f>
        <v>1</v>
      </c>
    </row>
    <row r="2736" spans="1:23" x14ac:dyDescent="0.25">
      <c r="A2736" t="s">
        <v>454</v>
      </c>
      <c r="B2736">
        <v>2011</v>
      </c>
      <c r="C2736" t="s">
        <v>273</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COUNT(LifeExpectancyData[[#This Row],[Life expectancy]:[Schooling]])=19</f>
        <v>1</v>
      </c>
    </row>
    <row r="2737" spans="1:23" x14ac:dyDescent="0.25">
      <c r="A2737" t="s">
        <v>454</v>
      </c>
      <c r="B2737">
        <v>2010</v>
      </c>
      <c r="C2737" t="s">
        <v>273</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COUNT(LifeExpectancyData[[#This Row],[Life expectancy]:[Schooling]])=19</f>
        <v>1</v>
      </c>
    </row>
    <row r="2738" spans="1:23" x14ac:dyDescent="0.25">
      <c r="A2738" t="s">
        <v>454</v>
      </c>
      <c r="B2738">
        <v>2009</v>
      </c>
      <c r="C2738" t="s">
        <v>273</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COUNT(LifeExpectancyData[[#This Row],[Life expectancy]:[Schooling]])=19</f>
        <v>1</v>
      </c>
    </row>
    <row r="2739" spans="1:23" x14ac:dyDescent="0.25">
      <c r="A2739" t="s">
        <v>454</v>
      </c>
      <c r="B2739">
        <v>2008</v>
      </c>
      <c r="C2739" t="s">
        <v>273</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COUNT(LifeExpectancyData[[#This Row],[Life expectancy]:[Schooling]])=19</f>
        <v>1</v>
      </c>
    </row>
    <row r="2740" spans="1:23" x14ac:dyDescent="0.25">
      <c r="A2740" t="s">
        <v>454</v>
      </c>
      <c r="B2740">
        <v>2007</v>
      </c>
      <c r="C2740" t="s">
        <v>273</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COUNT(LifeExpectancyData[[#This Row],[Life expectancy]:[Schooling]])=19</f>
        <v>1</v>
      </c>
    </row>
    <row r="2741" spans="1:23" x14ac:dyDescent="0.25">
      <c r="A2741" t="s">
        <v>454</v>
      </c>
      <c r="B2741">
        <v>2006</v>
      </c>
      <c r="C2741" t="s">
        <v>273</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COUNT(LifeExpectancyData[[#This Row],[Life expectancy]:[Schooling]])=19</f>
        <v>1</v>
      </c>
    </row>
    <row r="2742" spans="1:23" x14ac:dyDescent="0.25">
      <c r="A2742" t="s">
        <v>454</v>
      </c>
      <c r="B2742">
        <v>2005</v>
      </c>
      <c r="C2742" t="s">
        <v>273</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COUNT(LifeExpectancyData[[#This Row],[Life expectancy]:[Schooling]])=19</f>
        <v>1</v>
      </c>
    </row>
    <row r="2743" spans="1:23" x14ac:dyDescent="0.25">
      <c r="A2743" t="s">
        <v>454</v>
      </c>
      <c r="B2743">
        <v>2004</v>
      </c>
      <c r="C2743" t="s">
        <v>273</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COUNT(LifeExpectancyData[[#This Row],[Life expectancy]:[Schooling]])=19</f>
        <v>1</v>
      </c>
    </row>
    <row r="2744" spans="1:23" x14ac:dyDescent="0.25">
      <c r="A2744" t="s">
        <v>454</v>
      </c>
      <c r="B2744">
        <v>2003</v>
      </c>
      <c r="C2744" t="s">
        <v>273</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COUNT(LifeExpectancyData[[#This Row],[Life expectancy]:[Schooling]])=19</f>
        <v>1</v>
      </c>
    </row>
    <row r="2745" spans="1:23" x14ac:dyDescent="0.25">
      <c r="A2745" t="s">
        <v>454</v>
      </c>
      <c r="B2745">
        <v>2002</v>
      </c>
      <c r="C2745" t="s">
        <v>273</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COUNT(LifeExpectancyData[[#This Row],[Life expectancy]:[Schooling]])=19</f>
        <v>1</v>
      </c>
    </row>
    <row r="2746" spans="1:23" x14ac:dyDescent="0.25">
      <c r="A2746" t="s">
        <v>454</v>
      </c>
      <c r="B2746">
        <v>2001</v>
      </c>
      <c r="C2746" t="s">
        <v>273</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COUNT(LifeExpectancyData[[#This Row],[Life expectancy]:[Schooling]])=19</f>
        <v>1</v>
      </c>
    </row>
    <row r="2747" spans="1:23" x14ac:dyDescent="0.25">
      <c r="A2747" t="s">
        <v>454</v>
      </c>
      <c r="B2747">
        <v>2000</v>
      </c>
      <c r="C2747" t="s">
        <v>273</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COUNT(LifeExpectancyData[[#This Row],[Life expectancy]:[Schooling]])=19</f>
        <v>1</v>
      </c>
    </row>
    <row r="2748" spans="1:23" x14ac:dyDescent="0.25">
      <c r="A2748" t="s">
        <v>455</v>
      </c>
      <c r="B2748">
        <v>2015</v>
      </c>
      <c r="C2748" t="s">
        <v>273</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COUNT(LifeExpectancyData[[#This Row],[Life expectancy]:[Schooling]])=19</f>
        <v>0</v>
      </c>
    </row>
    <row r="2749" spans="1:23" x14ac:dyDescent="0.25">
      <c r="A2749" t="s">
        <v>455</v>
      </c>
      <c r="B2749">
        <v>2014</v>
      </c>
      <c r="C2749" t="s">
        <v>273</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COUNT(LifeExpectancyData[[#This Row],[Life expectancy]:[Schooling]])=19</f>
        <v>0</v>
      </c>
    </row>
    <row r="2750" spans="1:23" x14ac:dyDescent="0.25">
      <c r="A2750" t="s">
        <v>455</v>
      </c>
      <c r="B2750">
        <v>2013</v>
      </c>
      <c r="C2750" t="s">
        <v>273</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COUNT(LifeExpectancyData[[#This Row],[Life expectancy]:[Schooling]])=19</f>
        <v>0</v>
      </c>
    </row>
    <row r="2751" spans="1:23" x14ac:dyDescent="0.25">
      <c r="A2751" t="s">
        <v>455</v>
      </c>
      <c r="B2751">
        <v>2012</v>
      </c>
      <c r="C2751" t="s">
        <v>273</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COUNT(LifeExpectancyData[[#This Row],[Life expectancy]:[Schooling]])=19</f>
        <v>0</v>
      </c>
    </row>
    <row r="2752" spans="1:23" x14ac:dyDescent="0.25">
      <c r="A2752" t="s">
        <v>455</v>
      </c>
      <c r="B2752">
        <v>2011</v>
      </c>
      <c r="C2752" t="s">
        <v>273</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COUNT(LifeExpectancyData[[#This Row],[Life expectancy]:[Schooling]])=19</f>
        <v>0</v>
      </c>
    </row>
    <row r="2753" spans="1:23" x14ac:dyDescent="0.25">
      <c r="A2753" t="s">
        <v>455</v>
      </c>
      <c r="B2753">
        <v>2010</v>
      </c>
      <c r="C2753" t="s">
        <v>273</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COUNT(LifeExpectancyData[[#This Row],[Life expectancy]:[Schooling]])=19</f>
        <v>0</v>
      </c>
    </row>
    <row r="2754" spans="1:23" x14ac:dyDescent="0.25">
      <c r="A2754" t="s">
        <v>455</v>
      </c>
      <c r="B2754">
        <v>2009</v>
      </c>
      <c r="C2754" t="s">
        <v>273</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COUNT(LifeExpectancyData[[#This Row],[Life expectancy]:[Schooling]])=19</f>
        <v>0</v>
      </c>
    </row>
    <row r="2755" spans="1:23" x14ac:dyDescent="0.25">
      <c r="A2755" t="s">
        <v>455</v>
      </c>
      <c r="B2755">
        <v>2008</v>
      </c>
      <c r="C2755" t="s">
        <v>273</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COUNT(LifeExpectancyData[[#This Row],[Life expectancy]:[Schooling]])=19</f>
        <v>0</v>
      </c>
    </row>
    <row r="2756" spans="1:23" x14ac:dyDescent="0.25">
      <c r="A2756" t="s">
        <v>455</v>
      </c>
      <c r="B2756">
        <v>2007</v>
      </c>
      <c r="C2756" t="s">
        <v>273</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COUNT(LifeExpectancyData[[#This Row],[Life expectancy]:[Schooling]])=19</f>
        <v>0</v>
      </c>
    </row>
    <row r="2757" spans="1:23" x14ac:dyDescent="0.25">
      <c r="A2757" t="s">
        <v>455</v>
      </c>
      <c r="B2757">
        <v>2006</v>
      </c>
      <c r="C2757" t="s">
        <v>273</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COUNT(LifeExpectancyData[[#This Row],[Life expectancy]:[Schooling]])=19</f>
        <v>0</v>
      </c>
    </row>
    <row r="2758" spans="1:23" x14ac:dyDescent="0.25">
      <c r="A2758" t="s">
        <v>455</v>
      </c>
      <c r="B2758">
        <v>2005</v>
      </c>
      <c r="C2758" t="s">
        <v>273</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COUNT(LifeExpectancyData[[#This Row],[Life expectancy]:[Schooling]])=19</f>
        <v>0</v>
      </c>
    </row>
    <row r="2759" spans="1:23" x14ac:dyDescent="0.25">
      <c r="A2759" t="s">
        <v>455</v>
      </c>
      <c r="B2759">
        <v>2004</v>
      </c>
      <c r="C2759" t="s">
        <v>273</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COUNT(LifeExpectancyData[[#This Row],[Life expectancy]:[Schooling]])=19</f>
        <v>0</v>
      </c>
    </row>
    <row r="2760" spans="1:23" x14ac:dyDescent="0.25">
      <c r="A2760" t="s">
        <v>455</v>
      </c>
      <c r="B2760">
        <v>2003</v>
      </c>
      <c r="C2760" t="s">
        <v>273</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COUNT(LifeExpectancyData[[#This Row],[Life expectancy]:[Schooling]])=19</f>
        <v>0</v>
      </c>
    </row>
    <row r="2761" spans="1:23" x14ac:dyDescent="0.25">
      <c r="A2761" t="s">
        <v>455</v>
      </c>
      <c r="B2761">
        <v>2002</v>
      </c>
      <c r="C2761" t="s">
        <v>273</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COUNT(LifeExpectancyData[[#This Row],[Life expectancy]:[Schooling]])=19</f>
        <v>0</v>
      </c>
    </row>
    <row r="2762" spans="1:23" x14ac:dyDescent="0.25">
      <c r="A2762" t="s">
        <v>455</v>
      </c>
      <c r="B2762">
        <v>2001</v>
      </c>
      <c r="C2762" t="s">
        <v>273</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COUNT(LifeExpectancyData[[#This Row],[Life expectancy]:[Schooling]])=19</f>
        <v>0</v>
      </c>
    </row>
    <row r="2763" spans="1:23" x14ac:dyDescent="0.25">
      <c r="A2763" t="s">
        <v>455</v>
      </c>
      <c r="B2763">
        <v>2000</v>
      </c>
      <c r="C2763" t="s">
        <v>273</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COUNT(LifeExpectancyData[[#This Row],[Life expectancy]:[Schooling]])=19</f>
        <v>0</v>
      </c>
    </row>
    <row r="2764" spans="1:23" x14ac:dyDescent="0.25">
      <c r="A2764" t="s">
        <v>456</v>
      </c>
      <c r="B2764">
        <v>2015</v>
      </c>
      <c r="C2764" t="s">
        <v>281</v>
      </c>
      <c r="D2764">
        <v>81.2</v>
      </c>
      <c r="E2764">
        <v>69</v>
      </c>
      <c r="F2764">
        <v>3</v>
      </c>
      <c r="G2764">
        <v>10.66</v>
      </c>
      <c r="H2764">
        <v>0</v>
      </c>
      <c r="J2764">
        <v>91</v>
      </c>
      <c r="K2764">
        <v>66.599999999999994</v>
      </c>
      <c r="L2764">
        <v>4</v>
      </c>
      <c r="M2764">
        <v>96</v>
      </c>
      <c r="O2764">
        <v>96</v>
      </c>
      <c r="P2764">
        <v>0.1</v>
      </c>
      <c r="S2764">
        <v>0.8</v>
      </c>
      <c r="T2764">
        <v>0.6</v>
      </c>
      <c r="W2764" t="b">
        <f>COUNT(LifeExpectancyData[[#This Row],[Life expectancy]:[Schooling]])=19</f>
        <v>0</v>
      </c>
    </row>
    <row r="2765" spans="1:23" x14ac:dyDescent="0.25">
      <c r="A2765" t="s">
        <v>456</v>
      </c>
      <c r="B2765">
        <v>2014</v>
      </c>
      <c r="C2765" t="s">
        <v>281</v>
      </c>
      <c r="D2765">
        <v>81</v>
      </c>
      <c r="E2765">
        <v>71</v>
      </c>
      <c r="F2765">
        <v>3</v>
      </c>
      <c r="G2765">
        <v>10.37</v>
      </c>
      <c r="H2765">
        <v>0</v>
      </c>
      <c r="J2765">
        <v>133</v>
      </c>
      <c r="K2765">
        <v>66</v>
      </c>
      <c r="L2765">
        <v>4</v>
      </c>
      <c r="M2765">
        <v>95</v>
      </c>
      <c r="N2765">
        <v>9.1199999999999992</v>
      </c>
      <c r="O2765">
        <v>95</v>
      </c>
      <c r="P2765">
        <v>0.1</v>
      </c>
      <c r="S2765">
        <v>0.8</v>
      </c>
      <c r="T2765">
        <v>0.5</v>
      </c>
      <c r="W2765" t="b">
        <f>COUNT(LifeExpectancyData[[#This Row],[Life expectancy]:[Schooling]])=19</f>
        <v>0</v>
      </c>
    </row>
    <row r="2766" spans="1:23" x14ac:dyDescent="0.25">
      <c r="A2766" t="s">
        <v>456</v>
      </c>
      <c r="B2766">
        <v>2013</v>
      </c>
      <c r="C2766" t="s">
        <v>281</v>
      </c>
      <c r="D2766">
        <v>87</v>
      </c>
      <c r="E2766">
        <v>72</v>
      </c>
      <c r="F2766">
        <v>3</v>
      </c>
      <c r="G2766">
        <v>10.32</v>
      </c>
      <c r="H2766">
        <v>0</v>
      </c>
      <c r="J2766">
        <v>1919</v>
      </c>
      <c r="K2766">
        <v>65.400000000000006</v>
      </c>
      <c r="L2766">
        <v>4</v>
      </c>
      <c r="M2766">
        <v>95</v>
      </c>
      <c r="N2766">
        <v>9.34</v>
      </c>
      <c r="O2766">
        <v>95</v>
      </c>
      <c r="P2766">
        <v>0.1</v>
      </c>
      <c r="S2766">
        <v>0.8</v>
      </c>
      <c r="T2766">
        <v>0.5</v>
      </c>
      <c r="W2766" t="b">
        <f>COUNT(LifeExpectancyData[[#This Row],[Life expectancy]:[Schooling]])=19</f>
        <v>0</v>
      </c>
    </row>
    <row r="2767" spans="1:23" x14ac:dyDescent="0.25">
      <c r="A2767" t="s">
        <v>456</v>
      </c>
      <c r="B2767">
        <v>2012</v>
      </c>
      <c r="C2767" t="s">
        <v>281</v>
      </c>
      <c r="D2767">
        <v>86</v>
      </c>
      <c r="E2767">
        <v>72</v>
      </c>
      <c r="F2767">
        <v>3</v>
      </c>
      <c r="G2767">
        <v>10.42</v>
      </c>
      <c r="H2767">
        <v>0</v>
      </c>
      <c r="J2767">
        <v>2092</v>
      </c>
      <c r="K2767">
        <v>64.8</v>
      </c>
      <c r="L2767">
        <v>4</v>
      </c>
      <c r="M2767">
        <v>95</v>
      </c>
      <c r="N2767">
        <v>9.41</v>
      </c>
      <c r="O2767">
        <v>95</v>
      </c>
      <c r="P2767">
        <v>0.1</v>
      </c>
      <c r="S2767">
        <v>0.8</v>
      </c>
      <c r="T2767">
        <v>0.5</v>
      </c>
      <c r="W2767" t="b">
        <f>COUNT(LifeExpectancyData[[#This Row],[Life expectancy]:[Schooling]])=19</f>
        <v>0</v>
      </c>
    </row>
    <row r="2768" spans="1:23" x14ac:dyDescent="0.25">
      <c r="A2768" t="s">
        <v>456</v>
      </c>
      <c r="B2768">
        <v>2011</v>
      </c>
      <c r="C2768" t="s">
        <v>281</v>
      </c>
      <c r="D2768">
        <v>86</v>
      </c>
      <c r="E2768">
        <v>74</v>
      </c>
      <c r="F2768">
        <v>3</v>
      </c>
      <c r="G2768">
        <v>10.68</v>
      </c>
      <c r="H2768">
        <v>0</v>
      </c>
      <c r="J2768">
        <v>1112</v>
      </c>
      <c r="K2768">
        <v>64.2</v>
      </c>
      <c r="L2768">
        <v>4</v>
      </c>
      <c r="M2768">
        <v>95</v>
      </c>
      <c r="N2768">
        <v>9.34</v>
      </c>
      <c r="O2768">
        <v>95</v>
      </c>
      <c r="P2768">
        <v>0.1</v>
      </c>
      <c r="S2768">
        <v>0.8</v>
      </c>
      <c r="T2768">
        <v>0.5</v>
      </c>
      <c r="W2768" t="b">
        <f>COUNT(LifeExpectancyData[[#This Row],[Life expectancy]:[Schooling]])=19</f>
        <v>0</v>
      </c>
    </row>
    <row r="2769" spans="1:23" x14ac:dyDescent="0.25">
      <c r="A2769" t="s">
        <v>456</v>
      </c>
      <c r="B2769">
        <v>2010</v>
      </c>
      <c r="C2769" t="s">
        <v>281</v>
      </c>
      <c r="D2769">
        <v>82</v>
      </c>
      <c r="E2769">
        <v>77</v>
      </c>
      <c r="F2769">
        <v>3</v>
      </c>
      <c r="G2769">
        <v>10.88</v>
      </c>
      <c r="H2769">
        <v>0</v>
      </c>
      <c r="J2769">
        <v>443</v>
      </c>
      <c r="K2769">
        <v>63.6</v>
      </c>
      <c r="L2769">
        <v>4</v>
      </c>
      <c r="M2769">
        <v>94</v>
      </c>
      <c r="N2769">
        <v>9.51</v>
      </c>
      <c r="O2769">
        <v>94</v>
      </c>
      <c r="P2769">
        <v>0.1</v>
      </c>
      <c r="S2769">
        <v>0.8</v>
      </c>
      <c r="T2769">
        <v>0.5</v>
      </c>
      <c r="W2769" t="b">
        <f>COUNT(LifeExpectancyData[[#This Row],[Life expectancy]:[Schooling]])=19</f>
        <v>0</v>
      </c>
    </row>
    <row r="2770" spans="1:23" x14ac:dyDescent="0.25">
      <c r="A2770" t="s">
        <v>456</v>
      </c>
      <c r="B2770">
        <v>2009</v>
      </c>
      <c r="C2770" t="s">
        <v>281</v>
      </c>
      <c r="D2770">
        <v>81</v>
      </c>
      <c r="E2770">
        <v>78</v>
      </c>
      <c r="F2770">
        <v>4</v>
      </c>
      <c r="G2770">
        <v>10.79</v>
      </c>
      <c r="H2770">
        <v>0</v>
      </c>
      <c r="J2770">
        <v>1212</v>
      </c>
      <c r="K2770">
        <v>63.1</v>
      </c>
      <c r="L2770">
        <v>4</v>
      </c>
      <c r="M2770">
        <v>93</v>
      </c>
      <c r="N2770">
        <v>9.81</v>
      </c>
      <c r="O2770">
        <v>93</v>
      </c>
      <c r="P2770">
        <v>0.1</v>
      </c>
      <c r="S2770">
        <v>0.8</v>
      </c>
      <c r="T2770">
        <v>0.5</v>
      </c>
      <c r="W2770" t="b">
        <f>COUNT(LifeExpectancyData[[#This Row],[Life expectancy]:[Schooling]])=19</f>
        <v>0</v>
      </c>
    </row>
    <row r="2771" spans="1:23" x14ac:dyDescent="0.25">
      <c r="A2771" t="s">
        <v>456</v>
      </c>
      <c r="B2771">
        <v>2008</v>
      </c>
      <c r="C2771" t="s">
        <v>281</v>
      </c>
      <c r="D2771">
        <v>79.599999999999994</v>
      </c>
      <c r="E2771">
        <v>8</v>
      </c>
      <c r="F2771">
        <v>4</v>
      </c>
      <c r="G2771">
        <v>11.47</v>
      </c>
      <c r="H2771">
        <v>0</v>
      </c>
      <c r="J2771">
        <v>1445</v>
      </c>
      <c r="K2771">
        <v>62.5</v>
      </c>
      <c r="L2771">
        <v>4</v>
      </c>
      <c r="M2771">
        <v>92</v>
      </c>
      <c r="N2771">
        <v>8.85</v>
      </c>
      <c r="O2771">
        <v>92</v>
      </c>
      <c r="P2771">
        <v>0.1</v>
      </c>
      <c r="S2771">
        <v>0.8</v>
      </c>
      <c r="T2771">
        <v>0.5</v>
      </c>
      <c r="W2771" t="b">
        <f>COUNT(LifeExpectancyData[[#This Row],[Life expectancy]:[Schooling]])=19</f>
        <v>0</v>
      </c>
    </row>
    <row r="2772" spans="1:23" x14ac:dyDescent="0.25">
      <c r="A2772" t="s">
        <v>456</v>
      </c>
      <c r="B2772">
        <v>2007</v>
      </c>
      <c r="C2772" t="s">
        <v>281</v>
      </c>
      <c r="D2772">
        <v>79.5</v>
      </c>
      <c r="E2772">
        <v>8</v>
      </c>
      <c r="F2772">
        <v>4</v>
      </c>
      <c r="G2772">
        <v>11.84</v>
      </c>
      <c r="H2772">
        <v>0</v>
      </c>
      <c r="J2772">
        <v>1022</v>
      </c>
      <c r="K2772">
        <v>61.9</v>
      </c>
      <c r="L2772">
        <v>4</v>
      </c>
      <c r="M2772">
        <v>92</v>
      </c>
      <c r="N2772">
        <v>8.42</v>
      </c>
      <c r="O2772">
        <v>92</v>
      </c>
      <c r="P2772">
        <v>0.1</v>
      </c>
      <c r="S2772">
        <v>0.7</v>
      </c>
      <c r="T2772">
        <v>0.5</v>
      </c>
      <c r="W2772" t="b">
        <f>COUNT(LifeExpectancyData[[#This Row],[Life expectancy]:[Schooling]])=19</f>
        <v>0</v>
      </c>
    </row>
    <row r="2773" spans="1:23" x14ac:dyDescent="0.25">
      <c r="A2773" t="s">
        <v>456</v>
      </c>
      <c r="B2773">
        <v>2006</v>
      </c>
      <c r="C2773" t="s">
        <v>281</v>
      </c>
      <c r="D2773">
        <v>79.3</v>
      </c>
      <c r="E2773">
        <v>82</v>
      </c>
      <c r="F2773">
        <v>4</v>
      </c>
      <c r="G2773">
        <v>11.61</v>
      </c>
      <c r="H2773">
        <v>0</v>
      </c>
      <c r="J2773">
        <v>764</v>
      </c>
      <c r="K2773">
        <v>61.3</v>
      </c>
      <c r="L2773">
        <v>4</v>
      </c>
      <c r="M2773">
        <v>92</v>
      </c>
      <c r="N2773">
        <v>8.36</v>
      </c>
      <c r="O2773">
        <v>92</v>
      </c>
      <c r="P2773">
        <v>0.1</v>
      </c>
      <c r="S2773">
        <v>0.7</v>
      </c>
      <c r="T2773">
        <v>0.5</v>
      </c>
      <c r="W2773" t="b">
        <f>COUNT(LifeExpectancyData[[#This Row],[Life expectancy]:[Schooling]])=19</f>
        <v>0</v>
      </c>
    </row>
    <row r="2774" spans="1:23" x14ac:dyDescent="0.25">
      <c r="A2774" t="s">
        <v>456</v>
      </c>
      <c r="B2774">
        <v>2005</v>
      </c>
      <c r="C2774" t="s">
        <v>281</v>
      </c>
      <c r="D2774">
        <v>79</v>
      </c>
      <c r="E2774">
        <v>82</v>
      </c>
      <c r="F2774">
        <v>4</v>
      </c>
      <c r="G2774">
        <v>12.05</v>
      </c>
      <c r="H2774">
        <v>0</v>
      </c>
      <c r="J2774">
        <v>79</v>
      </c>
      <c r="K2774">
        <v>6.7</v>
      </c>
      <c r="L2774">
        <v>4</v>
      </c>
      <c r="M2774">
        <v>91</v>
      </c>
      <c r="N2774">
        <v>8.24</v>
      </c>
      <c r="O2774">
        <v>91</v>
      </c>
      <c r="P2774">
        <v>0.1</v>
      </c>
      <c r="S2774">
        <v>0.7</v>
      </c>
      <c r="T2774">
        <v>0.5</v>
      </c>
      <c r="W2774" t="b">
        <f>COUNT(LifeExpectancyData[[#This Row],[Life expectancy]:[Schooling]])=19</f>
        <v>0</v>
      </c>
    </row>
    <row r="2775" spans="1:23" x14ac:dyDescent="0.25">
      <c r="A2775" t="s">
        <v>456</v>
      </c>
      <c r="B2775">
        <v>2004</v>
      </c>
      <c r="C2775" t="s">
        <v>281</v>
      </c>
      <c r="D2775">
        <v>78.8</v>
      </c>
      <c r="E2775">
        <v>83</v>
      </c>
      <c r="F2775">
        <v>4</v>
      </c>
      <c r="G2775">
        <v>12.22</v>
      </c>
      <c r="H2775">
        <v>0</v>
      </c>
      <c r="J2775">
        <v>189</v>
      </c>
      <c r="K2775">
        <v>6.1</v>
      </c>
      <c r="L2775">
        <v>4</v>
      </c>
      <c r="M2775">
        <v>92</v>
      </c>
      <c r="N2775">
        <v>7.98</v>
      </c>
      <c r="O2775">
        <v>92</v>
      </c>
      <c r="P2775">
        <v>0.1</v>
      </c>
      <c r="S2775">
        <v>0.7</v>
      </c>
      <c r="T2775">
        <v>0.5</v>
      </c>
      <c r="W2775" t="b">
        <f>COUNT(LifeExpectancyData[[#This Row],[Life expectancy]:[Schooling]])=19</f>
        <v>0</v>
      </c>
    </row>
    <row r="2776" spans="1:23" x14ac:dyDescent="0.25">
      <c r="A2776" t="s">
        <v>456</v>
      </c>
      <c r="B2776">
        <v>2003</v>
      </c>
      <c r="C2776" t="s">
        <v>281</v>
      </c>
      <c r="D2776">
        <v>78.3</v>
      </c>
      <c r="E2776">
        <v>86</v>
      </c>
      <c r="F2776">
        <v>4</v>
      </c>
      <c r="G2776">
        <v>11.85</v>
      </c>
      <c r="H2776">
        <v>0</v>
      </c>
      <c r="J2776">
        <v>460</v>
      </c>
      <c r="K2776">
        <v>59.5</v>
      </c>
      <c r="L2776">
        <v>4</v>
      </c>
      <c r="M2776">
        <v>91</v>
      </c>
      <c r="N2776">
        <v>7.81</v>
      </c>
      <c r="O2776">
        <v>91</v>
      </c>
      <c r="P2776">
        <v>0.1</v>
      </c>
      <c r="S2776">
        <v>0.7</v>
      </c>
      <c r="T2776">
        <v>0.5</v>
      </c>
      <c r="W2776" t="b">
        <f>COUNT(LifeExpectancyData[[#This Row],[Life expectancy]:[Schooling]])=19</f>
        <v>0</v>
      </c>
    </row>
    <row r="2777" spans="1:23" x14ac:dyDescent="0.25">
      <c r="A2777" t="s">
        <v>456</v>
      </c>
      <c r="B2777">
        <v>2002</v>
      </c>
      <c r="C2777" t="s">
        <v>281</v>
      </c>
      <c r="D2777">
        <v>78.2</v>
      </c>
      <c r="E2777">
        <v>87</v>
      </c>
      <c r="F2777">
        <v>4</v>
      </c>
      <c r="G2777">
        <v>11.44</v>
      </c>
      <c r="H2777">
        <v>0</v>
      </c>
      <c r="J2777">
        <v>314</v>
      </c>
      <c r="K2777">
        <v>58.8</v>
      </c>
      <c r="L2777">
        <v>4</v>
      </c>
      <c r="M2777">
        <v>91</v>
      </c>
      <c r="N2777">
        <v>7.57</v>
      </c>
      <c r="O2777">
        <v>91</v>
      </c>
      <c r="P2777">
        <v>0.1</v>
      </c>
      <c r="S2777">
        <v>0.7</v>
      </c>
      <c r="T2777">
        <v>0.5</v>
      </c>
      <c r="W2777" t="b">
        <f>COUNT(LifeExpectancyData[[#This Row],[Life expectancy]:[Schooling]])=19</f>
        <v>0</v>
      </c>
    </row>
    <row r="2778" spans="1:23" x14ac:dyDescent="0.25">
      <c r="A2778" t="s">
        <v>456</v>
      </c>
      <c r="B2778">
        <v>2001</v>
      </c>
      <c r="C2778" t="s">
        <v>281</v>
      </c>
      <c r="D2778">
        <v>78</v>
      </c>
      <c r="E2778">
        <v>88</v>
      </c>
      <c r="F2778">
        <v>4</v>
      </c>
      <c r="G2778">
        <v>10.91</v>
      </c>
      <c r="H2778">
        <v>0</v>
      </c>
      <c r="J2778">
        <v>73</v>
      </c>
      <c r="K2778">
        <v>58.2</v>
      </c>
      <c r="L2778">
        <v>4</v>
      </c>
      <c r="M2778">
        <v>91</v>
      </c>
      <c r="N2778">
        <v>7.31</v>
      </c>
      <c r="O2778">
        <v>91</v>
      </c>
      <c r="P2778">
        <v>0.1</v>
      </c>
      <c r="S2778">
        <v>0.7</v>
      </c>
      <c r="T2778">
        <v>0.5</v>
      </c>
      <c r="W2778" t="b">
        <f>COUNT(LifeExpectancyData[[#This Row],[Life expectancy]:[Schooling]])=19</f>
        <v>0</v>
      </c>
    </row>
    <row r="2779" spans="1:23" x14ac:dyDescent="0.25">
      <c r="A2779" t="s">
        <v>456</v>
      </c>
      <c r="B2779">
        <v>2000</v>
      </c>
      <c r="C2779" t="s">
        <v>281</v>
      </c>
      <c r="D2779">
        <v>77.8</v>
      </c>
      <c r="E2779">
        <v>89</v>
      </c>
      <c r="F2779">
        <v>4</v>
      </c>
      <c r="G2779">
        <v>10.59</v>
      </c>
      <c r="H2779">
        <v>0</v>
      </c>
      <c r="J2779">
        <v>104</v>
      </c>
      <c r="K2779">
        <v>57.5</v>
      </c>
      <c r="L2779">
        <v>5</v>
      </c>
      <c r="M2779">
        <v>91</v>
      </c>
      <c r="N2779">
        <v>6.94</v>
      </c>
      <c r="O2779">
        <v>91</v>
      </c>
      <c r="P2779">
        <v>0.1</v>
      </c>
      <c r="S2779">
        <v>0.7</v>
      </c>
      <c r="T2779">
        <v>0.5</v>
      </c>
      <c r="W2779" t="b">
        <f>COUNT(LifeExpectancyData[[#This Row],[Life expectancy]:[Schooling]])=19</f>
        <v>0</v>
      </c>
    </row>
    <row r="2780" spans="1:23" x14ac:dyDescent="0.25">
      <c r="A2780" t="s">
        <v>457</v>
      </c>
      <c r="B2780">
        <v>2015</v>
      </c>
      <c r="C2780" t="s">
        <v>273</v>
      </c>
      <c r="D2780">
        <v>61.8</v>
      </c>
      <c r="E2780">
        <v>279</v>
      </c>
      <c r="F2780">
        <v>85</v>
      </c>
      <c r="H2780">
        <v>0</v>
      </c>
      <c r="I2780">
        <v>98</v>
      </c>
      <c r="J2780">
        <v>30</v>
      </c>
      <c r="K2780">
        <v>23.8</v>
      </c>
      <c r="L2780">
        <v>119</v>
      </c>
      <c r="M2780">
        <v>96</v>
      </c>
      <c r="O2780">
        <v>98</v>
      </c>
      <c r="P2780">
        <v>1.4</v>
      </c>
      <c r="S2780">
        <v>6.7</v>
      </c>
      <c r="T2780">
        <v>6.5</v>
      </c>
      <c r="W2780" t="b">
        <f>COUNT(LifeExpectancyData[[#This Row],[Life expectancy]:[Schooling]])=19</f>
        <v>0</v>
      </c>
    </row>
    <row r="2781" spans="1:23" x14ac:dyDescent="0.25">
      <c r="A2781" t="s">
        <v>457</v>
      </c>
      <c r="B2781">
        <v>2014</v>
      </c>
      <c r="C2781" t="s">
        <v>273</v>
      </c>
      <c r="D2781">
        <v>67</v>
      </c>
      <c r="E2781">
        <v>34</v>
      </c>
      <c r="F2781">
        <v>86</v>
      </c>
      <c r="G2781">
        <v>0.01</v>
      </c>
      <c r="H2781">
        <v>0</v>
      </c>
      <c r="I2781">
        <v>97</v>
      </c>
      <c r="J2781">
        <v>88</v>
      </c>
      <c r="K2781">
        <v>23.2</v>
      </c>
      <c r="L2781">
        <v>121</v>
      </c>
      <c r="M2781">
        <v>97</v>
      </c>
      <c r="N2781">
        <v>5.58</v>
      </c>
      <c r="O2781">
        <v>97</v>
      </c>
      <c r="P2781">
        <v>1.4</v>
      </c>
      <c r="S2781">
        <v>6.8</v>
      </c>
      <c r="T2781">
        <v>6.6</v>
      </c>
      <c r="W2781" t="b">
        <f>COUNT(LifeExpectancyData[[#This Row],[Life expectancy]:[Schooling]])=19</f>
        <v>0</v>
      </c>
    </row>
    <row r="2782" spans="1:23" x14ac:dyDescent="0.25">
      <c r="A2782" t="s">
        <v>457</v>
      </c>
      <c r="B2782">
        <v>2013</v>
      </c>
      <c r="C2782" t="s">
        <v>273</v>
      </c>
      <c r="D2782">
        <v>59.7</v>
      </c>
      <c r="E2782">
        <v>323</v>
      </c>
      <c r="F2782">
        <v>86</v>
      </c>
      <c r="G2782">
        <v>4.2</v>
      </c>
      <c r="H2782">
        <v>0</v>
      </c>
      <c r="I2782">
        <v>91</v>
      </c>
      <c r="J2782">
        <v>185</v>
      </c>
      <c r="K2782">
        <v>22.5</v>
      </c>
      <c r="L2782">
        <v>124</v>
      </c>
      <c r="M2782">
        <v>91</v>
      </c>
      <c r="N2782">
        <v>5.57</v>
      </c>
      <c r="O2782">
        <v>91</v>
      </c>
      <c r="P2782">
        <v>2.1</v>
      </c>
      <c r="S2782">
        <v>6.8</v>
      </c>
      <c r="T2782">
        <v>6.7</v>
      </c>
      <c r="W2782" t="b">
        <f>COUNT(LifeExpectancyData[[#This Row],[Life expectancy]:[Schooling]])=19</f>
        <v>0</v>
      </c>
    </row>
    <row r="2783" spans="1:23" x14ac:dyDescent="0.25">
      <c r="A2783" t="s">
        <v>457</v>
      </c>
      <c r="B2783">
        <v>2012</v>
      </c>
      <c r="C2783" t="s">
        <v>273</v>
      </c>
      <c r="D2783">
        <v>58.6</v>
      </c>
      <c r="E2783">
        <v>348</v>
      </c>
      <c r="F2783">
        <v>87</v>
      </c>
      <c r="G2783">
        <v>3.98</v>
      </c>
      <c r="H2783">
        <v>0</v>
      </c>
      <c r="I2783">
        <v>92</v>
      </c>
      <c r="J2783">
        <v>1668</v>
      </c>
      <c r="K2783">
        <v>21.9</v>
      </c>
      <c r="L2783">
        <v>126</v>
      </c>
      <c r="M2783">
        <v>9</v>
      </c>
      <c r="N2783">
        <v>5.72</v>
      </c>
      <c r="O2783">
        <v>92</v>
      </c>
      <c r="P2783">
        <v>2.4</v>
      </c>
      <c r="S2783">
        <v>6.9</v>
      </c>
      <c r="T2783">
        <v>6.8</v>
      </c>
      <c r="W2783" t="b">
        <f>COUNT(LifeExpectancyData[[#This Row],[Life expectancy]:[Schooling]])=19</f>
        <v>0</v>
      </c>
    </row>
    <row r="2784" spans="1:23" x14ac:dyDescent="0.25">
      <c r="A2784" t="s">
        <v>457</v>
      </c>
      <c r="B2784">
        <v>2011</v>
      </c>
      <c r="C2784" t="s">
        <v>273</v>
      </c>
      <c r="D2784">
        <v>58.3</v>
      </c>
      <c r="E2784">
        <v>348</v>
      </c>
      <c r="F2784">
        <v>88</v>
      </c>
      <c r="G2784">
        <v>4.04</v>
      </c>
      <c r="H2784">
        <v>0</v>
      </c>
      <c r="I2784">
        <v>9</v>
      </c>
      <c r="J2784">
        <v>1622</v>
      </c>
      <c r="K2784">
        <v>21.3</v>
      </c>
      <c r="L2784">
        <v>128</v>
      </c>
      <c r="M2784">
        <v>88</v>
      </c>
      <c r="N2784">
        <v>5.72</v>
      </c>
      <c r="O2784">
        <v>9</v>
      </c>
      <c r="P2784">
        <v>3.1</v>
      </c>
      <c r="S2784">
        <v>7</v>
      </c>
      <c r="T2784">
        <v>6.9</v>
      </c>
      <c r="W2784" t="b">
        <f>COUNT(LifeExpectancyData[[#This Row],[Life expectancy]:[Schooling]])=19</f>
        <v>0</v>
      </c>
    </row>
    <row r="2785" spans="1:23" x14ac:dyDescent="0.25">
      <c r="A2785" t="s">
        <v>457</v>
      </c>
      <c r="B2785">
        <v>2010</v>
      </c>
      <c r="C2785" t="s">
        <v>273</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COUNT(LifeExpectancyData[[#This Row],[Life expectancy]:[Schooling]])=19</f>
        <v>0</v>
      </c>
    </row>
    <row r="2786" spans="1:23" x14ac:dyDescent="0.25">
      <c r="A2786" t="s">
        <v>457</v>
      </c>
      <c r="B2786">
        <v>2009</v>
      </c>
      <c r="C2786" t="s">
        <v>273</v>
      </c>
      <c r="D2786">
        <v>56.9</v>
      </c>
      <c r="E2786">
        <v>368</v>
      </c>
      <c r="F2786">
        <v>91</v>
      </c>
      <c r="G2786">
        <v>3.97</v>
      </c>
      <c r="H2786">
        <v>0</v>
      </c>
      <c r="I2786">
        <v>85</v>
      </c>
      <c r="J2786">
        <v>1574</v>
      </c>
      <c r="K2786">
        <v>2.2000000000000002</v>
      </c>
      <c r="L2786">
        <v>135</v>
      </c>
      <c r="M2786">
        <v>88</v>
      </c>
      <c r="N2786">
        <v>3.97</v>
      </c>
      <c r="O2786">
        <v>85</v>
      </c>
      <c r="P2786">
        <v>6.4</v>
      </c>
      <c r="S2786">
        <v>7.2</v>
      </c>
      <c r="T2786">
        <v>7.2</v>
      </c>
      <c r="W2786" t="b">
        <f>COUNT(LifeExpectancyData[[#This Row],[Life expectancy]:[Schooling]])=19</f>
        <v>0</v>
      </c>
    </row>
    <row r="2787" spans="1:23" x14ac:dyDescent="0.25">
      <c r="A2787" t="s">
        <v>457</v>
      </c>
      <c r="B2787">
        <v>2008</v>
      </c>
      <c r="C2787" t="s">
        <v>273</v>
      </c>
      <c r="D2787">
        <v>56.2</v>
      </c>
      <c r="E2787">
        <v>376</v>
      </c>
      <c r="F2787">
        <v>92</v>
      </c>
      <c r="G2787">
        <v>3.44</v>
      </c>
      <c r="H2787">
        <v>0</v>
      </c>
      <c r="I2787">
        <v>86</v>
      </c>
      <c r="J2787">
        <v>3413</v>
      </c>
      <c r="K2787">
        <v>19.600000000000001</v>
      </c>
      <c r="L2787">
        <v>138</v>
      </c>
      <c r="M2787">
        <v>89</v>
      </c>
      <c r="N2787">
        <v>4.21</v>
      </c>
      <c r="O2787">
        <v>86</v>
      </c>
      <c r="P2787">
        <v>7.4</v>
      </c>
      <c r="S2787">
        <v>7.3</v>
      </c>
      <c r="T2787">
        <v>7.3</v>
      </c>
      <c r="W2787" t="b">
        <f>COUNT(LifeExpectancyData[[#This Row],[Life expectancy]:[Schooling]])=19</f>
        <v>0</v>
      </c>
    </row>
    <row r="2788" spans="1:23" x14ac:dyDescent="0.25">
      <c r="A2788" t="s">
        <v>457</v>
      </c>
      <c r="B2788">
        <v>2007</v>
      </c>
      <c r="C2788" t="s">
        <v>273</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COUNT(LifeExpectancyData[[#This Row],[Life expectancy]:[Schooling]])=19</f>
        <v>0</v>
      </c>
    </row>
    <row r="2789" spans="1:23" x14ac:dyDescent="0.25">
      <c r="A2789" t="s">
        <v>457</v>
      </c>
      <c r="B2789">
        <v>2006</v>
      </c>
      <c r="C2789" t="s">
        <v>273</v>
      </c>
      <c r="D2789">
        <v>53.1</v>
      </c>
      <c r="E2789">
        <v>437</v>
      </c>
      <c r="F2789">
        <v>96</v>
      </c>
      <c r="G2789">
        <v>4.07</v>
      </c>
      <c r="H2789">
        <v>0</v>
      </c>
      <c r="I2789">
        <v>9</v>
      </c>
      <c r="J2789">
        <v>2362</v>
      </c>
      <c r="K2789">
        <v>18.600000000000001</v>
      </c>
      <c r="L2789">
        <v>145</v>
      </c>
      <c r="M2789">
        <v>91</v>
      </c>
      <c r="N2789">
        <v>6.86</v>
      </c>
      <c r="O2789">
        <v>9</v>
      </c>
      <c r="P2789">
        <v>9.4</v>
      </c>
      <c r="S2789">
        <v>7.6</v>
      </c>
      <c r="T2789">
        <v>7.5</v>
      </c>
      <c r="W2789" t="b">
        <f>COUNT(LifeExpectancyData[[#This Row],[Life expectancy]:[Schooling]])=19</f>
        <v>0</v>
      </c>
    </row>
    <row r="2790" spans="1:23" x14ac:dyDescent="0.25">
      <c r="A2790" t="s">
        <v>457</v>
      </c>
      <c r="B2790">
        <v>2005</v>
      </c>
      <c r="C2790" t="s">
        <v>273</v>
      </c>
      <c r="D2790">
        <v>52.2</v>
      </c>
      <c r="E2790">
        <v>449</v>
      </c>
      <c r="F2790">
        <v>97</v>
      </c>
      <c r="G2790">
        <v>3.94</v>
      </c>
      <c r="H2790">
        <v>0</v>
      </c>
      <c r="I2790">
        <v>9</v>
      </c>
      <c r="J2790">
        <v>23</v>
      </c>
      <c r="K2790">
        <v>18.100000000000001</v>
      </c>
      <c r="L2790">
        <v>149</v>
      </c>
      <c r="M2790">
        <v>91</v>
      </c>
      <c r="N2790">
        <v>4.66</v>
      </c>
      <c r="O2790">
        <v>9</v>
      </c>
      <c r="P2790">
        <v>10</v>
      </c>
      <c r="S2790">
        <v>7.7</v>
      </c>
      <c r="T2790">
        <v>7.6</v>
      </c>
      <c r="W2790" t="b">
        <f>COUNT(LifeExpectancyData[[#This Row],[Life expectancy]:[Schooling]])=19</f>
        <v>0</v>
      </c>
    </row>
    <row r="2791" spans="1:23" x14ac:dyDescent="0.25">
      <c r="A2791" t="s">
        <v>457</v>
      </c>
      <c r="B2791">
        <v>2004</v>
      </c>
      <c r="C2791" t="s">
        <v>273</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COUNT(LifeExpectancyData[[#This Row],[Life expectancy]:[Schooling]])=19</f>
        <v>0</v>
      </c>
    </row>
    <row r="2792" spans="1:23" x14ac:dyDescent="0.25">
      <c r="A2792" t="s">
        <v>457</v>
      </c>
      <c r="B2792">
        <v>2003</v>
      </c>
      <c r="C2792" t="s">
        <v>273</v>
      </c>
      <c r="D2792">
        <v>58</v>
      </c>
      <c r="E2792">
        <v>459</v>
      </c>
      <c r="F2792">
        <v>103</v>
      </c>
      <c r="G2792">
        <v>2.34</v>
      </c>
      <c r="H2792">
        <v>0</v>
      </c>
      <c r="I2792">
        <v>95</v>
      </c>
      <c r="J2792">
        <v>1673</v>
      </c>
      <c r="K2792">
        <v>17.2</v>
      </c>
      <c r="L2792">
        <v>160</v>
      </c>
      <c r="M2792">
        <v>97</v>
      </c>
      <c r="N2792">
        <v>4.5999999999999996</v>
      </c>
      <c r="O2792">
        <v>95</v>
      </c>
      <c r="P2792">
        <v>11.5</v>
      </c>
      <c r="S2792">
        <v>7.9</v>
      </c>
      <c r="T2792">
        <v>7.9</v>
      </c>
      <c r="W2792" t="b">
        <f>COUNT(LifeExpectancyData[[#This Row],[Life expectancy]:[Schooling]])=19</f>
        <v>0</v>
      </c>
    </row>
    <row r="2793" spans="1:23" x14ac:dyDescent="0.25">
      <c r="A2793" t="s">
        <v>457</v>
      </c>
      <c r="B2793">
        <v>2002</v>
      </c>
      <c r="C2793" t="s">
        <v>273</v>
      </c>
      <c r="D2793">
        <v>52</v>
      </c>
      <c r="E2793">
        <v>46</v>
      </c>
      <c r="F2793">
        <v>106</v>
      </c>
      <c r="G2793">
        <v>3.37</v>
      </c>
      <c r="H2793">
        <v>0</v>
      </c>
      <c r="I2793">
        <v>89</v>
      </c>
      <c r="J2793">
        <v>5131</v>
      </c>
      <c r="K2793">
        <v>16.8</v>
      </c>
      <c r="L2793">
        <v>166</v>
      </c>
      <c r="M2793">
        <v>91</v>
      </c>
      <c r="N2793">
        <v>3.59</v>
      </c>
      <c r="O2793">
        <v>89</v>
      </c>
      <c r="P2793">
        <v>12.1</v>
      </c>
      <c r="S2793">
        <v>8</v>
      </c>
      <c r="T2793">
        <v>8</v>
      </c>
      <c r="W2793" t="b">
        <f>COUNT(LifeExpectancyData[[#This Row],[Life expectancy]:[Schooling]])=19</f>
        <v>0</v>
      </c>
    </row>
    <row r="2794" spans="1:23" x14ac:dyDescent="0.25">
      <c r="A2794" t="s">
        <v>457</v>
      </c>
      <c r="B2794">
        <v>2001</v>
      </c>
      <c r="C2794" t="s">
        <v>273</v>
      </c>
      <c r="D2794">
        <v>49.6</v>
      </c>
      <c r="E2794">
        <v>46</v>
      </c>
      <c r="F2794">
        <v>110</v>
      </c>
      <c r="G2794">
        <v>4.09</v>
      </c>
      <c r="H2794">
        <v>0</v>
      </c>
      <c r="J2794">
        <v>11847</v>
      </c>
      <c r="K2794">
        <v>16.399999999999999</v>
      </c>
      <c r="L2794">
        <v>173</v>
      </c>
      <c r="M2794">
        <v>65</v>
      </c>
      <c r="N2794">
        <v>3.28</v>
      </c>
      <c r="O2794">
        <v>87</v>
      </c>
      <c r="P2794">
        <v>12.5</v>
      </c>
      <c r="S2794">
        <v>8.1999999999999993</v>
      </c>
      <c r="T2794">
        <v>8.1</v>
      </c>
      <c r="W2794" t="b">
        <f>COUNT(LifeExpectancyData[[#This Row],[Life expectancy]:[Schooling]])=19</f>
        <v>0</v>
      </c>
    </row>
    <row r="2795" spans="1:23" x14ac:dyDescent="0.25">
      <c r="A2795" t="s">
        <v>457</v>
      </c>
      <c r="B2795">
        <v>2000</v>
      </c>
      <c r="C2795" t="s">
        <v>273</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COUNT(LifeExpectancyData[[#This Row],[Life expectancy]:[Schooling]])=19</f>
        <v>0</v>
      </c>
    </row>
    <row r="2796" spans="1:23" x14ac:dyDescent="0.25">
      <c r="A2796" t="s">
        <v>458</v>
      </c>
      <c r="B2796">
        <v>2015</v>
      </c>
      <c r="C2796" t="s">
        <v>281</v>
      </c>
      <c r="D2796">
        <v>79.3</v>
      </c>
      <c r="E2796">
        <v>13</v>
      </c>
      <c r="F2796">
        <v>23</v>
      </c>
      <c r="H2796">
        <v>0</v>
      </c>
      <c r="I2796">
        <v>92</v>
      </c>
      <c r="J2796">
        <v>188</v>
      </c>
      <c r="K2796">
        <v>69.599999999999994</v>
      </c>
      <c r="L2796">
        <v>26</v>
      </c>
      <c r="M2796">
        <v>93</v>
      </c>
      <c r="O2796">
        <v>95</v>
      </c>
      <c r="P2796">
        <v>0.1</v>
      </c>
      <c r="S2796">
        <v>0.8</v>
      </c>
      <c r="T2796">
        <v>0.6</v>
      </c>
      <c r="W2796" t="b">
        <f>COUNT(LifeExpectancyData[[#This Row],[Life expectancy]:[Schooling]])=19</f>
        <v>0</v>
      </c>
    </row>
    <row r="2797" spans="1:23" x14ac:dyDescent="0.25">
      <c r="A2797" t="s">
        <v>458</v>
      </c>
      <c r="B2797">
        <v>2014</v>
      </c>
      <c r="C2797" t="s">
        <v>281</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COUNT(LifeExpectancyData[[#This Row],[Life expectancy]:[Schooling]])=19</f>
        <v>0</v>
      </c>
    </row>
    <row r="2798" spans="1:23" x14ac:dyDescent="0.25">
      <c r="A2798" t="s">
        <v>458</v>
      </c>
      <c r="B2798">
        <v>2013</v>
      </c>
      <c r="C2798" t="s">
        <v>281</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COUNT(LifeExpectancyData[[#This Row],[Life expectancy]:[Schooling]])=19</f>
        <v>0</v>
      </c>
    </row>
    <row r="2799" spans="1:23" x14ac:dyDescent="0.25">
      <c r="A2799" t="s">
        <v>458</v>
      </c>
      <c r="B2799">
        <v>2012</v>
      </c>
      <c r="C2799" t="s">
        <v>281</v>
      </c>
      <c r="D2799">
        <v>78.8</v>
      </c>
      <c r="E2799">
        <v>16</v>
      </c>
      <c r="F2799">
        <v>24</v>
      </c>
      <c r="G2799">
        <v>8.82</v>
      </c>
      <c r="H2799">
        <v>0</v>
      </c>
      <c r="I2799">
        <v>9</v>
      </c>
      <c r="J2799">
        <v>55</v>
      </c>
      <c r="K2799">
        <v>68</v>
      </c>
      <c r="L2799">
        <v>28</v>
      </c>
      <c r="M2799">
        <v>93</v>
      </c>
      <c r="N2799">
        <v>17.2</v>
      </c>
      <c r="O2799">
        <v>94</v>
      </c>
      <c r="P2799">
        <v>0.1</v>
      </c>
      <c r="S2799">
        <v>0.7</v>
      </c>
      <c r="T2799">
        <v>0.6</v>
      </c>
      <c r="W2799" t="b">
        <f>COUNT(LifeExpectancyData[[#This Row],[Life expectancy]:[Schooling]])=19</f>
        <v>0</v>
      </c>
    </row>
    <row r="2800" spans="1:23" x14ac:dyDescent="0.25">
      <c r="A2800" t="s">
        <v>458</v>
      </c>
      <c r="B2800">
        <v>2011</v>
      </c>
      <c r="C2800" t="s">
        <v>281</v>
      </c>
      <c r="D2800">
        <v>78.7</v>
      </c>
      <c r="E2800">
        <v>16</v>
      </c>
      <c r="F2800">
        <v>25</v>
      </c>
      <c r="G2800">
        <v>8.67</v>
      </c>
      <c r="H2800">
        <v>0</v>
      </c>
      <c r="I2800">
        <v>91</v>
      </c>
      <c r="J2800">
        <v>220</v>
      </c>
      <c r="K2800">
        <v>67.5</v>
      </c>
      <c r="L2800">
        <v>29</v>
      </c>
      <c r="M2800">
        <v>94</v>
      </c>
      <c r="N2800">
        <v>17.600000000000001</v>
      </c>
      <c r="O2800">
        <v>96</v>
      </c>
      <c r="P2800">
        <v>0.1</v>
      </c>
      <c r="S2800">
        <v>0.7</v>
      </c>
      <c r="T2800">
        <v>0.6</v>
      </c>
      <c r="W2800" t="b">
        <f>COUNT(LifeExpectancyData[[#This Row],[Life expectancy]:[Schooling]])=19</f>
        <v>0</v>
      </c>
    </row>
    <row r="2801" spans="1:23" x14ac:dyDescent="0.25">
      <c r="A2801" t="s">
        <v>458</v>
      </c>
      <c r="B2801">
        <v>2010</v>
      </c>
      <c r="C2801" t="s">
        <v>281</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COUNT(LifeExpectancyData[[#This Row],[Life expectancy]:[Schooling]])=19</f>
        <v>0</v>
      </c>
    </row>
    <row r="2802" spans="1:23" x14ac:dyDescent="0.25">
      <c r="A2802" t="s">
        <v>458</v>
      </c>
      <c r="B2802">
        <v>2009</v>
      </c>
      <c r="C2802" t="s">
        <v>281</v>
      </c>
      <c r="D2802">
        <v>78.5</v>
      </c>
      <c r="E2802">
        <v>18</v>
      </c>
      <c r="F2802">
        <v>26</v>
      </c>
      <c r="G2802">
        <v>8.7100000000000009</v>
      </c>
      <c r="H2802">
        <v>0</v>
      </c>
      <c r="I2802">
        <v>92</v>
      </c>
      <c r="J2802">
        <v>71</v>
      </c>
      <c r="K2802">
        <v>66.3</v>
      </c>
      <c r="L2802">
        <v>31</v>
      </c>
      <c r="M2802">
        <v>93</v>
      </c>
      <c r="N2802">
        <v>17</v>
      </c>
      <c r="O2802">
        <v>95</v>
      </c>
      <c r="P2802">
        <v>0.1</v>
      </c>
      <c r="S2802">
        <v>0.7</v>
      </c>
      <c r="T2802">
        <v>0.6</v>
      </c>
      <c r="W2802" t="b">
        <f>COUNT(LifeExpectancyData[[#This Row],[Life expectancy]:[Schooling]])=19</f>
        <v>0</v>
      </c>
    </row>
    <row r="2803" spans="1:23" x14ac:dyDescent="0.25">
      <c r="A2803" t="s">
        <v>458</v>
      </c>
      <c r="B2803">
        <v>2008</v>
      </c>
      <c r="C2803" t="s">
        <v>281</v>
      </c>
      <c r="D2803">
        <v>78.2</v>
      </c>
      <c r="E2803">
        <v>18</v>
      </c>
      <c r="F2803">
        <v>27</v>
      </c>
      <c r="G2803">
        <v>8.74</v>
      </c>
      <c r="H2803">
        <v>0</v>
      </c>
      <c r="I2803">
        <v>94</v>
      </c>
      <c r="J2803">
        <v>140</v>
      </c>
      <c r="K2803">
        <v>65.7</v>
      </c>
      <c r="L2803">
        <v>31</v>
      </c>
      <c r="M2803">
        <v>94</v>
      </c>
      <c r="N2803">
        <v>16.2</v>
      </c>
      <c r="O2803">
        <v>96</v>
      </c>
      <c r="P2803">
        <v>0.1</v>
      </c>
      <c r="S2803">
        <v>0.7</v>
      </c>
      <c r="T2803">
        <v>0.6</v>
      </c>
      <c r="W2803" t="b">
        <f>COUNT(LifeExpectancyData[[#This Row],[Life expectancy]:[Schooling]])=19</f>
        <v>0</v>
      </c>
    </row>
    <row r="2804" spans="1:23" x14ac:dyDescent="0.25">
      <c r="A2804" t="s">
        <v>458</v>
      </c>
      <c r="B2804">
        <v>2007</v>
      </c>
      <c r="C2804" t="s">
        <v>281</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COUNT(LifeExpectancyData[[#This Row],[Life expectancy]:[Schooling]])=19</f>
        <v>0</v>
      </c>
    </row>
    <row r="2805" spans="1:23" x14ac:dyDescent="0.25">
      <c r="A2805" t="s">
        <v>458</v>
      </c>
      <c r="B2805">
        <v>2006</v>
      </c>
      <c r="C2805" t="s">
        <v>281</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COUNT(LifeExpectancyData[[#This Row],[Life expectancy]:[Schooling]])=19</f>
        <v>0</v>
      </c>
    </row>
    <row r="2806" spans="1:23" x14ac:dyDescent="0.25">
      <c r="A2806" t="s">
        <v>458</v>
      </c>
      <c r="B2806">
        <v>2005</v>
      </c>
      <c r="C2806" t="s">
        <v>281</v>
      </c>
      <c r="D2806">
        <v>77.5</v>
      </c>
      <c r="E2806">
        <v>112</v>
      </c>
      <c r="F2806">
        <v>28</v>
      </c>
      <c r="G2806">
        <v>8.52</v>
      </c>
      <c r="H2806">
        <v>0</v>
      </c>
      <c r="I2806">
        <v>93</v>
      </c>
      <c r="J2806">
        <v>66</v>
      </c>
      <c r="K2806">
        <v>63.8</v>
      </c>
      <c r="L2806">
        <v>33</v>
      </c>
      <c r="M2806">
        <v>92</v>
      </c>
      <c r="N2806">
        <v>15.15</v>
      </c>
      <c r="O2806">
        <v>96</v>
      </c>
      <c r="P2806">
        <v>0.1</v>
      </c>
      <c r="S2806">
        <v>0.7</v>
      </c>
      <c r="T2806">
        <v>0.6</v>
      </c>
      <c r="W2806" t="b">
        <f>COUNT(LifeExpectancyData[[#This Row],[Life expectancy]:[Schooling]])=19</f>
        <v>0</v>
      </c>
    </row>
    <row r="2807" spans="1:23" x14ac:dyDescent="0.25">
      <c r="A2807" t="s">
        <v>458</v>
      </c>
      <c r="B2807">
        <v>2004</v>
      </c>
      <c r="C2807" t="s">
        <v>281</v>
      </c>
      <c r="D2807">
        <v>77.5</v>
      </c>
      <c r="E2807">
        <v>111</v>
      </c>
      <c r="F2807">
        <v>28</v>
      </c>
      <c r="G2807">
        <v>8.48</v>
      </c>
      <c r="H2807">
        <v>0</v>
      </c>
      <c r="I2807">
        <v>92</v>
      </c>
      <c r="J2807">
        <v>37</v>
      </c>
      <c r="K2807">
        <v>63.1</v>
      </c>
      <c r="L2807">
        <v>33</v>
      </c>
      <c r="M2807">
        <v>92</v>
      </c>
      <c r="N2807">
        <v>15.14</v>
      </c>
      <c r="O2807">
        <v>96</v>
      </c>
      <c r="P2807">
        <v>0.1</v>
      </c>
      <c r="S2807">
        <v>0.7</v>
      </c>
      <c r="T2807">
        <v>0.6</v>
      </c>
      <c r="W2807" t="b">
        <f>COUNT(LifeExpectancyData[[#This Row],[Life expectancy]:[Schooling]])=19</f>
        <v>0</v>
      </c>
    </row>
    <row r="2808" spans="1:23" x14ac:dyDescent="0.25">
      <c r="A2808" t="s">
        <v>458</v>
      </c>
      <c r="B2808">
        <v>2003</v>
      </c>
      <c r="C2808" t="s">
        <v>281</v>
      </c>
      <c r="D2808">
        <v>77.2</v>
      </c>
      <c r="E2808">
        <v>114</v>
      </c>
      <c r="F2808">
        <v>28</v>
      </c>
      <c r="G2808">
        <v>8.4</v>
      </c>
      <c r="H2808">
        <v>0</v>
      </c>
      <c r="I2808">
        <v>92</v>
      </c>
      <c r="J2808">
        <v>56</v>
      </c>
      <c r="K2808">
        <v>62.4</v>
      </c>
      <c r="L2808">
        <v>33</v>
      </c>
      <c r="M2808">
        <v>91</v>
      </c>
      <c r="N2808">
        <v>15.6</v>
      </c>
      <c r="O2808">
        <v>96</v>
      </c>
      <c r="P2808">
        <v>0.1</v>
      </c>
      <c r="S2808">
        <v>0.7</v>
      </c>
      <c r="T2808">
        <v>0.6</v>
      </c>
      <c r="W2808" t="b">
        <f>COUNT(LifeExpectancyData[[#This Row],[Life expectancy]:[Schooling]])=19</f>
        <v>0</v>
      </c>
    </row>
    <row r="2809" spans="1:23" x14ac:dyDescent="0.25">
      <c r="A2809" t="s">
        <v>458</v>
      </c>
      <c r="B2809">
        <v>2002</v>
      </c>
      <c r="C2809" t="s">
        <v>281</v>
      </c>
      <c r="D2809">
        <v>77</v>
      </c>
      <c r="E2809">
        <v>115</v>
      </c>
      <c r="F2809">
        <v>28</v>
      </c>
      <c r="G2809">
        <v>8.33</v>
      </c>
      <c r="H2809">
        <v>0</v>
      </c>
      <c r="I2809">
        <v>88</v>
      </c>
      <c r="J2809">
        <v>41</v>
      </c>
      <c r="K2809">
        <v>61.7</v>
      </c>
      <c r="L2809">
        <v>33</v>
      </c>
      <c r="M2809">
        <v>9</v>
      </c>
      <c r="N2809">
        <v>14.55</v>
      </c>
      <c r="O2809">
        <v>94</v>
      </c>
      <c r="P2809">
        <v>0.1</v>
      </c>
      <c r="S2809">
        <v>0.8</v>
      </c>
      <c r="T2809">
        <v>0.6</v>
      </c>
      <c r="W2809" t="b">
        <f>COUNT(LifeExpectancyData[[#This Row],[Life expectancy]:[Schooling]])=19</f>
        <v>0</v>
      </c>
    </row>
    <row r="2810" spans="1:23" x14ac:dyDescent="0.25">
      <c r="A2810" t="s">
        <v>458</v>
      </c>
      <c r="B2810">
        <v>2001</v>
      </c>
      <c r="C2810" t="s">
        <v>281</v>
      </c>
      <c r="D2810">
        <v>76.900000000000006</v>
      </c>
      <c r="E2810">
        <v>115</v>
      </c>
      <c r="F2810">
        <v>28</v>
      </c>
      <c r="G2810">
        <v>8.25</v>
      </c>
      <c r="H2810">
        <v>0</v>
      </c>
      <c r="I2810">
        <v>89</v>
      </c>
      <c r="J2810">
        <v>116</v>
      </c>
      <c r="K2810">
        <v>6.9</v>
      </c>
      <c r="L2810">
        <v>33</v>
      </c>
      <c r="M2810">
        <v>89</v>
      </c>
      <c r="N2810">
        <v>13.73</v>
      </c>
      <c r="O2810">
        <v>94</v>
      </c>
      <c r="P2810">
        <v>0.1</v>
      </c>
      <c r="S2810">
        <v>0.8</v>
      </c>
      <c r="T2810">
        <v>0.6</v>
      </c>
      <c r="W2810" t="b">
        <f>COUNT(LifeExpectancyData[[#This Row],[Life expectancy]:[Schooling]])=19</f>
        <v>0</v>
      </c>
    </row>
    <row r="2811" spans="1:23" x14ac:dyDescent="0.25">
      <c r="A2811" t="s">
        <v>458</v>
      </c>
      <c r="B2811">
        <v>2000</v>
      </c>
      <c r="C2811" t="s">
        <v>281</v>
      </c>
      <c r="D2811">
        <v>76.8</v>
      </c>
      <c r="E2811">
        <v>114</v>
      </c>
      <c r="F2811">
        <v>28</v>
      </c>
      <c r="G2811">
        <v>8.2100000000000009</v>
      </c>
      <c r="H2811">
        <v>0</v>
      </c>
      <c r="I2811">
        <v>9</v>
      </c>
      <c r="J2811">
        <v>85</v>
      </c>
      <c r="K2811">
        <v>6.1</v>
      </c>
      <c r="L2811">
        <v>33</v>
      </c>
      <c r="M2811">
        <v>9</v>
      </c>
      <c r="N2811">
        <v>13.7</v>
      </c>
      <c r="O2811">
        <v>94</v>
      </c>
      <c r="P2811">
        <v>0.1</v>
      </c>
      <c r="S2811">
        <v>0.8</v>
      </c>
      <c r="T2811">
        <v>0.7</v>
      </c>
      <c r="W2811" t="b">
        <f>COUNT(LifeExpectancyData[[#This Row],[Life expectancy]:[Schooling]])=19</f>
        <v>0</v>
      </c>
    </row>
    <row r="2812" spans="1:23" x14ac:dyDescent="0.25">
      <c r="A2812" t="s">
        <v>459</v>
      </c>
      <c r="B2812">
        <v>2015</v>
      </c>
      <c r="C2812" t="s">
        <v>273</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COUNT(LifeExpectancyData[[#This Row],[Life expectancy]:[Schooling]])=19</f>
        <v>0</v>
      </c>
    </row>
    <row r="2813" spans="1:23" x14ac:dyDescent="0.25">
      <c r="A2813" t="s">
        <v>459</v>
      </c>
      <c r="B2813">
        <v>2014</v>
      </c>
      <c r="C2813" t="s">
        <v>273</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COUNT(LifeExpectancyData[[#This Row],[Life expectancy]:[Schooling]])=19</f>
        <v>1</v>
      </c>
    </row>
    <row r="2814" spans="1:23" x14ac:dyDescent="0.25">
      <c r="A2814" t="s">
        <v>459</v>
      </c>
      <c r="B2814">
        <v>2013</v>
      </c>
      <c r="C2814" t="s">
        <v>273</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COUNT(LifeExpectancyData[[#This Row],[Life expectancy]:[Schooling]])=19</f>
        <v>1</v>
      </c>
    </row>
    <row r="2815" spans="1:23" x14ac:dyDescent="0.25">
      <c r="A2815" t="s">
        <v>459</v>
      </c>
      <c r="B2815">
        <v>2012</v>
      </c>
      <c r="C2815" t="s">
        <v>273</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COUNT(LifeExpectancyData[[#This Row],[Life expectancy]:[Schooling]])=19</f>
        <v>1</v>
      </c>
    </row>
    <row r="2816" spans="1:23" x14ac:dyDescent="0.25">
      <c r="A2816" t="s">
        <v>459</v>
      </c>
      <c r="B2816">
        <v>2011</v>
      </c>
      <c r="C2816" t="s">
        <v>273</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COUNT(LifeExpectancyData[[#This Row],[Life expectancy]:[Schooling]])=19</f>
        <v>1</v>
      </c>
    </row>
    <row r="2817" spans="1:23" x14ac:dyDescent="0.25">
      <c r="A2817" t="s">
        <v>459</v>
      </c>
      <c r="B2817">
        <v>2010</v>
      </c>
      <c r="C2817" t="s">
        <v>273</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COUNT(LifeExpectancyData[[#This Row],[Life expectancy]:[Schooling]])=19</f>
        <v>1</v>
      </c>
    </row>
    <row r="2818" spans="1:23" x14ac:dyDescent="0.25">
      <c r="A2818" t="s">
        <v>459</v>
      </c>
      <c r="B2818">
        <v>2009</v>
      </c>
      <c r="C2818" t="s">
        <v>273</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COUNT(LifeExpectancyData[[#This Row],[Life expectancy]:[Schooling]])=19</f>
        <v>1</v>
      </c>
    </row>
    <row r="2819" spans="1:23" x14ac:dyDescent="0.25">
      <c r="A2819" t="s">
        <v>459</v>
      </c>
      <c r="B2819">
        <v>2008</v>
      </c>
      <c r="C2819" t="s">
        <v>273</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COUNT(LifeExpectancyData[[#This Row],[Life expectancy]:[Schooling]])=19</f>
        <v>1</v>
      </c>
    </row>
    <row r="2820" spans="1:23" x14ac:dyDescent="0.25">
      <c r="A2820" t="s">
        <v>459</v>
      </c>
      <c r="B2820">
        <v>2007</v>
      </c>
      <c r="C2820" t="s">
        <v>273</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COUNT(LifeExpectancyData[[#This Row],[Life expectancy]:[Schooling]])=19</f>
        <v>1</v>
      </c>
    </row>
    <row r="2821" spans="1:23" x14ac:dyDescent="0.25">
      <c r="A2821" t="s">
        <v>459</v>
      </c>
      <c r="B2821">
        <v>2006</v>
      </c>
      <c r="C2821" t="s">
        <v>273</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COUNT(LifeExpectancyData[[#This Row],[Life expectancy]:[Schooling]])=19</f>
        <v>1</v>
      </c>
    </row>
    <row r="2822" spans="1:23" x14ac:dyDescent="0.25">
      <c r="A2822" t="s">
        <v>459</v>
      </c>
      <c r="B2822">
        <v>2005</v>
      </c>
      <c r="C2822" t="s">
        <v>273</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COUNT(LifeExpectancyData[[#This Row],[Life expectancy]:[Schooling]])=19</f>
        <v>1</v>
      </c>
    </row>
    <row r="2823" spans="1:23" x14ac:dyDescent="0.25">
      <c r="A2823" t="s">
        <v>459</v>
      </c>
      <c r="B2823">
        <v>2004</v>
      </c>
      <c r="C2823" t="s">
        <v>273</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COUNT(LifeExpectancyData[[#This Row],[Life expectancy]:[Schooling]])=19</f>
        <v>1</v>
      </c>
    </row>
    <row r="2824" spans="1:23" x14ac:dyDescent="0.25">
      <c r="A2824" t="s">
        <v>459</v>
      </c>
      <c r="B2824">
        <v>2003</v>
      </c>
      <c r="C2824" t="s">
        <v>273</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COUNT(LifeExpectancyData[[#This Row],[Life expectancy]:[Schooling]])=19</f>
        <v>1</v>
      </c>
    </row>
    <row r="2825" spans="1:23" x14ac:dyDescent="0.25">
      <c r="A2825" t="s">
        <v>459</v>
      </c>
      <c r="B2825">
        <v>2002</v>
      </c>
      <c r="C2825" t="s">
        <v>273</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COUNT(LifeExpectancyData[[#This Row],[Life expectancy]:[Schooling]])=19</f>
        <v>1</v>
      </c>
    </row>
    <row r="2826" spans="1:23" x14ac:dyDescent="0.25">
      <c r="A2826" t="s">
        <v>459</v>
      </c>
      <c r="B2826">
        <v>2001</v>
      </c>
      <c r="C2826" t="s">
        <v>273</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COUNT(LifeExpectancyData[[#This Row],[Life expectancy]:[Schooling]])=19</f>
        <v>1</v>
      </c>
    </row>
    <row r="2827" spans="1:23" x14ac:dyDescent="0.25">
      <c r="A2827" t="s">
        <v>459</v>
      </c>
      <c r="B2827">
        <v>2000</v>
      </c>
      <c r="C2827" t="s">
        <v>273</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COUNT(LifeExpectancyData[[#This Row],[Life expectancy]:[Schooling]])=19</f>
        <v>1</v>
      </c>
    </row>
    <row r="2828" spans="1:23" x14ac:dyDescent="0.25">
      <c r="A2828" t="s">
        <v>460</v>
      </c>
      <c r="B2828">
        <v>2015</v>
      </c>
      <c r="C2828" t="s">
        <v>273</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COUNT(LifeExpectancyData[[#This Row],[Life expectancy]:[Schooling]])=19</f>
        <v>0</v>
      </c>
    </row>
    <row r="2829" spans="1:23" x14ac:dyDescent="0.25">
      <c r="A2829" t="s">
        <v>460</v>
      </c>
      <c r="B2829">
        <v>2014</v>
      </c>
      <c r="C2829" t="s">
        <v>273</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COUNT(LifeExpectancyData[[#This Row],[Life expectancy]:[Schooling]])=19</f>
        <v>1</v>
      </c>
    </row>
    <row r="2830" spans="1:23" x14ac:dyDescent="0.25">
      <c r="A2830" t="s">
        <v>460</v>
      </c>
      <c r="B2830">
        <v>2013</v>
      </c>
      <c r="C2830" t="s">
        <v>273</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COUNT(LifeExpectancyData[[#This Row],[Life expectancy]:[Schooling]])=19</f>
        <v>1</v>
      </c>
    </row>
    <row r="2831" spans="1:23" x14ac:dyDescent="0.25">
      <c r="A2831" t="s">
        <v>460</v>
      </c>
      <c r="B2831">
        <v>2012</v>
      </c>
      <c r="C2831" t="s">
        <v>273</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COUNT(LifeExpectancyData[[#This Row],[Life expectancy]:[Schooling]])=19</f>
        <v>1</v>
      </c>
    </row>
    <row r="2832" spans="1:23" x14ac:dyDescent="0.25">
      <c r="A2832" t="s">
        <v>460</v>
      </c>
      <c r="B2832">
        <v>2011</v>
      </c>
      <c r="C2832" t="s">
        <v>273</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COUNT(LifeExpectancyData[[#This Row],[Life expectancy]:[Schooling]])=19</f>
        <v>1</v>
      </c>
    </row>
    <row r="2833" spans="1:23" x14ac:dyDescent="0.25">
      <c r="A2833" t="s">
        <v>460</v>
      </c>
      <c r="B2833">
        <v>2010</v>
      </c>
      <c r="C2833" t="s">
        <v>273</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COUNT(LifeExpectancyData[[#This Row],[Life expectancy]:[Schooling]])=19</f>
        <v>1</v>
      </c>
    </row>
    <row r="2834" spans="1:23" x14ac:dyDescent="0.25">
      <c r="A2834" t="s">
        <v>460</v>
      </c>
      <c r="B2834">
        <v>2009</v>
      </c>
      <c r="C2834" t="s">
        <v>273</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COUNT(LifeExpectancyData[[#This Row],[Life expectancy]:[Schooling]])=19</f>
        <v>1</v>
      </c>
    </row>
    <row r="2835" spans="1:23" x14ac:dyDescent="0.25">
      <c r="A2835" t="s">
        <v>460</v>
      </c>
      <c r="B2835">
        <v>2008</v>
      </c>
      <c r="C2835" t="s">
        <v>273</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COUNT(LifeExpectancyData[[#This Row],[Life expectancy]:[Schooling]])=19</f>
        <v>1</v>
      </c>
    </row>
    <row r="2836" spans="1:23" x14ac:dyDescent="0.25">
      <c r="A2836" t="s">
        <v>460</v>
      </c>
      <c r="B2836">
        <v>2007</v>
      </c>
      <c r="C2836" t="s">
        <v>273</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COUNT(LifeExpectancyData[[#This Row],[Life expectancy]:[Schooling]])=19</f>
        <v>1</v>
      </c>
    </row>
    <row r="2837" spans="1:23" x14ac:dyDescent="0.25">
      <c r="A2837" t="s">
        <v>460</v>
      </c>
      <c r="B2837">
        <v>2006</v>
      </c>
      <c r="C2837" t="s">
        <v>273</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COUNT(LifeExpectancyData[[#This Row],[Life expectancy]:[Schooling]])=19</f>
        <v>1</v>
      </c>
    </row>
    <row r="2838" spans="1:23" x14ac:dyDescent="0.25">
      <c r="A2838" t="s">
        <v>460</v>
      </c>
      <c r="B2838">
        <v>2005</v>
      </c>
      <c r="C2838" t="s">
        <v>273</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COUNT(LifeExpectancyData[[#This Row],[Life expectancy]:[Schooling]])=19</f>
        <v>1</v>
      </c>
    </row>
    <row r="2839" spans="1:23" x14ac:dyDescent="0.25">
      <c r="A2839" t="s">
        <v>460</v>
      </c>
      <c r="B2839">
        <v>2004</v>
      </c>
      <c r="C2839" t="s">
        <v>273</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COUNT(LifeExpectancyData[[#This Row],[Life expectancy]:[Schooling]])=19</f>
        <v>1</v>
      </c>
    </row>
    <row r="2840" spans="1:23" x14ac:dyDescent="0.25">
      <c r="A2840" t="s">
        <v>460</v>
      </c>
      <c r="B2840">
        <v>2003</v>
      </c>
      <c r="C2840" t="s">
        <v>273</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COUNT(LifeExpectancyData[[#This Row],[Life expectancy]:[Schooling]])=19</f>
        <v>1</v>
      </c>
    </row>
    <row r="2841" spans="1:23" x14ac:dyDescent="0.25">
      <c r="A2841" t="s">
        <v>460</v>
      </c>
      <c r="B2841">
        <v>2002</v>
      </c>
      <c r="C2841" t="s">
        <v>273</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COUNT(LifeExpectancyData[[#This Row],[Life expectancy]:[Schooling]])=19</f>
        <v>1</v>
      </c>
    </row>
    <row r="2842" spans="1:23" x14ac:dyDescent="0.25">
      <c r="A2842" t="s">
        <v>460</v>
      </c>
      <c r="B2842">
        <v>2001</v>
      </c>
      <c r="C2842" t="s">
        <v>273</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COUNT(LifeExpectancyData[[#This Row],[Life expectancy]:[Schooling]])=19</f>
        <v>0</v>
      </c>
    </row>
    <row r="2843" spans="1:23" x14ac:dyDescent="0.25">
      <c r="A2843" t="s">
        <v>460</v>
      </c>
      <c r="B2843">
        <v>2000</v>
      </c>
      <c r="C2843" t="s">
        <v>273</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COUNT(LifeExpectancyData[[#This Row],[Life expectancy]:[Schooling]])=19</f>
        <v>0</v>
      </c>
    </row>
    <row r="2844" spans="1:23" x14ac:dyDescent="0.25">
      <c r="A2844" t="s">
        <v>461</v>
      </c>
      <c r="B2844">
        <v>2015</v>
      </c>
      <c r="C2844" t="s">
        <v>273</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COUNT(LifeExpectancyData[[#This Row],[Life expectancy]:[Schooling]])=19</f>
        <v>0</v>
      </c>
    </row>
    <row r="2845" spans="1:23" x14ac:dyDescent="0.25">
      <c r="A2845" t="s">
        <v>461</v>
      </c>
      <c r="B2845">
        <v>2014</v>
      </c>
      <c r="C2845" t="s">
        <v>273</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COUNT(LifeExpectancyData[[#This Row],[Life expectancy]:[Schooling]])=19</f>
        <v>1</v>
      </c>
    </row>
    <row r="2846" spans="1:23" x14ac:dyDescent="0.25">
      <c r="A2846" t="s">
        <v>461</v>
      </c>
      <c r="B2846">
        <v>2013</v>
      </c>
      <c r="C2846" t="s">
        <v>273</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COUNT(LifeExpectancyData[[#This Row],[Life expectancy]:[Schooling]])=19</f>
        <v>1</v>
      </c>
    </row>
    <row r="2847" spans="1:23" x14ac:dyDescent="0.25">
      <c r="A2847" t="s">
        <v>461</v>
      </c>
      <c r="B2847">
        <v>2012</v>
      </c>
      <c r="C2847" t="s">
        <v>273</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COUNT(LifeExpectancyData[[#This Row],[Life expectancy]:[Schooling]])=19</f>
        <v>1</v>
      </c>
    </row>
    <row r="2848" spans="1:23" x14ac:dyDescent="0.25">
      <c r="A2848" t="s">
        <v>461</v>
      </c>
      <c r="B2848">
        <v>2011</v>
      </c>
      <c r="C2848" t="s">
        <v>273</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COUNT(LifeExpectancyData[[#This Row],[Life expectancy]:[Schooling]])=19</f>
        <v>1</v>
      </c>
    </row>
    <row r="2849" spans="1:23" x14ac:dyDescent="0.25">
      <c r="A2849" t="s">
        <v>461</v>
      </c>
      <c r="B2849">
        <v>2010</v>
      </c>
      <c r="C2849" t="s">
        <v>273</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COUNT(LifeExpectancyData[[#This Row],[Life expectancy]:[Schooling]])=19</f>
        <v>1</v>
      </c>
    </row>
    <row r="2850" spans="1:23" x14ac:dyDescent="0.25">
      <c r="A2850" t="s">
        <v>461</v>
      </c>
      <c r="B2850">
        <v>2009</v>
      </c>
      <c r="C2850" t="s">
        <v>273</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COUNT(LifeExpectancyData[[#This Row],[Life expectancy]:[Schooling]])=19</f>
        <v>1</v>
      </c>
    </row>
    <row r="2851" spans="1:23" x14ac:dyDescent="0.25">
      <c r="A2851" t="s">
        <v>461</v>
      </c>
      <c r="B2851">
        <v>2008</v>
      </c>
      <c r="C2851" t="s">
        <v>273</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COUNT(LifeExpectancyData[[#This Row],[Life expectancy]:[Schooling]])=19</f>
        <v>1</v>
      </c>
    </row>
    <row r="2852" spans="1:23" x14ac:dyDescent="0.25">
      <c r="A2852" t="s">
        <v>461</v>
      </c>
      <c r="B2852">
        <v>2007</v>
      </c>
      <c r="C2852" t="s">
        <v>273</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COUNT(LifeExpectancyData[[#This Row],[Life expectancy]:[Schooling]])=19</f>
        <v>1</v>
      </c>
    </row>
    <row r="2853" spans="1:23" x14ac:dyDescent="0.25">
      <c r="A2853" t="s">
        <v>461</v>
      </c>
      <c r="B2853">
        <v>2006</v>
      </c>
      <c r="C2853" t="s">
        <v>273</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COUNT(LifeExpectancyData[[#This Row],[Life expectancy]:[Schooling]])=19</f>
        <v>1</v>
      </c>
    </row>
    <row r="2854" spans="1:23" x14ac:dyDescent="0.25">
      <c r="A2854" t="s">
        <v>461</v>
      </c>
      <c r="B2854">
        <v>2005</v>
      </c>
      <c r="C2854" t="s">
        <v>273</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COUNT(LifeExpectancyData[[#This Row],[Life expectancy]:[Schooling]])=19</f>
        <v>1</v>
      </c>
    </row>
    <row r="2855" spans="1:23" x14ac:dyDescent="0.25">
      <c r="A2855" t="s">
        <v>461</v>
      </c>
      <c r="B2855">
        <v>2004</v>
      </c>
      <c r="C2855" t="s">
        <v>273</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COUNT(LifeExpectancyData[[#This Row],[Life expectancy]:[Schooling]])=19</f>
        <v>1</v>
      </c>
    </row>
    <row r="2856" spans="1:23" x14ac:dyDescent="0.25">
      <c r="A2856" t="s">
        <v>461</v>
      </c>
      <c r="B2856">
        <v>2003</v>
      </c>
      <c r="C2856" t="s">
        <v>273</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COUNT(LifeExpectancyData[[#This Row],[Life expectancy]:[Schooling]])=19</f>
        <v>1</v>
      </c>
    </row>
    <row r="2857" spans="1:23" x14ac:dyDescent="0.25">
      <c r="A2857" t="s">
        <v>461</v>
      </c>
      <c r="B2857">
        <v>2002</v>
      </c>
      <c r="C2857" t="s">
        <v>273</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COUNT(LifeExpectancyData[[#This Row],[Life expectancy]:[Schooling]])=19</f>
        <v>1</v>
      </c>
    </row>
    <row r="2858" spans="1:23" x14ac:dyDescent="0.25">
      <c r="A2858" t="s">
        <v>461</v>
      </c>
      <c r="B2858">
        <v>2001</v>
      </c>
      <c r="C2858" t="s">
        <v>273</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COUNT(LifeExpectancyData[[#This Row],[Life expectancy]:[Schooling]])=19</f>
        <v>1</v>
      </c>
    </row>
    <row r="2859" spans="1:23" x14ac:dyDescent="0.25">
      <c r="A2859" t="s">
        <v>461</v>
      </c>
      <c r="B2859">
        <v>2000</v>
      </c>
      <c r="C2859" t="s">
        <v>273</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COUNT(LifeExpectancyData[[#This Row],[Life expectancy]:[Schooling]])=19</f>
        <v>1</v>
      </c>
    </row>
    <row r="2860" spans="1:23" x14ac:dyDescent="0.25">
      <c r="A2860" t="s">
        <v>462</v>
      </c>
      <c r="B2860">
        <v>2015</v>
      </c>
      <c r="C2860" t="s">
        <v>273</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COUNT(LifeExpectancyData[[#This Row],[Life expectancy]:[Schooling]])=19</f>
        <v>0</v>
      </c>
    </row>
    <row r="2861" spans="1:23" x14ac:dyDescent="0.25">
      <c r="A2861" t="s">
        <v>462</v>
      </c>
      <c r="B2861">
        <v>2014</v>
      </c>
      <c r="C2861" t="s">
        <v>273</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COUNT(LifeExpectancyData[[#This Row],[Life expectancy]:[Schooling]])=19</f>
        <v>0</v>
      </c>
    </row>
    <row r="2862" spans="1:23" x14ac:dyDescent="0.25">
      <c r="A2862" t="s">
        <v>462</v>
      </c>
      <c r="B2862">
        <v>2013</v>
      </c>
      <c r="C2862" t="s">
        <v>273</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COUNT(LifeExpectancyData[[#This Row],[Life expectancy]:[Schooling]])=19</f>
        <v>0</v>
      </c>
    </row>
    <row r="2863" spans="1:23" x14ac:dyDescent="0.25">
      <c r="A2863" t="s">
        <v>462</v>
      </c>
      <c r="B2863">
        <v>2012</v>
      </c>
      <c r="C2863" t="s">
        <v>273</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COUNT(LifeExpectancyData[[#This Row],[Life expectancy]:[Schooling]])=19</f>
        <v>0</v>
      </c>
    </row>
    <row r="2864" spans="1:23" x14ac:dyDescent="0.25">
      <c r="A2864" t="s">
        <v>462</v>
      </c>
      <c r="B2864">
        <v>2011</v>
      </c>
      <c r="C2864" t="s">
        <v>273</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COUNT(LifeExpectancyData[[#This Row],[Life expectancy]:[Schooling]])=19</f>
        <v>0</v>
      </c>
    </row>
    <row r="2865" spans="1:23" x14ac:dyDescent="0.25">
      <c r="A2865" t="s">
        <v>462</v>
      </c>
      <c r="B2865">
        <v>2010</v>
      </c>
      <c r="C2865" t="s">
        <v>273</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COUNT(LifeExpectancyData[[#This Row],[Life expectancy]:[Schooling]])=19</f>
        <v>0</v>
      </c>
    </row>
    <row r="2866" spans="1:23" x14ac:dyDescent="0.25">
      <c r="A2866" t="s">
        <v>462</v>
      </c>
      <c r="B2866">
        <v>2009</v>
      </c>
      <c r="C2866" t="s">
        <v>273</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COUNT(LifeExpectancyData[[#This Row],[Life expectancy]:[Schooling]])=19</f>
        <v>0</v>
      </c>
    </row>
    <row r="2867" spans="1:23" x14ac:dyDescent="0.25">
      <c r="A2867" t="s">
        <v>462</v>
      </c>
      <c r="B2867">
        <v>2008</v>
      </c>
      <c r="C2867" t="s">
        <v>273</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COUNT(LifeExpectancyData[[#This Row],[Life expectancy]:[Schooling]])=19</f>
        <v>0</v>
      </c>
    </row>
    <row r="2868" spans="1:23" x14ac:dyDescent="0.25">
      <c r="A2868" t="s">
        <v>462</v>
      </c>
      <c r="B2868">
        <v>2007</v>
      </c>
      <c r="C2868" t="s">
        <v>273</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COUNT(LifeExpectancyData[[#This Row],[Life expectancy]:[Schooling]])=19</f>
        <v>0</v>
      </c>
    </row>
    <row r="2869" spans="1:23" x14ac:dyDescent="0.25">
      <c r="A2869" t="s">
        <v>462</v>
      </c>
      <c r="B2869">
        <v>2006</v>
      </c>
      <c r="C2869" t="s">
        <v>273</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COUNT(LifeExpectancyData[[#This Row],[Life expectancy]:[Schooling]])=19</f>
        <v>0</v>
      </c>
    </row>
    <row r="2870" spans="1:23" x14ac:dyDescent="0.25">
      <c r="A2870" t="s">
        <v>462</v>
      </c>
      <c r="B2870">
        <v>2005</v>
      </c>
      <c r="C2870" t="s">
        <v>273</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COUNT(LifeExpectancyData[[#This Row],[Life expectancy]:[Schooling]])=19</f>
        <v>0</v>
      </c>
    </row>
    <row r="2871" spans="1:23" x14ac:dyDescent="0.25">
      <c r="A2871" t="s">
        <v>462</v>
      </c>
      <c r="B2871">
        <v>2004</v>
      </c>
      <c r="C2871" t="s">
        <v>273</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COUNT(LifeExpectancyData[[#This Row],[Life expectancy]:[Schooling]])=19</f>
        <v>0</v>
      </c>
    </row>
    <row r="2872" spans="1:23" x14ac:dyDescent="0.25">
      <c r="A2872" t="s">
        <v>462</v>
      </c>
      <c r="B2872">
        <v>2003</v>
      </c>
      <c r="C2872" t="s">
        <v>273</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COUNT(LifeExpectancyData[[#This Row],[Life expectancy]:[Schooling]])=19</f>
        <v>0</v>
      </c>
    </row>
    <row r="2873" spans="1:23" x14ac:dyDescent="0.25">
      <c r="A2873" t="s">
        <v>462</v>
      </c>
      <c r="B2873">
        <v>2002</v>
      </c>
      <c r="C2873" t="s">
        <v>273</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COUNT(LifeExpectancyData[[#This Row],[Life expectancy]:[Schooling]])=19</f>
        <v>0</v>
      </c>
    </row>
    <row r="2874" spans="1:23" x14ac:dyDescent="0.25">
      <c r="A2874" t="s">
        <v>462</v>
      </c>
      <c r="B2874">
        <v>2001</v>
      </c>
      <c r="C2874" t="s">
        <v>273</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COUNT(LifeExpectancyData[[#This Row],[Life expectancy]:[Schooling]])=19</f>
        <v>0</v>
      </c>
    </row>
    <row r="2875" spans="1:23" x14ac:dyDescent="0.25">
      <c r="A2875" t="s">
        <v>462</v>
      </c>
      <c r="B2875">
        <v>2000</v>
      </c>
      <c r="C2875" t="s">
        <v>273</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COUNT(LifeExpectancyData[[#This Row],[Life expectancy]:[Schooling]])=19</f>
        <v>0</v>
      </c>
    </row>
    <row r="2876" spans="1:23" x14ac:dyDescent="0.25">
      <c r="A2876" t="s">
        <v>463</v>
      </c>
      <c r="B2876">
        <v>2015</v>
      </c>
      <c r="C2876" t="s">
        <v>273</v>
      </c>
      <c r="D2876">
        <v>76</v>
      </c>
      <c r="E2876">
        <v>127</v>
      </c>
      <c r="F2876">
        <v>28</v>
      </c>
      <c r="H2876">
        <v>0</v>
      </c>
      <c r="I2876">
        <v>97</v>
      </c>
      <c r="J2876">
        <v>256</v>
      </c>
      <c r="K2876">
        <v>17.5</v>
      </c>
      <c r="L2876">
        <v>35</v>
      </c>
      <c r="M2876">
        <v>97</v>
      </c>
      <c r="O2876">
        <v>97</v>
      </c>
      <c r="P2876">
        <v>0.1</v>
      </c>
      <c r="S2876">
        <v>14.2</v>
      </c>
      <c r="T2876">
        <v>14.5</v>
      </c>
      <c r="U2876">
        <v>0.67800000000000005</v>
      </c>
      <c r="V2876">
        <v>12.6</v>
      </c>
      <c r="W2876" t="b">
        <f>COUNT(LifeExpectancyData[[#This Row],[Life expectancy]:[Schooling]])=19</f>
        <v>0</v>
      </c>
    </row>
    <row r="2877" spans="1:23" x14ac:dyDescent="0.25">
      <c r="A2877" t="s">
        <v>463</v>
      </c>
      <c r="B2877">
        <v>2014</v>
      </c>
      <c r="C2877" t="s">
        <v>273</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COUNT(LifeExpectancyData[[#This Row],[Life expectancy]:[Schooling]])=19</f>
        <v>0</v>
      </c>
    </row>
    <row r="2878" spans="1:23" x14ac:dyDescent="0.25">
      <c r="A2878" t="s">
        <v>463</v>
      </c>
      <c r="B2878">
        <v>2013</v>
      </c>
      <c r="C2878" t="s">
        <v>273</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COUNT(LifeExpectancyData[[#This Row],[Life expectancy]:[Schooling]])=19</f>
        <v>0</v>
      </c>
    </row>
    <row r="2879" spans="1:23" x14ac:dyDescent="0.25">
      <c r="A2879" t="s">
        <v>463</v>
      </c>
      <c r="B2879">
        <v>2012</v>
      </c>
      <c r="C2879" t="s">
        <v>273</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COUNT(LifeExpectancyData[[#This Row],[Life expectancy]:[Schooling]])=19</f>
        <v>0</v>
      </c>
    </row>
    <row r="2880" spans="1:23" x14ac:dyDescent="0.25">
      <c r="A2880" t="s">
        <v>463</v>
      </c>
      <c r="B2880">
        <v>2011</v>
      </c>
      <c r="C2880" t="s">
        <v>273</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COUNT(LifeExpectancyData[[#This Row],[Life expectancy]:[Schooling]])=19</f>
        <v>0</v>
      </c>
    </row>
    <row r="2881" spans="1:23" x14ac:dyDescent="0.25">
      <c r="A2881" t="s">
        <v>463</v>
      </c>
      <c r="B2881">
        <v>2010</v>
      </c>
      <c r="C2881" t="s">
        <v>273</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COUNT(LifeExpectancyData[[#This Row],[Life expectancy]:[Schooling]])=19</f>
        <v>0</v>
      </c>
    </row>
    <row r="2882" spans="1:23" x14ac:dyDescent="0.25">
      <c r="A2882" t="s">
        <v>463</v>
      </c>
      <c r="B2882">
        <v>2009</v>
      </c>
      <c r="C2882" t="s">
        <v>273</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COUNT(LifeExpectancyData[[#This Row],[Life expectancy]:[Schooling]])=19</f>
        <v>0</v>
      </c>
    </row>
    <row r="2883" spans="1:23" x14ac:dyDescent="0.25">
      <c r="A2883" t="s">
        <v>463</v>
      </c>
      <c r="B2883">
        <v>2008</v>
      </c>
      <c r="C2883" t="s">
        <v>273</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COUNT(LifeExpectancyData[[#This Row],[Life expectancy]:[Schooling]])=19</f>
        <v>0</v>
      </c>
    </row>
    <row r="2884" spans="1:23" x14ac:dyDescent="0.25">
      <c r="A2884" t="s">
        <v>463</v>
      </c>
      <c r="B2884">
        <v>2007</v>
      </c>
      <c r="C2884" t="s">
        <v>273</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COUNT(LifeExpectancyData[[#This Row],[Life expectancy]:[Schooling]])=19</f>
        <v>0</v>
      </c>
    </row>
    <row r="2885" spans="1:23" x14ac:dyDescent="0.25">
      <c r="A2885" t="s">
        <v>463</v>
      </c>
      <c r="B2885">
        <v>2006</v>
      </c>
      <c r="C2885" t="s">
        <v>273</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COUNT(LifeExpectancyData[[#This Row],[Life expectancy]:[Schooling]])=19</f>
        <v>0</v>
      </c>
    </row>
    <row r="2886" spans="1:23" x14ac:dyDescent="0.25">
      <c r="A2886" t="s">
        <v>463</v>
      </c>
      <c r="B2886">
        <v>2005</v>
      </c>
      <c r="C2886" t="s">
        <v>273</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COUNT(LifeExpectancyData[[#This Row],[Life expectancy]:[Schooling]])=19</f>
        <v>0</v>
      </c>
    </row>
    <row r="2887" spans="1:23" x14ac:dyDescent="0.25">
      <c r="A2887" t="s">
        <v>463</v>
      </c>
      <c r="B2887">
        <v>2004</v>
      </c>
      <c r="C2887" t="s">
        <v>273</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COUNT(LifeExpectancyData[[#This Row],[Life expectancy]:[Schooling]])=19</f>
        <v>0</v>
      </c>
    </row>
    <row r="2888" spans="1:23" x14ac:dyDescent="0.25">
      <c r="A2888" t="s">
        <v>463</v>
      </c>
      <c r="B2888">
        <v>2003</v>
      </c>
      <c r="C2888" t="s">
        <v>273</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COUNT(LifeExpectancyData[[#This Row],[Life expectancy]:[Schooling]])=19</f>
        <v>0</v>
      </c>
    </row>
    <row r="2889" spans="1:23" x14ac:dyDescent="0.25">
      <c r="A2889" t="s">
        <v>463</v>
      </c>
      <c r="B2889">
        <v>2002</v>
      </c>
      <c r="C2889" t="s">
        <v>273</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COUNT(LifeExpectancyData[[#This Row],[Life expectancy]:[Schooling]])=19</f>
        <v>0</v>
      </c>
    </row>
    <row r="2890" spans="1:23" x14ac:dyDescent="0.25">
      <c r="A2890" t="s">
        <v>463</v>
      </c>
      <c r="B2890">
        <v>2001</v>
      </c>
      <c r="C2890" t="s">
        <v>273</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COUNT(LifeExpectancyData[[#This Row],[Life expectancy]:[Schooling]])=19</f>
        <v>0</v>
      </c>
    </row>
    <row r="2891" spans="1:23" x14ac:dyDescent="0.25">
      <c r="A2891" t="s">
        <v>463</v>
      </c>
      <c r="B2891">
        <v>2000</v>
      </c>
      <c r="C2891" t="s">
        <v>273</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COUNT(LifeExpectancyData[[#This Row],[Life expectancy]:[Schooling]])=19</f>
        <v>0</v>
      </c>
    </row>
    <row r="2892" spans="1:23" x14ac:dyDescent="0.25">
      <c r="A2892" t="s">
        <v>464</v>
      </c>
      <c r="B2892">
        <v>2015</v>
      </c>
      <c r="C2892" t="s">
        <v>273</v>
      </c>
      <c r="D2892">
        <v>65.7</v>
      </c>
      <c r="E2892">
        <v>224</v>
      </c>
      <c r="F2892">
        <v>37</v>
      </c>
      <c r="H2892">
        <v>0</v>
      </c>
      <c r="I2892">
        <v>69</v>
      </c>
      <c r="J2892">
        <v>468</v>
      </c>
      <c r="K2892">
        <v>41.3</v>
      </c>
      <c r="L2892">
        <v>47</v>
      </c>
      <c r="M2892">
        <v>63</v>
      </c>
      <c r="O2892">
        <v>69</v>
      </c>
      <c r="P2892">
        <v>0.1</v>
      </c>
      <c r="S2892">
        <v>13.6</v>
      </c>
      <c r="T2892">
        <v>13.4</v>
      </c>
      <c r="U2892">
        <v>0.499</v>
      </c>
      <c r="V2892">
        <v>9</v>
      </c>
      <c r="W2892" t="b">
        <f>COUNT(LifeExpectancyData[[#This Row],[Life expectancy]:[Schooling]])=19</f>
        <v>0</v>
      </c>
    </row>
    <row r="2893" spans="1:23" x14ac:dyDescent="0.25">
      <c r="A2893" t="s">
        <v>464</v>
      </c>
      <c r="B2893">
        <v>2014</v>
      </c>
      <c r="C2893" t="s">
        <v>273</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COUNT(LifeExpectancyData[[#This Row],[Life expectancy]:[Schooling]])=19</f>
        <v>0</v>
      </c>
    </row>
    <row r="2894" spans="1:23" x14ac:dyDescent="0.25">
      <c r="A2894" t="s">
        <v>464</v>
      </c>
      <c r="B2894">
        <v>2013</v>
      </c>
      <c r="C2894" t="s">
        <v>273</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COUNT(LifeExpectancyData[[#This Row],[Life expectancy]:[Schooling]])=19</f>
        <v>0</v>
      </c>
    </row>
    <row r="2895" spans="1:23" x14ac:dyDescent="0.25">
      <c r="A2895" t="s">
        <v>464</v>
      </c>
      <c r="B2895">
        <v>2012</v>
      </c>
      <c r="C2895" t="s">
        <v>273</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COUNT(LifeExpectancyData[[#This Row],[Life expectancy]:[Schooling]])=19</f>
        <v>0</v>
      </c>
    </row>
    <row r="2896" spans="1:23" x14ac:dyDescent="0.25">
      <c r="A2896" t="s">
        <v>464</v>
      </c>
      <c r="B2896">
        <v>2011</v>
      </c>
      <c r="C2896" t="s">
        <v>273</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COUNT(LifeExpectancyData[[#This Row],[Life expectancy]:[Schooling]])=19</f>
        <v>0</v>
      </c>
    </row>
    <row r="2897" spans="1:23" x14ac:dyDescent="0.25">
      <c r="A2897" t="s">
        <v>464</v>
      </c>
      <c r="B2897">
        <v>2010</v>
      </c>
      <c r="C2897" t="s">
        <v>273</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COUNT(LifeExpectancyData[[#This Row],[Life expectancy]:[Schooling]])=19</f>
        <v>0</v>
      </c>
    </row>
    <row r="2898" spans="1:23" x14ac:dyDescent="0.25">
      <c r="A2898" t="s">
        <v>464</v>
      </c>
      <c r="B2898">
        <v>2009</v>
      </c>
      <c r="C2898" t="s">
        <v>273</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COUNT(LifeExpectancyData[[#This Row],[Life expectancy]:[Schooling]])=19</f>
        <v>0</v>
      </c>
    </row>
    <row r="2899" spans="1:23" x14ac:dyDescent="0.25">
      <c r="A2899" t="s">
        <v>464</v>
      </c>
      <c r="B2899">
        <v>2008</v>
      </c>
      <c r="C2899" t="s">
        <v>273</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COUNT(LifeExpectancyData[[#This Row],[Life expectancy]:[Schooling]])=19</f>
        <v>0</v>
      </c>
    </row>
    <row r="2900" spans="1:23" x14ac:dyDescent="0.25">
      <c r="A2900" t="s">
        <v>464</v>
      </c>
      <c r="B2900">
        <v>2007</v>
      </c>
      <c r="C2900" t="s">
        <v>273</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COUNT(LifeExpectancyData[[#This Row],[Life expectancy]:[Schooling]])=19</f>
        <v>0</v>
      </c>
    </row>
    <row r="2901" spans="1:23" x14ac:dyDescent="0.25">
      <c r="A2901" t="s">
        <v>464</v>
      </c>
      <c r="B2901">
        <v>2006</v>
      </c>
      <c r="C2901" t="s">
        <v>273</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COUNT(LifeExpectancyData[[#This Row],[Life expectancy]:[Schooling]])=19</f>
        <v>0</v>
      </c>
    </row>
    <row r="2902" spans="1:23" x14ac:dyDescent="0.25">
      <c r="A2902" t="s">
        <v>464</v>
      </c>
      <c r="B2902">
        <v>2005</v>
      </c>
      <c r="C2902" t="s">
        <v>273</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COUNT(LifeExpectancyData[[#This Row],[Life expectancy]:[Schooling]])=19</f>
        <v>0</v>
      </c>
    </row>
    <row r="2903" spans="1:23" x14ac:dyDescent="0.25">
      <c r="A2903" t="s">
        <v>464</v>
      </c>
      <c r="B2903">
        <v>2004</v>
      </c>
      <c r="C2903" t="s">
        <v>273</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COUNT(LifeExpectancyData[[#This Row],[Life expectancy]:[Schooling]])=19</f>
        <v>0</v>
      </c>
    </row>
    <row r="2904" spans="1:23" x14ac:dyDescent="0.25">
      <c r="A2904" t="s">
        <v>464</v>
      </c>
      <c r="B2904">
        <v>2003</v>
      </c>
      <c r="C2904" t="s">
        <v>273</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COUNT(LifeExpectancyData[[#This Row],[Life expectancy]:[Schooling]])=19</f>
        <v>0</v>
      </c>
    </row>
    <row r="2905" spans="1:23" x14ac:dyDescent="0.25">
      <c r="A2905" t="s">
        <v>464</v>
      </c>
      <c r="B2905">
        <v>2002</v>
      </c>
      <c r="C2905" t="s">
        <v>273</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COUNT(LifeExpectancyData[[#This Row],[Life expectancy]:[Schooling]])=19</f>
        <v>0</v>
      </c>
    </row>
    <row r="2906" spans="1:23" x14ac:dyDescent="0.25">
      <c r="A2906" t="s">
        <v>464</v>
      </c>
      <c r="B2906">
        <v>2001</v>
      </c>
      <c r="C2906" t="s">
        <v>273</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COUNT(LifeExpectancyData[[#This Row],[Life expectancy]:[Schooling]])=19</f>
        <v>0</v>
      </c>
    </row>
    <row r="2907" spans="1:23" x14ac:dyDescent="0.25">
      <c r="A2907" t="s">
        <v>464</v>
      </c>
      <c r="B2907">
        <v>2000</v>
      </c>
      <c r="C2907" t="s">
        <v>273</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COUNT(LifeExpectancyData[[#This Row],[Life expectancy]:[Schooling]])=19</f>
        <v>0</v>
      </c>
    </row>
    <row r="2908" spans="1:23" x14ac:dyDescent="0.25">
      <c r="A2908" t="s">
        <v>465</v>
      </c>
      <c r="B2908">
        <v>2015</v>
      </c>
      <c r="C2908" t="s">
        <v>273</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COUNT(LifeExpectancyData[[#This Row],[Life expectancy]:[Schooling]])=19</f>
        <v>0</v>
      </c>
    </row>
    <row r="2909" spans="1:23" x14ac:dyDescent="0.25">
      <c r="A2909" t="s">
        <v>465</v>
      </c>
      <c r="B2909">
        <v>2014</v>
      </c>
      <c r="C2909" t="s">
        <v>273</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COUNT(LifeExpectancyData[[#This Row],[Life expectancy]:[Schooling]])=19</f>
        <v>1</v>
      </c>
    </row>
    <row r="2910" spans="1:23" x14ac:dyDescent="0.25">
      <c r="A2910" t="s">
        <v>465</v>
      </c>
      <c r="B2910">
        <v>2013</v>
      </c>
      <c r="C2910" t="s">
        <v>273</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COUNT(LifeExpectancyData[[#This Row],[Life expectancy]:[Schooling]])=19</f>
        <v>1</v>
      </c>
    </row>
    <row r="2911" spans="1:23" x14ac:dyDescent="0.25">
      <c r="A2911" t="s">
        <v>465</v>
      </c>
      <c r="B2911">
        <v>2012</v>
      </c>
      <c r="C2911" t="s">
        <v>273</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COUNT(LifeExpectancyData[[#This Row],[Life expectancy]:[Schooling]])=19</f>
        <v>1</v>
      </c>
    </row>
    <row r="2912" spans="1:23" x14ac:dyDescent="0.25">
      <c r="A2912" t="s">
        <v>465</v>
      </c>
      <c r="B2912">
        <v>2011</v>
      </c>
      <c r="C2912" t="s">
        <v>273</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COUNT(LifeExpectancyData[[#This Row],[Life expectancy]:[Schooling]])=19</f>
        <v>1</v>
      </c>
    </row>
    <row r="2913" spans="1:23" x14ac:dyDescent="0.25">
      <c r="A2913" t="s">
        <v>465</v>
      </c>
      <c r="B2913">
        <v>2010</v>
      </c>
      <c r="C2913" t="s">
        <v>273</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COUNT(LifeExpectancyData[[#This Row],[Life expectancy]:[Schooling]])=19</f>
        <v>1</v>
      </c>
    </row>
    <row r="2914" spans="1:23" x14ac:dyDescent="0.25">
      <c r="A2914" t="s">
        <v>465</v>
      </c>
      <c r="B2914">
        <v>2009</v>
      </c>
      <c r="C2914" t="s">
        <v>273</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COUNT(LifeExpectancyData[[#This Row],[Life expectancy]:[Schooling]])=19</f>
        <v>1</v>
      </c>
    </row>
    <row r="2915" spans="1:23" x14ac:dyDescent="0.25">
      <c r="A2915" t="s">
        <v>465</v>
      </c>
      <c r="B2915">
        <v>2008</v>
      </c>
      <c r="C2915" t="s">
        <v>273</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COUNT(LifeExpectancyData[[#This Row],[Life expectancy]:[Schooling]])=19</f>
        <v>1</v>
      </c>
    </row>
    <row r="2916" spans="1:23" x14ac:dyDescent="0.25">
      <c r="A2916" t="s">
        <v>465</v>
      </c>
      <c r="B2916">
        <v>2007</v>
      </c>
      <c r="C2916" t="s">
        <v>273</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COUNT(LifeExpectancyData[[#This Row],[Life expectancy]:[Schooling]])=19</f>
        <v>1</v>
      </c>
    </row>
    <row r="2917" spans="1:23" x14ac:dyDescent="0.25">
      <c r="A2917" t="s">
        <v>465</v>
      </c>
      <c r="B2917">
        <v>2006</v>
      </c>
      <c r="C2917" t="s">
        <v>273</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COUNT(LifeExpectancyData[[#This Row],[Life expectancy]:[Schooling]])=19</f>
        <v>1</v>
      </c>
    </row>
    <row r="2918" spans="1:23" x14ac:dyDescent="0.25">
      <c r="A2918" t="s">
        <v>465</v>
      </c>
      <c r="B2918">
        <v>2005</v>
      </c>
      <c r="C2918" t="s">
        <v>273</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COUNT(LifeExpectancyData[[#This Row],[Life expectancy]:[Schooling]])=19</f>
        <v>1</v>
      </c>
    </row>
    <row r="2919" spans="1:23" x14ac:dyDescent="0.25">
      <c r="A2919" t="s">
        <v>465</v>
      </c>
      <c r="B2919">
        <v>2004</v>
      </c>
      <c r="C2919" t="s">
        <v>273</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COUNT(LifeExpectancyData[[#This Row],[Life expectancy]:[Schooling]])=19</f>
        <v>0</v>
      </c>
    </row>
    <row r="2920" spans="1:23" x14ac:dyDescent="0.25">
      <c r="A2920" t="s">
        <v>465</v>
      </c>
      <c r="B2920">
        <v>2003</v>
      </c>
      <c r="C2920" t="s">
        <v>273</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COUNT(LifeExpectancyData[[#This Row],[Life expectancy]:[Schooling]])=19</f>
        <v>0</v>
      </c>
    </row>
    <row r="2921" spans="1:23" x14ac:dyDescent="0.25">
      <c r="A2921" t="s">
        <v>465</v>
      </c>
      <c r="B2921">
        <v>2002</v>
      </c>
      <c r="C2921" t="s">
        <v>273</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COUNT(LifeExpectancyData[[#This Row],[Life expectancy]:[Schooling]])=19</f>
        <v>0</v>
      </c>
    </row>
    <row r="2922" spans="1:23" x14ac:dyDescent="0.25">
      <c r="A2922" t="s">
        <v>465</v>
      </c>
      <c r="B2922">
        <v>2001</v>
      </c>
      <c r="C2922" t="s">
        <v>273</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COUNT(LifeExpectancyData[[#This Row],[Life expectancy]:[Schooling]])=19</f>
        <v>0</v>
      </c>
    </row>
    <row r="2923" spans="1:23" x14ac:dyDescent="0.25">
      <c r="A2923" t="s">
        <v>465</v>
      </c>
      <c r="B2923">
        <v>2000</v>
      </c>
      <c r="C2923" t="s">
        <v>273</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COUNT(LifeExpectancyData[[#This Row],[Life expectancy]:[Schooling]])=19</f>
        <v>0</v>
      </c>
    </row>
    <row r="2924" spans="1:23" x14ac:dyDescent="0.25">
      <c r="A2924" t="s">
        <v>466</v>
      </c>
      <c r="B2924">
        <v>2015</v>
      </c>
      <c r="C2924" t="s">
        <v>273</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COUNT(LifeExpectancyData[[#This Row],[Life expectancy]:[Schooling]])=19</f>
        <v>0</v>
      </c>
    </row>
    <row r="2925" spans="1:23" x14ac:dyDescent="0.25">
      <c r="A2925" t="s">
        <v>466</v>
      </c>
      <c r="B2925">
        <v>2014</v>
      </c>
      <c r="C2925" t="s">
        <v>273</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COUNT(LifeExpectancyData[[#This Row],[Life expectancy]:[Schooling]])=19</f>
        <v>1</v>
      </c>
    </row>
    <row r="2926" spans="1:23" x14ac:dyDescent="0.25">
      <c r="A2926" t="s">
        <v>466</v>
      </c>
      <c r="B2926">
        <v>2013</v>
      </c>
      <c r="C2926" t="s">
        <v>273</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COUNT(LifeExpectancyData[[#This Row],[Life expectancy]:[Schooling]])=19</f>
        <v>1</v>
      </c>
    </row>
    <row r="2927" spans="1:23" x14ac:dyDescent="0.25">
      <c r="A2927" t="s">
        <v>466</v>
      </c>
      <c r="B2927">
        <v>2012</v>
      </c>
      <c r="C2927" t="s">
        <v>273</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COUNT(LifeExpectancyData[[#This Row],[Life expectancy]:[Schooling]])=19</f>
        <v>1</v>
      </c>
    </row>
    <row r="2928" spans="1:23" x14ac:dyDescent="0.25">
      <c r="A2928" t="s">
        <v>466</v>
      </c>
      <c r="B2928">
        <v>2011</v>
      </c>
      <c r="C2928" t="s">
        <v>273</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COUNT(LifeExpectancyData[[#This Row],[Life expectancy]:[Schooling]])=19</f>
        <v>1</v>
      </c>
    </row>
    <row r="2929" spans="1:23" x14ac:dyDescent="0.25">
      <c r="A2929" t="s">
        <v>466</v>
      </c>
      <c r="B2929">
        <v>2010</v>
      </c>
      <c r="C2929" t="s">
        <v>273</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COUNT(LifeExpectancyData[[#This Row],[Life expectancy]:[Schooling]])=19</f>
        <v>1</v>
      </c>
    </row>
    <row r="2930" spans="1:23" x14ac:dyDescent="0.25">
      <c r="A2930" t="s">
        <v>466</v>
      </c>
      <c r="B2930">
        <v>2009</v>
      </c>
      <c r="C2930" t="s">
        <v>273</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COUNT(LifeExpectancyData[[#This Row],[Life expectancy]:[Schooling]])=19</f>
        <v>1</v>
      </c>
    </row>
    <row r="2931" spans="1:23" x14ac:dyDescent="0.25">
      <c r="A2931" t="s">
        <v>466</v>
      </c>
      <c r="B2931">
        <v>2008</v>
      </c>
      <c r="C2931" t="s">
        <v>273</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COUNT(LifeExpectancyData[[#This Row],[Life expectancy]:[Schooling]])=19</f>
        <v>1</v>
      </c>
    </row>
    <row r="2932" spans="1:23" x14ac:dyDescent="0.25">
      <c r="A2932" t="s">
        <v>466</v>
      </c>
      <c r="B2932">
        <v>2007</v>
      </c>
      <c r="C2932" t="s">
        <v>273</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COUNT(LifeExpectancyData[[#This Row],[Life expectancy]:[Schooling]])=19</f>
        <v>1</v>
      </c>
    </row>
    <row r="2933" spans="1:23" x14ac:dyDescent="0.25">
      <c r="A2933" t="s">
        <v>466</v>
      </c>
      <c r="B2933">
        <v>2006</v>
      </c>
      <c r="C2933" t="s">
        <v>273</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COUNT(LifeExpectancyData[[#This Row],[Life expectancy]:[Schooling]])=19</f>
        <v>1</v>
      </c>
    </row>
    <row r="2934" spans="1:23" x14ac:dyDescent="0.25">
      <c r="A2934" t="s">
        <v>466</v>
      </c>
      <c r="B2934">
        <v>2005</v>
      </c>
      <c r="C2934" t="s">
        <v>273</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COUNT(LifeExpectancyData[[#This Row],[Life expectancy]:[Schooling]])=19</f>
        <v>1</v>
      </c>
    </row>
    <row r="2935" spans="1:23" x14ac:dyDescent="0.25">
      <c r="A2935" t="s">
        <v>466</v>
      </c>
      <c r="B2935">
        <v>2004</v>
      </c>
      <c r="C2935" t="s">
        <v>273</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COUNT(LifeExpectancyData[[#This Row],[Life expectancy]:[Schooling]])=19</f>
        <v>1</v>
      </c>
    </row>
    <row r="2936" spans="1:23" x14ac:dyDescent="0.25">
      <c r="A2936" t="s">
        <v>466</v>
      </c>
      <c r="B2936">
        <v>2003</v>
      </c>
      <c r="C2936" t="s">
        <v>273</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COUNT(LifeExpectancyData[[#This Row],[Life expectancy]:[Schooling]])=19</f>
        <v>1</v>
      </c>
    </row>
    <row r="2937" spans="1:23" x14ac:dyDescent="0.25">
      <c r="A2937" t="s">
        <v>466</v>
      </c>
      <c r="B2937">
        <v>2002</v>
      </c>
      <c r="C2937" t="s">
        <v>273</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COUNT(LifeExpectancyData[[#This Row],[Life expectancy]:[Schooling]])=19</f>
        <v>1</v>
      </c>
    </row>
    <row r="2938" spans="1:23" x14ac:dyDescent="0.25">
      <c r="A2938" t="s">
        <v>466</v>
      </c>
      <c r="B2938">
        <v>2001</v>
      </c>
      <c r="C2938" t="s">
        <v>273</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COUNT(LifeExpectancyData[[#This Row],[Life expectancy]:[Schooling]])=19</f>
        <v>1</v>
      </c>
    </row>
    <row r="2939" spans="1:23" x14ac:dyDescent="0.25">
      <c r="A2939" t="s">
        <v>466</v>
      </c>
      <c r="B2939">
        <v>2000</v>
      </c>
      <c r="C2939" t="s">
        <v>273</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COUNT(LifeExpectancyData[[#This Row],[Life expectancy]:[Schooling]])=19</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2C2810-D099-4032-AC23-13C6D91749E0}">
  <dimension ref="A1:AI1651"/>
  <sheetViews>
    <sheetView tabSelected="1" workbookViewId="0">
      <pane ySplit="2" topLeftCell="A3" activePane="bottomLeft" state="frozenSplit"/>
      <selection pane="bottomLeft" activeCell="F3" sqref="F3"/>
    </sheetView>
  </sheetViews>
  <sheetFormatPr defaultRowHeight="15" x14ac:dyDescent="0.25"/>
  <cols>
    <col min="1" max="1" width="28.7109375" customWidth="1"/>
    <col min="2" max="2" width="14.7109375" customWidth="1"/>
    <col min="3" max="3" width="2.7109375" customWidth="1"/>
    <col min="4" max="4" width="28.7109375" customWidth="1"/>
    <col min="5" max="5" width="10.7109375" customWidth="1"/>
    <col min="6" max="6" width="11.7109375" customWidth="1"/>
    <col min="7" max="10" width="10.7109375" customWidth="1"/>
    <col min="11" max="11" width="2.7109375" customWidth="1"/>
    <col min="12" max="12" width="22.7109375" customWidth="1"/>
    <col min="13" max="14" width="14.7109375" customWidth="1"/>
    <col min="15" max="15" width="20.7109375" customWidth="1"/>
    <col min="16" max="16" width="14.7109375" customWidth="1"/>
    <col min="17" max="17" width="16.7109375" customWidth="1"/>
    <col min="18" max="18" width="14.7109375" customWidth="1"/>
    <col min="19" max="19" width="2.7109375" customWidth="1"/>
    <col min="20" max="20" width="20.7109375" customWidth="1"/>
    <col min="21" max="21" width="14.7109375" customWidth="1"/>
    <col min="22" max="22" width="2.7109375" customWidth="1"/>
    <col min="23" max="23" width="12.7109375" customWidth="1"/>
    <col min="24" max="24" width="14.7109375" customWidth="1"/>
    <col min="25" max="25" width="12.7109375" customWidth="1"/>
    <col min="26" max="26" width="18.7109375" customWidth="1"/>
    <col min="27" max="28" width="12.7109375" customWidth="1"/>
    <col min="29" max="29" width="14.7109375" customWidth="1"/>
    <col min="30" max="30" width="16.7109375" customWidth="1"/>
    <col min="31" max="31" width="22.7109375" customWidth="1"/>
    <col min="32" max="32" width="14.7109375" customWidth="1"/>
    <col min="33" max="33" width="22.7109375" customWidth="1"/>
    <col min="34" max="34" width="26.7109375" customWidth="1"/>
    <col min="35" max="35" width="14.7109375" customWidth="1"/>
  </cols>
  <sheetData>
    <row r="1" spans="1:35" x14ac:dyDescent="0.25">
      <c r="A1" s="4" t="s">
        <v>467</v>
      </c>
      <c r="B1" s="3" t="s">
        <v>468</v>
      </c>
      <c r="D1" s="4" t="s">
        <v>470</v>
      </c>
      <c r="L1" s="4" t="s">
        <v>473</v>
      </c>
      <c r="T1" s="15" t="s">
        <v>499</v>
      </c>
      <c r="U1" s="10"/>
      <c r="W1" s="4" t="s">
        <v>508</v>
      </c>
    </row>
    <row r="2" spans="1:35" x14ac:dyDescent="0.25">
      <c r="A2" t="s">
        <v>469</v>
      </c>
      <c r="B2" s="5" t="b">
        <v>1</v>
      </c>
      <c r="D2" s="3"/>
      <c r="E2" s="3" t="s">
        <v>471</v>
      </c>
      <c r="F2" s="3" t="s">
        <v>472</v>
      </c>
      <c r="G2" s="3" t="s">
        <v>227</v>
      </c>
      <c r="H2" s="3" t="s">
        <v>232</v>
      </c>
      <c r="I2" s="3" t="s">
        <v>118</v>
      </c>
      <c r="J2" s="3" t="s">
        <v>123</v>
      </c>
      <c r="T2" s="18" t="s">
        <v>500</v>
      </c>
      <c r="U2" s="11"/>
      <c r="W2" s="3" t="s">
        <v>509</v>
      </c>
      <c r="X2" s="3" t="s">
        <v>510</v>
      </c>
      <c r="Y2" s="3" t="s">
        <v>163</v>
      </c>
      <c r="Z2" s="3" t="s">
        <v>511</v>
      </c>
      <c r="AA2" s="3" t="s">
        <v>512</v>
      </c>
      <c r="AB2" s="3" t="s">
        <v>513</v>
      </c>
      <c r="AC2" s="3" t="s">
        <v>514</v>
      </c>
      <c r="AD2" s="3" t="s">
        <v>515</v>
      </c>
      <c r="AE2" s="3" t="s">
        <v>516</v>
      </c>
      <c r="AF2" s="3" t="s">
        <v>517</v>
      </c>
      <c r="AG2" s="3" t="s">
        <v>518</v>
      </c>
      <c r="AH2" s="3" t="s">
        <v>519</v>
      </c>
      <c r="AI2" s="3" t="s">
        <v>520</v>
      </c>
    </row>
    <row r="3" spans="1:35" x14ac:dyDescent="0.25">
      <c r="A3" t="s">
        <v>253</v>
      </c>
      <c r="B3" s="5" t="b">
        <v>1</v>
      </c>
      <c r="D3" t="str" cm="1">
        <f t="array" aca="1" ref="D3:D20" ca="1">Coefficient_Name_Col(All_Xs)</f>
        <v>Adult Mortality</v>
      </c>
      <c r="E3" s="6" cm="1">
        <f t="array" ref="E3:E20">Pearson_R(x_s,y,fil)</f>
        <v>-0.70252306230697348</v>
      </c>
      <c r="F3" s="6" t="e" cm="1" vm="1">
        <f t="array" ref="F3:F20">Spearman_R(x_s,y,fil)</f>
        <v>#VALUE!</v>
      </c>
      <c r="G3" s="7" cm="1">
        <f t="array" ref="G3:G20">Skewness(x_s,fil)</f>
        <v>1.2764291138226984</v>
      </c>
      <c r="H3" s="7" cm="1">
        <f t="array" ref="H3:H20">Kurtosis(x_s,fil)</f>
        <v>2.4009445877439255</v>
      </c>
      <c r="I3" s="7" cm="1">
        <f t="array" ref="I3:I20">VIF(x_s,Allow_Intercept,fil)</f>
        <v>1.7959837847979341</v>
      </c>
      <c r="J3" s="6" cm="1">
        <f t="array" ref="J3:J20">Tolerance(x_s,Allow_Intercept,fil)</f>
        <v>0.55679790010604679</v>
      </c>
      <c r="L3" s="15" t="s">
        <v>474</v>
      </c>
      <c r="M3" s="10"/>
      <c r="O3" s="15" t="s">
        <v>479</v>
      </c>
      <c r="P3" s="10"/>
      <c r="T3" s="14" t="s">
        <v>501</v>
      </c>
      <c r="U3" s="11" cm="1">
        <f t="array" ref="U3">INDEX(Prediction_Interval(x_s,y,pred_input,Allow_Intercept,fil,alpha),1)</f>
        <v>53.281559019872098</v>
      </c>
      <c r="W3" cm="1">
        <f t="array" ref="W3:W1651">_xlfn.SEQUENCE(Observations(y,fil))</f>
        <v>1</v>
      </c>
      <c r="X3" cm="1">
        <f t="array" ref="X3:X1651">Predictions(x_s,y,Allow_Intercept,fil)</f>
        <v>63.208825243148453</v>
      </c>
      <c r="Y3" cm="1">
        <f t="array" ref="Y3:Y1651">Residuals(x_s,y,Allow_Intercept,fil)</f>
        <v>1.7911747568515466</v>
      </c>
      <c r="Z3" cm="1">
        <f t="array" ref="Z3:Z1651">LOOCV_prediction(x_s,y,Allow_Intercept,fil)</f>
        <v>63.176269364810722</v>
      </c>
      <c r="AA3" cm="1">
        <f t="array" ref="AA3:AA1651">Rank_Fraction(y,fil)</f>
        <v>0.27289266221952696</v>
      </c>
      <c r="AB3" cm="1">
        <f t="array" ref="AB3:AB1651">Y_Ranked(y,fil)</f>
        <v>44</v>
      </c>
      <c r="AC3" cm="1">
        <f t="array" ref="AC3:AC1651">Normal_Scores(y,fil)</f>
        <v>-0.62335641379693996</v>
      </c>
      <c r="AD3" cm="1">
        <f t="array" ref="AD3:AD1651">Scaled_Residuals(x_s,y,Allow_Intercept,fil)</f>
        <v>0.49812673549638642</v>
      </c>
      <c r="AE3" cm="1">
        <f t="array" ref="AE3:AE1651">Scaled_Residuals_Ranked(x_s,y,Allow_Intercept,fil)</f>
        <v>-4.7326111845971965</v>
      </c>
      <c r="AF3" cm="1">
        <f t="array" ref="AF3:AF1651">Hat_diagonal(x_s,Allow_Intercept,fil)</f>
        <v>1.7851253748528771E-2</v>
      </c>
      <c r="AG3" cm="1">
        <f t="array" ref="AG3:AG1651">Studentized_Residuals(x_s,y,Allow_Intercept,fil)</f>
        <v>0.50263325470209952</v>
      </c>
      <c r="AH3" cm="1">
        <f t="array" ref="AH3:AH1651">Studentized_Residuals_Ranked(x_s,y,Allow_Intercept,fil)</f>
        <v>-4.7556630357299623</v>
      </c>
      <c r="AI3" cm="1">
        <f t="array" ref="AI3:AI1651">Cooks_Distance(x_s,y,Allow_Intercept,fil)</f>
        <v>2.4167976663689572E-4</v>
      </c>
    </row>
    <row r="4" spans="1:35" x14ac:dyDescent="0.25">
      <c r="A4" t="s">
        <v>254</v>
      </c>
      <c r="B4" s="5" t="b">
        <v>1</v>
      </c>
      <c r="D4" t="str">
        <f ca="1"/>
        <v>infant deaths</v>
      </c>
      <c r="E4" s="6">
        <v>-0.16907380399959634</v>
      </c>
      <c r="F4" s="6" t="e" vm="1">
        <v>#VALUE!</v>
      </c>
      <c r="G4" s="7">
        <v>8.4773694116605309</v>
      </c>
      <c r="H4" s="7">
        <v>85.319968793192416</v>
      </c>
      <c r="I4" s="7">
        <v>212.1776986884056</v>
      </c>
      <c r="J4" s="6">
        <v>4.7130306633618169E-3</v>
      </c>
      <c r="L4" s="14" t="s">
        <v>475</v>
      </c>
      <c r="M4" s="11" cm="1">
        <f t="array" ref="M4">Multiple_R(x_s,y,Allow_Intercept,fil)</f>
        <v>0.91363980575441461</v>
      </c>
      <c r="O4" s="14" t="s">
        <v>61</v>
      </c>
      <c r="P4" s="11" cm="1">
        <f t="array" ref="P4">PRESS(x_s,y,Allow_Intercept,fil)</f>
        <v>21644.337291621447</v>
      </c>
      <c r="T4" s="14" t="s">
        <v>502</v>
      </c>
      <c r="U4" s="11" cm="1">
        <f t="array" ref="U4">INDEX(Prediction_Interval(x_s,y,pred_input,Allow_Intercept,fil,alpha),2)</f>
        <v>3.6703339786591909</v>
      </c>
      <c r="W4">
        <v>2</v>
      </c>
      <c r="X4">
        <v>63.3155128837898</v>
      </c>
      <c r="Y4">
        <v>-3.4155128837898019</v>
      </c>
      <c r="Z4">
        <v>63.349959404897149</v>
      </c>
      <c r="AA4">
        <v>0.17404487568223165</v>
      </c>
      <c r="AB4">
        <v>44.3</v>
      </c>
      <c r="AC4">
        <v>-0.94897780985887348</v>
      </c>
      <c r="AD4">
        <v>-0.9498561077527915</v>
      </c>
      <c r="AE4">
        <v>-3.6077176941280653</v>
      </c>
      <c r="AF4">
        <v>9.9846163576449015E-3</v>
      </c>
      <c r="AG4">
        <v>-0.95463389033168689</v>
      </c>
      <c r="AH4">
        <v>-3.6237753759145934</v>
      </c>
      <c r="AI4">
        <v>4.8373725376668836E-4</v>
      </c>
    </row>
    <row r="5" spans="1:35" x14ac:dyDescent="0.25">
      <c r="A5" t="s">
        <v>255</v>
      </c>
      <c r="B5" s="5" t="b">
        <v>1</v>
      </c>
      <c r="D5" t="str">
        <f ca="1"/>
        <v>Alcohol</v>
      </c>
      <c r="E5" s="6">
        <v>0.4027183217273525</v>
      </c>
      <c r="F5" s="6" t="e" vm="1">
        <v>#VALUE!</v>
      </c>
      <c r="G5" s="7">
        <v>0.66251839935723011</v>
      </c>
      <c r="H5" s="7">
        <v>-0.59110044260500194</v>
      </c>
      <c r="I5" s="7">
        <v>1.9383807427033666</v>
      </c>
      <c r="J5" s="6">
        <v>0.5158945185378534</v>
      </c>
      <c r="L5" s="14" t="s">
        <v>476</v>
      </c>
      <c r="M5" s="11" cm="1">
        <f t="array" ref="M5">R_squared(x_s,y,Allow_Intercept,fil)</f>
        <v>0.83473769465896452</v>
      </c>
      <c r="O5" s="14" t="s">
        <v>480</v>
      </c>
      <c r="P5" s="11" cm="1">
        <f t="array" ref="P5">1-PRESS(x_s,y,Allow_Intercept,fil)/SS_Total(y,Allow_Intercept,fil)</f>
        <v>0.830279509231025</v>
      </c>
      <c r="T5" s="14" t="s">
        <v>503</v>
      </c>
      <c r="U5" s="11" cm="1">
        <f t="array" ref="U5">INDEX(Prediction_Interval(x_s,y,pred_input,Allow_Intercept,fil,alpha),3)</f>
        <v>1.9614204285810608</v>
      </c>
      <c r="W5">
        <v>3</v>
      </c>
      <c r="X5">
        <v>63.190581385013246</v>
      </c>
      <c r="Y5">
        <v>-3.2905813850132475</v>
      </c>
      <c r="Z5">
        <v>63.22265889226253</v>
      </c>
      <c r="AA5">
        <v>0.17404487568223165</v>
      </c>
      <c r="AB5">
        <v>44.5</v>
      </c>
      <c r="AC5">
        <v>-0.94897780985887348</v>
      </c>
      <c r="AD5">
        <v>-0.91511258571051779</v>
      </c>
      <c r="AE5">
        <v>-3.393882407256358</v>
      </c>
      <c r="AF5">
        <v>9.6541680290996631E-3</v>
      </c>
      <c r="AG5">
        <v>-0.9195621547553654</v>
      </c>
      <c r="AH5">
        <v>-3.4154828724569519</v>
      </c>
      <c r="AI5">
        <v>4.3384695415967189E-4</v>
      </c>
    </row>
    <row r="6" spans="1:35" x14ac:dyDescent="0.25">
      <c r="A6" t="s">
        <v>256</v>
      </c>
      <c r="B6" s="5" t="b">
        <v>1</v>
      </c>
      <c r="D6" t="str">
        <f ca="1"/>
        <v>percentage expenditure</v>
      </c>
      <c r="E6" s="6">
        <v>0.40963082412504903</v>
      </c>
      <c r="F6" s="6" t="e" vm="1">
        <v>#VALUE!</v>
      </c>
      <c r="G6" s="7">
        <v>4.9805739179663373</v>
      </c>
      <c r="H6" s="7">
        <v>30.992195235914028</v>
      </c>
      <c r="I6" s="7">
        <v>12.847294716102079</v>
      </c>
      <c r="J6" s="6">
        <v>7.7837398619544085E-2</v>
      </c>
      <c r="L6" s="14" t="s">
        <v>477</v>
      </c>
      <c r="M6" s="11" cm="1">
        <f t="array" ref="M6">Adjusted_R2(x_s,y,Allow_Intercept,fil)</f>
        <v>0.83291271214599605</v>
      </c>
      <c r="O6" s="14" t="s">
        <v>481</v>
      </c>
      <c r="P6" s="11" cm="1">
        <f t="array" ref="P6">(DF_Regression(x_s)+IF(Allow_Intercept,1,0))/Observations(y,fil)</f>
        <v>1.1522134627046696E-2</v>
      </c>
      <c r="T6" s="14" t="s">
        <v>497</v>
      </c>
      <c r="U6" s="11" cm="1">
        <f t="array" ref="U6">INDEX(Prediction_Interval(x_s,y,pred_input,Allow_Intercept,fil,alpha),4)</f>
        <v>46.08249097441476</v>
      </c>
      <c r="W6">
        <v>4</v>
      </c>
      <c r="X6">
        <v>63.029961578160005</v>
      </c>
      <c r="Y6">
        <v>-3.5299615781600053</v>
      </c>
      <c r="Z6">
        <v>63.066293581381046</v>
      </c>
      <c r="AA6">
        <v>0.16434202546998181</v>
      </c>
      <c r="AB6">
        <v>44.5</v>
      </c>
      <c r="AC6">
        <v>-0.98044852568054008</v>
      </c>
      <c r="AD6">
        <v>-0.98168435582874292</v>
      </c>
      <c r="AE6">
        <v>-3.316010805681298</v>
      </c>
      <c r="AF6">
        <v>1.0187608617172437E-2</v>
      </c>
      <c r="AG6">
        <v>-0.98672339853065394</v>
      </c>
      <c r="AH6">
        <v>-3.3372523963301397</v>
      </c>
      <c r="AI6">
        <v>5.2742002930859452E-4</v>
      </c>
    </row>
    <row r="7" spans="1:35" x14ac:dyDescent="0.25">
      <c r="A7" t="s">
        <v>257</v>
      </c>
      <c r="B7" s="5" t="b">
        <v>1</v>
      </c>
      <c r="D7" t="str">
        <f ca="1"/>
        <v>Hepatitis B</v>
      </c>
      <c r="E7" s="6">
        <v>0.19993527639757758</v>
      </c>
      <c r="F7" s="6" t="e" vm="1">
        <v>#VALUE!</v>
      </c>
      <c r="G7" s="7">
        <v>-1.7933774066676584</v>
      </c>
      <c r="H7" s="7">
        <v>2.2314153470486389</v>
      </c>
      <c r="I7" s="7">
        <v>1.6518638507945069</v>
      </c>
      <c r="J7" s="6">
        <v>0.60537676850245492</v>
      </c>
      <c r="L7" s="14" t="s">
        <v>478</v>
      </c>
      <c r="M7" s="11" cm="1">
        <f t="array" ref="M7">SE_Regression(x_s,y,Allow_Intercept,fil)</f>
        <v>3.5958213627434183</v>
      </c>
      <c r="O7" s="14" t="s">
        <v>65</v>
      </c>
      <c r="P7" s="11" cm="1">
        <f t="array" ref="P7">AIC(x_s,y,Allow_Intercept,fil)</f>
        <v>4239.5791944720204</v>
      </c>
      <c r="T7" s="14" t="s">
        <v>498</v>
      </c>
      <c r="U7" s="11" cm="1">
        <f t="array" ref="U7">INDEX(Prediction_Interval(x_s,y,pred_input,Allow_Intercept,fil,alpha),5)</f>
        <v>60.480627065329436</v>
      </c>
      <c r="W7">
        <v>5</v>
      </c>
      <c r="X7">
        <v>62.434755565308066</v>
      </c>
      <c r="Y7">
        <v>-3.2347555653080633</v>
      </c>
      <c r="Z7">
        <v>62.466562149099076</v>
      </c>
      <c r="AA7">
        <v>0.15767131594906003</v>
      </c>
      <c r="AB7">
        <v>44.6</v>
      </c>
      <c r="AC7">
        <v>-1.0205681915260707</v>
      </c>
      <c r="AD7">
        <v>-0.89958739297330348</v>
      </c>
      <c r="AE7">
        <v>-3.1629179921245263</v>
      </c>
      <c r="AF7">
        <v>9.7370208614537511E-3</v>
      </c>
      <c r="AG7">
        <v>-0.90399928889247871</v>
      </c>
      <c r="AH7">
        <v>-3.1846140107056757</v>
      </c>
      <c r="AI7">
        <v>4.2291991272888001E-4</v>
      </c>
    </row>
    <row r="8" spans="1:35" x14ac:dyDescent="0.25">
      <c r="A8" t="s">
        <v>258</v>
      </c>
      <c r="B8" s="5" t="b">
        <v>1</v>
      </c>
      <c r="D8" t="str">
        <f ca="1"/>
        <v>Measles</v>
      </c>
      <c r="E8" s="6">
        <v>-6.8881222111176282E-2</v>
      </c>
      <c r="F8" s="6" t="e" vm="1">
        <v>#VALUE!</v>
      </c>
      <c r="G8" s="7">
        <v>7.9578377460109904</v>
      </c>
      <c r="H8" s="7">
        <v>74.67143971345466</v>
      </c>
      <c r="I8" s="7">
        <v>1.5141144309884405</v>
      </c>
      <c r="J8" s="6">
        <v>0.66045206328770178</v>
      </c>
      <c r="L8" s="16" t="s">
        <v>5</v>
      </c>
      <c r="M8" s="12" cm="1">
        <f t="array" ref="M8">Observations(y,fil)</f>
        <v>1649</v>
      </c>
      <c r="O8" s="14" t="s">
        <v>69</v>
      </c>
      <c r="P8" s="11" cm="1">
        <f t="array" ref="P8">BIC(x_s,y,Allow_Intercept,fil)</f>
        <v>4342.3297566006531</v>
      </c>
      <c r="T8" s="16" t="s">
        <v>504</v>
      </c>
      <c r="U8" s="12" cm="1">
        <f t="array" ref="U8">INDEX(Prediction_Interval(x_s,y,pred_input,Allow_Intercept,fil,alpha),6)</f>
        <v>0.95</v>
      </c>
      <c r="W8">
        <v>6</v>
      </c>
      <c r="X8">
        <v>62.060621208288715</v>
      </c>
      <c r="Y8">
        <v>-3.2606212082887183</v>
      </c>
      <c r="Z8">
        <v>62.098003000755298</v>
      </c>
      <c r="AA8">
        <v>0.14675560946027896</v>
      </c>
      <c r="AB8">
        <v>44.6</v>
      </c>
      <c r="AC8">
        <v>-1.0570712344634026</v>
      </c>
      <c r="AD8">
        <v>-0.90678064324114249</v>
      </c>
      <c r="AE8">
        <v>-3.0152794472220283</v>
      </c>
      <c r="AF8">
        <v>1.1334675092175802E-2</v>
      </c>
      <c r="AG8">
        <v>-0.91196377895255154</v>
      </c>
      <c r="AH8">
        <v>-3.046987196434594</v>
      </c>
      <c r="AI8">
        <v>5.0183546641407453E-4</v>
      </c>
    </row>
    <row r="9" spans="1:35" x14ac:dyDescent="0.25">
      <c r="A9" t="s">
        <v>259</v>
      </c>
      <c r="B9" s="5" t="b">
        <v>1</v>
      </c>
      <c r="D9" t="str">
        <f ca="1"/>
        <v>BMI</v>
      </c>
      <c r="E9" s="6">
        <v>0.54204158769157829</v>
      </c>
      <c r="F9" s="6" t="e" vm="1">
        <v>#VALUE!</v>
      </c>
      <c r="G9" s="7">
        <v>-0.23360071764187307</v>
      </c>
      <c r="H9" s="7">
        <v>-1.2702262093966004</v>
      </c>
      <c r="I9" s="7">
        <v>1.7969198098458758</v>
      </c>
      <c r="J9" s="6">
        <v>0.55650786113030348</v>
      </c>
      <c r="O9" s="14" t="s">
        <v>73</v>
      </c>
      <c r="P9" s="11" cm="1">
        <f t="array" ref="P9">AICc(x_s,y,Allow_Intercept,fil)</f>
        <v>4240.0457383639787</v>
      </c>
      <c r="W9">
        <v>7</v>
      </c>
      <c r="X9">
        <v>61.542913642342043</v>
      </c>
      <c r="Y9">
        <v>-2.9429136423420417</v>
      </c>
      <c r="Z9">
        <v>61.578896070312247</v>
      </c>
      <c r="AA9">
        <v>0.14432989690721648</v>
      </c>
      <c r="AB9">
        <v>44.8</v>
      </c>
      <c r="AC9">
        <v>-1.0704544602760233</v>
      </c>
      <c r="AD9">
        <v>-0.81842598546017786</v>
      </c>
      <c r="AE9">
        <v>-2.9976165565082358</v>
      </c>
      <c r="AF9">
        <v>1.2079114920727519E-2</v>
      </c>
      <c r="AG9">
        <v>-0.82341415146343555</v>
      </c>
      <c r="AH9">
        <v>-3.0127608553572469</v>
      </c>
      <c r="AI9">
        <v>4.3631083576778921E-4</v>
      </c>
    </row>
    <row r="10" spans="1:35" x14ac:dyDescent="0.25">
      <c r="A10" t="s">
        <v>260</v>
      </c>
      <c r="B10" s="5" t="b">
        <v>1</v>
      </c>
      <c r="D10" t="str">
        <f ca="1"/>
        <v>under-five deaths</v>
      </c>
      <c r="E10" s="6">
        <v>-0.19226530105304498</v>
      </c>
      <c r="F10" s="6" t="e" vm="1">
        <v>#VALUE!</v>
      </c>
      <c r="G10" s="7">
        <v>8.3408629723813945</v>
      </c>
      <c r="H10" s="7">
        <v>82.187220775460347</v>
      </c>
      <c r="I10" s="7">
        <v>201.99931076514267</v>
      </c>
      <c r="J10" s="6">
        <v>4.9505119409177789E-3</v>
      </c>
      <c r="O10" s="16" t="s">
        <v>482</v>
      </c>
      <c r="P10" s="12" cm="1">
        <f t="array" ref="P10">QQ_Correlation(x_s,y,Allow_Intercept,fil)</f>
        <v>0.99482008680564749</v>
      </c>
      <c r="T10" s="4" t="s">
        <v>467</v>
      </c>
      <c r="W10">
        <v>8</v>
      </c>
      <c r="X10">
        <v>61.151703953904835</v>
      </c>
      <c r="Y10">
        <v>-3.0517039539048341</v>
      </c>
      <c r="Z10">
        <v>61.185529231552252</v>
      </c>
      <c r="AA10">
        <v>0.13523347483323225</v>
      </c>
      <c r="AB10">
        <v>44.8</v>
      </c>
      <c r="AC10">
        <v>-1.1174634002413726</v>
      </c>
      <c r="AD10">
        <v>-0.84868063400584171</v>
      </c>
      <c r="AE10">
        <v>-2.9685235410926758</v>
      </c>
      <c r="AF10">
        <v>1.0962552971957265E-2</v>
      </c>
      <c r="AG10">
        <v>-0.85337108713972454</v>
      </c>
      <c r="AH10">
        <v>-2.984339698104892</v>
      </c>
      <c r="AI10">
        <v>4.2483590875825802E-4</v>
      </c>
    </row>
    <row r="11" spans="1:35" x14ac:dyDescent="0.25">
      <c r="A11" t="s">
        <v>261</v>
      </c>
      <c r="B11" s="5" t="b">
        <v>1</v>
      </c>
      <c r="D11" t="str">
        <f ca="1"/>
        <v>Polio</v>
      </c>
      <c r="E11" s="6">
        <v>0.32729440310492808</v>
      </c>
      <c r="F11" s="6" t="e" vm="1">
        <v>#VALUE!</v>
      </c>
      <c r="G11" s="7">
        <v>-2.3601768849724745</v>
      </c>
      <c r="H11" s="7">
        <v>5.0635507264435367</v>
      </c>
      <c r="I11" s="7">
        <v>1.7126197216980923</v>
      </c>
      <c r="J11" s="6">
        <v>0.58390078505488807</v>
      </c>
      <c r="T11" s="3" t="s">
        <v>505</v>
      </c>
      <c r="U11" s="3" t="s">
        <v>506</v>
      </c>
      <c r="W11">
        <v>9</v>
      </c>
      <c r="X11">
        <v>60.361530832249926</v>
      </c>
      <c r="Y11">
        <v>-2.861530832249926</v>
      </c>
      <c r="Z11">
        <v>60.38996431802191</v>
      </c>
      <c r="AA11">
        <v>0.12067919951485749</v>
      </c>
      <c r="AB11">
        <v>45.1</v>
      </c>
      <c r="AC11">
        <v>-1.182232646923248</v>
      </c>
      <c r="AD11">
        <v>-0.79579337891989488</v>
      </c>
      <c r="AE11">
        <v>-2.9680558597331475</v>
      </c>
      <c r="AF11">
        <v>9.8386978671926445E-3</v>
      </c>
      <c r="AG11">
        <v>-0.79973729042388886</v>
      </c>
      <c r="AH11">
        <v>-2.9778913210961564</v>
      </c>
      <c r="AI11">
        <v>3.3448201282408905E-4</v>
      </c>
    </row>
    <row r="12" spans="1:35" x14ac:dyDescent="0.25">
      <c r="A12" t="s">
        <v>262</v>
      </c>
      <c r="B12" s="5" t="b">
        <v>1</v>
      </c>
      <c r="D12" t="str">
        <f ca="1"/>
        <v>Total expenditure</v>
      </c>
      <c r="E12" s="6">
        <v>0.17471764064230411</v>
      </c>
      <c r="F12" s="6" t="e" vm="1">
        <v>#VALUE!</v>
      </c>
      <c r="G12" s="7">
        <v>0.21336165862070411</v>
      </c>
      <c r="H12" s="7">
        <v>-1.0252562552346411E-2</v>
      </c>
      <c r="I12" s="7">
        <v>1.1185619729448348</v>
      </c>
      <c r="J12" s="6">
        <v>0.89400500301945984</v>
      </c>
      <c r="L12" s="3" t="s">
        <v>483</v>
      </c>
      <c r="M12" s="5">
        <v>0.05</v>
      </c>
      <c r="T12" t="s">
        <v>507</v>
      </c>
      <c r="U12" s="5">
        <f>IF(Allow_Intercept,1,0)</f>
        <v>1</v>
      </c>
      <c r="W12">
        <v>10</v>
      </c>
      <c r="X12">
        <v>59.895933200646468</v>
      </c>
      <c r="Y12">
        <v>-2.5959332006464706</v>
      </c>
      <c r="Z12">
        <v>59.924735880763059</v>
      </c>
      <c r="AA12">
        <v>0.11643420254699818</v>
      </c>
      <c r="AB12">
        <v>45.3</v>
      </c>
      <c r="AC12">
        <v>-1.207056068729359</v>
      </c>
      <c r="AD12">
        <v>-0.72193052400854341</v>
      </c>
      <c r="AE12">
        <v>-2.9678678861443593</v>
      </c>
      <c r="AF12">
        <v>1.0973553692655309E-2</v>
      </c>
      <c r="AG12">
        <v>-0.72592449697535788</v>
      </c>
      <c r="AH12">
        <v>-2.9761912720292414</v>
      </c>
      <c r="AI12">
        <v>3.0772918875861103E-4</v>
      </c>
    </row>
    <row r="13" spans="1:35" x14ac:dyDescent="0.25">
      <c r="A13" t="s">
        <v>263</v>
      </c>
      <c r="B13" s="5" t="b">
        <v>1</v>
      </c>
      <c r="D13" t="str">
        <f ca="1"/>
        <v>Diphtheria</v>
      </c>
      <c r="E13" s="6">
        <v>0.34133123426064216</v>
      </c>
      <c r="F13" s="6" t="e" vm="1">
        <v>#VALUE!</v>
      </c>
      <c r="G13" s="7">
        <v>-2.4874916081791545</v>
      </c>
      <c r="H13" s="7">
        <v>5.8556393600326784</v>
      </c>
      <c r="I13" s="7">
        <v>2.0929357702033715</v>
      </c>
      <c r="J13" s="6">
        <v>0.47779774909328898</v>
      </c>
      <c r="L13" s="15" t="s">
        <v>484</v>
      </c>
      <c r="M13" s="8"/>
      <c r="N13" s="8"/>
      <c r="O13" s="8"/>
      <c r="P13" s="8"/>
      <c r="Q13" s="10"/>
      <c r="T13" t="s">
        <v>253</v>
      </c>
      <c r="U13" s="5">
        <v>0</v>
      </c>
      <c r="W13">
        <v>11</v>
      </c>
      <c r="X13">
        <v>59.71317036353333</v>
      </c>
      <c r="Y13">
        <v>-2.4131703635333324</v>
      </c>
      <c r="Z13">
        <v>59.74327828761102</v>
      </c>
      <c r="AA13">
        <v>0.11643420254699818</v>
      </c>
      <c r="AB13">
        <v>45.3</v>
      </c>
      <c r="AC13">
        <v>-1.207056068729359</v>
      </c>
      <c r="AD13">
        <v>-0.6711040733381185</v>
      </c>
      <c r="AE13">
        <v>-2.8944892824347925</v>
      </c>
      <c r="AF13">
        <v>1.2322756777382652E-2</v>
      </c>
      <c r="AG13">
        <v>-0.67527761144894538</v>
      </c>
      <c r="AH13">
        <v>-2.9233220915481097</v>
      </c>
      <c r="AI13">
        <v>2.9943594330917282E-4</v>
      </c>
    </row>
    <row r="14" spans="1:35" x14ac:dyDescent="0.25">
      <c r="A14" t="s">
        <v>264</v>
      </c>
      <c r="B14" s="5" t="b">
        <v>1</v>
      </c>
      <c r="D14" t="str">
        <f ca="1"/>
        <v>HIV/AIDS</v>
      </c>
      <c r="E14" s="6">
        <v>-0.59223629259263988</v>
      </c>
      <c r="F14" s="6" t="e" vm="1">
        <v>#VALUE!</v>
      </c>
      <c r="G14" s="7">
        <v>4.9741755969625574</v>
      </c>
      <c r="H14" s="7">
        <v>27.751491599089142</v>
      </c>
      <c r="I14" s="7">
        <v>1.4820785003440076</v>
      </c>
      <c r="J14" s="6">
        <v>0.67472809285600488</v>
      </c>
      <c r="L14" s="18"/>
      <c r="M14" s="19" t="s">
        <v>485</v>
      </c>
      <c r="N14" s="19" t="s">
        <v>486</v>
      </c>
      <c r="O14" s="19" t="s">
        <v>487</v>
      </c>
      <c r="P14" s="19" t="s">
        <v>488</v>
      </c>
      <c r="Q14" s="13" t="s">
        <v>489</v>
      </c>
      <c r="T14" t="s">
        <v>254</v>
      </c>
      <c r="U14" s="5">
        <v>0</v>
      </c>
      <c r="W14">
        <v>12</v>
      </c>
      <c r="X14">
        <v>57.409168303982227</v>
      </c>
      <c r="Y14">
        <v>-0.40916830398222714</v>
      </c>
      <c r="Z14">
        <v>57.419618667794012</v>
      </c>
      <c r="AA14">
        <v>0.11097634930260764</v>
      </c>
      <c r="AB14">
        <v>45.3</v>
      </c>
      <c r="AC14">
        <v>-1.2294035019788656</v>
      </c>
      <c r="AD14">
        <v>-0.11378994190914249</v>
      </c>
      <c r="AE14">
        <v>-2.8534124564292154</v>
      </c>
      <c r="AF14">
        <v>2.4904430174000611E-2</v>
      </c>
      <c r="AG14">
        <v>-0.11523390625493084</v>
      </c>
      <c r="AH14">
        <v>-2.8625670309046316</v>
      </c>
      <c r="AI14">
        <v>1.7849924896844846E-5</v>
      </c>
    </row>
    <row r="15" spans="1:35" x14ac:dyDescent="0.25">
      <c r="A15" t="s">
        <v>265</v>
      </c>
      <c r="B15" s="5" t="b">
        <v>1</v>
      </c>
      <c r="D15" t="str">
        <f ca="1"/>
        <v>GDP</v>
      </c>
      <c r="E15" s="6">
        <v>0.44132180991356607</v>
      </c>
      <c r="F15" s="6" t="e" vm="1">
        <v>#VALUE!</v>
      </c>
      <c r="G15" s="7">
        <v>4.5172974225641669</v>
      </c>
      <c r="H15" s="7">
        <v>28.015318265499179</v>
      </c>
      <c r="I15" s="7">
        <v>13.516874113156392</v>
      </c>
      <c r="J15" s="6">
        <v>7.3981601931667695E-2</v>
      </c>
      <c r="L15" s="14" t="s">
        <v>490</v>
      </c>
      <c r="M15" s="17" cm="1">
        <f t="array" ref="M15">DF_Regression(x_s)</f>
        <v>18</v>
      </c>
      <c r="N15" s="17" cm="1">
        <f t="array" ref="N15">SS_Regression(x_s,y,Allow_Intercept,fil)</f>
        <v>106453.52326857558</v>
      </c>
      <c r="O15" s="17" cm="1">
        <f t="array" ref="O15">MS_Regression(x_s,y,Allow_Intercept,fil)</f>
        <v>5914.0846260319768</v>
      </c>
      <c r="P15" s="17" cm="1">
        <f t="array" ref="P15">F_Stat(x_s,y,Allow_Intercept,fil)</f>
        <v>457.3949003495888</v>
      </c>
      <c r="Q15" s="11" cm="1">
        <f t="array" ref="Q15">P_Value_F(x_s,y,Allow_Intercept,fil)</f>
        <v>0</v>
      </c>
      <c r="T15" t="s">
        <v>255</v>
      </c>
      <c r="U15" s="5">
        <v>0</v>
      </c>
      <c r="W15">
        <v>13</v>
      </c>
      <c r="X15">
        <v>57.69150417826279</v>
      </c>
      <c r="Y15">
        <v>-0.9915041782627867</v>
      </c>
      <c r="Z15">
        <v>57.707194477749674</v>
      </c>
      <c r="AA15">
        <v>0.10491206791995149</v>
      </c>
      <c r="AB15">
        <v>45.4</v>
      </c>
      <c r="AC15">
        <v>-1.2726185683477402</v>
      </c>
      <c r="AD15">
        <v>-0.27573788523975018</v>
      </c>
      <c r="AE15">
        <v>-2.7952607517106745</v>
      </c>
      <c r="AF15">
        <v>1.5578222313071221E-2</v>
      </c>
      <c r="AG15">
        <v>-0.27791106217407591</v>
      </c>
      <c r="AH15">
        <v>-2.8211570737593124</v>
      </c>
      <c r="AI15">
        <v>6.4327215358126971E-5</v>
      </c>
    </row>
    <row r="16" spans="1:35" x14ac:dyDescent="0.25">
      <c r="A16" t="s">
        <v>266</v>
      </c>
      <c r="B16" s="5" t="b">
        <v>1</v>
      </c>
      <c r="D16" t="str">
        <f ca="1"/>
        <v>Population</v>
      </c>
      <c r="E16" s="6">
        <v>-2.2304977802841353E-2</v>
      </c>
      <c r="F16" s="6" t="e" vm="1">
        <v>#VALUE!</v>
      </c>
      <c r="G16" s="7">
        <v>14.186299010071318</v>
      </c>
      <c r="H16" s="7">
        <v>230.16446135150653</v>
      </c>
      <c r="I16" s="7">
        <v>1.9433905318505209</v>
      </c>
      <c r="J16" s="6">
        <v>0.5145646145799565</v>
      </c>
      <c r="L16" s="14" t="s">
        <v>491</v>
      </c>
      <c r="M16" s="17" cm="1">
        <f t="array" ref="M16">DF_Residual(x_s,y,Allow_Intercept,fil)</f>
        <v>1630</v>
      </c>
      <c r="N16" s="17" cm="1">
        <f t="array" ref="N16">SS_Residual(x_s,y,Allow_Intercept,fil)</f>
        <v>21075.787974601953</v>
      </c>
      <c r="O16" s="17" cm="1">
        <f t="array" ref="O16">MS_Residual(x_s,y,Allow_Intercept,fil)</f>
        <v>12.929931272761934</v>
      </c>
      <c r="P16" s="17"/>
      <c r="Q16" s="11"/>
      <c r="T16" t="s">
        <v>256</v>
      </c>
      <c r="U16" s="5">
        <v>0</v>
      </c>
      <c r="W16">
        <v>14</v>
      </c>
      <c r="X16">
        <v>62.814219997451467</v>
      </c>
      <c r="Y16">
        <v>-6.6142199974514639</v>
      </c>
      <c r="Z16">
        <v>63.334014871068753</v>
      </c>
      <c r="AA16">
        <v>9.5815645845967259E-2</v>
      </c>
      <c r="AB16">
        <v>45.5</v>
      </c>
      <c r="AC16">
        <v>-1.3147344895569</v>
      </c>
      <c r="AD16">
        <v>-1.8394184054808467</v>
      </c>
      <c r="AE16">
        <v>-2.7911809587908212</v>
      </c>
      <c r="AF16">
        <v>7.2861478846260916E-2</v>
      </c>
      <c r="AG16">
        <v>-1.9103292037941246</v>
      </c>
      <c r="AH16">
        <v>-2.8027034462765874</v>
      </c>
      <c r="AI16">
        <v>1.5094411482224289E-2</v>
      </c>
    </row>
    <row r="17" spans="1:35" x14ac:dyDescent="0.25">
      <c r="A17" t="s">
        <v>267</v>
      </c>
      <c r="B17" s="5" t="b">
        <v>1</v>
      </c>
      <c r="D17" t="str">
        <f ca="1"/>
        <v>thinness 1-19 years</v>
      </c>
      <c r="E17" s="6">
        <v>-0.45783819334984405</v>
      </c>
      <c r="F17" s="6" t="e" vm="1">
        <v>#VALUE!</v>
      </c>
      <c r="G17" s="7">
        <v>1.8210735142413568</v>
      </c>
      <c r="H17" s="7">
        <v>4.1593458501427047</v>
      </c>
      <c r="I17" s="7">
        <v>7.6025617770389342</v>
      </c>
      <c r="J17" s="6">
        <v>0.13153461021785773</v>
      </c>
      <c r="L17" s="16" t="s">
        <v>492</v>
      </c>
      <c r="M17" s="9" cm="1">
        <f t="array" ref="M17">DF_Total(y,Allow_Intercept,fil)</f>
        <v>1648</v>
      </c>
      <c r="N17" s="9" cm="1">
        <f t="array" ref="N17">SS_Total(y,Allow_Intercept,fil)</f>
        <v>127529.31124317752</v>
      </c>
      <c r="O17" s="9"/>
      <c r="P17" s="9"/>
      <c r="Q17" s="12"/>
      <c r="T17" t="s">
        <v>257</v>
      </c>
      <c r="U17" s="5">
        <v>0</v>
      </c>
      <c r="W17">
        <v>15</v>
      </c>
      <c r="X17">
        <v>57.298951152094432</v>
      </c>
      <c r="Y17">
        <v>-1.9989511520944347</v>
      </c>
      <c r="Z17">
        <v>57.323444390830964</v>
      </c>
      <c r="AA17">
        <v>8.6719223771983017E-2</v>
      </c>
      <c r="AB17">
        <v>45.6</v>
      </c>
      <c r="AC17">
        <v>-1.3946242806491973</v>
      </c>
      <c r="AD17">
        <v>-0.5559094711449577</v>
      </c>
      <c r="AE17">
        <v>-2.7843955286234592</v>
      </c>
      <c r="AF17">
        <v>1.2104725411541607E-2</v>
      </c>
      <c r="AG17">
        <v>-0.55930489367306124</v>
      </c>
      <c r="AH17">
        <v>-2.8017613831567418</v>
      </c>
      <c r="AI17">
        <v>2.0173798171414084E-4</v>
      </c>
    </row>
    <row r="18" spans="1:35" x14ac:dyDescent="0.25">
      <c r="A18" t="s">
        <v>268</v>
      </c>
      <c r="B18" s="5" t="b">
        <v>1</v>
      </c>
      <c r="D18" t="str">
        <f ca="1"/>
        <v>thinness 5-9 years</v>
      </c>
      <c r="E18" s="6">
        <v>-0.45750828676579908</v>
      </c>
      <c r="F18" s="6" t="e" vm="1">
        <v>#VALUE!</v>
      </c>
      <c r="G18" s="7">
        <v>1.8669799469852892</v>
      </c>
      <c r="H18" s="7">
        <v>4.5198333738580816</v>
      </c>
      <c r="I18" s="7">
        <v>7.5845186690958011</v>
      </c>
      <c r="J18" s="6">
        <v>0.13184752304383429</v>
      </c>
      <c r="T18" t="s">
        <v>258</v>
      </c>
      <c r="U18" s="5">
        <v>0</v>
      </c>
      <c r="W18">
        <v>16</v>
      </c>
      <c r="X18">
        <v>56.666021183009462</v>
      </c>
      <c r="Y18">
        <v>-1.8660211830094653</v>
      </c>
      <c r="Z18">
        <v>56.694097987269338</v>
      </c>
      <c r="AA18">
        <v>7.7622801697998789E-2</v>
      </c>
      <c r="AB18">
        <v>45.9</v>
      </c>
      <c r="AC18">
        <v>-1.4402815816722083</v>
      </c>
      <c r="AD18">
        <v>-0.51894156988538254</v>
      </c>
      <c r="AE18">
        <v>-2.7766481018224303</v>
      </c>
      <c r="AF18">
        <v>1.4823311385464185E-2</v>
      </c>
      <c r="AG18">
        <v>-0.52283108152250746</v>
      </c>
      <c r="AH18">
        <v>-2.7869245027896805</v>
      </c>
      <c r="AI18">
        <v>2.1647128713145008E-4</v>
      </c>
    </row>
    <row r="19" spans="1:35" x14ac:dyDescent="0.25">
      <c r="A19" t="s">
        <v>269</v>
      </c>
      <c r="B19" s="5" t="b">
        <v>1</v>
      </c>
      <c r="D19" t="str">
        <f ca="1"/>
        <v>Income composition of resources</v>
      </c>
      <c r="E19" s="6">
        <v>0.72108259291729193</v>
      </c>
      <c r="F19" s="6" t="e" vm="1">
        <v>#VALUE!</v>
      </c>
      <c r="G19" s="7">
        <v>-1.1552436094975105</v>
      </c>
      <c r="H19" s="7">
        <v>2.0611920694297563</v>
      </c>
      <c r="I19" s="7">
        <v>2.9714887896518474</v>
      </c>
      <c r="J19" s="6">
        <v>0.33653164147294812</v>
      </c>
      <c r="L19" s="4" t="s">
        <v>493</v>
      </c>
      <c r="T19" t="s">
        <v>259</v>
      </c>
      <c r="U19" s="5">
        <v>0</v>
      </c>
      <c r="W19">
        <v>17</v>
      </c>
      <c r="X19">
        <v>75.880891745403332</v>
      </c>
      <c r="Y19">
        <v>1.9191082545966651</v>
      </c>
      <c r="Z19">
        <v>75.876755598285911</v>
      </c>
      <c r="AA19">
        <v>0.85203153426318978</v>
      </c>
      <c r="AB19">
        <v>46</v>
      </c>
      <c r="AC19">
        <v>1.0386467129748296</v>
      </c>
      <c r="AD19">
        <v>0.53370511518750441</v>
      </c>
      <c r="AE19">
        <v>-2.7184604757679112</v>
      </c>
      <c r="AF19">
        <v>2.1506092068875864E-3</v>
      </c>
      <c r="AG19">
        <v>0.53427993808565277</v>
      </c>
      <c r="AH19">
        <v>-2.7243428381933401</v>
      </c>
      <c r="AI19">
        <v>3.2380282781727835E-5</v>
      </c>
    </row>
    <row r="20" spans="1:35" x14ac:dyDescent="0.25">
      <c r="A20" t="s">
        <v>270</v>
      </c>
      <c r="B20" s="5" t="b">
        <v>1</v>
      </c>
      <c r="D20" t="str">
        <f ca="1"/>
        <v>Schooling</v>
      </c>
      <c r="E20" s="6">
        <v>0.72763003232110479</v>
      </c>
      <c r="F20" s="6" t="e" vm="1">
        <v>#VALUE!</v>
      </c>
      <c r="G20" s="7">
        <v>-0.12816419625645914</v>
      </c>
      <c r="H20" s="7">
        <v>4.5707552951051778E-2</v>
      </c>
      <c r="I20" s="7">
        <v>3.5129929693031889</v>
      </c>
      <c r="J20" s="6">
        <v>0.284657558024761</v>
      </c>
      <c r="L20" s="3"/>
      <c r="M20" s="3" t="s">
        <v>85</v>
      </c>
      <c r="N20" s="3" t="s">
        <v>494</v>
      </c>
      <c r="O20" s="3" t="s">
        <v>495</v>
      </c>
      <c r="P20" s="3" t="s">
        <v>496</v>
      </c>
      <c r="Q20" s="3" t="s">
        <v>497</v>
      </c>
      <c r="R20" s="3" t="s">
        <v>498</v>
      </c>
      <c r="T20" t="s">
        <v>260</v>
      </c>
      <c r="U20" s="5">
        <v>0</v>
      </c>
      <c r="W20">
        <v>18</v>
      </c>
      <c r="X20">
        <v>76.899624192575914</v>
      </c>
      <c r="Y20">
        <v>0.60037580742408636</v>
      </c>
      <c r="Z20">
        <v>76.897957287245617</v>
      </c>
      <c r="AA20">
        <v>0.84596725288053365</v>
      </c>
      <c r="AB20">
        <v>46</v>
      </c>
      <c r="AC20">
        <v>1.0129215482717411</v>
      </c>
      <c r="AD20">
        <v>0.16696485916809614</v>
      </c>
      <c r="AE20">
        <v>-2.6489774956696062</v>
      </c>
      <c r="AF20">
        <v>2.7687492846897831E-3</v>
      </c>
      <c r="AG20">
        <v>0.16719648217594898</v>
      </c>
      <c r="AH20">
        <v>-2.656918431023767</v>
      </c>
      <c r="AI20">
        <v>4.0849657718616073E-6</v>
      </c>
    </row>
    <row r="21" spans="1:35" x14ac:dyDescent="0.25">
      <c r="L21" t="str" cm="1">
        <f t="array" aca="1" ref="L21:L39" ca="1">IF(Allow_Intercept,_xlfn.VSTACK("Intercept",Coefficient_Name_Col(All_Xs)),_xlfn.VSTACK("",Coefficient_Name_Col(All_Xs)))</f>
        <v>Intercept</v>
      </c>
      <c r="M21" cm="1">
        <f t="array" ref="M21:M39">IF(Allow_Intercept,Coefficients(x_s,y,Allow_Intercept,fil),_xlfn.VSTACK("",Coefficients(x_s,y,Allow_Intercept,fil)))</f>
        <v>53.281559019872098</v>
      </c>
      <c r="N21" cm="1">
        <f t="array" ref="N21:N39">IF(Allow_Intercept,SE_Coefficients(x_s,y,Allow_Intercept,fil),_xlfn.VSTACK("",SE_Coefficients(x_s,y,Allow_Intercept,fil)))</f>
        <v>0.73581264064861296</v>
      </c>
      <c r="O21" cm="1">
        <f t="array" ref="O21:O39">IF(Allow_Intercept,T_Stats(x_s,y,Allow_Intercept,fil),_xlfn.VSTACK("",T_Stats(x_s,y,Allow_Intercept,fil)))</f>
        <v>72.411856057412706</v>
      </c>
      <c r="P21" cm="1">
        <f t="array" ref="P21:P39">IF(Allow_Intercept,P_Values(x_s,y,Allow_Intercept,fil),_xlfn.VSTACK("",P_Values(x_s,y,Allow_Intercept,fil)))</f>
        <v>0</v>
      </c>
      <c r="Q21" cm="1">
        <f t="array" ref="Q21:Q39">IF(Allow_Intercept,CI_Lower(x_s,y,Allow_Intercept,fil),_xlfn.VSTACK("",CI_Lower(x_s,y,Allow_Intercept,fil)))</f>
        <v>51.838321074895731</v>
      </c>
      <c r="R21" cm="1">
        <f t="array" ref="R21:R39">IF(Allow_Intercept,CI_Upper(x_s,y,Allow_Intercept,fil),_xlfn.VSTACK("",CI_Upper(x_s,y,Allow_Intercept,fil)))</f>
        <v>54.724796964848466</v>
      </c>
      <c r="T21" t="s">
        <v>261</v>
      </c>
      <c r="U21" s="5">
        <v>0</v>
      </c>
      <c r="W21">
        <v>19</v>
      </c>
      <c r="X21">
        <v>75.551094952745061</v>
      </c>
      <c r="Y21">
        <v>1.6489050472549422</v>
      </c>
      <c r="Z21">
        <v>75.547685118922573</v>
      </c>
      <c r="AA21">
        <v>0.84111582777440874</v>
      </c>
      <c r="AB21">
        <v>46</v>
      </c>
      <c r="AC21">
        <v>0.99032898964496086</v>
      </c>
      <c r="AD21">
        <v>0.45856144700050294</v>
      </c>
      <c r="AE21">
        <v>-2.6133606239410763</v>
      </c>
      <c r="AF21">
        <v>2.0636707092227887E-3</v>
      </c>
      <c r="AG21">
        <v>0.45903534051016326</v>
      </c>
      <c r="AH21">
        <v>-2.6210044252204265</v>
      </c>
      <c r="AI21">
        <v>2.2933810047121915E-5</v>
      </c>
    </row>
    <row r="22" spans="1:35" x14ac:dyDescent="0.25">
      <c r="L22" t="str">
        <f ca="1"/>
        <v>Adult Mortality</v>
      </c>
      <c r="M22">
        <v>-1.6888530199683449E-2</v>
      </c>
      <c r="N22">
        <v>9.4729127053766037E-4</v>
      </c>
      <c r="O22">
        <v>-17.828233749159235</v>
      </c>
      <c r="P22">
        <v>4.3051998381958088E-65</v>
      </c>
      <c r="Q22">
        <v>-1.8746566649532524E-2</v>
      </c>
      <c r="R22">
        <v>-1.5030493749834374E-2</v>
      </c>
      <c r="T22" t="s">
        <v>262</v>
      </c>
      <c r="U22" s="5">
        <v>0</v>
      </c>
      <c r="W22">
        <v>20</v>
      </c>
      <c r="X22">
        <v>75.38971227266957</v>
      </c>
      <c r="Y22">
        <v>1.5102877273304358</v>
      </c>
      <c r="Z22">
        <v>75.386720317488056</v>
      </c>
      <c r="AA22">
        <v>0.83080654942389331</v>
      </c>
      <c r="AB22">
        <v>46</v>
      </c>
      <c r="AC22">
        <v>0.94897780985887181</v>
      </c>
      <c r="AD22">
        <v>0.42001189018415741</v>
      </c>
      <c r="AE22">
        <v>-2.5202185602786695</v>
      </c>
      <c r="AF22">
        <v>1.9771329887555986E-3</v>
      </c>
      <c r="AG22">
        <v>0.4204277165757847</v>
      </c>
      <c r="AH22">
        <v>-2.5304099296411859</v>
      </c>
      <c r="AI22">
        <v>1.8429963175524905E-5</v>
      </c>
    </row>
    <row r="23" spans="1:35" x14ac:dyDescent="0.25">
      <c r="L23" t="str">
        <f ca="1"/>
        <v>infant deaths</v>
      </c>
      <c r="M23">
        <v>9.3693837832986432E-2</v>
      </c>
      <c r="N23">
        <v>1.0676596104392339E-2</v>
      </c>
      <c r="O23">
        <v>8.7756281980584525</v>
      </c>
      <c r="P23">
        <v>4.2006946451565517E-18</v>
      </c>
      <c r="Q23">
        <v>7.2752544126122323E-2</v>
      </c>
      <c r="R23">
        <v>0.11463513153985054</v>
      </c>
      <c r="T23" t="s">
        <v>263</v>
      </c>
      <c r="U23" s="5">
        <v>0</v>
      </c>
      <c r="W23">
        <v>21</v>
      </c>
      <c r="X23">
        <v>74.407081796585118</v>
      </c>
      <c r="Y23">
        <v>2.1929182034148766</v>
      </c>
      <c r="Z23">
        <v>74.403035178041094</v>
      </c>
      <c r="AA23">
        <v>0.82413583990297146</v>
      </c>
      <c r="AB23">
        <v>46.2</v>
      </c>
      <c r="AC23">
        <v>0.91841998904288702</v>
      </c>
      <c r="AD23">
        <v>0.60985182026445217</v>
      </c>
      <c r="AE23">
        <v>-2.5165663605363431</v>
      </c>
      <c r="AF23">
        <v>1.8419132175363571E-3</v>
      </c>
      <c r="AG23">
        <v>0.61041424440039793</v>
      </c>
      <c r="AH23">
        <v>-2.524519815966217</v>
      </c>
      <c r="AI23">
        <v>3.6188080938443596E-5</v>
      </c>
    </row>
    <row r="24" spans="1:35" x14ac:dyDescent="0.25">
      <c r="L24" t="str">
        <f ca="1"/>
        <v>Alcohol</v>
      </c>
      <c r="M24">
        <v>-5.4348345042438746E-2</v>
      </c>
      <c r="N24">
        <v>3.060704543923112E-2</v>
      </c>
      <c r="O24">
        <v>-1.7756808689798198</v>
      </c>
      <c r="P24">
        <v>7.5972069104877124E-2</v>
      </c>
      <c r="Q24">
        <v>-0.11438162922545544</v>
      </c>
      <c r="R24">
        <v>5.684939140577959E-3</v>
      </c>
      <c r="T24" t="s">
        <v>264</v>
      </c>
      <c r="U24" s="5">
        <v>0</v>
      </c>
      <c r="W24">
        <v>22</v>
      </c>
      <c r="X24">
        <v>73.364655509418071</v>
      </c>
      <c r="Y24">
        <v>2.8353444905819316</v>
      </c>
      <c r="Z24">
        <v>73.35785415186885</v>
      </c>
      <c r="AA24">
        <v>0.81322013341419042</v>
      </c>
      <c r="AB24">
        <v>46.2</v>
      </c>
      <c r="AC24">
        <v>0.88194836619248052</v>
      </c>
      <c r="AD24">
        <v>0.78851094216168627</v>
      </c>
      <c r="AE24">
        <v>-2.4946795083215068</v>
      </c>
      <c r="AF24">
        <v>2.3930360764884535E-3</v>
      </c>
      <c r="AG24">
        <v>0.78945610642516406</v>
      </c>
      <c r="AH24">
        <v>-2.5175342773589398</v>
      </c>
      <c r="AI24">
        <v>7.8685036302639764E-5</v>
      </c>
    </row>
    <row r="25" spans="1:35" x14ac:dyDescent="0.25">
      <c r="L25" t="str">
        <f ca="1"/>
        <v>percentage expenditure</v>
      </c>
      <c r="M25">
        <v>3.7768262346544172E-4</v>
      </c>
      <c r="N25">
        <v>1.8046911534510949E-4</v>
      </c>
      <c r="O25">
        <v>2.0927825946461951</v>
      </c>
      <c r="P25">
        <v>3.6522850199107303E-2</v>
      </c>
      <c r="Q25">
        <v>2.3706813899592165E-5</v>
      </c>
      <c r="R25">
        <v>7.3165843303129121E-4</v>
      </c>
      <c r="T25" t="s">
        <v>265</v>
      </c>
      <c r="U25" s="5">
        <v>0</v>
      </c>
      <c r="W25">
        <v>23</v>
      </c>
      <c r="X25">
        <v>73.184591471372585</v>
      </c>
      <c r="Y25">
        <v>2.9154085286274096</v>
      </c>
      <c r="Z25">
        <v>73.178228559949616</v>
      </c>
      <c r="AA25">
        <v>0.81079442086112796</v>
      </c>
      <c r="AB25">
        <v>46.4</v>
      </c>
      <c r="AC25">
        <v>0.873012700415573</v>
      </c>
      <c r="AD25">
        <v>0.81077679743331565</v>
      </c>
      <c r="AE25">
        <v>-2.4861991942744202</v>
      </c>
      <c r="AF25">
        <v>2.177758101041794E-3</v>
      </c>
      <c r="AG25">
        <v>0.81166107988003555</v>
      </c>
      <c r="AH25">
        <v>-2.4900435749168026</v>
      </c>
      <c r="AI25">
        <v>7.5674977363507449E-5</v>
      </c>
    </row>
    <row r="26" spans="1:35" x14ac:dyDescent="0.25">
      <c r="L26" t="str">
        <f ca="1"/>
        <v>Hepatitis B</v>
      </c>
      <c r="M26">
        <v>-5.582499705270378E-3</v>
      </c>
      <c r="N26">
        <v>4.4461852137428646E-3</v>
      </c>
      <c r="O26">
        <v>-1.2555706604428534</v>
      </c>
      <c r="P26">
        <v>0.20945162853357524</v>
      </c>
      <c r="Q26">
        <v>-1.4303338212760683E-2</v>
      </c>
      <c r="R26">
        <v>3.1383388022199268E-3</v>
      </c>
      <c r="T26" t="s">
        <v>266</v>
      </c>
      <c r="U26" s="5">
        <v>0</v>
      </c>
      <c r="W26">
        <v>24</v>
      </c>
      <c r="X26">
        <v>74.283595157164399</v>
      </c>
      <c r="Y26">
        <v>1.0164048428355983</v>
      </c>
      <c r="Z26">
        <v>74.27987560638617</v>
      </c>
      <c r="AA26">
        <v>0.77258944815039421</v>
      </c>
      <c r="AB26">
        <v>46.4</v>
      </c>
      <c r="AC26">
        <v>0.72844171022016913</v>
      </c>
      <c r="AD26">
        <v>0.28266277445443955</v>
      </c>
      <c r="AE26">
        <v>-2.4554169633736347</v>
      </c>
      <c r="AF26">
        <v>3.6461737426512052E-3</v>
      </c>
      <c r="AG26">
        <v>0.28317950674949788</v>
      </c>
      <c r="AH26">
        <v>-2.4626246159272069</v>
      </c>
      <c r="AI26">
        <v>1.5445209634004598E-5</v>
      </c>
    </row>
    <row r="27" spans="1:35" x14ac:dyDescent="0.25">
      <c r="L27" t="str">
        <f ca="1"/>
        <v>Measles</v>
      </c>
      <c r="M27">
        <v>-8.6173382207203657E-6</v>
      </c>
      <c r="N27">
        <v>1.0806583538963232E-5</v>
      </c>
      <c r="O27">
        <v>-0.79741559297168041</v>
      </c>
      <c r="P27">
        <v>0.42532584916473692</v>
      </c>
      <c r="Q27">
        <v>-2.9813591937210667E-5</v>
      </c>
      <c r="R27">
        <v>1.2578915495769934E-5</v>
      </c>
      <c r="T27" t="s">
        <v>267</v>
      </c>
      <c r="U27" s="5">
        <v>0</v>
      </c>
      <c r="W27">
        <v>25</v>
      </c>
      <c r="X27">
        <v>73.673954103044807</v>
      </c>
      <c r="Y27">
        <v>2.2260458969551991</v>
      </c>
      <c r="Z27">
        <v>73.665582582657493</v>
      </c>
      <c r="AA27">
        <v>0.79866585809581569</v>
      </c>
      <c r="AB27">
        <v>46.6</v>
      </c>
      <c r="AC27">
        <v>0.82933781119598415</v>
      </c>
      <c r="AD27">
        <v>0.61906465099168495</v>
      </c>
      <c r="AE27">
        <v>-2.423098073312929</v>
      </c>
      <c r="AF27">
        <v>3.7466233132330993E-3</v>
      </c>
      <c r="AG27">
        <v>0.62022762094856909</v>
      </c>
      <c r="AH27">
        <v>-2.4615699599494847</v>
      </c>
      <c r="AI27">
        <v>7.6141044447235729E-5</v>
      </c>
    </row>
    <row r="28" spans="1:35" x14ac:dyDescent="0.25">
      <c r="L28" t="str">
        <f ca="1"/>
        <v>BMI</v>
      </c>
      <c r="M28">
        <v>3.3498059904934437E-2</v>
      </c>
      <c r="N28">
        <v>6.0106760258809705E-3</v>
      </c>
      <c r="O28">
        <v>5.5730935689591927</v>
      </c>
      <c r="P28">
        <v>2.9233529911097799E-8</v>
      </c>
      <c r="Q28">
        <v>2.1708597158189076E-2</v>
      </c>
      <c r="R28">
        <v>4.5287522651679797E-2</v>
      </c>
      <c r="T28" t="s">
        <v>268</v>
      </c>
      <c r="U28" s="5">
        <v>0</v>
      </c>
      <c r="W28">
        <v>26</v>
      </c>
      <c r="X28">
        <v>70.313556770136856</v>
      </c>
      <c r="Y28">
        <v>3.8864432298631471</v>
      </c>
      <c r="Z28">
        <v>70.287858216447347</v>
      </c>
      <c r="AA28">
        <v>0.7010309278350515</v>
      </c>
      <c r="AB28">
        <v>46.7</v>
      </c>
      <c r="AC28">
        <v>0.5039283835636299</v>
      </c>
      <c r="AD28">
        <v>1.0808221092768635</v>
      </c>
      <c r="AE28">
        <v>-2.4184859445984266</v>
      </c>
      <c r="AF28">
        <v>6.5689218620745855E-3</v>
      </c>
      <c r="AG28">
        <v>1.0843896129106505</v>
      </c>
      <c r="AH28">
        <v>-2.4324780135462265</v>
      </c>
      <c r="AI28">
        <v>4.0923564152193224E-4</v>
      </c>
    </row>
    <row r="29" spans="1:35" x14ac:dyDescent="0.25">
      <c r="L29" t="str">
        <f ca="1"/>
        <v>under-five deaths</v>
      </c>
      <c r="M29">
        <v>-7.0470196114536116E-2</v>
      </c>
      <c r="N29">
        <v>7.7282061767825691E-3</v>
      </c>
      <c r="O29">
        <v>-9.1185709209267607</v>
      </c>
      <c r="P29">
        <v>2.1761040202951045E-19</v>
      </c>
      <c r="Q29">
        <v>-8.5628457585963783E-2</v>
      </c>
      <c r="R29">
        <v>-5.5311934643108449E-2</v>
      </c>
      <c r="T29" t="s">
        <v>269</v>
      </c>
      <c r="U29" s="5">
        <v>0</v>
      </c>
      <c r="W29">
        <v>27</v>
      </c>
      <c r="X29">
        <v>72.631512567397678</v>
      </c>
      <c r="Y29">
        <v>0.86848743260232197</v>
      </c>
      <c r="Z29">
        <v>72.627815655097393</v>
      </c>
      <c r="AA29">
        <v>0.64463311097634934</v>
      </c>
      <c r="AB29">
        <v>47.1</v>
      </c>
      <c r="AC29">
        <v>0.35220887014201224</v>
      </c>
      <c r="AD29">
        <v>0.24152685714612718</v>
      </c>
      <c r="AE29">
        <v>-2.4156804335462487</v>
      </c>
      <c r="AF29">
        <v>4.2386822486423677E-3</v>
      </c>
      <c r="AG29">
        <v>0.24204036798190057</v>
      </c>
      <c r="AH29">
        <v>-2.4270662993165439</v>
      </c>
      <c r="AI29">
        <v>1.3124948799496704E-5</v>
      </c>
    </row>
    <row r="30" spans="1:35" x14ac:dyDescent="0.25">
      <c r="L30" t="str">
        <f ca="1"/>
        <v>Polio</v>
      </c>
      <c r="M30">
        <v>7.8363788926499225E-3</v>
      </c>
      <c r="N30">
        <v>5.1632463325136076E-3</v>
      </c>
      <c r="O30">
        <v>1.5177232283695754</v>
      </c>
      <c r="P30">
        <v>0.12927810089588262</v>
      </c>
      <c r="Q30">
        <v>-2.2909179417385083E-3</v>
      </c>
      <c r="R30">
        <v>1.7963675727038352E-2</v>
      </c>
      <c r="T30" t="s">
        <v>270</v>
      </c>
      <c r="U30" s="5">
        <v>0</v>
      </c>
      <c r="W30">
        <v>28</v>
      </c>
      <c r="X30">
        <v>72.753086844700448</v>
      </c>
      <c r="Y30">
        <v>0.24691315529955205</v>
      </c>
      <c r="Z30">
        <v>72.752143088809106</v>
      </c>
      <c r="AA30">
        <v>0.60946027895694366</v>
      </c>
      <c r="AB30">
        <v>47.1</v>
      </c>
      <c r="AC30">
        <v>0.22222871718700732</v>
      </c>
      <c r="AD30">
        <v>6.8666691248302325E-2</v>
      </c>
      <c r="AE30">
        <v>-2.4061339353296103</v>
      </c>
      <c r="AF30">
        <v>3.8076642156202297E-3</v>
      </c>
      <c r="AG30">
        <v>6.8797795619932392E-2</v>
      </c>
      <c r="AH30">
        <v>-2.4234466380113786</v>
      </c>
      <c r="AI30">
        <v>9.521621015778405E-7</v>
      </c>
    </row>
    <row r="31" spans="1:35" x14ac:dyDescent="0.25">
      <c r="L31" t="str">
        <f ca="1"/>
        <v>Total expenditure</v>
      </c>
      <c r="M31">
        <v>7.9752221077025925E-2</v>
      </c>
      <c r="N31">
        <v>4.0741569617034977E-2</v>
      </c>
      <c r="O31">
        <v>1.9575146914241544</v>
      </c>
      <c r="P31">
        <v>5.0457411502454648E-2</v>
      </c>
      <c r="Q31">
        <v>-1.5912586228394865E-4</v>
      </c>
      <c r="R31">
        <v>0.1596635680163358</v>
      </c>
      <c r="W31">
        <v>29</v>
      </c>
      <c r="X31">
        <v>72.35136883509432</v>
      </c>
      <c r="Y31">
        <v>0.44863116490567734</v>
      </c>
      <c r="Z31">
        <v>72.349577006299086</v>
      </c>
      <c r="AA31">
        <v>0.58156458459672533</v>
      </c>
      <c r="AB31">
        <v>47.1</v>
      </c>
      <c r="AC31">
        <v>0.18343432307636306</v>
      </c>
      <c r="AD31">
        <v>0.12476458634847085</v>
      </c>
      <c r="AE31">
        <v>-2.3961547788539126</v>
      </c>
      <c r="AF31">
        <v>3.9781024066240702E-3</v>
      </c>
      <c r="AG31">
        <v>0.12501349237600753</v>
      </c>
      <c r="AH31">
        <v>-2.4142528936760117</v>
      </c>
      <c r="AI31">
        <v>3.2852410960927208E-6</v>
      </c>
    </row>
    <row r="32" spans="1:35" x14ac:dyDescent="0.25">
      <c r="L32" t="str">
        <f ca="1"/>
        <v>Diphtheria</v>
      </c>
      <c r="M32">
        <v>1.4388918695851512E-2</v>
      </c>
      <c r="N32">
        <v>5.9383017026632574E-3</v>
      </c>
      <c r="O32">
        <v>2.4230696613811746</v>
      </c>
      <c r="P32">
        <v>1.5498293938616995E-2</v>
      </c>
      <c r="Q32">
        <v>2.7414124251701026E-3</v>
      </c>
      <c r="R32">
        <v>2.6036424966532922E-2</v>
      </c>
      <c r="W32">
        <v>30</v>
      </c>
      <c r="X32">
        <v>72.435447990987953</v>
      </c>
      <c r="Y32">
        <v>0.86455200901204421</v>
      </c>
      <c r="Z32">
        <v>72.432111414308636</v>
      </c>
      <c r="AA32">
        <v>0.63007883565797451</v>
      </c>
      <c r="AB32">
        <v>47.8</v>
      </c>
      <c r="AC32">
        <v>0.3152427890443939</v>
      </c>
      <c r="AD32">
        <v>0.24043241357029971</v>
      </c>
      <c r="AE32">
        <v>-2.3945503849435021</v>
      </c>
      <c r="AF32">
        <v>3.8444758167366618E-3</v>
      </c>
      <c r="AG32">
        <v>0.24089591874989316</v>
      </c>
      <c r="AH32">
        <v>-2.4072829946546728</v>
      </c>
      <c r="AI32">
        <v>1.1787325303679587E-5</v>
      </c>
    </row>
    <row r="33" spans="12:35" x14ac:dyDescent="0.25">
      <c r="L33" t="str">
        <f ca="1"/>
        <v>HIV/AIDS</v>
      </c>
      <c r="M33">
        <v>-0.43829804765003344</v>
      </c>
      <c r="N33">
        <v>1.7875898457980013E-2</v>
      </c>
      <c r="O33">
        <v>-24.518938093115651</v>
      </c>
      <c r="P33">
        <v>2.8660520746977611E-113</v>
      </c>
      <c r="Q33">
        <v>-0.4733602000647561</v>
      </c>
      <c r="R33">
        <v>-0.40323589523531078</v>
      </c>
      <c r="W33">
        <v>31</v>
      </c>
      <c r="X33">
        <v>72.175551411030924</v>
      </c>
      <c r="Y33">
        <v>1.4244485889690708</v>
      </c>
      <c r="Z33">
        <v>72.169987561500932</v>
      </c>
      <c r="AA33">
        <v>0.65433596118859916</v>
      </c>
      <c r="AB33">
        <v>47.8</v>
      </c>
      <c r="AC33">
        <v>0.3716850598056044</v>
      </c>
      <c r="AD33">
        <v>0.39613997617564994</v>
      </c>
      <c r="AE33">
        <v>-2.3825455814684551</v>
      </c>
      <c r="AF33">
        <v>3.8907700242367402E-3</v>
      </c>
      <c r="AG33">
        <v>0.39691287706540446</v>
      </c>
      <c r="AH33">
        <v>-2.3907004591887699</v>
      </c>
      <c r="AI33">
        <v>3.2386601232651709E-5</v>
      </c>
    </row>
    <row r="34" spans="12:35" x14ac:dyDescent="0.25">
      <c r="L34" t="str">
        <f ca="1"/>
        <v>GDP</v>
      </c>
      <c r="M34">
        <v>1.3832740538209066E-5</v>
      </c>
      <c r="N34">
        <v>2.8377287452573056E-5</v>
      </c>
      <c r="O34">
        <v>0.48745816742800796</v>
      </c>
      <c r="P34">
        <v>0.62599923177660277</v>
      </c>
      <c r="Q34">
        <v>-4.1827050778984734E-5</v>
      </c>
      <c r="R34">
        <v>6.9492531855402863E-5</v>
      </c>
      <c r="W34">
        <v>32</v>
      </c>
      <c r="X34">
        <v>72.259945793239169</v>
      </c>
      <c r="Y34">
        <v>0.34005420676082565</v>
      </c>
      <c r="Z34">
        <v>72.25867027047515</v>
      </c>
      <c r="AA34">
        <v>0.56458459672528805</v>
      </c>
      <c r="AB34">
        <v>47.8</v>
      </c>
      <c r="AC34">
        <v>0.14798710972583889</v>
      </c>
      <c r="AD34">
        <v>9.4569271511692282E-2</v>
      </c>
      <c r="AE34">
        <v>-2.3640096795295467</v>
      </c>
      <c r="AF34">
        <v>3.7369225522466158E-3</v>
      </c>
      <c r="AG34">
        <v>9.474646731360814E-2</v>
      </c>
      <c r="AH34">
        <v>-2.3703151069025581</v>
      </c>
      <c r="AI34">
        <v>1.7721991053534706E-6</v>
      </c>
    </row>
    <row r="35" spans="12:35" x14ac:dyDescent="0.25">
      <c r="L35" t="str">
        <f ca="1"/>
        <v>Population</v>
      </c>
      <c r="M35">
        <v>-6.9165245616436886E-10</v>
      </c>
      <c r="N35">
        <v>1.752485697063701E-9</v>
      </c>
      <c r="O35">
        <v>-0.39466938721567668</v>
      </c>
      <c r="P35">
        <v>0.69313853171933548</v>
      </c>
      <c r="Q35">
        <v>-4.1290137031812319E-9</v>
      </c>
      <c r="R35">
        <v>2.7457087908524946E-9</v>
      </c>
      <c r="W35">
        <v>33</v>
      </c>
      <c r="X35">
        <v>77.019647095479513</v>
      </c>
      <c r="Y35">
        <v>-1.6196470954795075</v>
      </c>
      <c r="Z35">
        <v>77.028637137899651</v>
      </c>
      <c r="AA35">
        <v>0.77986658580958157</v>
      </c>
      <c r="AB35">
        <v>48.1</v>
      </c>
      <c r="AC35">
        <v>0.74840704313415274</v>
      </c>
      <c r="AD35">
        <v>-0.450424793695481</v>
      </c>
      <c r="AE35">
        <v>-2.352571598850369</v>
      </c>
      <c r="AF35">
        <v>5.5199787668661253E-3</v>
      </c>
      <c r="AG35">
        <v>-0.45167313182800556</v>
      </c>
      <c r="AH35">
        <v>-2.3602912005470853</v>
      </c>
      <c r="AI35">
        <v>5.9598627352375385E-5</v>
      </c>
    </row>
    <row r="36" spans="12:35" x14ac:dyDescent="0.25">
      <c r="L36" t="str">
        <f ca="1"/>
        <v>thinness 1-19 years</v>
      </c>
      <c r="M36">
        <v>-8.670228683905129E-3</v>
      </c>
      <c r="N36">
        <v>5.3102443915796778E-2</v>
      </c>
      <c r="O36">
        <v>-0.1632736281903201</v>
      </c>
      <c r="P36">
        <v>0.87032323696639657</v>
      </c>
      <c r="Q36">
        <v>-0.11282644698792899</v>
      </c>
      <c r="R36">
        <v>9.5485989620118727E-2</v>
      </c>
      <c r="W36">
        <v>34</v>
      </c>
      <c r="X36">
        <v>75.453417610246106</v>
      </c>
      <c r="Y36">
        <v>-0.15341761024610889</v>
      </c>
      <c r="Z36">
        <v>75.454067586303182</v>
      </c>
      <c r="AA36">
        <v>0.77258944815039421</v>
      </c>
      <c r="AB36">
        <v>48.1</v>
      </c>
      <c r="AC36">
        <v>0.72844171022016913</v>
      </c>
      <c r="AD36">
        <v>-4.2665526111970005E-2</v>
      </c>
      <c r="AE36">
        <v>-2.3501969279000607</v>
      </c>
      <c r="AF36">
        <v>4.2187722458475766E-3</v>
      </c>
      <c r="AG36">
        <v>-4.275580994652154E-2</v>
      </c>
      <c r="AH36">
        <v>-2.3572262374037543</v>
      </c>
      <c r="AI36">
        <v>4.0762313082876501E-7</v>
      </c>
    </row>
    <row r="37" spans="12:35" x14ac:dyDescent="0.25">
      <c r="L37" t="str">
        <f ca="1"/>
        <v>thinness 5-9 years</v>
      </c>
      <c r="M37">
        <v>-5.1227822387597412E-2</v>
      </c>
      <c r="N37">
        <v>5.2417926575909844E-2</v>
      </c>
      <c r="O37">
        <v>-0.97729585532939833</v>
      </c>
      <c r="P37">
        <v>0.3285677233054739</v>
      </c>
      <c r="Q37">
        <v>-0.15404141439744909</v>
      </c>
      <c r="R37">
        <v>5.1585769622254259E-2</v>
      </c>
      <c r="W37">
        <v>35</v>
      </c>
      <c r="X37">
        <v>75.271552703471258</v>
      </c>
      <c r="Y37">
        <v>-0.17155270347126361</v>
      </c>
      <c r="Z37">
        <v>75.272224367840195</v>
      </c>
      <c r="AA37">
        <v>0.76288659793814428</v>
      </c>
      <c r="AB37">
        <v>48.1</v>
      </c>
      <c r="AC37">
        <v>0.70876261491573156</v>
      </c>
      <c r="AD37">
        <v>-4.7708906023178559E-2</v>
      </c>
      <c r="AE37">
        <v>-2.3350984874317886</v>
      </c>
      <c r="AF37">
        <v>3.8999380712872065E-3</v>
      </c>
      <c r="AG37">
        <v>-4.7802209911054147E-2</v>
      </c>
      <c r="AH37">
        <v>-2.3481883207284375</v>
      </c>
      <c r="AI37">
        <v>4.7086573943420638E-7</v>
      </c>
    </row>
    <row r="38" spans="12:35" x14ac:dyDescent="0.25">
      <c r="L38" t="str">
        <f ca="1"/>
        <v>Income composition of resources</v>
      </c>
      <c r="M38">
        <v>9.8241467234536515</v>
      </c>
      <c r="N38">
        <v>0.83395947812394966</v>
      </c>
      <c r="O38">
        <v>11.780124791619082</v>
      </c>
      <c r="P38">
        <v>8.4306727253031009E-31</v>
      </c>
      <c r="Q38">
        <v>8.1884015664525371</v>
      </c>
      <c r="R38">
        <v>11.459891880454766</v>
      </c>
      <c r="W38">
        <v>36</v>
      </c>
      <c r="X38">
        <v>74.671907432067016</v>
      </c>
      <c r="Y38">
        <v>0.22809256793298971</v>
      </c>
      <c r="Z38">
        <v>74.671066548594482</v>
      </c>
      <c r="AA38">
        <v>0.74833232261976956</v>
      </c>
      <c r="AB38">
        <v>48.2</v>
      </c>
      <c r="AC38">
        <v>0.64941472986293525</v>
      </c>
      <c r="AD38">
        <v>6.3432675020031401E-2</v>
      </c>
      <c r="AE38">
        <v>-2.3349805001882742</v>
      </c>
      <c r="AF38">
        <v>3.6730476362332965E-3</v>
      </c>
      <c r="AG38">
        <v>6.3549492544484013E-2</v>
      </c>
      <c r="AH38">
        <v>-2.347690329960991</v>
      </c>
      <c r="AI38">
        <v>7.8360149321840948E-7</v>
      </c>
    </row>
    <row r="39" spans="12:35" x14ac:dyDescent="0.25">
      <c r="L39" t="str">
        <f ca="1"/>
        <v>Schooling</v>
      </c>
      <c r="M39">
        <v>0.87833495505192805</v>
      </c>
      <c r="N39">
        <v>5.9390382178830484E-2</v>
      </c>
      <c r="O39">
        <v>14.789178362368038</v>
      </c>
      <c r="P39">
        <v>1.5497721426886084E-46</v>
      </c>
      <c r="Q39">
        <v>0.76184544618513339</v>
      </c>
      <c r="R39">
        <v>0.9948244639187227</v>
      </c>
      <c r="W39">
        <v>37</v>
      </c>
      <c r="X39">
        <v>74.084833373857037</v>
      </c>
      <c r="Y39">
        <v>0.61516662614296536</v>
      </c>
      <c r="Z39">
        <v>74.082722975967968</v>
      </c>
      <c r="AA39">
        <v>0.7362037598544573</v>
      </c>
      <c r="AB39">
        <v>48.2</v>
      </c>
      <c r="AC39">
        <v>0.61415241452626612</v>
      </c>
      <c r="AD39">
        <v>0.17107819440552693</v>
      </c>
      <c r="AE39">
        <v>-2.2504490213476922</v>
      </c>
      <c r="AF39">
        <v>3.4188829438083377E-3</v>
      </c>
      <c r="AG39">
        <v>0.17137139459338691</v>
      </c>
      <c r="AH39">
        <v>-2.2652899498390768</v>
      </c>
      <c r="AI39">
        <v>5.3026704636598778E-6</v>
      </c>
    </row>
    <row r="40" spans="12:35" x14ac:dyDescent="0.25">
      <c r="W40">
        <v>38</v>
      </c>
      <c r="X40">
        <v>73.422365094047322</v>
      </c>
      <c r="Y40">
        <v>0.97763490595268365</v>
      </c>
      <c r="Z40">
        <v>73.419423267543777</v>
      </c>
      <c r="AA40">
        <v>0.71376591873862949</v>
      </c>
      <c r="AB40">
        <v>48.4</v>
      </c>
      <c r="AC40">
        <v>0.54051528578164909</v>
      </c>
      <c r="AD40">
        <v>0.27188083259141682</v>
      </c>
      <c r="AE40">
        <v>-2.2471005895928227</v>
      </c>
      <c r="AF40">
        <v>3.0000982138042322E-3</v>
      </c>
      <c r="AG40">
        <v>0.27228958714967955</v>
      </c>
      <c r="AH40">
        <v>-2.2532294842288416</v>
      </c>
      <c r="AI40">
        <v>1.1742182413163327E-5</v>
      </c>
    </row>
    <row r="41" spans="12:35" x14ac:dyDescent="0.25">
      <c r="W41">
        <v>39</v>
      </c>
      <c r="X41">
        <v>72.53813169956041</v>
      </c>
      <c r="Y41">
        <v>1.5618683004395848</v>
      </c>
      <c r="Z41">
        <v>72.533201983407963</v>
      </c>
      <c r="AA41">
        <v>0.69254093389933291</v>
      </c>
      <c r="AB41">
        <v>48.5</v>
      </c>
      <c r="AC41">
        <v>0.48161589062349974</v>
      </c>
      <c r="AD41">
        <v>0.43435647738851058</v>
      </c>
      <c r="AE41">
        <v>-2.1838662896523675</v>
      </c>
      <c r="AF41">
        <v>3.1463635390373522E-3</v>
      </c>
      <c r="AG41">
        <v>0.435041415803609</v>
      </c>
      <c r="AH41">
        <v>-2.1940818428003759</v>
      </c>
      <c r="AI41">
        <v>3.1440186205693053E-5</v>
      </c>
    </row>
    <row r="42" spans="12:35" x14ac:dyDescent="0.25">
      <c r="W42">
        <v>40</v>
      </c>
      <c r="X42">
        <v>71.251667835131187</v>
      </c>
      <c r="Y42">
        <v>2.5483321648688104</v>
      </c>
      <c r="Z42">
        <v>71.21303670537614</v>
      </c>
      <c r="AA42">
        <v>0.66767738023044265</v>
      </c>
      <c r="AB42">
        <v>48.6</v>
      </c>
      <c r="AC42">
        <v>0.4143837514429769</v>
      </c>
      <c r="AD42">
        <v>0.70869264843695401</v>
      </c>
      <c r="AE42">
        <v>-2.1740121407263899</v>
      </c>
      <c r="AF42">
        <v>1.4933002658110839E-2</v>
      </c>
      <c r="AG42">
        <v>0.71404411326362149</v>
      </c>
      <c r="AH42">
        <v>-2.183524094127125</v>
      </c>
      <c r="AI42">
        <v>4.0679710957369178E-4</v>
      </c>
    </row>
    <row r="43" spans="12:35" x14ac:dyDescent="0.25">
      <c r="W43">
        <v>41</v>
      </c>
      <c r="X43">
        <v>72.545976301626666</v>
      </c>
      <c r="Y43">
        <v>0.85402369837333936</v>
      </c>
      <c r="Z43">
        <v>72.53429350334028</v>
      </c>
      <c r="AA43">
        <v>0.63735597331716187</v>
      </c>
      <c r="AB43">
        <v>48.7</v>
      </c>
      <c r="AC43">
        <v>0.33286538375086522</v>
      </c>
      <c r="AD43">
        <v>0.23750448429444926</v>
      </c>
      <c r="AE43">
        <v>-2.1652153964083558</v>
      </c>
      <c r="AF43">
        <v>1.3495102937852161E-2</v>
      </c>
      <c r="AG43">
        <v>0.2391234627906236</v>
      </c>
      <c r="AH43">
        <v>-2.1759203146301718</v>
      </c>
      <c r="AI43">
        <v>4.1168755381509889E-5</v>
      </c>
    </row>
    <row r="44" spans="12:35" x14ac:dyDescent="0.25">
      <c r="W44">
        <v>42</v>
      </c>
      <c r="X44">
        <v>71.351200530718671</v>
      </c>
      <c r="Y44">
        <v>1.5487994692813345</v>
      </c>
      <c r="Z44">
        <v>71.346153793548609</v>
      </c>
      <c r="AA44">
        <v>0.58762886597938147</v>
      </c>
      <c r="AB44">
        <v>48.8</v>
      </c>
      <c r="AC44">
        <v>0.206674078513852</v>
      </c>
      <c r="AD44">
        <v>0.43072202788730413</v>
      </c>
      <c r="AE44">
        <v>-2.1109960250621649</v>
      </c>
      <c r="AF44">
        <v>3.2479000489967595E-3</v>
      </c>
      <c r="AG44">
        <v>0.4314232074188622</v>
      </c>
      <c r="AH44">
        <v>-2.1203485789562539</v>
      </c>
      <c r="AI44">
        <v>3.1920442418442829E-5</v>
      </c>
    </row>
    <row r="45" spans="12:35" x14ac:dyDescent="0.25">
      <c r="W45">
        <v>43</v>
      </c>
      <c r="X45">
        <v>73.092775740632845</v>
      </c>
      <c r="Y45">
        <v>-0.79277574063284817</v>
      </c>
      <c r="Z45">
        <v>73.095860686137229</v>
      </c>
      <c r="AA45">
        <v>0.54578532443905392</v>
      </c>
      <c r="AB45">
        <v>48.9</v>
      </c>
      <c r="AC45">
        <v>9.896716322379942E-2</v>
      </c>
      <c r="AD45">
        <v>-0.2204713918346608</v>
      </c>
      <c r="AE45">
        <v>-2.1093020636617412</v>
      </c>
      <c r="AF45">
        <v>3.8762380880403343E-3</v>
      </c>
      <c r="AG45">
        <v>-0.22089993790099516</v>
      </c>
      <c r="AH45">
        <v>-2.1181613260913394</v>
      </c>
      <c r="AI45">
        <v>9.9938938251017025E-6</v>
      </c>
    </row>
    <row r="46" spans="12:35" x14ac:dyDescent="0.25">
      <c r="W46">
        <v>44</v>
      </c>
      <c r="X46">
        <v>61.960361467546349</v>
      </c>
      <c r="Y46">
        <v>-10.260361467546346</v>
      </c>
      <c r="Z46">
        <v>62.02630350765368</v>
      </c>
      <c r="AA46">
        <v>4.4269254093389936E-2</v>
      </c>
      <c r="AB46">
        <v>49.1</v>
      </c>
      <c r="AC46">
        <v>-1.7129636683890181</v>
      </c>
      <c r="AD46">
        <v>-2.8534124564292154</v>
      </c>
      <c r="AE46">
        <v>-2.1070366665784506</v>
      </c>
      <c r="AF46">
        <v>6.3858320703487573E-3</v>
      </c>
      <c r="AG46">
        <v>-2.8625670309046316</v>
      </c>
      <c r="AH46">
        <v>-2.117669030994382</v>
      </c>
      <c r="AI46">
        <v>2.771771642814099E-3</v>
      </c>
    </row>
    <row r="47" spans="12:35" x14ac:dyDescent="0.25">
      <c r="W47">
        <v>45</v>
      </c>
      <c r="X47">
        <v>61.772598666244235</v>
      </c>
      <c r="Y47">
        <v>-10.672598666244234</v>
      </c>
      <c r="Z47">
        <v>61.831185828432517</v>
      </c>
      <c r="AA47">
        <v>3.8811400848999394E-2</v>
      </c>
      <c r="AB47">
        <v>49.2</v>
      </c>
      <c r="AC47">
        <v>-1.7755718253255368</v>
      </c>
      <c r="AD47">
        <v>-2.9680558597331475</v>
      </c>
      <c r="AE47">
        <v>-2.0974936620943319</v>
      </c>
      <c r="AF47">
        <v>5.459523590865119E-3</v>
      </c>
      <c r="AG47">
        <v>-2.9761912720292414</v>
      </c>
      <c r="AH47">
        <v>-2.1093760091151355</v>
      </c>
      <c r="AI47">
        <v>2.5591772150504806E-3</v>
      </c>
    </row>
    <row r="48" spans="12:35" x14ac:dyDescent="0.25">
      <c r="W48">
        <v>46</v>
      </c>
      <c r="X48">
        <v>60.516298187851568</v>
      </c>
      <c r="Y48">
        <v>-4.516298187851568</v>
      </c>
      <c r="Z48">
        <v>60.542070130930313</v>
      </c>
      <c r="AA48">
        <v>9.2783505154639179E-2</v>
      </c>
      <c r="AB48">
        <v>49.2</v>
      </c>
      <c r="AC48">
        <v>-1.3329906577816031</v>
      </c>
      <c r="AD48">
        <v>-1.2559851372610666</v>
      </c>
      <c r="AE48">
        <v>-2.0927423728955912</v>
      </c>
      <c r="AF48">
        <v>5.6740522131618967E-3</v>
      </c>
      <c r="AG48">
        <v>-1.2595636355456186</v>
      </c>
      <c r="AH48">
        <v>-2.1025368615046625</v>
      </c>
      <c r="AI48">
        <v>4.7648713753914798E-4</v>
      </c>
    </row>
    <row r="49" spans="23:35" x14ac:dyDescent="0.25">
      <c r="W49">
        <v>47</v>
      </c>
      <c r="X49">
        <v>59.450888319996992</v>
      </c>
      <c r="Y49">
        <v>-8.4508883199969915</v>
      </c>
      <c r="Z49">
        <v>59.501516202100149</v>
      </c>
      <c r="AA49">
        <v>3.7598544572468161E-2</v>
      </c>
      <c r="AB49">
        <v>49.3</v>
      </c>
      <c r="AC49">
        <v>-1.7980761038936304</v>
      </c>
      <c r="AD49">
        <v>-2.3501969279000607</v>
      </c>
      <c r="AE49">
        <v>-2.0757705705084555</v>
      </c>
      <c r="AF49">
        <v>5.9551591621560358E-3</v>
      </c>
      <c r="AG49">
        <v>-2.3572262374037543</v>
      </c>
      <c r="AH49">
        <v>-2.0968235904648691</v>
      </c>
      <c r="AI49">
        <v>1.752008986779099E-3</v>
      </c>
    </row>
    <row r="50" spans="23:35" x14ac:dyDescent="0.25">
      <c r="W50">
        <v>48</v>
      </c>
      <c r="X50">
        <v>58.296443425081719</v>
      </c>
      <c r="Y50">
        <v>-8.6964434250817177</v>
      </c>
      <c r="Z50">
        <v>58.358259733087245</v>
      </c>
      <c r="AA50">
        <v>3.0927835051546393E-2</v>
      </c>
      <c r="AB50">
        <v>49.4</v>
      </c>
      <c r="AC50">
        <v>-1.8805262984826756</v>
      </c>
      <c r="AD50">
        <v>-2.4184859445984266</v>
      </c>
      <c r="AE50">
        <v>-2.0672981453867285</v>
      </c>
      <c r="AF50">
        <v>7.0580583231612719E-3</v>
      </c>
      <c r="AG50">
        <v>-2.4270662993165439</v>
      </c>
      <c r="AH50">
        <v>-2.0777253725740179</v>
      </c>
      <c r="AI50">
        <v>2.2037943542402021E-3</v>
      </c>
    </row>
    <row r="51" spans="23:35" x14ac:dyDescent="0.25">
      <c r="W51">
        <v>49</v>
      </c>
      <c r="X51">
        <v>57.180172304291204</v>
      </c>
      <c r="Y51">
        <v>-8.080172304291203</v>
      </c>
      <c r="Z51">
        <v>57.311513116899356</v>
      </c>
      <c r="AA51">
        <v>2.6682838083687082E-2</v>
      </c>
      <c r="AB51">
        <v>49.5</v>
      </c>
      <c r="AC51">
        <v>-1.9368862628682149</v>
      </c>
      <c r="AD51">
        <v>-2.2471005895928227</v>
      </c>
      <c r="AE51">
        <v>-2.0536243750342122</v>
      </c>
      <c r="AF51">
        <v>1.5994715071190491E-2</v>
      </c>
      <c r="AG51">
        <v>-2.2652899498390768</v>
      </c>
      <c r="AH51">
        <v>-2.0649905484968976</v>
      </c>
      <c r="AI51">
        <v>4.3900864499851261E-3</v>
      </c>
    </row>
    <row r="52" spans="23:35" x14ac:dyDescent="0.25">
      <c r="W52">
        <v>50</v>
      </c>
      <c r="X52">
        <v>57.352027806280105</v>
      </c>
      <c r="Y52">
        <v>-8.6520278062801026</v>
      </c>
      <c r="Z52">
        <v>57.41051496369694</v>
      </c>
      <c r="AA52">
        <v>2.4863553668890235E-2</v>
      </c>
      <c r="AB52">
        <v>49.6</v>
      </c>
      <c r="AC52">
        <v>-1.9675426916276542</v>
      </c>
      <c r="AD52">
        <v>-2.4061339353296103</v>
      </c>
      <c r="AE52">
        <v>-2.0514412528812289</v>
      </c>
      <c r="AF52">
        <v>6.7145464602943921E-3</v>
      </c>
      <c r="AG52">
        <v>-2.4142528936760117</v>
      </c>
      <c r="AH52">
        <v>-2.0609363458554926</v>
      </c>
      <c r="AI52">
        <v>2.0737410664340033E-3</v>
      </c>
    </row>
    <row r="53" spans="23:35" x14ac:dyDescent="0.25">
      <c r="W53">
        <v>51</v>
      </c>
      <c r="X53">
        <v>56.767208299554213</v>
      </c>
      <c r="Y53">
        <v>-8.5672082995542098</v>
      </c>
      <c r="Z53">
        <v>56.825955633786037</v>
      </c>
      <c r="AA53">
        <v>2.2437841115827774E-2</v>
      </c>
      <c r="AB53">
        <v>49.6</v>
      </c>
      <c r="AC53">
        <v>-2.0231624874260845</v>
      </c>
      <c r="AD53">
        <v>-2.3825455814684551</v>
      </c>
      <c r="AE53">
        <v>-2.0503950110920104</v>
      </c>
      <c r="AF53">
        <v>6.8105305343472283E-3</v>
      </c>
      <c r="AG53">
        <v>-2.3907004591887699</v>
      </c>
      <c r="AH53">
        <v>-2.0569072831551796</v>
      </c>
      <c r="AI53">
        <v>2.0627451144040057E-3</v>
      </c>
    </row>
    <row r="54" spans="23:35" x14ac:dyDescent="0.25">
      <c r="W54">
        <v>52</v>
      </c>
      <c r="X54">
        <v>78.648588573422259</v>
      </c>
      <c r="Y54">
        <v>-2.4485885734222563</v>
      </c>
      <c r="Z54">
        <v>78.661808659472413</v>
      </c>
      <c r="AA54">
        <v>0.81322013341419042</v>
      </c>
      <c r="AB54">
        <v>49.7</v>
      </c>
      <c r="AC54">
        <v>0.88194836619248052</v>
      </c>
      <c r="AD54">
        <v>-0.68095389798622108</v>
      </c>
      <c r="AE54">
        <v>-2.0164426501471753</v>
      </c>
      <c r="AF54">
        <v>5.3700704964571638E-3</v>
      </c>
      <c r="AG54">
        <v>-0.68278968023243425</v>
      </c>
      <c r="AH54">
        <v>-2.0207918185359195</v>
      </c>
      <c r="AI54">
        <v>1.3247647375481031E-4</v>
      </c>
    </row>
    <row r="55" spans="23:35" x14ac:dyDescent="0.25">
      <c r="W55">
        <v>53</v>
      </c>
      <c r="X55">
        <v>78.642020409578208</v>
      </c>
      <c r="Y55">
        <v>-2.6420204095782083</v>
      </c>
      <c r="Z55">
        <v>78.655478216719445</v>
      </c>
      <c r="AA55">
        <v>0.80836870830806551</v>
      </c>
      <c r="AB55">
        <v>49.8</v>
      </c>
      <c r="AC55">
        <v>0.83794453378675593</v>
      </c>
      <c r="AD55">
        <v>-0.7347474034590219</v>
      </c>
      <c r="AE55">
        <v>-2.0054745555562858</v>
      </c>
      <c r="AF55">
        <v>5.0679410798793231E-3</v>
      </c>
      <c r="AG55">
        <v>-0.73661633848085117</v>
      </c>
      <c r="AH55">
        <v>-2.0183447585116223</v>
      </c>
      <c r="AI55">
        <v>1.4546791900893228E-4</v>
      </c>
    </row>
    <row r="56" spans="23:35" x14ac:dyDescent="0.25">
      <c r="W56">
        <v>54</v>
      </c>
      <c r="X56">
        <v>80.487657713527653</v>
      </c>
      <c r="Y56">
        <v>-4.5876577135276477</v>
      </c>
      <c r="Z56">
        <v>80.509241227828454</v>
      </c>
      <c r="AA56">
        <v>0.79866585809581569</v>
      </c>
      <c r="AB56">
        <v>49.8</v>
      </c>
      <c r="AC56">
        <v>0.82933781119598415</v>
      </c>
      <c r="AD56">
        <v>-1.2758302626100178</v>
      </c>
      <c r="AE56">
        <v>-2.0053514113016959</v>
      </c>
      <c r="AF56">
        <v>4.6826610355054652E-3</v>
      </c>
      <c r="AG56">
        <v>-1.2788279348694824</v>
      </c>
      <c r="AH56">
        <v>-2.0151589528139895</v>
      </c>
      <c r="AI56">
        <v>4.0495035107227483E-4</v>
      </c>
    </row>
    <row r="57" spans="23:35" x14ac:dyDescent="0.25">
      <c r="W57">
        <v>55</v>
      </c>
      <c r="X57">
        <v>78.643766298402426</v>
      </c>
      <c r="Y57">
        <v>-2.9437662984024229</v>
      </c>
      <c r="Z57">
        <v>78.677342886897563</v>
      </c>
      <c r="AA57">
        <v>0.79199514857489384</v>
      </c>
      <c r="AB57">
        <v>49.8</v>
      </c>
      <c r="AC57">
        <v>0.80177968430189828</v>
      </c>
      <c r="AD57">
        <v>-0.81866310960355593</v>
      </c>
      <c r="AE57">
        <v>-2.0049505006158577</v>
      </c>
      <c r="AF57">
        <v>1.1277367025108816E-2</v>
      </c>
      <c r="AG57">
        <v>-0.82331870615128722</v>
      </c>
      <c r="AH57">
        <v>-2.0084755090492501</v>
      </c>
      <c r="AI57">
        <v>4.0692615416451758E-4</v>
      </c>
    </row>
    <row r="58" spans="23:35" x14ac:dyDescent="0.25">
      <c r="W58">
        <v>56</v>
      </c>
      <c r="X58">
        <v>77.650934869903935</v>
      </c>
      <c r="Y58">
        <v>-2.150934869903935</v>
      </c>
      <c r="Z58">
        <v>77.659499456399942</v>
      </c>
      <c r="AA58">
        <v>0.78411158277744086</v>
      </c>
      <c r="AB58">
        <v>49.9</v>
      </c>
      <c r="AC58">
        <v>0.77276680816182786</v>
      </c>
      <c r="AD58">
        <v>-0.59817623094126326</v>
      </c>
      <c r="AE58">
        <v>-1.9896485787958869</v>
      </c>
      <c r="AF58">
        <v>3.9660053956568943E-3</v>
      </c>
      <c r="AG58">
        <v>-0.59936595603501652</v>
      </c>
      <c r="AH58">
        <v>-1.9943607313416341</v>
      </c>
      <c r="AI58">
        <v>7.5285212647668579E-5</v>
      </c>
    </row>
    <row r="59" spans="23:35" x14ac:dyDescent="0.25">
      <c r="W59">
        <v>57</v>
      </c>
      <c r="X59">
        <v>77.877022341629498</v>
      </c>
      <c r="Y59">
        <v>-2.2770223416295039</v>
      </c>
      <c r="Z59">
        <v>77.884562604165964</v>
      </c>
      <c r="AA59">
        <v>0.78835657974530016</v>
      </c>
      <c r="AB59">
        <v>50</v>
      </c>
      <c r="AC59">
        <v>0.78719041678006285</v>
      </c>
      <c r="AD59">
        <v>-0.63324122972901475</v>
      </c>
      <c r="AE59">
        <v>-1.9801668040712888</v>
      </c>
      <c r="AF59">
        <v>3.3005278659115865E-3</v>
      </c>
      <c r="AG59">
        <v>-0.63428883885306364</v>
      </c>
      <c r="AH59">
        <v>-1.9853153856280548</v>
      </c>
      <c r="AI59">
        <v>7.0119645784482066E-5</v>
      </c>
    </row>
    <row r="60" spans="23:35" x14ac:dyDescent="0.25">
      <c r="W60">
        <v>58</v>
      </c>
      <c r="X60">
        <v>78.030724124546182</v>
      </c>
      <c r="Y60">
        <v>-2.6307241245461768</v>
      </c>
      <c r="Z60">
        <v>78.06199854277817</v>
      </c>
      <c r="AA60">
        <v>0.77986658580958157</v>
      </c>
      <c r="AB60">
        <v>50</v>
      </c>
      <c r="AC60">
        <v>0.74840704313415274</v>
      </c>
      <c r="AD60">
        <v>-0.73160590006036219</v>
      </c>
      <c r="AE60">
        <v>-1.9422382547861168</v>
      </c>
      <c r="AF60">
        <v>1.1748473084944137E-2</v>
      </c>
      <c r="AG60">
        <v>-0.73594176867540551</v>
      </c>
      <c r="AH60">
        <v>-1.9465797823567685</v>
      </c>
      <c r="AI60">
        <v>3.3888101223818889E-4</v>
      </c>
    </row>
    <row r="61" spans="23:35" x14ac:dyDescent="0.25">
      <c r="W61">
        <v>59</v>
      </c>
      <c r="X61">
        <v>77.240203776292333</v>
      </c>
      <c r="Y61">
        <v>-2.4402037762923356</v>
      </c>
      <c r="Z61">
        <v>77.246982854477949</v>
      </c>
      <c r="AA61">
        <v>0.74166161309884782</v>
      </c>
      <c r="AB61">
        <v>50</v>
      </c>
      <c r="AC61">
        <v>0.63261352584071384</v>
      </c>
      <c r="AD61">
        <v>-0.67862208105649369</v>
      </c>
      <c r="AE61">
        <v>-1.8825008756152266</v>
      </c>
      <c r="AF61">
        <v>2.7703823805749605E-3</v>
      </c>
      <c r="AG61">
        <v>-0.67956406006873504</v>
      </c>
      <c r="AH61">
        <v>-1.9103292037941246</v>
      </c>
      <c r="AI61">
        <v>6.7523003468416578E-5</v>
      </c>
    </row>
    <row r="62" spans="23:35" x14ac:dyDescent="0.25">
      <c r="W62">
        <v>60</v>
      </c>
      <c r="X62">
        <v>77.086604362934182</v>
      </c>
      <c r="Y62">
        <v>-1.8866043629341789</v>
      </c>
      <c r="Z62">
        <v>77.091823897423112</v>
      </c>
      <c r="AA62">
        <v>0.76652516676773808</v>
      </c>
      <c r="AB62">
        <v>51</v>
      </c>
      <c r="AC62">
        <v>0.71660092108895201</v>
      </c>
      <c r="AD62">
        <v>-0.52466576412316579</v>
      </c>
      <c r="AE62">
        <v>-1.8819253910611551</v>
      </c>
      <c r="AF62">
        <v>2.7589959594257352E-3</v>
      </c>
      <c r="AG62">
        <v>-0.52539104060649322</v>
      </c>
      <c r="AH62">
        <v>-1.892758764650303</v>
      </c>
      <c r="AI62">
        <v>4.01941326405133E-5</v>
      </c>
    </row>
    <row r="63" spans="23:35" x14ac:dyDescent="0.25">
      <c r="W63">
        <v>61</v>
      </c>
      <c r="X63">
        <v>76.920439458330847</v>
      </c>
      <c r="Y63">
        <v>-2.0204394583308414</v>
      </c>
      <c r="Z63">
        <v>76.927575159339199</v>
      </c>
      <c r="AA63">
        <v>0.74833232261976956</v>
      </c>
      <c r="AB63">
        <v>51</v>
      </c>
      <c r="AC63">
        <v>0.64941472986293525</v>
      </c>
      <c r="AD63">
        <v>-0.56188538153334588</v>
      </c>
      <c r="AE63">
        <v>-1.8673444637829466</v>
      </c>
      <c r="AF63">
        <v>3.5193274959410478E-3</v>
      </c>
      <c r="AG63">
        <v>-0.56287672829393809</v>
      </c>
      <c r="AH63">
        <v>-1.8922120621598761</v>
      </c>
      <c r="AI63">
        <v>5.8893015071160791E-5</v>
      </c>
    </row>
    <row r="64" spans="23:35" x14ac:dyDescent="0.25">
      <c r="W64">
        <v>62</v>
      </c>
      <c r="X64">
        <v>79.064503025461576</v>
      </c>
      <c r="Y64">
        <v>-4.3645030254615733</v>
      </c>
      <c r="Z64">
        <v>79.080978329076459</v>
      </c>
      <c r="AA64">
        <v>0.7362037598544573</v>
      </c>
      <c r="AB64">
        <v>51</v>
      </c>
      <c r="AC64">
        <v>0.61415241452626612</v>
      </c>
      <c r="AD64">
        <v>-1.2137708148359441</v>
      </c>
      <c r="AE64">
        <v>-1.8662022894197405</v>
      </c>
      <c r="AF64">
        <v>3.7606448554051326E-3</v>
      </c>
      <c r="AG64">
        <v>-1.2160595526956997</v>
      </c>
      <c r="AH64">
        <v>-1.8709790576043557</v>
      </c>
      <c r="AI64">
        <v>2.9380197726025406E-4</v>
      </c>
    </row>
    <row r="65" spans="23:35" x14ac:dyDescent="0.25">
      <c r="W65">
        <v>63</v>
      </c>
      <c r="X65">
        <v>76.795420473837794</v>
      </c>
      <c r="Y65">
        <v>-2.6954204738377996</v>
      </c>
      <c r="Z65">
        <v>76.80741646518571</v>
      </c>
      <c r="AA65">
        <v>0.69254093389933291</v>
      </c>
      <c r="AB65">
        <v>51.1</v>
      </c>
      <c r="AC65">
        <v>0.48161589062349974</v>
      </c>
      <c r="AD65">
        <v>-0.7495979922043009</v>
      </c>
      <c r="AE65">
        <v>-1.8566667210182983</v>
      </c>
      <c r="AF65">
        <v>4.4307890943903741E-3</v>
      </c>
      <c r="AG65">
        <v>-0.75126418647432025</v>
      </c>
      <c r="AH65">
        <v>-1.8699799799407228</v>
      </c>
      <c r="AI65">
        <v>1.3220302488950474E-4</v>
      </c>
    </row>
    <row r="66" spans="23:35" x14ac:dyDescent="0.25">
      <c r="W66">
        <v>64</v>
      </c>
      <c r="X66">
        <v>76.995096746897815</v>
      </c>
      <c r="Y66">
        <v>-2.8950967468978206</v>
      </c>
      <c r="Z66">
        <v>77.007878299963195</v>
      </c>
      <c r="AA66">
        <v>0.69254093389933291</v>
      </c>
      <c r="AB66">
        <v>51.1</v>
      </c>
      <c r="AC66">
        <v>0.48161589062349974</v>
      </c>
      <c r="AD66">
        <v>-0.80512807919051277</v>
      </c>
      <c r="AE66">
        <v>-1.8516916071516274</v>
      </c>
      <c r="AF66">
        <v>4.3954910580482473E-3</v>
      </c>
      <c r="AG66">
        <v>-0.80690340053211995</v>
      </c>
      <c r="AH66">
        <v>-1.8673124194259085</v>
      </c>
      <c r="AI66">
        <v>1.512899350986986E-4</v>
      </c>
    </row>
    <row r="67" spans="23:35" x14ac:dyDescent="0.25">
      <c r="W67">
        <v>65</v>
      </c>
      <c r="X67">
        <v>75.034660448804431</v>
      </c>
      <c r="Y67">
        <v>-0.43466044880443633</v>
      </c>
      <c r="Z67">
        <v>75.035963976724361</v>
      </c>
      <c r="AA67">
        <v>0.73013947847180105</v>
      </c>
      <c r="AB67">
        <v>51.2</v>
      </c>
      <c r="AC67">
        <v>0.59589828697336056</v>
      </c>
      <c r="AD67">
        <v>-0.1208793221231696</v>
      </c>
      <c r="AE67">
        <v>-1.8438183378869697</v>
      </c>
      <c r="AF67">
        <v>2.9899899751596251E-3</v>
      </c>
      <c r="AG67">
        <v>-0.12106044236598147</v>
      </c>
      <c r="AH67">
        <v>-1.8561644760737943</v>
      </c>
      <c r="AI67">
        <v>2.3132423023533344E-6</v>
      </c>
    </row>
    <row r="68" spans="23:35" x14ac:dyDescent="0.25">
      <c r="W68">
        <v>66</v>
      </c>
      <c r="X68">
        <v>73.132961400757196</v>
      </c>
      <c r="Y68">
        <v>1.2670385992428095</v>
      </c>
      <c r="Z68">
        <v>73.130314395097187</v>
      </c>
      <c r="AA68">
        <v>0.71376591873862949</v>
      </c>
      <c r="AB68">
        <v>51.2</v>
      </c>
      <c r="AC68">
        <v>0.54051528578164909</v>
      </c>
      <c r="AD68">
        <v>0.35236416702194773</v>
      </c>
      <c r="AE68">
        <v>-1.8397296133310044</v>
      </c>
      <c r="AF68">
        <v>2.0847725214664763E-3</v>
      </c>
      <c r="AG68">
        <v>0.35273204189002294</v>
      </c>
      <c r="AH68">
        <v>-1.8491697888275669</v>
      </c>
      <c r="AI68">
        <v>1.3680477253262115E-5</v>
      </c>
    </row>
    <row r="69" spans="23:35" x14ac:dyDescent="0.25">
      <c r="W69">
        <v>67</v>
      </c>
      <c r="X69">
        <v>73.087947135716405</v>
      </c>
      <c r="Y69">
        <v>1.3120528642836007</v>
      </c>
      <c r="Z69">
        <v>73.085253243877418</v>
      </c>
      <c r="AA69">
        <v>0.71376591873862949</v>
      </c>
      <c r="AB69">
        <v>51.3</v>
      </c>
      <c r="AC69">
        <v>0.54051528578164909</v>
      </c>
      <c r="AD69">
        <v>0.36488266015600257</v>
      </c>
      <c r="AE69">
        <v>-1.8394184054808467</v>
      </c>
      <c r="AF69">
        <v>2.0489815444963934E-3</v>
      </c>
      <c r="AG69">
        <v>0.36525705451797941</v>
      </c>
      <c r="AH69">
        <v>-1.8441721461622138</v>
      </c>
      <c r="AI69">
        <v>1.4416918559495004E-5</v>
      </c>
    </row>
    <row r="70" spans="23:35" x14ac:dyDescent="0.25">
      <c r="W70">
        <v>68</v>
      </c>
      <c r="X70">
        <v>72.837379162649256</v>
      </c>
      <c r="Y70">
        <v>1.0626208373507495</v>
      </c>
      <c r="Z70">
        <v>72.834846274986745</v>
      </c>
      <c r="AA70">
        <v>0.67919951485748942</v>
      </c>
      <c r="AB70">
        <v>51.4</v>
      </c>
      <c r="AC70">
        <v>0.43434378704136062</v>
      </c>
      <c r="AD70">
        <v>0.29551546925012617</v>
      </c>
      <c r="AE70">
        <v>-1.8366609715790088</v>
      </c>
      <c r="AF70">
        <v>2.3779550341268031E-3</v>
      </c>
      <c r="AG70">
        <v>0.29586745838430628</v>
      </c>
      <c r="AH70">
        <v>-1.8435096771059469</v>
      </c>
      <c r="AI70">
        <v>1.0981923186204593E-5</v>
      </c>
    </row>
    <row r="71" spans="23:35" x14ac:dyDescent="0.25">
      <c r="W71">
        <v>69</v>
      </c>
      <c r="X71">
        <v>72.339860552967764</v>
      </c>
      <c r="Y71">
        <v>1.1601394470322361</v>
      </c>
      <c r="Z71">
        <v>72.337569579644466</v>
      </c>
      <c r="AA71">
        <v>0.64463311097634934</v>
      </c>
      <c r="AB71">
        <v>51.5</v>
      </c>
      <c r="AC71">
        <v>0.35220887014201224</v>
      </c>
      <c r="AD71">
        <v>0.32263545098556068</v>
      </c>
      <c r="AE71">
        <v>-1.8320158118836745</v>
      </c>
      <c r="AF71">
        <v>1.9708477025229183E-3</v>
      </c>
      <c r="AG71">
        <v>0.32295385437503926</v>
      </c>
      <c r="AH71">
        <v>-1.8382247177222772</v>
      </c>
      <c r="AI71">
        <v>1.0840197169157376E-5</v>
      </c>
    </row>
    <row r="72" spans="23:35" x14ac:dyDescent="0.25">
      <c r="W72">
        <v>70</v>
      </c>
      <c r="X72">
        <v>70.406605654984787</v>
      </c>
      <c r="Y72">
        <v>2.89339434501521</v>
      </c>
      <c r="Z72">
        <v>70.388787799673196</v>
      </c>
      <c r="AA72">
        <v>0.63007883565797451</v>
      </c>
      <c r="AB72">
        <v>51.6</v>
      </c>
      <c r="AC72">
        <v>0.3152427890443939</v>
      </c>
      <c r="AD72">
        <v>0.80465464024266931</v>
      </c>
      <c r="AE72">
        <v>-1.8285156343306028</v>
      </c>
      <c r="AF72">
        <v>6.1204247871697731E-3</v>
      </c>
      <c r="AG72">
        <v>0.80712841557163273</v>
      </c>
      <c r="AH72">
        <v>-1.8355579541450546</v>
      </c>
      <c r="AI72">
        <v>2.111443541448268E-4</v>
      </c>
    </row>
    <row r="73" spans="23:35" x14ac:dyDescent="0.25">
      <c r="W73">
        <v>71</v>
      </c>
      <c r="X73">
        <v>72.543526489894958</v>
      </c>
      <c r="Y73">
        <v>0.65647351010504451</v>
      </c>
      <c r="Z73">
        <v>72.538141295347003</v>
      </c>
      <c r="AA73">
        <v>0.62340812613705276</v>
      </c>
      <c r="AB73">
        <v>51.6</v>
      </c>
      <c r="AC73">
        <v>0.29295400660571058</v>
      </c>
      <c r="AD73">
        <v>0.18256566271806965</v>
      </c>
      <c r="AE73">
        <v>-1.8096232311034282</v>
      </c>
      <c r="AF73">
        <v>8.1364715914444396E-3</v>
      </c>
      <c r="AG73">
        <v>0.18331294617480129</v>
      </c>
      <c r="AH73">
        <v>-1.8155622442212729</v>
      </c>
      <c r="AI73">
        <v>1.4508311283526362E-5</v>
      </c>
    </row>
    <row r="74" spans="23:35" x14ac:dyDescent="0.25">
      <c r="W74">
        <v>72</v>
      </c>
      <c r="X74">
        <v>70.842956268558183</v>
      </c>
      <c r="Y74">
        <v>2.6570437314418172</v>
      </c>
      <c r="Z74">
        <v>70.804506717233309</v>
      </c>
      <c r="AA74">
        <v>0.64463311097634934</v>
      </c>
      <c r="AB74">
        <v>51.7</v>
      </c>
      <c r="AC74">
        <v>0.35220887014201224</v>
      </c>
      <c r="AD74">
        <v>0.73892539795543</v>
      </c>
      <c r="AE74">
        <v>-1.8035611148465858</v>
      </c>
      <c r="AF74">
        <v>1.4264384025993589E-2</v>
      </c>
      <c r="AG74">
        <v>0.74425261612523375</v>
      </c>
      <c r="AH74">
        <v>-1.8147240912136082</v>
      </c>
      <c r="AI74">
        <v>4.2187103923220612E-4</v>
      </c>
    </row>
    <row r="75" spans="23:35" x14ac:dyDescent="0.25">
      <c r="W75">
        <v>73</v>
      </c>
      <c r="X75">
        <v>70.805021889954475</v>
      </c>
      <c r="Y75">
        <v>2.0949781100455311</v>
      </c>
      <c r="Z75">
        <v>70.80051262875358</v>
      </c>
      <c r="AA75">
        <v>0.58762886597938147</v>
      </c>
      <c r="AB75">
        <v>51.7</v>
      </c>
      <c r="AC75">
        <v>0.206674078513852</v>
      </c>
      <c r="AD75">
        <v>0.582614623671732</v>
      </c>
      <c r="AE75">
        <v>-1.7911634973820889</v>
      </c>
      <c r="AF75">
        <v>2.1477915336156131E-3</v>
      </c>
      <c r="AG75">
        <v>0.58324130070937363</v>
      </c>
      <c r="AH75">
        <v>-1.8114347989013382</v>
      </c>
      <c r="AI75">
        <v>3.8536195979047449E-5</v>
      </c>
    </row>
    <row r="76" spans="23:35" x14ac:dyDescent="0.25">
      <c r="W76">
        <v>74</v>
      </c>
      <c r="X76">
        <v>69.240271254490409</v>
      </c>
      <c r="Y76">
        <v>3.7597287455095909</v>
      </c>
      <c r="Z76">
        <v>69.161526626437691</v>
      </c>
      <c r="AA76">
        <v>0.60946027895694366</v>
      </c>
      <c r="AB76">
        <v>51.8</v>
      </c>
      <c r="AC76">
        <v>0.22222871718700732</v>
      </c>
      <c r="AD76">
        <v>1.0455827379147444</v>
      </c>
      <c r="AE76">
        <v>-1.7895912360605402</v>
      </c>
      <c r="AF76">
        <v>2.0514569306401435E-2</v>
      </c>
      <c r="AG76">
        <v>1.0564754618288306</v>
      </c>
      <c r="AH76">
        <v>-1.8093881484033418</v>
      </c>
      <c r="AI76">
        <v>1.2303527687859363E-3</v>
      </c>
    </row>
    <row r="77" spans="23:35" x14ac:dyDescent="0.25">
      <c r="W77">
        <v>75</v>
      </c>
      <c r="X77">
        <v>70.464208411974667</v>
      </c>
      <c r="Y77">
        <v>2.535791588025333</v>
      </c>
      <c r="Z77">
        <v>70.458662502708293</v>
      </c>
      <c r="AA77">
        <v>0.60946027895694366</v>
      </c>
      <c r="AB77">
        <v>52</v>
      </c>
      <c r="AC77">
        <v>0.22222871718700732</v>
      </c>
      <c r="AD77">
        <v>0.70520510676611037</v>
      </c>
      <c r="AE77">
        <v>-1.7685471519993663</v>
      </c>
      <c r="AF77">
        <v>2.1822797138438075E-3</v>
      </c>
      <c r="AG77">
        <v>0.70597584587130169</v>
      </c>
      <c r="AH77">
        <v>-1.782405130078095</v>
      </c>
      <c r="AI77">
        <v>5.7370057760536637E-5</v>
      </c>
    </row>
    <row r="78" spans="23:35" x14ac:dyDescent="0.25">
      <c r="W78">
        <v>76</v>
      </c>
      <c r="X78">
        <v>70.293139684654406</v>
      </c>
      <c r="Y78">
        <v>2.4068603153455967</v>
      </c>
      <c r="Z78">
        <v>70.287239629910118</v>
      </c>
      <c r="AA78">
        <v>0.57246816252274102</v>
      </c>
      <c r="AB78">
        <v>52</v>
      </c>
      <c r="AC78">
        <v>0.16337348484333708</v>
      </c>
      <c r="AD78">
        <v>0.66934924528878481</v>
      </c>
      <c r="AE78">
        <v>-1.7658961176377601</v>
      </c>
      <c r="AF78">
        <v>2.4453546309158259E-3</v>
      </c>
      <c r="AG78">
        <v>0.67016914744757528</v>
      </c>
      <c r="AH78">
        <v>-1.7756700237436112</v>
      </c>
      <c r="AI78">
        <v>5.7945593416997468E-5</v>
      </c>
    </row>
    <row r="79" spans="23:35" x14ac:dyDescent="0.25">
      <c r="W79">
        <v>77</v>
      </c>
      <c r="X79">
        <v>70.19982650036313</v>
      </c>
      <c r="Y79">
        <v>2.400173499636864</v>
      </c>
      <c r="Z79">
        <v>70.194301533573167</v>
      </c>
      <c r="AA79">
        <v>0.56458459672528805</v>
      </c>
      <c r="AB79">
        <v>52</v>
      </c>
      <c r="AC79">
        <v>0.14798710972583889</v>
      </c>
      <c r="AD79">
        <v>0.6674896379740235</v>
      </c>
      <c r="AE79">
        <v>-1.7641298582983769</v>
      </c>
      <c r="AF79">
        <v>2.2966164991456714E-3</v>
      </c>
      <c r="AG79">
        <v>0.66825744460324377</v>
      </c>
      <c r="AH79">
        <v>-1.7746933113825774</v>
      </c>
      <c r="AI79">
        <v>5.4102962438535773E-5</v>
      </c>
    </row>
    <row r="80" spans="23:35" x14ac:dyDescent="0.25">
      <c r="W80">
        <v>78</v>
      </c>
      <c r="X80">
        <v>70.49282430976389</v>
      </c>
      <c r="Y80">
        <v>2.1071756902361045</v>
      </c>
      <c r="Z80">
        <v>70.48723764035644</v>
      </c>
      <c r="AA80">
        <v>0.56458459672528805</v>
      </c>
      <c r="AB80">
        <v>52.1</v>
      </c>
      <c r="AC80">
        <v>0.14798710972583889</v>
      </c>
      <c r="AD80">
        <v>0.58600677777509025</v>
      </c>
      <c r="AE80">
        <v>-1.7640168793710345</v>
      </c>
      <c r="AF80">
        <v>2.6442488346799025E-3</v>
      </c>
      <c r="AG80">
        <v>0.58678309155952924</v>
      </c>
      <c r="AH80">
        <v>-1.7702635707155301</v>
      </c>
      <c r="AI80">
        <v>4.804562046090623E-5</v>
      </c>
    </row>
    <row r="81" spans="23:35" x14ac:dyDescent="0.25">
      <c r="W81">
        <v>79</v>
      </c>
      <c r="X81">
        <v>70.569479088862593</v>
      </c>
      <c r="Y81">
        <v>1.4305209111374069</v>
      </c>
      <c r="Z81">
        <v>70.564325129469935</v>
      </c>
      <c r="AA81">
        <v>0.52516676773802307</v>
      </c>
      <c r="AB81">
        <v>52.1</v>
      </c>
      <c r="AC81">
        <v>4.1053957112594373E-2</v>
      </c>
      <c r="AD81">
        <v>0.39782869248154096</v>
      </c>
      <c r="AE81">
        <v>-1.7606203909264631</v>
      </c>
      <c r="AF81">
        <v>3.5899210179491299E-3</v>
      </c>
      <c r="AG81">
        <v>0.39854470768015715</v>
      </c>
      <c r="AH81">
        <v>-1.7688093546525816</v>
      </c>
      <c r="AI81">
        <v>3.0119466415506461E-5</v>
      </c>
    </row>
    <row r="82" spans="23:35" x14ac:dyDescent="0.25">
      <c r="W82">
        <v>80</v>
      </c>
      <c r="X82">
        <v>89.135050397204893</v>
      </c>
      <c r="Y82">
        <v>-6.4350503972048898</v>
      </c>
      <c r="Z82">
        <v>89.31706610587473</v>
      </c>
      <c r="AA82">
        <v>0.9733171619163129</v>
      </c>
      <c r="AB82">
        <v>52.1</v>
      </c>
      <c r="AC82">
        <v>1.9270603903023944</v>
      </c>
      <c r="AD82">
        <v>-1.7895912360605402</v>
      </c>
      <c r="AE82">
        <v>-1.7341227513845121</v>
      </c>
      <c r="AF82">
        <v>2.7507010774494696E-2</v>
      </c>
      <c r="AG82">
        <v>-1.8147240912136082</v>
      </c>
      <c r="AH82">
        <v>-1.767652753581364</v>
      </c>
      <c r="AI82">
        <v>4.9025781676576173E-3</v>
      </c>
    </row>
    <row r="83" spans="23:35" x14ac:dyDescent="0.25">
      <c r="W83">
        <v>81</v>
      </c>
      <c r="X83">
        <v>88.462075809252781</v>
      </c>
      <c r="Y83">
        <v>-5.9620758092527808</v>
      </c>
      <c r="Z83">
        <v>88.658688531108467</v>
      </c>
      <c r="AA83">
        <v>0.97210430563978167</v>
      </c>
      <c r="AB83">
        <v>52.1</v>
      </c>
      <c r="AC83">
        <v>1.898648757670367</v>
      </c>
      <c r="AD83">
        <v>-1.6580567296880504</v>
      </c>
      <c r="AE83">
        <v>-1.7300356518241318</v>
      </c>
      <c r="AF83">
        <v>3.192444639188495E-2</v>
      </c>
      <c r="AG83">
        <v>-1.6851740354664615</v>
      </c>
      <c r="AH83">
        <v>-1.7386479045139271</v>
      </c>
      <c r="AI83">
        <v>4.9289003598612441E-3</v>
      </c>
    </row>
    <row r="84" spans="23:35" x14ac:dyDescent="0.25">
      <c r="W84">
        <v>82</v>
      </c>
      <c r="X84">
        <v>88.244547077238238</v>
      </c>
      <c r="Y84">
        <v>-5.9445470772382407</v>
      </c>
      <c r="Z84">
        <v>88.436916747098678</v>
      </c>
      <c r="AA84">
        <v>0.97028502122498483</v>
      </c>
      <c r="AB84">
        <v>52.2</v>
      </c>
      <c r="AC84">
        <v>1.8630011940066851</v>
      </c>
      <c r="AD84">
        <v>-1.6531819791800979</v>
      </c>
      <c r="AE84">
        <v>-1.727606656169683</v>
      </c>
      <c r="AF84">
        <v>3.1346305936346283E-2</v>
      </c>
      <c r="AG84">
        <v>-1.6797180651103494</v>
      </c>
      <c r="AH84">
        <v>-1.733178058511591</v>
      </c>
      <c r="AI84">
        <v>4.805482654308019E-3</v>
      </c>
    </row>
    <row r="85" spans="23:35" x14ac:dyDescent="0.25">
      <c r="W85">
        <v>83</v>
      </c>
      <c r="X85">
        <v>87.529948071843776</v>
      </c>
      <c r="Y85">
        <v>-5.5299480718437763</v>
      </c>
      <c r="Z85">
        <v>87.692066969378871</v>
      </c>
      <c r="AA85">
        <v>0.96604002425712554</v>
      </c>
      <c r="AB85">
        <v>52.2</v>
      </c>
      <c r="AC85">
        <v>1.7539324289023792</v>
      </c>
      <c r="AD85">
        <v>-1.5378817560683058</v>
      </c>
      <c r="AE85">
        <v>-1.7053344326856295</v>
      </c>
      <c r="AF85">
        <v>2.8481551325245859E-2</v>
      </c>
      <c r="AG85">
        <v>-1.5602615956728967</v>
      </c>
      <c r="AH85">
        <v>-1.7325769452384523</v>
      </c>
      <c r="AI85">
        <v>3.756244257504949E-3</v>
      </c>
    </row>
    <row r="86" spans="23:35" x14ac:dyDescent="0.25">
      <c r="W86">
        <v>84</v>
      </c>
      <c r="X86">
        <v>86.280480051559465</v>
      </c>
      <c r="Y86">
        <v>-4.3804800515594593</v>
      </c>
      <c r="Z86">
        <v>86.360990290249362</v>
      </c>
      <c r="AA86">
        <v>0.95997574287446941</v>
      </c>
      <c r="AB86">
        <v>52.3</v>
      </c>
      <c r="AC86">
        <v>1.7330844772440364</v>
      </c>
      <c r="AD86">
        <v>-1.2182140350313144</v>
      </c>
      <c r="AE86">
        <v>-1.6776893486465339</v>
      </c>
      <c r="AF86">
        <v>1.8047615765018815E-2</v>
      </c>
      <c r="AG86">
        <v>-1.2293580353521656</v>
      </c>
      <c r="AH86">
        <v>-1.719048608811051</v>
      </c>
      <c r="AI86">
        <v>1.4619501856208471E-3</v>
      </c>
    </row>
    <row r="87" spans="23:35" x14ac:dyDescent="0.25">
      <c r="W87">
        <v>85</v>
      </c>
      <c r="X87">
        <v>85.096303755591634</v>
      </c>
      <c r="Y87">
        <v>-3.3963037555916316</v>
      </c>
      <c r="Z87">
        <v>85.138245862944331</v>
      </c>
      <c r="AA87">
        <v>0.95573074590661011</v>
      </c>
      <c r="AB87">
        <v>52.3</v>
      </c>
      <c r="AC87">
        <v>1.6624525291871317</v>
      </c>
      <c r="AD87">
        <v>-0.94451403809460499</v>
      </c>
      <c r="AE87">
        <v>-1.6752960433422992</v>
      </c>
      <c r="AF87">
        <v>1.2198693468880077E-2</v>
      </c>
      <c r="AG87">
        <v>-0.95032820504586235</v>
      </c>
      <c r="AH87">
        <v>-1.7080625350452927</v>
      </c>
      <c r="AI87">
        <v>5.8699899703738617E-4</v>
      </c>
    </row>
    <row r="88" spans="23:35" x14ac:dyDescent="0.25">
      <c r="W88">
        <v>86</v>
      </c>
      <c r="X88">
        <v>85.590632876564314</v>
      </c>
      <c r="Y88">
        <v>-4.2906328765643167</v>
      </c>
      <c r="Z88">
        <v>85.662881288792533</v>
      </c>
      <c r="AA88">
        <v>0.94481503941782896</v>
      </c>
      <c r="AB88">
        <v>52.4</v>
      </c>
      <c r="AC88">
        <v>1.5725296242490356</v>
      </c>
      <c r="AD88">
        <v>-1.1932274837175989</v>
      </c>
      <c r="AE88">
        <v>-1.6661297772520915</v>
      </c>
      <c r="AF88">
        <v>1.655979327556133E-2</v>
      </c>
      <c r="AG88">
        <v>-1.2032317077583261</v>
      </c>
      <c r="AH88">
        <v>-1.6851740354664615</v>
      </c>
      <c r="AI88">
        <v>1.2830745362342958E-3</v>
      </c>
    </row>
    <row r="89" spans="23:35" x14ac:dyDescent="0.25">
      <c r="W89">
        <v>87</v>
      </c>
      <c r="X89">
        <v>81.864437512339919</v>
      </c>
      <c r="Y89">
        <v>-0.56443751233992145</v>
      </c>
      <c r="Z89">
        <v>81.868231501066617</v>
      </c>
      <c r="AA89">
        <v>0.94481503941782896</v>
      </c>
      <c r="AB89">
        <v>52.4</v>
      </c>
      <c r="AC89">
        <v>1.5725296242490356</v>
      </c>
      <c r="AD89">
        <v>-0.15697039852649577</v>
      </c>
      <c r="AE89">
        <v>-1.6633591504867049</v>
      </c>
      <c r="AF89">
        <v>6.6768363238924426E-3</v>
      </c>
      <c r="AG89">
        <v>-0.15749707020362619</v>
      </c>
      <c r="AH89">
        <v>-1.6811197280319459</v>
      </c>
      <c r="AI89">
        <v>8.7754930125616563E-6</v>
      </c>
    </row>
    <row r="90" spans="23:35" x14ac:dyDescent="0.25">
      <c r="W90">
        <v>88</v>
      </c>
      <c r="X90">
        <v>85.402704196000087</v>
      </c>
      <c r="Y90">
        <v>-4.2027041960000844</v>
      </c>
      <c r="Z90">
        <v>85.456015928945902</v>
      </c>
      <c r="AA90">
        <v>0.94178289872650089</v>
      </c>
      <c r="AB90">
        <v>52.6</v>
      </c>
      <c r="AC90">
        <v>1.5519290565282795</v>
      </c>
      <c r="AD90">
        <v>-1.1687744668143489</v>
      </c>
      <c r="AE90">
        <v>-1.6580567296880504</v>
      </c>
      <c r="AF90">
        <v>1.2526206159906021E-2</v>
      </c>
      <c r="AG90">
        <v>-1.1761641179220628</v>
      </c>
      <c r="AH90">
        <v>-1.6797180651103494</v>
      </c>
      <c r="AI90">
        <v>9.2358363108564832E-4</v>
      </c>
    </row>
    <row r="91" spans="23:35" x14ac:dyDescent="0.25">
      <c r="W91">
        <v>89</v>
      </c>
      <c r="X91">
        <v>82.746845619439824</v>
      </c>
      <c r="Y91">
        <v>-1.7468456194398243</v>
      </c>
      <c r="Z91">
        <v>82.763733052726096</v>
      </c>
      <c r="AA91">
        <v>0.93571861734384476</v>
      </c>
      <c r="AB91">
        <v>52.6</v>
      </c>
      <c r="AC91">
        <v>1.4576525936309466</v>
      </c>
      <c r="AD91">
        <v>-0.48579877675210065</v>
      </c>
      <c r="AE91">
        <v>-1.6531819791800979</v>
      </c>
      <c r="AF91">
        <v>9.5748238431959815E-3</v>
      </c>
      <c r="AG91">
        <v>-0.48814133125453008</v>
      </c>
      <c r="AH91">
        <v>-1.6795795320060671</v>
      </c>
      <c r="AI91">
        <v>1.2124021077177246E-4</v>
      </c>
    </row>
    <row r="92" spans="23:35" x14ac:dyDescent="0.25">
      <c r="W92">
        <v>90</v>
      </c>
      <c r="X92">
        <v>81.324619199871734</v>
      </c>
      <c r="Y92">
        <v>4.6753808001282664</v>
      </c>
      <c r="Z92">
        <v>81.226117888614638</v>
      </c>
      <c r="AA92">
        <v>0.99029714978775019</v>
      </c>
      <c r="AB92">
        <v>52.6</v>
      </c>
      <c r="AC92">
        <v>2.190305027167327</v>
      </c>
      <c r="AD92">
        <v>1.3002261037131173</v>
      </c>
      <c r="AE92">
        <v>-1.6490394403984263</v>
      </c>
      <c r="AF92">
        <v>2.0633377397856881E-2</v>
      </c>
      <c r="AG92">
        <v>1.3138513491231574</v>
      </c>
      <c r="AH92">
        <v>-1.6668007559812019</v>
      </c>
      <c r="AI92">
        <v>1.9140967444918079E-3</v>
      </c>
    </row>
    <row r="93" spans="23:35" x14ac:dyDescent="0.25">
      <c r="W93">
        <v>91</v>
      </c>
      <c r="X93">
        <v>82.636017164095577</v>
      </c>
      <c r="Y93">
        <v>0.36398283590442304</v>
      </c>
      <c r="Z93">
        <v>82.628855665668766</v>
      </c>
      <c r="AA93">
        <v>0.97877501516070342</v>
      </c>
      <c r="AB93">
        <v>52.6</v>
      </c>
      <c r="AC93">
        <v>1.9368862628682144</v>
      </c>
      <c r="AD93">
        <v>0.1012238371115087</v>
      </c>
      <c r="AE93">
        <v>-1.6189389666341027</v>
      </c>
      <c r="AF93">
        <v>1.9295723427148637E-2</v>
      </c>
      <c r="AG93">
        <v>0.10221479491494798</v>
      </c>
      <c r="AH93">
        <v>-1.6369154346861412</v>
      </c>
      <c r="AI93">
        <v>1.0819244085116491E-5</v>
      </c>
    </row>
    <row r="94" spans="23:35" x14ac:dyDescent="0.25">
      <c r="W94">
        <v>92</v>
      </c>
      <c r="X94">
        <v>82.097818226073429</v>
      </c>
      <c r="Y94">
        <v>-2.1978182260734229</v>
      </c>
      <c r="Z94">
        <v>82.119481745496586</v>
      </c>
      <c r="AA94">
        <v>0.92177077016373554</v>
      </c>
      <c r="AB94">
        <v>52.7</v>
      </c>
      <c r="AC94">
        <v>1.3946242806491955</v>
      </c>
      <c r="AD94">
        <v>-0.61121451939887406</v>
      </c>
      <c r="AE94">
        <v>-1.6178303318320679</v>
      </c>
      <c r="AF94">
        <v>9.7606206796316975E-3</v>
      </c>
      <c r="AG94">
        <v>-0.61421945141925205</v>
      </c>
      <c r="AH94">
        <v>-1.6285063637070087</v>
      </c>
      <c r="AI94">
        <v>1.9571800168888452E-4</v>
      </c>
    </row>
    <row r="95" spans="23:35" x14ac:dyDescent="0.25">
      <c r="W95">
        <v>93</v>
      </c>
      <c r="X95">
        <v>83.768733807675986</v>
      </c>
      <c r="Y95">
        <v>-3.8687338076759801</v>
      </c>
      <c r="Z95">
        <v>83.803915808508776</v>
      </c>
      <c r="AA95">
        <v>0.92177077016373554</v>
      </c>
      <c r="AB95">
        <v>52.8</v>
      </c>
      <c r="AC95">
        <v>1.3946242806491955</v>
      </c>
      <c r="AD95">
        <v>-1.0758971087274325</v>
      </c>
      <c r="AE95">
        <v>-1.6049746489052565</v>
      </c>
      <c r="AF95">
        <v>9.0119773474914497E-3</v>
      </c>
      <c r="AG95">
        <v>-1.0807781043682108</v>
      </c>
      <c r="AH95">
        <v>-1.6081667438854106</v>
      </c>
      <c r="AI95">
        <v>5.590764003658449E-4</v>
      </c>
    </row>
    <row r="96" spans="23:35" x14ac:dyDescent="0.25">
      <c r="W96">
        <v>94</v>
      </c>
      <c r="X96">
        <v>82.358612757398717</v>
      </c>
      <c r="Y96">
        <v>-0.95861275739871132</v>
      </c>
      <c r="Z96">
        <v>82.373028781736608</v>
      </c>
      <c r="AA96">
        <v>0.94724075197089141</v>
      </c>
      <c r="AB96">
        <v>52.8</v>
      </c>
      <c r="AC96">
        <v>1.5992570753291051</v>
      </c>
      <c r="AD96">
        <v>-0.26659076208038912</v>
      </c>
      <c r="AE96">
        <v>-1.5771257893734589</v>
      </c>
      <c r="AF96">
        <v>1.4815619649158023E-2</v>
      </c>
      <c r="AG96">
        <v>-0.26858783424559107</v>
      </c>
      <c r="AH96">
        <v>-1.5803189745190624</v>
      </c>
      <c r="AI96">
        <v>5.7098063087217465E-5</v>
      </c>
    </row>
    <row r="97" spans="23:35" x14ac:dyDescent="0.25">
      <c r="W97">
        <v>95</v>
      </c>
      <c r="X97">
        <v>78.234243174500534</v>
      </c>
      <c r="Y97">
        <v>2.8657568254994601</v>
      </c>
      <c r="Z97">
        <v>78.213734793561528</v>
      </c>
      <c r="AA97">
        <v>0.93935718617343844</v>
      </c>
      <c r="AB97">
        <v>52.9</v>
      </c>
      <c r="AC97">
        <v>1.5222105313262397</v>
      </c>
      <c r="AD97">
        <v>0.7969686300859623</v>
      </c>
      <c r="AE97">
        <v>-1.5685859043660904</v>
      </c>
      <c r="AF97">
        <v>7.1055081470865538E-3</v>
      </c>
      <c r="AG97">
        <v>0.79981524261897985</v>
      </c>
      <c r="AH97">
        <v>-1.5785485511020705</v>
      </c>
      <c r="AI97">
        <v>2.4094493008806932E-4</v>
      </c>
    </row>
    <row r="98" spans="23:35" x14ac:dyDescent="0.25">
      <c r="W98">
        <v>96</v>
      </c>
      <c r="X98">
        <v>82.748721372661763</v>
      </c>
      <c r="Y98">
        <v>5.2512786273382375</v>
      </c>
      <c r="Z98">
        <v>82.675917652693997</v>
      </c>
      <c r="AA98">
        <v>0.99575500303214071</v>
      </c>
      <c r="AB98">
        <v>53</v>
      </c>
      <c r="AC98">
        <v>2.428517260365656</v>
      </c>
      <c r="AD98">
        <v>1.4603836224310638</v>
      </c>
      <c r="AE98">
        <v>-1.5666749987672259</v>
      </c>
      <c r="AF98">
        <v>1.3674416588353978E-2</v>
      </c>
      <c r="AG98">
        <v>1.4704721542534949</v>
      </c>
      <c r="AH98">
        <v>-1.5715933327772247</v>
      </c>
      <c r="AI98">
        <v>1.5777875222907766E-3</v>
      </c>
    </row>
    <row r="99" spans="23:35" x14ac:dyDescent="0.25">
      <c r="W99">
        <v>97</v>
      </c>
      <c r="X99">
        <v>80.995334957653156</v>
      </c>
      <c r="Y99">
        <v>7.0046650423468435</v>
      </c>
      <c r="Z99">
        <v>80.874783837382154</v>
      </c>
      <c r="AA99">
        <v>0.99575500303214071</v>
      </c>
      <c r="AB99">
        <v>53</v>
      </c>
      <c r="AC99">
        <v>2.428517260365656</v>
      </c>
      <c r="AD99">
        <v>1.9480013982125799</v>
      </c>
      <c r="AE99">
        <v>-1.5600205084905427</v>
      </c>
      <c r="AF99">
        <v>1.6918942179393E-2</v>
      </c>
      <c r="AG99">
        <v>1.9646925584740611</v>
      </c>
      <c r="AH99">
        <v>-1.5679866755780101</v>
      </c>
      <c r="AI99">
        <v>3.4963868450355539E-3</v>
      </c>
    </row>
    <row r="100" spans="23:35" x14ac:dyDescent="0.25">
      <c r="W100">
        <v>98</v>
      </c>
      <c r="X100">
        <v>80.913623141674378</v>
      </c>
      <c r="Y100">
        <v>3.0863768583256217</v>
      </c>
      <c r="Z100">
        <v>80.875466178956728</v>
      </c>
      <c r="AA100">
        <v>0.9824135839902971</v>
      </c>
      <c r="AB100">
        <v>53.2</v>
      </c>
      <c r="AC100">
        <v>2.0350728680272758</v>
      </c>
      <c r="AD100">
        <v>0.85832318877233715</v>
      </c>
      <c r="AE100">
        <v>-1.5565548591180824</v>
      </c>
      <c r="AF100">
        <v>1.2212049829853711E-2</v>
      </c>
      <c r="AG100">
        <v>0.86361262731897526</v>
      </c>
      <c r="AH100">
        <v>-1.5602615956728967</v>
      </c>
      <c r="AI100">
        <v>4.8529879200240528E-4</v>
      </c>
    </row>
    <row r="101" spans="23:35" x14ac:dyDescent="0.25">
      <c r="W101">
        <v>99</v>
      </c>
      <c r="X101">
        <v>80.997443610878847</v>
      </c>
      <c r="Y101">
        <v>1.0025563891211533</v>
      </c>
      <c r="Z101">
        <v>80.982625059585928</v>
      </c>
      <c r="AA101">
        <v>0.96604002425712554</v>
      </c>
      <c r="AB101">
        <v>53.2</v>
      </c>
      <c r="AC101">
        <v>1.7539324289023792</v>
      </c>
      <c r="AD101">
        <v>0.27881151146959554</v>
      </c>
      <c r="AE101">
        <v>-1.5462409930589078</v>
      </c>
      <c r="AF101">
        <v>1.4565476997974381E-2</v>
      </c>
      <c r="AG101">
        <v>0.28086447703670564</v>
      </c>
      <c r="AH101">
        <v>-1.5595835544784531</v>
      </c>
      <c r="AI101">
        <v>6.1367293007451144E-5</v>
      </c>
    </row>
    <row r="102" spans="23:35" x14ac:dyDescent="0.25">
      <c r="W102">
        <v>100</v>
      </c>
      <c r="X102">
        <v>80.112612912301174</v>
      </c>
      <c r="Y102">
        <v>3.8873870876988263</v>
      </c>
      <c r="Z102">
        <v>80.042227158037448</v>
      </c>
      <c r="AA102">
        <v>0.9824135839902971</v>
      </c>
      <c r="AB102">
        <v>53.2</v>
      </c>
      <c r="AC102">
        <v>2.0350728680272758</v>
      </c>
      <c r="AD102">
        <v>1.0810845966866827</v>
      </c>
      <c r="AE102">
        <v>-1.5384326959645349</v>
      </c>
      <c r="AF102">
        <v>1.7784182436510945E-2</v>
      </c>
      <c r="AG102">
        <v>1.0908278507204283</v>
      </c>
      <c r="AH102">
        <v>-1.5497008382575828</v>
      </c>
      <c r="AI102">
        <v>1.1339288777231303E-3</v>
      </c>
    </row>
    <row r="103" spans="23:35" x14ac:dyDescent="0.25">
      <c r="W103">
        <v>101</v>
      </c>
      <c r="X103">
        <v>80.889494852017791</v>
      </c>
      <c r="Y103">
        <v>0.11050514798220945</v>
      </c>
      <c r="Z103">
        <v>80.887711768384321</v>
      </c>
      <c r="AA103">
        <v>0.93571861734384476</v>
      </c>
      <c r="AB103">
        <v>53.3</v>
      </c>
      <c r="AC103">
        <v>1.4576525936309466</v>
      </c>
      <c r="AD103">
        <v>3.07315455453827E-2</v>
      </c>
      <c r="AE103">
        <v>-1.5378817560683058</v>
      </c>
      <c r="AF103">
        <v>1.5879523684895161E-2</v>
      </c>
      <c r="AG103">
        <v>3.0978491661154208E-2</v>
      </c>
      <c r="AH103">
        <v>-1.5422045636905448</v>
      </c>
      <c r="AI103">
        <v>8.1499724127325905E-7</v>
      </c>
    </row>
    <row r="104" spans="23:35" x14ac:dyDescent="0.25">
      <c r="W104">
        <v>102</v>
      </c>
      <c r="X104">
        <v>75.946362065943916</v>
      </c>
      <c r="Y104">
        <v>3.8536379340560813</v>
      </c>
      <c r="Z104">
        <v>75.912780334769536</v>
      </c>
      <c r="AA104">
        <v>0.91813220133414186</v>
      </c>
      <c r="AB104">
        <v>53.4</v>
      </c>
      <c r="AC104">
        <v>1.3748000243745633</v>
      </c>
      <c r="AD104">
        <v>1.0716989375456525</v>
      </c>
      <c r="AE104">
        <v>-1.5154750114776083</v>
      </c>
      <c r="AF104">
        <v>8.6390104152733321E-3</v>
      </c>
      <c r="AG104">
        <v>1.0763583581028449</v>
      </c>
      <c r="AH104">
        <v>-1.5207943381606877</v>
      </c>
      <c r="AI104">
        <v>5.3136426783209178E-4</v>
      </c>
    </row>
    <row r="105" spans="23:35" x14ac:dyDescent="0.25">
      <c r="W105">
        <v>103</v>
      </c>
      <c r="X105">
        <v>78.539454502569924</v>
      </c>
      <c r="Y105">
        <v>0.86054549743008124</v>
      </c>
      <c r="Z105">
        <v>78.529453371739649</v>
      </c>
      <c r="AA105">
        <v>0.90661006670709521</v>
      </c>
      <c r="AB105">
        <v>53.4</v>
      </c>
      <c r="AC105">
        <v>1.2933897637306977</v>
      </c>
      <c r="AD105">
        <v>0.23931820038288312</v>
      </c>
      <c r="AE105">
        <v>-1.4860817135515874</v>
      </c>
      <c r="AF105">
        <v>1.1488334462064081E-2</v>
      </c>
      <c r="AG105">
        <v>0.24070484331505831</v>
      </c>
      <c r="AH105">
        <v>-1.5023665065073819</v>
      </c>
      <c r="AI105">
        <v>3.5439805434149312E-5</v>
      </c>
    </row>
    <row r="106" spans="23:35" x14ac:dyDescent="0.25">
      <c r="W106">
        <v>104</v>
      </c>
      <c r="X106">
        <v>77.95350549141547</v>
      </c>
      <c r="Y106">
        <v>1.3464945085845272</v>
      </c>
      <c r="Z106">
        <v>77.939577961463755</v>
      </c>
      <c r="AA106">
        <v>0.9017586416009703</v>
      </c>
      <c r="AB106">
        <v>53.6</v>
      </c>
      <c r="AC106">
        <v>1.262435852359769</v>
      </c>
      <c r="AD106">
        <v>0.37446090134945537</v>
      </c>
      <c r="AE106">
        <v>-1.4852362528679841</v>
      </c>
      <c r="AF106">
        <v>1.023765387298944E-2</v>
      </c>
      <c r="AG106">
        <v>0.37639254625048979</v>
      </c>
      <c r="AH106">
        <v>-1.492809094579884</v>
      </c>
      <c r="AI106">
        <v>7.7125491108041093E-5</v>
      </c>
    </row>
    <row r="107" spans="23:35" x14ac:dyDescent="0.25">
      <c r="W107">
        <v>105</v>
      </c>
      <c r="X107">
        <v>75.592777365880551</v>
      </c>
      <c r="Y107">
        <v>3.2072226341194465</v>
      </c>
      <c r="Z107">
        <v>75.567803687465343</v>
      </c>
      <c r="AA107">
        <v>0.88174651303820495</v>
      </c>
      <c r="AB107">
        <v>53.6</v>
      </c>
      <c r="AC107">
        <v>1.1700898139672218</v>
      </c>
      <c r="AD107">
        <v>0.89193046889084282</v>
      </c>
      <c r="AE107">
        <v>-1.4778453359741022</v>
      </c>
      <c r="AF107">
        <v>7.7265351483613047E-3</v>
      </c>
      <c r="AG107">
        <v>0.8953963322681987</v>
      </c>
      <c r="AH107">
        <v>-1.4841366669898415</v>
      </c>
      <c r="AI107">
        <v>3.2857190678144696E-4</v>
      </c>
    </row>
    <row r="108" spans="23:35" x14ac:dyDescent="0.25">
      <c r="W108">
        <v>106</v>
      </c>
      <c r="X108">
        <v>79.824340459320709</v>
      </c>
      <c r="Y108">
        <v>-1.124340459320706</v>
      </c>
      <c r="Z108">
        <v>79.83489769100359</v>
      </c>
      <c r="AA108">
        <v>0.87871437234687688</v>
      </c>
      <c r="AB108">
        <v>53.6</v>
      </c>
      <c r="AC108">
        <v>1.1521925343545227</v>
      </c>
      <c r="AD108">
        <v>-0.31267973180483433</v>
      </c>
      <c r="AE108">
        <v>-1.4773561866074862</v>
      </c>
      <c r="AF108">
        <v>9.3023642276904052E-3</v>
      </c>
      <c r="AG108">
        <v>-0.31414428801516664</v>
      </c>
      <c r="AH108">
        <v>-1.483680625620351</v>
      </c>
      <c r="AI108">
        <v>4.8770470735645168E-5</v>
      </c>
    </row>
    <row r="109" spans="23:35" x14ac:dyDescent="0.25">
      <c r="W109">
        <v>107</v>
      </c>
      <c r="X109">
        <v>76.316722704187725</v>
      </c>
      <c r="Y109">
        <v>2.2832772958122689</v>
      </c>
      <c r="Z109">
        <v>76.282428932482702</v>
      </c>
      <c r="AA109">
        <v>0.8750758035172832</v>
      </c>
      <c r="AB109">
        <v>53.6</v>
      </c>
      <c r="AC109">
        <v>1.1404631659072275</v>
      </c>
      <c r="AD109">
        <v>0.63498073610371208</v>
      </c>
      <c r="AE109">
        <v>-1.4731449527918234</v>
      </c>
      <c r="AF109">
        <v>1.4797290225821675E-2</v>
      </c>
      <c r="AG109">
        <v>0.63973152280081691</v>
      </c>
      <c r="AH109">
        <v>-1.4804644084753242</v>
      </c>
      <c r="AI109">
        <v>3.2351803457938559E-4</v>
      </c>
    </row>
    <row r="110" spans="23:35" x14ac:dyDescent="0.25">
      <c r="W110">
        <v>108</v>
      </c>
      <c r="X110">
        <v>76.015107729691238</v>
      </c>
      <c r="Y110">
        <v>2.0848922703087567</v>
      </c>
      <c r="Z110">
        <v>75.981442397441242</v>
      </c>
      <c r="AA110">
        <v>0.86476652516676777</v>
      </c>
      <c r="AB110">
        <v>53.7</v>
      </c>
      <c r="AC110">
        <v>1.0950400512086551</v>
      </c>
      <c r="AD110">
        <v>0.57980974580953493</v>
      </c>
      <c r="AE110">
        <v>-1.46540566216533</v>
      </c>
      <c r="AF110">
        <v>1.58906853461699E-2</v>
      </c>
      <c r="AG110">
        <v>0.58447217398297924</v>
      </c>
      <c r="AH110">
        <v>-1.4801411445939252</v>
      </c>
      <c r="AI110">
        <v>2.9031759955512197E-4</v>
      </c>
    </row>
    <row r="111" spans="23:35" x14ac:dyDescent="0.25">
      <c r="W111">
        <v>109</v>
      </c>
      <c r="X111">
        <v>73.251341091468063</v>
      </c>
      <c r="Y111">
        <v>-0.75134109146806338</v>
      </c>
      <c r="Z111">
        <v>73.255068420312739</v>
      </c>
      <c r="AA111">
        <v>0.55852031534263191</v>
      </c>
      <c r="AB111">
        <v>53.8</v>
      </c>
      <c r="AC111">
        <v>0.12956927093944998</v>
      </c>
      <c r="AD111">
        <v>-0.20894839194537476</v>
      </c>
      <c r="AE111">
        <v>-1.4631452537403586</v>
      </c>
      <c r="AF111">
        <v>4.9364120447975123E-3</v>
      </c>
      <c r="AG111">
        <v>-0.20946603689665469</v>
      </c>
      <c r="AH111">
        <v>-1.4762533227605081</v>
      </c>
      <c r="AI111">
        <v>1.1456031514730607E-5</v>
      </c>
    </row>
    <row r="112" spans="23:35" x14ac:dyDescent="0.25">
      <c r="W112">
        <v>110</v>
      </c>
      <c r="X112">
        <v>71.138713648393363</v>
      </c>
      <c r="Y112">
        <v>1.0612863516066398</v>
      </c>
      <c r="Z112">
        <v>71.130589561638942</v>
      </c>
      <c r="AA112">
        <v>0.53911461491813217</v>
      </c>
      <c r="AB112">
        <v>53.8</v>
      </c>
      <c r="AC112">
        <v>7.9127168877726875E-2</v>
      </c>
      <c r="AD112">
        <v>0.29514434799312034</v>
      </c>
      <c r="AE112">
        <v>-1.4607817332804893</v>
      </c>
      <c r="AF112">
        <v>7.5967902154251161E-3</v>
      </c>
      <c r="AG112">
        <v>0.29627185097569553</v>
      </c>
      <c r="AH112">
        <v>-1.4652992029737115</v>
      </c>
      <c r="AI112">
        <v>3.5364632869618645E-5</v>
      </c>
    </row>
    <row r="113" spans="23:35" x14ac:dyDescent="0.25">
      <c r="W113">
        <v>111</v>
      </c>
      <c r="X113">
        <v>72.500258474552695</v>
      </c>
      <c r="Y113">
        <v>-0.60025847455268888</v>
      </c>
      <c r="Z113">
        <v>72.503021656926776</v>
      </c>
      <c r="AA113">
        <v>0.51607034566403887</v>
      </c>
      <c r="AB113">
        <v>54</v>
      </c>
      <c r="AC113">
        <v>2.7365033500434649E-2</v>
      </c>
      <c r="AD113">
        <v>-0.16693222882872133</v>
      </c>
      <c r="AE113">
        <v>-1.4471244344904581</v>
      </c>
      <c r="AF113">
        <v>4.5822274247392589E-3</v>
      </c>
      <c r="AG113">
        <v>-0.16731600897796303</v>
      </c>
      <c r="AH113">
        <v>-1.455019344823719</v>
      </c>
      <c r="AI113">
        <v>6.7825443496347603E-6</v>
      </c>
    </row>
    <row r="114" spans="23:35" x14ac:dyDescent="0.25">
      <c r="W114">
        <v>112</v>
      </c>
      <c r="X114">
        <v>72.183736730480391</v>
      </c>
      <c r="Y114">
        <v>-0.5837367304803962</v>
      </c>
      <c r="Z114">
        <v>72.185772122711825</v>
      </c>
      <c r="AA114">
        <v>0.49787750151607035</v>
      </c>
      <c r="AB114">
        <v>54</v>
      </c>
      <c r="AC114">
        <v>-2.1282865457297767E-2</v>
      </c>
      <c r="AD114">
        <v>-0.162337522249725</v>
      </c>
      <c r="AE114">
        <v>-1.412592697981456</v>
      </c>
      <c r="AF114">
        <v>3.4747167926114063E-3</v>
      </c>
      <c r="AG114">
        <v>-0.16262029784462714</v>
      </c>
      <c r="AH114">
        <v>-1.4293781489816981</v>
      </c>
      <c r="AI114">
        <v>4.8531866541797171E-6</v>
      </c>
    </row>
    <row r="115" spans="23:35" x14ac:dyDescent="0.25">
      <c r="W115">
        <v>113</v>
      </c>
      <c r="X115">
        <v>74.293502578678201</v>
      </c>
      <c r="Y115">
        <v>-3.1935025786782063</v>
      </c>
      <c r="Z115">
        <v>74.330335659098665</v>
      </c>
      <c r="AA115">
        <v>0.47422680412371132</v>
      </c>
      <c r="AB115">
        <v>54</v>
      </c>
      <c r="AC115">
        <v>-7.6077819866612773E-2</v>
      </c>
      <c r="AD115">
        <v>-0.88811491354001404</v>
      </c>
      <c r="AE115">
        <v>-1.4056050970298697</v>
      </c>
      <c r="AF115">
        <v>1.1402245558204297E-2</v>
      </c>
      <c r="AG115">
        <v>-0.8932218806094615</v>
      </c>
      <c r="AH115">
        <v>-1.4220710844912798</v>
      </c>
      <c r="AI115">
        <v>4.8432387167859984E-4</v>
      </c>
    </row>
    <row r="116" spans="23:35" x14ac:dyDescent="0.25">
      <c r="W116">
        <v>114</v>
      </c>
      <c r="X116">
        <v>71.672298130521966</v>
      </c>
      <c r="Y116">
        <v>6.3277018694780338</v>
      </c>
      <c r="Z116">
        <v>71.658041714155345</v>
      </c>
      <c r="AA116">
        <v>0.86294724075197093</v>
      </c>
      <c r="AB116">
        <v>54</v>
      </c>
      <c r="AC116">
        <v>1.0491313979639725</v>
      </c>
      <c r="AD116">
        <v>1.7597375484332562</v>
      </c>
      <c r="AE116">
        <v>-1.4029493911137507</v>
      </c>
      <c r="AF116">
        <v>2.2479517720013597E-3</v>
      </c>
      <c r="AG116">
        <v>1.7617187919347066</v>
      </c>
      <c r="AH116">
        <v>-1.4074379653898692</v>
      </c>
      <c r="AI116">
        <v>3.6803060399547845E-4</v>
      </c>
    </row>
    <row r="117" spans="23:35" x14ac:dyDescent="0.25">
      <c r="W117">
        <v>115</v>
      </c>
      <c r="X117">
        <v>71.527488597717962</v>
      </c>
      <c r="Y117">
        <v>1.4725114022820378</v>
      </c>
      <c r="Z117">
        <v>71.522582970349177</v>
      </c>
      <c r="AA117">
        <v>0.60946027895694366</v>
      </c>
      <c r="AB117">
        <v>54</v>
      </c>
      <c r="AC117">
        <v>0.22222871718700732</v>
      </c>
      <c r="AD117">
        <v>0.40950627234679721</v>
      </c>
      <c r="AE117">
        <v>-1.4004183260309948</v>
      </c>
      <c r="AF117">
        <v>3.320408029916914E-3</v>
      </c>
      <c r="AG117">
        <v>0.41018783407199161</v>
      </c>
      <c r="AH117">
        <v>-1.4042087122029465</v>
      </c>
      <c r="AI117">
        <v>2.9501754140419974E-5</v>
      </c>
    </row>
    <row r="118" spans="23:35" x14ac:dyDescent="0.25">
      <c r="W118">
        <v>116</v>
      </c>
      <c r="X118">
        <v>73.47541650571857</v>
      </c>
      <c r="Y118">
        <v>-0.47541650571857019</v>
      </c>
      <c r="Z118">
        <v>73.477223855930077</v>
      </c>
      <c r="AA118">
        <v>0.60946027895694366</v>
      </c>
      <c r="AB118">
        <v>54.1</v>
      </c>
      <c r="AC118">
        <v>0.22222871718700732</v>
      </c>
      <c r="AD118">
        <v>-0.13221360511520322</v>
      </c>
      <c r="AE118">
        <v>-1.3913967378458865</v>
      </c>
      <c r="AF118">
        <v>3.7872168146038895E-3</v>
      </c>
      <c r="AG118">
        <v>-0.13246467928915875</v>
      </c>
      <c r="AH118">
        <v>-1.3956917906660498</v>
      </c>
      <c r="AI118">
        <v>3.5108691395228282E-6</v>
      </c>
    </row>
    <row r="119" spans="23:35" x14ac:dyDescent="0.25">
      <c r="W119">
        <v>117</v>
      </c>
      <c r="X119">
        <v>69.560005254457963</v>
      </c>
      <c r="Y119">
        <v>-0.36000525445795972</v>
      </c>
      <c r="Z119">
        <v>69.56463274221187</v>
      </c>
      <c r="AA119">
        <v>0.42874469375379015</v>
      </c>
      <c r="AB119">
        <v>54.1</v>
      </c>
      <c r="AC119">
        <v>-0.1880739545732803</v>
      </c>
      <c r="AD119">
        <v>-0.10011766941150133</v>
      </c>
      <c r="AE119">
        <v>-1.3895899205740567</v>
      </c>
      <c r="AF119">
        <v>1.2690817960671943E-2</v>
      </c>
      <c r="AG119">
        <v>-0.10075906837585046</v>
      </c>
      <c r="AH119">
        <v>-1.3938705505807882</v>
      </c>
      <c r="AI119">
        <v>6.8683295398121984E-6</v>
      </c>
    </row>
    <row r="120" spans="23:35" x14ac:dyDescent="0.25">
      <c r="W120">
        <v>118</v>
      </c>
      <c r="X120">
        <v>70.411010792284401</v>
      </c>
      <c r="Y120">
        <v>-2.0110107922843952</v>
      </c>
      <c r="Z120">
        <v>70.419112954527193</v>
      </c>
      <c r="AA120">
        <v>0.40024257125530627</v>
      </c>
      <c r="AB120">
        <v>54.1</v>
      </c>
      <c r="AC120">
        <v>-0.26293383539244392</v>
      </c>
      <c r="AD120">
        <v>-0.55926326405439175</v>
      </c>
      <c r="AE120">
        <v>-1.3847413660864882</v>
      </c>
      <c r="AF120">
        <v>4.0127335247032922E-3</v>
      </c>
      <c r="AG120">
        <v>-0.56038873958878166</v>
      </c>
      <c r="AH120">
        <v>-1.3871280616079238</v>
      </c>
      <c r="AI120">
        <v>6.6590416815400836E-5</v>
      </c>
    </row>
    <row r="121" spans="23:35" x14ac:dyDescent="0.25">
      <c r="W121">
        <v>119</v>
      </c>
      <c r="X121">
        <v>70.447768324413175</v>
      </c>
      <c r="Y121">
        <v>-2.0477683244131697</v>
      </c>
      <c r="Z121">
        <v>70.470202570662124</v>
      </c>
      <c r="AA121">
        <v>0.40024257125530627</v>
      </c>
      <c r="AB121">
        <v>54.2</v>
      </c>
      <c r="AC121">
        <v>-0.26293383539244392</v>
      </c>
      <c r="AD121">
        <v>-0.56948555499176201</v>
      </c>
      <c r="AE121">
        <v>-1.3798598626493999</v>
      </c>
      <c r="AF121">
        <v>1.0836739634506116E-2</v>
      </c>
      <c r="AG121">
        <v>-0.5725965460425616</v>
      </c>
      <c r="AH121">
        <v>-1.3833164229030315</v>
      </c>
      <c r="AI121">
        <v>1.8904905409293873E-4</v>
      </c>
    </row>
    <row r="122" spans="23:35" x14ac:dyDescent="0.25">
      <c r="W122">
        <v>120</v>
      </c>
      <c r="X122">
        <v>69.916679038801206</v>
      </c>
      <c r="Y122">
        <v>-2.1166790388012089</v>
      </c>
      <c r="Z122">
        <v>69.923863362700246</v>
      </c>
      <c r="AA122">
        <v>0.37355973317161917</v>
      </c>
      <c r="AB122">
        <v>54.3</v>
      </c>
      <c r="AC122">
        <v>-0.337689309602062</v>
      </c>
      <c r="AD122">
        <v>-0.58864966450566292</v>
      </c>
      <c r="AE122">
        <v>-1.3713838389204507</v>
      </c>
      <c r="AF122">
        <v>3.3826676542429213E-3</v>
      </c>
      <c r="AG122">
        <v>-0.58964780058256083</v>
      </c>
      <c r="AH122">
        <v>-1.3767074695376171</v>
      </c>
      <c r="AI122">
        <v>6.211016167816787E-5</v>
      </c>
    </row>
    <row r="123" spans="23:35" x14ac:dyDescent="0.25">
      <c r="W123">
        <v>121</v>
      </c>
      <c r="X123">
        <v>69.199861886918754</v>
      </c>
      <c r="Y123">
        <v>-1.3998618869187567</v>
      </c>
      <c r="Z123">
        <v>69.223895740328217</v>
      </c>
      <c r="AA123">
        <v>0.37355973317161917</v>
      </c>
      <c r="AB123">
        <v>54.3</v>
      </c>
      <c r="AC123">
        <v>-0.337689309602062</v>
      </c>
      <c r="AD123">
        <v>-0.38930240011999301</v>
      </c>
      <c r="AE123">
        <v>-1.3673024904826272</v>
      </c>
      <c r="AF123">
        <v>1.6878941855618567E-2</v>
      </c>
      <c r="AG123">
        <v>-0.39263009210644328</v>
      </c>
      <c r="AH123">
        <v>-1.3727139051375838</v>
      </c>
      <c r="AI123">
        <v>1.3930021327010486E-4</v>
      </c>
    </row>
    <row r="124" spans="23:35" x14ac:dyDescent="0.25">
      <c r="W124">
        <v>122</v>
      </c>
      <c r="X124">
        <v>67.361494457394471</v>
      </c>
      <c r="Y124">
        <v>4.0385055426055345</v>
      </c>
      <c r="Z124">
        <v>67.32226585162978</v>
      </c>
      <c r="AA124">
        <v>0.4887810794420861</v>
      </c>
      <c r="AB124">
        <v>54.3</v>
      </c>
      <c r="AC124">
        <v>-4.7140240828996732E-2</v>
      </c>
      <c r="AD124">
        <v>1.1231107263694469</v>
      </c>
      <c r="AE124">
        <v>-1.360396033506506</v>
      </c>
      <c r="AF124">
        <v>9.6201969862041645E-3</v>
      </c>
      <c r="AG124">
        <v>1.1285522929162761</v>
      </c>
      <c r="AH124">
        <v>-1.3704978501844876</v>
      </c>
      <c r="AI124">
        <v>6.5113638451965241E-4</v>
      </c>
    </row>
    <row r="125" spans="23:35" x14ac:dyDescent="0.25">
      <c r="W125">
        <v>123</v>
      </c>
      <c r="X125">
        <v>67.07146729121061</v>
      </c>
      <c r="Y125">
        <v>3.9285327087893904</v>
      </c>
      <c r="Z125">
        <v>67.023271514690578</v>
      </c>
      <c r="AA125">
        <v>0.46937537901758641</v>
      </c>
      <c r="AB125">
        <v>54.5</v>
      </c>
      <c r="AC125">
        <v>-9.743972564826138E-2</v>
      </c>
      <c r="AD125">
        <v>1.0925272177014187</v>
      </c>
      <c r="AE125">
        <v>-1.3602597564283105</v>
      </c>
      <c r="AF125">
        <v>1.2119453640869811E-2</v>
      </c>
      <c r="AG125">
        <v>1.0992084253326686</v>
      </c>
      <c r="AH125">
        <v>-1.3626105692984638</v>
      </c>
      <c r="AI125">
        <v>7.801625599738192E-4</v>
      </c>
    </row>
    <row r="126" spans="23:35" x14ac:dyDescent="0.25">
      <c r="W126">
        <v>124</v>
      </c>
      <c r="X126">
        <v>66.985145049866233</v>
      </c>
      <c r="Y126">
        <v>10.014854950133767</v>
      </c>
      <c r="Z126">
        <v>66.891932294265231</v>
      </c>
      <c r="AA126">
        <v>0.83747725894481506</v>
      </c>
      <c r="AB126">
        <v>54.8</v>
      </c>
      <c r="AC126">
        <v>0.95855995741850497</v>
      </c>
      <c r="AD126">
        <v>2.785136951990566</v>
      </c>
      <c r="AE126">
        <v>-1.3416712978512133</v>
      </c>
      <c r="AF126">
        <v>9.2216196324171884E-3</v>
      </c>
      <c r="AG126">
        <v>2.7980681930751596</v>
      </c>
      <c r="AH126">
        <v>-1.34433227587116</v>
      </c>
      <c r="AI126">
        <v>3.8352499401215208E-3</v>
      </c>
    </row>
    <row r="127" spans="23:35" x14ac:dyDescent="0.25">
      <c r="W127">
        <v>125</v>
      </c>
      <c r="X127">
        <v>68.21006943635598</v>
      </c>
      <c r="Y127">
        <v>4.7899305636440204</v>
      </c>
      <c r="Z127">
        <v>68.141855763512268</v>
      </c>
      <c r="AA127">
        <v>0.60946027895694366</v>
      </c>
      <c r="AB127">
        <v>54.8</v>
      </c>
      <c r="AC127">
        <v>0.22222871718700732</v>
      </c>
      <c r="AD127">
        <v>1.3320824591768821</v>
      </c>
      <c r="AE127">
        <v>-1.3377998210120159</v>
      </c>
      <c r="AF127">
        <v>1.4041096666373043E-2</v>
      </c>
      <c r="AG127">
        <v>1.3415340588717739</v>
      </c>
      <c r="AH127">
        <v>-1.3405255148411312</v>
      </c>
      <c r="AI127">
        <v>1.3489381000623786E-3</v>
      </c>
    </row>
    <row r="128" spans="23:35" x14ac:dyDescent="0.25">
      <c r="W128">
        <v>126</v>
      </c>
      <c r="X128">
        <v>65.591682633988185</v>
      </c>
      <c r="Y128">
        <v>4.3083173660118206</v>
      </c>
      <c r="Z128">
        <v>65.548866763711089</v>
      </c>
      <c r="AA128">
        <v>0.45724681625227409</v>
      </c>
      <c r="AB128">
        <v>54.8</v>
      </c>
      <c r="AC128">
        <v>-0.11731546960548965</v>
      </c>
      <c r="AD128">
        <v>1.1981455504577141</v>
      </c>
      <c r="AE128">
        <v>-1.3328351929417748</v>
      </c>
      <c r="AF128">
        <v>9.8401652976304425E-3</v>
      </c>
      <c r="AG128">
        <v>1.2040843910900216</v>
      </c>
      <c r="AH128">
        <v>-1.3343736950896321</v>
      </c>
      <c r="AI128">
        <v>7.5832843424865793E-4</v>
      </c>
    </row>
    <row r="129" spans="23:35" x14ac:dyDescent="0.25">
      <c r="W129">
        <v>127</v>
      </c>
      <c r="X129">
        <v>64.961599021740781</v>
      </c>
      <c r="Y129">
        <v>4.5384009782592187</v>
      </c>
      <c r="Z129">
        <v>64.910455463289367</v>
      </c>
      <c r="AA129">
        <v>0.44269254093389931</v>
      </c>
      <c r="AB129">
        <v>54.8</v>
      </c>
      <c r="AC129">
        <v>-0.15567569037416348</v>
      </c>
      <c r="AD129">
        <v>1.2621319360527585</v>
      </c>
      <c r="AE129">
        <v>-1.3267565039411882</v>
      </c>
      <c r="AF129">
        <v>1.1143493225162761E-2</v>
      </c>
      <c r="AG129">
        <v>1.2692235396671032</v>
      </c>
      <c r="AH129">
        <v>-1.3291320514802278</v>
      </c>
      <c r="AI129">
        <v>9.5545604644398389E-4</v>
      </c>
    </row>
    <row r="130" spans="23:35" x14ac:dyDescent="0.25">
      <c r="W130">
        <v>128</v>
      </c>
      <c r="X130">
        <v>64.899818245409236</v>
      </c>
      <c r="Y130">
        <v>4.2001817545907585</v>
      </c>
      <c r="Z130">
        <v>64.85472476492815</v>
      </c>
      <c r="AA130">
        <v>0.42510612492419647</v>
      </c>
      <c r="AB130">
        <v>54.8</v>
      </c>
      <c r="AC130">
        <v>-0.198915705174462</v>
      </c>
      <c r="AD130">
        <v>1.1680729743999978</v>
      </c>
      <c r="AE130">
        <v>-1.3113261450130369</v>
      </c>
      <c r="AF130">
        <v>1.0622039322340446E-2</v>
      </c>
      <c r="AG130">
        <v>1.1743264961319577</v>
      </c>
      <c r="AH130">
        <v>-1.3131154496895989</v>
      </c>
      <c r="AI130">
        <v>7.7923740583478603E-4</v>
      </c>
    </row>
    <row r="131" spans="23:35" x14ac:dyDescent="0.25">
      <c r="W131">
        <v>129</v>
      </c>
      <c r="X131">
        <v>65.416260199914404</v>
      </c>
      <c r="Y131">
        <v>3.1837398000855899</v>
      </c>
      <c r="Z131">
        <v>65.188729583905584</v>
      </c>
      <c r="AA131">
        <v>0.40570042449969679</v>
      </c>
      <c r="AB131">
        <v>54.9</v>
      </c>
      <c r="AC131">
        <v>-0.24253103988010652</v>
      </c>
      <c r="AD131">
        <v>0.8853998791687937</v>
      </c>
      <c r="AE131">
        <v>-1.3085418861225528</v>
      </c>
      <c r="AF131">
        <v>6.6699671458273088E-2</v>
      </c>
      <c r="AG131">
        <v>0.91649214905815424</v>
      </c>
      <c r="AH131">
        <v>-1.3112316458263693</v>
      </c>
      <c r="AI131">
        <v>3.1594113435150181E-3</v>
      </c>
    </row>
    <row r="132" spans="23:35" x14ac:dyDescent="0.25">
      <c r="W132">
        <v>130</v>
      </c>
      <c r="X132">
        <v>65.189395092438417</v>
      </c>
      <c r="Y132">
        <v>3.0106049075615857</v>
      </c>
      <c r="Z132">
        <v>64.974665730957497</v>
      </c>
      <c r="AA132">
        <v>0.39175257731958762</v>
      </c>
      <c r="AB132">
        <v>54.9</v>
      </c>
      <c r="AC132">
        <v>-0.28028330588569778</v>
      </c>
      <c r="AD132">
        <v>0.83725096545526279</v>
      </c>
      <c r="AE132">
        <v>-1.305874096636197</v>
      </c>
      <c r="AF132">
        <v>6.6575847205031194E-2</v>
      </c>
      <c r="AG132">
        <v>0.86659492201784094</v>
      </c>
      <c r="AH132">
        <v>-1.3104802307873942</v>
      </c>
      <c r="AI132">
        <v>2.819138069092425E-3</v>
      </c>
    </row>
    <row r="133" spans="23:35" x14ac:dyDescent="0.25">
      <c r="W133">
        <v>131</v>
      </c>
      <c r="X133">
        <v>64.691270308388482</v>
      </c>
      <c r="Y133">
        <v>3.108729691611515</v>
      </c>
      <c r="Z133">
        <v>64.457271053890878</v>
      </c>
      <c r="AA133">
        <v>0.37355973317161917</v>
      </c>
      <c r="AB133">
        <v>54.9</v>
      </c>
      <c r="AC133">
        <v>-0.337689309602062</v>
      </c>
      <c r="AD133">
        <v>0.86453952463303718</v>
      </c>
      <c r="AE133">
        <v>-1.3021581998444758</v>
      </c>
      <c r="AF133">
        <v>7.0002461542677669E-2</v>
      </c>
      <c r="AG133">
        <v>0.89648691165023042</v>
      </c>
      <c r="AH133">
        <v>-1.3064014108906874</v>
      </c>
      <c r="AI133">
        <v>3.1839469167206139E-3</v>
      </c>
    </row>
    <row r="134" spans="23:35" x14ac:dyDescent="0.25">
      <c r="W134">
        <v>132</v>
      </c>
      <c r="X134">
        <v>64.849754314425525</v>
      </c>
      <c r="Y134">
        <v>2.4502456855744725</v>
      </c>
      <c r="Z134">
        <v>64.806575994099333</v>
      </c>
      <c r="AA134">
        <v>0.35112189205579136</v>
      </c>
      <c r="AB134">
        <v>55</v>
      </c>
      <c r="AC134">
        <v>-0.39787592189543292</v>
      </c>
      <c r="AD134">
        <v>0.68141474183385653</v>
      </c>
      <c r="AE134">
        <v>-1.2900960368099368</v>
      </c>
      <c r="AF134">
        <v>1.7316878406565699E-2</v>
      </c>
      <c r="AG134">
        <v>0.68739247978548379</v>
      </c>
      <c r="AH134">
        <v>-1.301505501104308</v>
      </c>
      <c r="AI134">
        <v>4.3824004842811471E-4</v>
      </c>
    </row>
    <row r="135" spans="23:35" x14ac:dyDescent="0.25">
      <c r="W135">
        <v>133</v>
      </c>
      <c r="X135">
        <v>63.670675057973824</v>
      </c>
      <c r="Y135">
        <v>3.1293249420261731</v>
      </c>
      <c r="Z135">
        <v>63.593069877187844</v>
      </c>
      <c r="AA135">
        <v>0.33232261976955729</v>
      </c>
      <c r="AB135">
        <v>55</v>
      </c>
      <c r="AC135">
        <v>-0.44438857281516719</v>
      </c>
      <c r="AD135">
        <v>0.87026707568105288</v>
      </c>
      <c r="AE135">
        <v>-1.2866391716428405</v>
      </c>
      <c r="AF135">
        <v>2.4199211649155259E-2</v>
      </c>
      <c r="AG135">
        <v>0.88099201288439932</v>
      </c>
      <c r="AH135">
        <v>-1.2961710798474064</v>
      </c>
      <c r="AI135">
        <v>1.013048865575007E-3</v>
      </c>
    </row>
    <row r="136" spans="23:35" x14ac:dyDescent="0.25">
      <c r="W136">
        <v>134</v>
      </c>
      <c r="X136">
        <v>75.286424249742623</v>
      </c>
      <c r="Y136">
        <v>-3.2864242497426233</v>
      </c>
      <c r="Z136">
        <v>75.30549632033518</v>
      </c>
      <c r="AA136">
        <v>0.52516676773802307</v>
      </c>
      <c r="AB136">
        <v>55</v>
      </c>
      <c r="AC136">
        <v>4.1053957112594373E-2</v>
      </c>
      <c r="AD136">
        <v>-0.9139564839881974</v>
      </c>
      <c r="AE136">
        <v>-1.2823828873083625</v>
      </c>
      <c r="AF136">
        <v>5.7698054223292551E-3</v>
      </c>
      <c r="AG136">
        <v>-0.91660462449417812</v>
      </c>
      <c r="AH136">
        <v>-1.2890552708090761</v>
      </c>
      <c r="AI136">
        <v>2.566165761358718E-4</v>
      </c>
    </row>
    <row r="137" spans="23:35" x14ac:dyDescent="0.25">
      <c r="W137">
        <v>135</v>
      </c>
      <c r="X137">
        <v>78.207081872918479</v>
      </c>
      <c r="Y137">
        <v>-6.5070818729184765</v>
      </c>
      <c r="Z137">
        <v>78.249863220572408</v>
      </c>
      <c r="AA137">
        <v>0.50394178289872649</v>
      </c>
      <c r="AB137">
        <v>55.3</v>
      </c>
      <c r="AC137">
        <v>-4.5602855597810616E-3</v>
      </c>
      <c r="AD137">
        <v>-1.8096232311034282</v>
      </c>
      <c r="AE137">
        <v>-1.2801092351797587</v>
      </c>
      <c r="AF137">
        <v>6.5316398546394197E-3</v>
      </c>
      <c r="AG137">
        <v>-1.8155622442212729</v>
      </c>
      <c r="AH137">
        <v>-1.2849932820614418</v>
      </c>
      <c r="AI137">
        <v>1.1406092113505001E-3</v>
      </c>
    </row>
    <row r="138" spans="23:35" x14ac:dyDescent="0.25">
      <c r="W138">
        <v>136</v>
      </c>
      <c r="X138">
        <v>72.668602005745583</v>
      </c>
      <c r="Y138">
        <v>-0.7686020057455778</v>
      </c>
      <c r="Z138">
        <v>72.679986381184662</v>
      </c>
      <c r="AA138">
        <v>0.51607034566403887</v>
      </c>
      <c r="AB138">
        <v>55.3</v>
      </c>
      <c r="AC138">
        <v>2.7365033500434649E-2</v>
      </c>
      <c r="AD138">
        <v>-0.21374866218581443</v>
      </c>
      <c r="AE138">
        <v>-1.2763845633303088</v>
      </c>
      <c r="AF138">
        <v>1.459560796663378E-2</v>
      </c>
      <c r="AG138">
        <v>-0.21532584412512956</v>
      </c>
      <c r="AH138">
        <v>-1.2815683360498682</v>
      </c>
      <c r="AI138">
        <v>3.6144848778264122E-5</v>
      </c>
    </row>
    <row r="139" spans="23:35" x14ac:dyDescent="0.25">
      <c r="W139">
        <v>137</v>
      </c>
      <c r="X139">
        <v>73.962201694514192</v>
      </c>
      <c r="Y139">
        <v>-1.9622016945141922</v>
      </c>
      <c r="Z139">
        <v>73.98300337058204</v>
      </c>
      <c r="AA139">
        <v>0.52516676773802307</v>
      </c>
      <c r="AB139">
        <v>55.3</v>
      </c>
      <c r="AC139">
        <v>4.1053957112594373E-2</v>
      </c>
      <c r="AD139">
        <v>-0.54568942574420265</v>
      </c>
      <c r="AE139">
        <v>-1.2758302626100178</v>
      </c>
      <c r="AF139">
        <v>1.0489985229701449E-2</v>
      </c>
      <c r="AG139">
        <v>-0.54857427925052948</v>
      </c>
      <c r="AH139">
        <v>-1.2792435935419131</v>
      </c>
      <c r="AI139">
        <v>1.6790822246838958E-4</v>
      </c>
    </row>
    <row r="140" spans="23:35" x14ac:dyDescent="0.25">
      <c r="W140">
        <v>138</v>
      </c>
      <c r="X140">
        <v>73.862674657235658</v>
      </c>
      <c r="Y140">
        <v>-0.86267465723565806</v>
      </c>
      <c r="Z140">
        <v>73.86931241981442</v>
      </c>
      <c r="AA140">
        <v>0.60946027895694366</v>
      </c>
      <c r="AB140">
        <v>55.3</v>
      </c>
      <c r="AC140">
        <v>0.22222871718700732</v>
      </c>
      <c r="AD140">
        <v>-0.23991032095584516</v>
      </c>
      <c r="AE140">
        <v>-1.2743410885066095</v>
      </c>
      <c r="AF140">
        <v>7.6356467795320876E-3</v>
      </c>
      <c r="AG140">
        <v>-0.24083153510978253</v>
      </c>
      <c r="AH140">
        <v>-1.2788279348694824</v>
      </c>
      <c r="AI140">
        <v>2.3488094275505238E-5</v>
      </c>
    </row>
    <row r="141" spans="23:35" x14ac:dyDescent="0.25">
      <c r="W141">
        <v>139</v>
      </c>
      <c r="X141">
        <v>73.908547294801167</v>
      </c>
      <c r="Y141">
        <v>-3.908547294801167</v>
      </c>
      <c r="Z141">
        <v>73.933615049451348</v>
      </c>
      <c r="AA141">
        <v>0.46088538508186777</v>
      </c>
      <c r="AB141">
        <v>55.3</v>
      </c>
      <c r="AC141">
        <v>-0.10660788786182936</v>
      </c>
      <c r="AD141">
        <v>-1.0869692625161878</v>
      </c>
      <c r="AE141">
        <v>-1.2721663368113558</v>
      </c>
      <c r="AF141">
        <v>6.3727015315542751E-3</v>
      </c>
      <c r="AG141">
        <v>-1.090449369984321</v>
      </c>
      <c r="AH141">
        <v>-1.2781176790447006</v>
      </c>
      <c r="AI141">
        <v>4.0138161386844579E-4</v>
      </c>
    </row>
    <row r="142" spans="23:35" x14ac:dyDescent="0.25">
      <c r="W142">
        <v>140</v>
      </c>
      <c r="X142">
        <v>73.536540365579086</v>
      </c>
      <c r="Y142">
        <v>-3.5365403655790857</v>
      </c>
      <c r="Z142">
        <v>73.561747669600308</v>
      </c>
      <c r="AA142">
        <v>0.46088538508186777</v>
      </c>
      <c r="AB142">
        <v>55.3</v>
      </c>
      <c r="AC142">
        <v>-0.10660788786182936</v>
      </c>
      <c r="AD142">
        <v>-0.98351392041369246</v>
      </c>
      <c r="AE142">
        <v>-1.2693992021471514</v>
      </c>
      <c r="AF142">
        <v>7.0772290346028718E-3</v>
      </c>
      <c r="AG142">
        <v>-0.98701277971383505</v>
      </c>
      <c r="AH142">
        <v>-1.2712007036774327</v>
      </c>
      <c r="AI142">
        <v>3.6545989977792892E-4</v>
      </c>
    </row>
    <row r="143" spans="23:35" x14ac:dyDescent="0.25">
      <c r="W143">
        <v>141</v>
      </c>
      <c r="X143">
        <v>72.497666152018994</v>
      </c>
      <c r="Y143">
        <v>-2.6976661520189964</v>
      </c>
      <c r="Z143">
        <v>72.557683141346999</v>
      </c>
      <c r="AA143">
        <v>0.4530018192844148</v>
      </c>
      <c r="AB143">
        <v>55.3</v>
      </c>
      <c r="AC143">
        <v>-0.12344005334831042</v>
      </c>
      <c r="AD143">
        <v>-0.75022251660489114</v>
      </c>
      <c r="AE143">
        <v>-1.2577407228339212</v>
      </c>
      <c r="AF143">
        <v>2.1763555220740628E-2</v>
      </c>
      <c r="AG143">
        <v>-0.75852198911206137</v>
      </c>
      <c r="AH143">
        <v>-1.2610131324258123</v>
      </c>
      <c r="AI143">
        <v>6.737034208409322E-4</v>
      </c>
    </row>
    <row r="144" spans="23:35" x14ac:dyDescent="0.25">
      <c r="W144">
        <v>142</v>
      </c>
      <c r="X144">
        <v>72.504960244220172</v>
      </c>
      <c r="Y144">
        <v>-3.604960244220166</v>
      </c>
      <c r="Z144">
        <v>72.524869618951797</v>
      </c>
      <c r="AA144">
        <v>0.41479684657368104</v>
      </c>
      <c r="AB144">
        <v>55.3</v>
      </c>
      <c r="AC144">
        <v>-0.22378708008709278</v>
      </c>
      <c r="AD144">
        <v>-1.0025415282225743</v>
      </c>
      <c r="AE144">
        <v>-1.2559851372610666</v>
      </c>
      <c r="AF144">
        <v>5.4924388528430216E-3</v>
      </c>
      <c r="AG144">
        <v>-1.0053061207364855</v>
      </c>
      <c r="AH144">
        <v>-1.2595636355456186</v>
      </c>
      <c r="AI144">
        <v>2.9376509626975235E-4</v>
      </c>
    </row>
    <row r="145" spans="23:35" x14ac:dyDescent="0.25">
      <c r="W145">
        <v>143</v>
      </c>
      <c r="X145">
        <v>72.053729891188112</v>
      </c>
      <c r="Y145">
        <v>-3.953729891188118</v>
      </c>
      <c r="Z145">
        <v>72.072243813138016</v>
      </c>
      <c r="AA145">
        <v>0.38932686476652517</v>
      </c>
      <c r="AB145">
        <v>55.3</v>
      </c>
      <c r="AC145">
        <v>-0.29295400660571042</v>
      </c>
      <c r="AD145">
        <v>-1.0995345686949349</v>
      </c>
      <c r="AE145">
        <v>-1.2486780159048287</v>
      </c>
      <c r="AF145">
        <v>4.6608221501073296E-3</v>
      </c>
      <c r="AG145">
        <v>-1.1021059282175949</v>
      </c>
      <c r="AH145">
        <v>-1.2503801606561413</v>
      </c>
      <c r="AI145">
        <v>2.9935361592221127E-4</v>
      </c>
    </row>
    <row r="146" spans="23:35" x14ac:dyDescent="0.25">
      <c r="W146">
        <v>144</v>
      </c>
      <c r="X146">
        <v>71.680600960271306</v>
      </c>
      <c r="Y146">
        <v>-3.4806009602713033</v>
      </c>
      <c r="Z146">
        <v>71.699442190232972</v>
      </c>
      <c r="AA146">
        <v>0.39175257731958762</v>
      </c>
      <c r="AB146">
        <v>55.5</v>
      </c>
      <c r="AC146">
        <v>-0.28028330588569778</v>
      </c>
      <c r="AD146">
        <v>-0.96795713945472306</v>
      </c>
      <c r="AE146">
        <v>-1.2477828430935023</v>
      </c>
      <c r="AF146">
        <v>5.3840666418945842E-3</v>
      </c>
      <c r="AG146">
        <v>-0.97057348200235072</v>
      </c>
      <c r="AH146">
        <v>-1.2501163376808324</v>
      </c>
      <c r="AI146">
        <v>2.683850104025961E-4</v>
      </c>
    </row>
    <row r="147" spans="23:35" x14ac:dyDescent="0.25">
      <c r="W147">
        <v>145</v>
      </c>
      <c r="X147">
        <v>69.859479689865026</v>
      </c>
      <c r="Y147">
        <v>-2.159479689865023</v>
      </c>
      <c r="Z147">
        <v>69.898129697646311</v>
      </c>
      <c r="AA147">
        <v>0.36749545178896303</v>
      </c>
      <c r="AB147">
        <v>55.5</v>
      </c>
      <c r="AC147">
        <v>-0.35059197017921911</v>
      </c>
      <c r="AD147">
        <v>-0.60055255031285981</v>
      </c>
      <c r="AE147">
        <v>-1.2437450039464317</v>
      </c>
      <c r="AF147">
        <v>1.7583133435062147E-2</v>
      </c>
      <c r="AG147">
        <v>-0.60590301082771403</v>
      </c>
      <c r="AH147">
        <v>-1.2466953125441684</v>
      </c>
      <c r="AI147">
        <v>3.458223694355024E-4</v>
      </c>
    </row>
    <row r="148" spans="23:35" x14ac:dyDescent="0.25">
      <c r="W148">
        <v>146</v>
      </c>
      <c r="X148">
        <v>70.790551380885589</v>
      </c>
      <c r="Y148">
        <v>-3.5905513808855858</v>
      </c>
      <c r="Z148">
        <v>70.811993853026465</v>
      </c>
      <c r="AA148">
        <v>0.34505761067313523</v>
      </c>
      <c r="AB148">
        <v>55.6</v>
      </c>
      <c r="AC148">
        <v>-0.40776731506460179</v>
      </c>
      <c r="AD148">
        <v>-0.99853441499835471</v>
      </c>
      <c r="AE148">
        <v>-1.2406508539965488</v>
      </c>
      <c r="AF148">
        <v>5.9364641838791227E-3</v>
      </c>
      <c r="AG148">
        <v>-1.0015115587512982</v>
      </c>
      <c r="AH148">
        <v>-1.2426710454016898</v>
      </c>
      <c r="AI148">
        <v>3.1526230000243058E-4</v>
      </c>
    </row>
    <row r="149" spans="23:35" x14ac:dyDescent="0.25">
      <c r="W149">
        <v>147</v>
      </c>
      <c r="X149">
        <v>70.662210205907684</v>
      </c>
      <c r="Y149">
        <v>-2.9622102059076809</v>
      </c>
      <c r="Z149">
        <v>70.675896320231402</v>
      </c>
      <c r="AA149">
        <v>0.36749545178896303</v>
      </c>
      <c r="AB149">
        <v>55.6</v>
      </c>
      <c r="AC149">
        <v>-0.35059197017921911</v>
      </c>
      <c r="AD149">
        <v>-0.82379237094461055</v>
      </c>
      <c r="AE149">
        <v>-1.2309823713982364</v>
      </c>
      <c r="AF149">
        <v>4.5989889602902042E-3</v>
      </c>
      <c r="AG149">
        <v>-0.82569323601607614</v>
      </c>
      <c r="AH149">
        <v>-1.2331952598660307</v>
      </c>
      <c r="AI149">
        <v>1.6578611039447233E-4</v>
      </c>
    </row>
    <row r="150" spans="23:35" x14ac:dyDescent="0.25">
      <c r="W150">
        <v>148</v>
      </c>
      <c r="X150">
        <v>70.853028311410043</v>
      </c>
      <c r="Y150">
        <v>-2.8530283114100428</v>
      </c>
      <c r="Z150">
        <v>70.904305967133837</v>
      </c>
      <c r="AA150">
        <v>0.38447543966040026</v>
      </c>
      <c r="AB150">
        <v>55.7</v>
      </c>
      <c r="AC150">
        <v>-0.31204933220437475</v>
      </c>
      <c r="AD150">
        <v>-0.7934288229583617</v>
      </c>
      <c r="AE150">
        <v>-1.2248498663873715</v>
      </c>
      <c r="AF150">
        <v>1.7655734727703199E-2</v>
      </c>
      <c r="AG150">
        <v>-0.80052724276458664</v>
      </c>
      <c r="AH150">
        <v>-1.2293580353521656</v>
      </c>
      <c r="AI150">
        <v>6.0620667193619069E-4</v>
      </c>
    </row>
    <row r="151" spans="23:35" x14ac:dyDescent="0.25">
      <c r="W151">
        <v>149</v>
      </c>
      <c r="X151">
        <v>81.464204337212934</v>
      </c>
      <c r="Y151">
        <v>7.5357956627870664</v>
      </c>
      <c r="Z151">
        <v>81.353132087375428</v>
      </c>
      <c r="AA151">
        <v>1</v>
      </c>
      <c r="AB151">
        <v>55.8</v>
      </c>
      <c r="AC151">
        <v>2.6570161854420777</v>
      </c>
      <c r="AD151">
        <v>2.095709130844492</v>
      </c>
      <c r="AE151">
        <v>-1.2248466556431805</v>
      </c>
      <c r="AF151">
        <v>1.4525195296511615E-2</v>
      </c>
      <c r="AG151">
        <v>2.1110972641812791</v>
      </c>
      <c r="AH151">
        <v>-1.2274818560979668</v>
      </c>
      <c r="AI151">
        <v>3.4573181010785093E-3</v>
      </c>
    </row>
    <row r="152" spans="23:35" x14ac:dyDescent="0.25">
      <c r="W152">
        <v>150</v>
      </c>
      <c r="X152">
        <v>78.433261007092568</v>
      </c>
      <c r="Y152">
        <v>8.5667389929074318</v>
      </c>
      <c r="Z152">
        <v>78.365983079128483</v>
      </c>
      <c r="AA152">
        <v>0.99211643420254703</v>
      </c>
      <c r="AB152">
        <v>55.9</v>
      </c>
      <c r="AC152">
        <v>2.349487559997844</v>
      </c>
      <c r="AD152">
        <v>2.3824150670186439</v>
      </c>
      <c r="AE152">
        <v>-1.2205752739425426</v>
      </c>
      <c r="AF152">
        <v>7.7921932028480112E-3</v>
      </c>
      <c r="AG152">
        <v>2.391751786979365</v>
      </c>
      <c r="AH152">
        <v>-1.2263525353885127</v>
      </c>
      <c r="AI152">
        <v>2.3644802215282011E-3</v>
      </c>
    </row>
    <row r="153" spans="23:35" x14ac:dyDescent="0.25">
      <c r="W153">
        <v>151</v>
      </c>
      <c r="X153">
        <v>78.358670494532007</v>
      </c>
      <c r="Y153">
        <v>4.6413295054679935</v>
      </c>
      <c r="Z153">
        <v>78.325993447578881</v>
      </c>
      <c r="AA153">
        <v>0.97877501516070342</v>
      </c>
      <c r="AB153">
        <v>56</v>
      </c>
      <c r="AC153">
        <v>1.9368862628682144</v>
      </c>
      <c r="AD153">
        <v>1.2907564189804215</v>
      </c>
      <c r="AE153">
        <v>-1.2186154900519708</v>
      </c>
      <c r="AF153">
        <v>6.991228314859866E-3</v>
      </c>
      <c r="AG153">
        <v>1.2952922023197804</v>
      </c>
      <c r="AH153">
        <v>-1.2256618048485042</v>
      </c>
      <c r="AI153">
        <v>6.2170205316938937E-4</v>
      </c>
    </row>
    <row r="154" spans="23:35" x14ac:dyDescent="0.25">
      <c r="W154">
        <v>152</v>
      </c>
      <c r="X154">
        <v>79.42102412326858</v>
      </c>
      <c r="Y154">
        <v>3.5789758767314197</v>
      </c>
      <c r="Z154">
        <v>79.393445127093031</v>
      </c>
      <c r="AA154">
        <v>0.97877501516070342</v>
      </c>
      <c r="AB154">
        <v>56</v>
      </c>
      <c r="AC154">
        <v>1.9368862628682144</v>
      </c>
      <c r="AD154">
        <v>0.99531526060039133</v>
      </c>
      <c r="AE154">
        <v>-1.2182140350313144</v>
      </c>
      <c r="AF154">
        <v>7.6469087945176019E-3</v>
      </c>
      <c r="AG154">
        <v>0.99914276860580131</v>
      </c>
      <c r="AH154">
        <v>-1.2248963838681881</v>
      </c>
      <c r="AI154">
        <v>4.0487520551928851E-4</v>
      </c>
    </row>
    <row r="155" spans="23:35" x14ac:dyDescent="0.25">
      <c r="W155">
        <v>153</v>
      </c>
      <c r="X155">
        <v>77.895657026659151</v>
      </c>
      <c r="Y155">
        <v>2.1043429733408487</v>
      </c>
      <c r="Z155">
        <v>77.879989730907823</v>
      </c>
      <c r="AA155">
        <v>0.92722862340812617</v>
      </c>
      <c r="AB155">
        <v>56</v>
      </c>
      <c r="AC155">
        <v>1.4191611772342045</v>
      </c>
      <c r="AD155">
        <v>0.58521899756870799</v>
      </c>
      <c r="AE155">
        <v>-1.2137708148359441</v>
      </c>
      <c r="AF155">
        <v>7.39019804750333E-3</v>
      </c>
      <c r="AG155">
        <v>0.58739349966625676</v>
      </c>
      <c r="AH155">
        <v>-1.219509916180219</v>
      </c>
      <c r="AI155">
        <v>1.3520171136277158E-4</v>
      </c>
    </row>
    <row r="156" spans="23:35" x14ac:dyDescent="0.25">
      <c r="W156">
        <v>154</v>
      </c>
      <c r="X156">
        <v>77.740523790259402</v>
      </c>
      <c r="Y156">
        <v>2.0594762097405948</v>
      </c>
      <c r="Z156">
        <v>77.72613263437627</v>
      </c>
      <c r="AA156">
        <v>0.91813220133414186</v>
      </c>
      <c r="AB156">
        <v>56.1</v>
      </c>
      <c r="AC156">
        <v>1.3748000243745633</v>
      </c>
      <c r="AD156">
        <v>0.57274152467054851</v>
      </c>
      <c r="AE156">
        <v>-1.2059349290512738</v>
      </c>
      <c r="AF156">
        <v>6.9392846050220953E-3</v>
      </c>
      <c r="AG156">
        <v>0.574739135418049</v>
      </c>
      <c r="AH156">
        <v>-1.2160595526956997</v>
      </c>
      <c r="AI156">
        <v>1.2148616916349838E-4</v>
      </c>
    </row>
    <row r="157" spans="23:35" x14ac:dyDescent="0.25">
      <c r="W157">
        <v>155</v>
      </c>
      <c r="X157">
        <v>81.402090688711596</v>
      </c>
      <c r="Y157">
        <v>-1.9020906887115956</v>
      </c>
      <c r="Z157">
        <v>81.422158026933715</v>
      </c>
      <c r="AA157">
        <v>0.90964220739842327</v>
      </c>
      <c r="AB157">
        <v>56.1</v>
      </c>
      <c r="AC157">
        <v>1.3219841213691266</v>
      </c>
      <c r="AD157">
        <v>-0.52897252027570207</v>
      </c>
      <c r="AE157">
        <v>-1.2036914505450402</v>
      </c>
      <c r="AF157">
        <v>1.0440004380979527E-2</v>
      </c>
      <c r="AG157">
        <v>-0.53175556832364079</v>
      </c>
      <c r="AH157">
        <v>-1.2082827957094511</v>
      </c>
      <c r="AI157">
        <v>1.5701062510714824E-4</v>
      </c>
    </row>
    <row r="158" spans="23:35" x14ac:dyDescent="0.25">
      <c r="W158">
        <v>156</v>
      </c>
      <c r="X158">
        <v>76.477144739172871</v>
      </c>
      <c r="Y158">
        <v>3.0228552608271286</v>
      </c>
      <c r="Z158">
        <v>76.445206623155059</v>
      </c>
      <c r="AA158">
        <v>0.90964220739842327</v>
      </c>
      <c r="AB158">
        <v>56.2</v>
      </c>
      <c r="AC158">
        <v>1.3219841213691266</v>
      </c>
      <c r="AD158">
        <v>0.8406577957812823</v>
      </c>
      <c r="AE158">
        <v>-1.2034775406425089</v>
      </c>
      <c r="AF158">
        <v>1.0455082252009333E-2</v>
      </c>
      <c r="AG158">
        <v>0.8450871312007715</v>
      </c>
      <c r="AH158">
        <v>-1.2054373862452621</v>
      </c>
      <c r="AI158">
        <v>3.971378836231937E-4</v>
      </c>
    </row>
    <row r="159" spans="23:35" x14ac:dyDescent="0.25">
      <c r="W159">
        <v>157</v>
      </c>
      <c r="X159">
        <v>78.631793296255267</v>
      </c>
      <c r="Y159">
        <v>0.76820670374473821</v>
      </c>
      <c r="Z159">
        <v>78.621917165163609</v>
      </c>
      <c r="AA159">
        <v>0.90661006670709521</v>
      </c>
      <c r="AB159">
        <v>56.2</v>
      </c>
      <c r="AC159">
        <v>1.2933897637306977</v>
      </c>
      <c r="AD159">
        <v>0.21363872847082643</v>
      </c>
      <c r="AE159">
        <v>-1.2005598753209419</v>
      </c>
      <c r="AF159">
        <v>1.2692904469145996E-2</v>
      </c>
      <c r="AG159">
        <v>0.21500762175232299</v>
      </c>
      <c r="AH159">
        <v>-1.2033433036456751</v>
      </c>
      <c r="AI159">
        <v>3.1279720448660199E-5</v>
      </c>
    </row>
    <row r="160" spans="23:35" x14ac:dyDescent="0.25">
      <c r="W160">
        <v>158</v>
      </c>
      <c r="X160">
        <v>78.292744840117621</v>
      </c>
      <c r="Y160">
        <v>0.60725515988238499</v>
      </c>
      <c r="Z160">
        <v>78.284963759602434</v>
      </c>
      <c r="AA160">
        <v>0.88599151000606424</v>
      </c>
      <c r="AB160">
        <v>56.2</v>
      </c>
      <c r="AC160">
        <v>1.1852957183684145</v>
      </c>
      <c r="AD160">
        <v>0.16887801106423206</v>
      </c>
      <c r="AE160">
        <v>-1.1932274837175989</v>
      </c>
      <c r="AF160">
        <v>1.2651417923195069E-2</v>
      </c>
      <c r="AG160">
        <v>0.16995652865270386</v>
      </c>
      <c r="AH160">
        <v>-1.2032317077583261</v>
      </c>
      <c r="AI160">
        <v>1.948008280913709E-5</v>
      </c>
    </row>
    <row r="161" spans="23:35" x14ac:dyDescent="0.25">
      <c r="W161">
        <v>159</v>
      </c>
      <c r="X161">
        <v>83.127490250224241</v>
      </c>
      <c r="Y161">
        <v>-4.3274902502242441</v>
      </c>
      <c r="Z161">
        <v>83.162116918960933</v>
      </c>
      <c r="AA161">
        <v>0.88174651303820495</v>
      </c>
      <c r="AB161">
        <v>56.3</v>
      </c>
      <c r="AC161">
        <v>1.1700898139672218</v>
      </c>
      <c r="AD161">
        <v>-1.2034775406425089</v>
      </c>
      <c r="AE161">
        <v>-1.1929010033891101</v>
      </c>
      <c r="AF161">
        <v>7.9380423266910641E-3</v>
      </c>
      <c r="AG161">
        <v>-1.2082827957094511</v>
      </c>
      <c r="AH161">
        <v>-1.1950056055031117</v>
      </c>
      <c r="AI161">
        <v>6.1483445437034514E-4</v>
      </c>
    </row>
    <row r="162" spans="23:35" x14ac:dyDescent="0.25">
      <c r="W162">
        <v>160</v>
      </c>
      <c r="X162">
        <v>80.600010886344776</v>
      </c>
      <c r="Y162">
        <v>-2.3000108863447792</v>
      </c>
      <c r="Z162">
        <v>80.617313935062342</v>
      </c>
      <c r="AA162">
        <v>0.86901152213462707</v>
      </c>
      <c r="AB162">
        <v>56.3</v>
      </c>
      <c r="AC162">
        <v>1.1118051137279645</v>
      </c>
      <c r="AD162">
        <v>-0.63963435730577967</v>
      </c>
      <c r="AE162">
        <v>-1.1928409936991951</v>
      </c>
      <c r="AF162">
        <v>7.4668556796557957E-3</v>
      </c>
      <c r="AG162">
        <v>-0.6420358430830988</v>
      </c>
      <c r="AH162">
        <v>-1.1940941903135569</v>
      </c>
      <c r="AI162">
        <v>1.6321410444952776E-4</v>
      </c>
    </row>
    <row r="163" spans="23:35" x14ac:dyDescent="0.25">
      <c r="W163">
        <v>161</v>
      </c>
      <c r="X163">
        <v>80.928499012667501</v>
      </c>
      <c r="Y163">
        <v>-2.9284990126675012</v>
      </c>
      <c r="Z163">
        <v>80.979829258461947</v>
      </c>
      <c r="AA163">
        <v>0.86294724075197093</v>
      </c>
      <c r="AB163">
        <v>56.4</v>
      </c>
      <c r="AC163">
        <v>1.0491313979639725</v>
      </c>
      <c r="AD163">
        <v>-0.8144172686134814</v>
      </c>
      <c r="AE163">
        <v>-1.1825560135417368</v>
      </c>
      <c r="AF163">
        <v>1.7225901668251331E-2</v>
      </c>
      <c r="AG163">
        <v>-0.82152374909944137</v>
      </c>
      <c r="AH163">
        <v>-1.1875320952616182</v>
      </c>
      <c r="AI163">
        <v>6.2260830087172269E-4</v>
      </c>
    </row>
    <row r="164" spans="23:35" x14ac:dyDescent="0.25">
      <c r="W164">
        <v>162</v>
      </c>
      <c r="X164">
        <v>83.297166091666483</v>
      </c>
      <c r="Y164">
        <v>-5.2971660916664831</v>
      </c>
      <c r="Z164">
        <v>83.376509479032748</v>
      </c>
      <c r="AA164">
        <v>0.86294724075197093</v>
      </c>
      <c r="AB164">
        <v>56.4</v>
      </c>
      <c r="AC164">
        <v>1.0491313979639725</v>
      </c>
      <c r="AD164">
        <v>-1.4731449527918234</v>
      </c>
      <c r="AE164">
        <v>-1.1764357625096606</v>
      </c>
      <c r="AF164">
        <v>1.4757416066257682E-2</v>
      </c>
      <c r="AG164">
        <v>-1.4841366669898415</v>
      </c>
      <c r="AH164">
        <v>-1.1858223013071747</v>
      </c>
      <c r="AI164">
        <v>1.7364462154727282E-3</v>
      </c>
    </row>
    <row r="165" spans="23:35" x14ac:dyDescent="0.25">
      <c r="W165">
        <v>163</v>
      </c>
      <c r="X165">
        <v>81.585380533455549</v>
      </c>
      <c r="Y165">
        <v>-3.9853805334555545</v>
      </c>
      <c r="Z165">
        <v>81.650852004811227</v>
      </c>
      <c r="AA165">
        <v>0.8483929654335961</v>
      </c>
      <c r="AB165">
        <v>56.5</v>
      </c>
      <c r="AC165">
        <v>1.0205681915260707</v>
      </c>
      <c r="AD165">
        <v>-1.1083366306091811</v>
      </c>
      <c r="AE165">
        <v>-1.1691095894942656</v>
      </c>
      <c r="AF165">
        <v>1.6162395288180285E-2</v>
      </c>
      <c r="AG165">
        <v>-1.1174033724121335</v>
      </c>
      <c r="AH165">
        <v>-1.1761641179220628</v>
      </c>
      <c r="AI165">
        <v>1.0795646628140934E-3</v>
      </c>
    </row>
    <row r="166" spans="23:35" x14ac:dyDescent="0.25">
      <c r="W166">
        <v>164</v>
      </c>
      <c r="X166">
        <v>70.345704648992168</v>
      </c>
      <c r="Y166">
        <v>-0.34570464899216802</v>
      </c>
      <c r="Z166">
        <v>70.347513676680194</v>
      </c>
      <c r="AA166">
        <v>0.46088538508186777</v>
      </c>
      <c r="AB166">
        <v>56.5</v>
      </c>
      <c r="AC166">
        <v>-0.10660788786182936</v>
      </c>
      <c r="AD166">
        <v>-9.6140662763184087E-2</v>
      </c>
      <c r="AE166">
        <v>-1.1689906215022232</v>
      </c>
      <c r="AF166">
        <v>5.2056301936380051E-3</v>
      </c>
      <c r="AG166">
        <v>-9.6391880367691349E-2</v>
      </c>
      <c r="AH166">
        <v>-1.1735843902424459</v>
      </c>
      <c r="AI166">
        <v>2.5589823936465224E-6</v>
      </c>
    </row>
    <row r="167" spans="23:35" x14ac:dyDescent="0.25">
      <c r="W167">
        <v>165</v>
      </c>
      <c r="X167">
        <v>74.592637259796277</v>
      </c>
      <c r="Y167">
        <v>-4.7926372597962796</v>
      </c>
      <c r="Z167">
        <v>74.603708003413672</v>
      </c>
      <c r="AA167">
        <v>0.4530018192844148</v>
      </c>
      <c r="AB167">
        <v>56.5</v>
      </c>
      <c r="AC167">
        <v>-0.12344005334831042</v>
      </c>
      <c r="AD167">
        <v>-1.3328351929417748</v>
      </c>
      <c r="AE167">
        <v>-1.1687744668143489</v>
      </c>
      <c r="AF167">
        <v>2.3046245961508768E-3</v>
      </c>
      <c r="AG167">
        <v>-1.3343736950896321</v>
      </c>
      <c r="AH167">
        <v>-1.1729838324282309</v>
      </c>
      <c r="AI167">
        <v>2.1647292055500977E-4</v>
      </c>
    </row>
    <row r="168" spans="23:35" x14ac:dyDescent="0.25">
      <c r="W168">
        <v>166</v>
      </c>
      <c r="X168">
        <v>71.330094673221339</v>
      </c>
      <c r="Y168">
        <v>-1.9300946732213333</v>
      </c>
      <c r="Z168">
        <v>71.333509791854397</v>
      </c>
      <c r="AA168">
        <v>0.43784111582777441</v>
      </c>
      <c r="AB168">
        <v>56.5</v>
      </c>
      <c r="AC168">
        <v>-0.16799678341230881</v>
      </c>
      <c r="AD168">
        <v>-0.53676044455911875</v>
      </c>
      <c r="AE168">
        <v>-1.1670303264571344</v>
      </c>
      <c r="AF168">
        <v>1.7662794610340208E-3</v>
      </c>
      <c r="AG168">
        <v>-0.53723510791721762</v>
      </c>
      <c r="AH168">
        <v>-1.1718077449906563</v>
      </c>
      <c r="AI168">
        <v>2.6878334414324495E-5</v>
      </c>
    </row>
    <row r="169" spans="23:35" x14ac:dyDescent="0.25">
      <c r="W169">
        <v>167</v>
      </c>
      <c r="X169">
        <v>71.010891897806616</v>
      </c>
      <c r="Y169">
        <v>-1.61089189780661</v>
      </c>
      <c r="Z169">
        <v>71.013448885934963</v>
      </c>
      <c r="AA169">
        <v>0.43784111582777441</v>
      </c>
      <c r="AB169">
        <v>56.6</v>
      </c>
      <c r="AC169">
        <v>-0.16799678341230881</v>
      </c>
      <c r="AD169">
        <v>-0.44798996816059466</v>
      </c>
      <c r="AE169">
        <v>-1.1604026622627215</v>
      </c>
      <c r="AF169">
        <v>1.5847964882157715E-3</v>
      </c>
      <c r="AG169">
        <v>-0.44834537711872874</v>
      </c>
      <c r="AH169">
        <v>-1.1687110598212613</v>
      </c>
      <c r="AI169">
        <v>1.6793224959967284E-5</v>
      </c>
    </row>
    <row r="170" spans="23:35" x14ac:dyDescent="0.25">
      <c r="W170">
        <v>168</v>
      </c>
      <c r="X170">
        <v>71.16297214969849</v>
      </c>
      <c r="Y170">
        <v>-1.6629721496984899</v>
      </c>
      <c r="Z170">
        <v>71.165668978812732</v>
      </c>
      <c r="AA170">
        <v>0.44269254093389931</v>
      </c>
      <c r="AB170">
        <v>56.7</v>
      </c>
      <c r="AC170">
        <v>-0.15567569037416348</v>
      </c>
      <c r="AD170">
        <v>-0.46247351632332806</v>
      </c>
      <c r="AE170">
        <v>-1.1585396308896601</v>
      </c>
      <c r="AF170">
        <v>1.619066662431216E-3</v>
      </c>
      <c r="AG170">
        <v>-0.46284835928286333</v>
      </c>
      <c r="AH170">
        <v>-1.1615352038161288</v>
      </c>
      <c r="AI170">
        <v>1.8284888156789656E-5</v>
      </c>
    </row>
    <row r="171" spans="23:35" x14ac:dyDescent="0.25">
      <c r="W171">
        <v>169</v>
      </c>
      <c r="X171">
        <v>71.400385599879343</v>
      </c>
      <c r="Y171">
        <v>-1.9003855998793426</v>
      </c>
      <c r="Z171">
        <v>71.403343009165496</v>
      </c>
      <c r="AA171">
        <v>0.44269254093389931</v>
      </c>
      <c r="AB171">
        <v>56.7</v>
      </c>
      <c r="AC171">
        <v>-0.15567569037416348</v>
      </c>
      <c r="AD171">
        <v>-0.52849833408560942</v>
      </c>
      <c r="AE171">
        <v>-1.1484624980255167</v>
      </c>
      <c r="AF171">
        <v>1.5537973302279628E-3</v>
      </c>
      <c r="AG171">
        <v>-0.52890940283609644</v>
      </c>
      <c r="AH171">
        <v>-1.149699847646598</v>
      </c>
      <c r="AI171">
        <v>2.2912827003722783E-5</v>
      </c>
    </row>
    <row r="172" spans="23:35" x14ac:dyDescent="0.25">
      <c r="W172">
        <v>170</v>
      </c>
      <c r="X172">
        <v>71.28509671563009</v>
      </c>
      <c r="Y172">
        <v>-1.6850967156300953</v>
      </c>
      <c r="Z172">
        <v>71.28810875587267</v>
      </c>
      <c r="AA172">
        <v>0.44815039417828989</v>
      </c>
      <c r="AB172">
        <v>56.7</v>
      </c>
      <c r="AC172">
        <v>-0.14337818601426075</v>
      </c>
      <c r="AD172">
        <v>-0.46862637090082171</v>
      </c>
      <c r="AE172">
        <v>-1.1459093231177773</v>
      </c>
      <c r="AF172">
        <v>1.7842690715872377E-3</v>
      </c>
      <c r="AG172">
        <v>-0.46904500897628698</v>
      </c>
      <c r="AH172">
        <v>-1.1479687737765354</v>
      </c>
      <c r="AI172">
        <v>2.0697189454518315E-5</v>
      </c>
    </row>
    <row r="173" spans="23:35" x14ac:dyDescent="0.25">
      <c r="W173">
        <v>171</v>
      </c>
      <c r="X173">
        <v>71.056901886686816</v>
      </c>
      <c r="Y173">
        <v>-1.456901886686822</v>
      </c>
      <c r="Z173">
        <v>71.060009983847152</v>
      </c>
      <c r="AA173">
        <v>0.44815039417828989</v>
      </c>
      <c r="AB173">
        <v>56.7</v>
      </c>
      <c r="AC173">
        <v>-0.14337818601426075</v>
      </c>
      <c r="AD173">
        <v>-0.40516525703470546</v>
      </c>
      <c r="AE173">
        <v>-1.1431420771642695</v>
      </c>
      <c r="AF173">
        <v>2.1288191140669526E-3</v>
      </c>
      <c r="AG173">
        <v>-0.40559720858899212</v>
      </c>
      <c r="AH173">
        <v>-1.1443162773914202</v>
      </c>
      <c r="AI173">
        <v>1.8471433244548269E-5</v>
      </c>
    </row>
    <row r="174" spans="23:35" x14ac:dyDescent="0.25">
      <c r="W174">
        <v>172</v>
      </c>
      <c r="X174">
        <v>70.623641556897681</v>
      </c>
      <c r="Y174">
        <v>-1.2236415568976753</v>
      </c>
      <c r="Z174">
        <v>70.626003290607315</v>
      </c>
      <c r="AA174">
        <v>0.43784111582777441</v>
      </c>
      <c r="AB174">
        <v>56.7</v>
      </c>
      <c r="AC174">
        <v>-0.16799678341230881</v>
      </c>
      <c r="AD174">
        <v>-0.34029542445459598</v>
      </c>
      <c r="AE174">
        <v>-1.1398753272163509</v>
      </c>
      <c r="AF174">
        <v>1.9263681653427186E-3</v>
      </c>
      <c r="AG174">
        <v>-0.34062366590244603</v>
      </c>
      <c r="AH174">
        <v>-1.1442727127963219</v>
      </c>
      <c r="AI174">
        <v>1.1786171246530552E-5</v>
      </c>
    </row>
    <row r="175" spans="23:35" x14ac:dyDescent="0.25">
      <c r="W175">
        <v>173</v>
      </c>
      <c r="X175">
        <v>70.837683456495199</v>
      </c>
      <c r="Y175">
        <v>-1.8376834564951992</v>
      </c>
      <c r="Z175">
        <v>70.840734223348846</v>
      </c>
      <c r="AA175">
        <v>0.42086112795633718</v>
      </c>
      <c r="AB175">
        <v>56.7</v>
      </c>
      <c r="AC175">
        <v>-0.21444491222324932</v>
      </c>
      <c r="AD175">
        <v>-0.51106083175754469</v>
      </c>
      <c r="AE175">
        <v>-1.131889645455747</v>
      </c>
      <c r="AF175">
        <v>1.6573641185935982E-3</v>
      </c>
      <c r="AG175">
        <v>-0.51148486585706554</v>
      </c>
      <c r="AH175">
        <v>-1.1410833054711571</v>
      </c>
      <c r="AI175">
        <v>2.2858634770910684E-5</v>
      </c>
    </row>
    <row r="176" spans="23:35" x14ac:dyDescent="0.25">
      <c r="W176">
        <v>174</v>
      </c>
      <c r="X176">
        <v>70.411647829799605</v>
      </c>
      <c r="Y176">
        <v>-1.7116478297996025</v>
      </c>
      <c r="Z176">
        <v>70.41473385046659</v>
      </c>
      <c r="AA176">
        <v>0.40873256519102485</v>
      </c>
      <c r="AB176">
        <v>56.8</v>
      </c>
      <c r="AC176">
        <v>-0.23783731322627524</v>
      </c>
      <c r="AD176">
        <v>-0.47601025110260409</v>
      </c>
      <c r="AE176">
        <v>-1.1253016292785682</v>
      </c>
      <c r="AF176">
        <v>1.7997082556811194E-3</v>
      </c>
      <c r="AG176">
        <v>-0.47643916992541907</v>
      </c>
      <c r="AH176">
        <v>-1.1335874437125468</v>
      </c>
      <c r="AI176">
        <v>2.154000174308135E-5</v>
      </c>
    </row>
    <row r="177" spans="23:35" x14ac:dyDescent="0.25">
      <c r="W177">
        <v>175</v>
      </c>
      <c r="X177">
        <v>72.728259432021474</v>
      </c>
      <c r="Y177">
        <v>-4.3282594320214685</v>
      </c>
      <c r="Z177">
        <v>72.740824684046075</v>
      </c>
      <c r="AA177">
        <v>0.40024257125530627</v>
      </c>
      <c r="AB177">
        <v>56.8</v>
      </c>
      <c r="AC177">
        <v>-0.26293383539244392</v>
      </c>
      <c r="AD177">
        <v>-1.2036914505450402</v>
      </c>
      <c r="AE177">
        <v>-1.1139032777503162</v>
      </c>
      <c r="AF177">
        <v>2.8946693172812489E-3</v>
      </c>
      <c r="AG177">
        <v>-1.2054373862452621</v>
      </c>
      <c r="AH177">
        <v>-1.1313698160387984</v>
      </c>
      <c r="AI177">
        <v>2.2202078425651056E-4</v>
      </c>
    </row>
    <row r="178" spans="23:35" x14ac:dyDescent="0.25">
      <c r="W178">
        <v>176</v>
      </c>
      <c r="X178">
        <v>69.874743825314042</v>
      </c>
      <c r="Y178">
        <v>-1.3747438253140416</v>
      </c>
      <c r="Z178">
        <v>69.877254471736066</v>
      </c>
      <c r="AA178">
        <v>0.40388114008489995</v>
      </c>
      <c r="AB178">
        <v>56.8</v>
      </c>
      <c r="AC178">
        <v>-0.25193465741015014</v>
      </c>
      <c r="AD178">
        <v>-0.38231705266503729</v>
      </c>
      <c r="AE178">
        <v>-1.1105317031786832</v>
      </c>
      <c r="AF178">
        <v>1.8229357562835539E-3</v>
      </c>
      <c r="AG178">
        <v>-0.38266599953113684</v>
      </c>
      <c r="AH178">
        <v>-1.1174033724121335</v>
      </c>
      <c r="AI178">
        <v>1.4075049420498713E-5</v>
      </c>
    </row>
    <row r="179" spans="23:35" x14ac:dyDescent="0.25">
      <c r="W179">
        <v>177</v>
      </c>
      <c r="X179">
        <v>72.764532768930181</v>
      </c>
      <c r="Y179">
        <v>-4.564532768930178</v>
      </c>
      <c r="Z179">
        <v>72.777497717557239</v>
      </c>
      <c r="AA179">
        <v>0.39175257731958762</v>
      </c>
      <c r="AB179">
        <v>56.8</v>
      </c>
      <c r="AC179">
        <v>-0.28028330588569778</v>
      </c>
      <c r="AD179">
        <v>-1.2693992021471514</v>
      </c>
      <c r="AE179">
        <v>-1.1102194127902949</v>
      </c>
      <c r="AF179">
        <v>2.8323222483159468E-3</v>
      </c>
      <c r="AG179">
        <v>-1.2712007036774327</v>
      </c>
      <c r="AH179">
        <v>-1.1158751475839455</v>
      </c>
      <c r="AI179">
        <v>2.4157340415746856E-4</v>
      </c>
    </row>
    <row r="180" spans="23:35" x14ac:dyDescent="0.25">
      <c r="W180">
        <v>178</v>
      </c>
      <c r="X180">
        <v>68.401674614566389</v>
      </c>
      <c r="Y180">
        <v>-0.1016746145663916</v>
      </c>
      <c r="Z180">
        <v>68.402185357524729</v>
      </c>
      <c r="AA180">
        <v>0.39599757428744692</v>
      </c>
      <c r="AB180">
        <v>56.8</v>
      </c>
      <c r="AC180">
        <v>-0.27396491687072577</v>
      </c>
      <c r="AD180">
        <v>-2.8275769096832812E-2</v>
      </c>
      <c r="AE180">
        <v>-1.1083366306091811</v>
      </c>
      <c r="AF180">
        <v>4.9982010212826136E-3</v>
      </c>
      <c r="AG180">
        <v>-2.8346699088615521E-2</v>
      </c>
      <c r="AH180">
        <v>-1.1114299487909058</v>
      </c>
      <c r="AI180">
        <v>2.1244241955579089E-7</v>
      </c>
    </row>
    <row r="181" spans="23:35" x14ac:dyDescent="0.25">
      <c r="W181">
        <v>179</v>
      </c>
      <c r="X181">
        <v>64.303044134504518</v>
      </c>
      <c r="Y181">
        <v>-4.6030441345045148</v>
      </c>
      <c r="Z181">
        <v>64.313543446945431</v>
      </c>
      <c r="AA181">
        <v>0.16919345057610674</v>
      </c>
      <c r="AB181">
        <v>56.9</v>
      </c>
      <c r="AC181">
        <v>-0.96823093621551704</v>
      </c>
      <c r="AD181">
        <v>-1.2801092351797587</v>
      </c>
      <c r="AE181">
        <v>-1.1073841378814584</v>
      </c>
      <c r="AF181">
        <v>2.2757588742055176E-3</v>
      </c>
      <c r="AG181">
        <v>-1.2815683360498682</v>
      </c>
      <c r="AH181">
        <v>-1.1111581997664921</v>
      </c>
      <c r="AI181">
        <v>1.9717218862755942E-4</v>
      </c>
    </row>
    <row r="182" spans="23:35" x14ac:dyDescent="0.25">
      <c r="W182">
        <v>180</v>
      </c>
      <c r="X182">
        <v>63.789243127499653</v>
      </c>
      <c r="Y182">
        <v>-4.2892431274996525</v>
      </c>
      <c r="Z182">
        <v>63.798260404095352</v>
      </c>
      <c r="AA182">
        <v>0.16434202546998181</v>
      </c>
      <c r="AB182">
        <v>56.9</v>
      </c>
      <c r="AC182">
        <v>-0.98044852568054008</v>
      </c>
      <c r="AD182">
        <v>-1.1928409936991951</v>
      </c>
      <c r="AE182">
        <v>-1.105457559086547</v>
      </c>
      <c r="AF182">
        <v>2.0978897851576142E-3</v>
      </c>
      <c r="AG182">
        <v>-1.1940941903135569</v>
      </c>
      <c r="AH182">
        <v>-1.1109795725175484</v>
      </c>
      <c r="AI182">
        <v>1.5776777368010968E-4</v>
      </c>
    </row>
    <row r="183" spans="23:35" x14ac:dyDescent="0.25">
      <c r="W183">
        <v>181</v>
      </c>
      <c r="X183">
        <v>62.251081998068031</v>
      </c>
      <c r="Y183">
        <v>-2.9510819980680338</v>
      </c>
      <c r="Z183">
        <v>62.285205152056982</v>
      </c>
      <c r="AA183">
        <v>0.16070345664038813</v>
      </c>
      <c r="AB183">
        <v>57</v>
      </c>
      <c r="AC183">
        <v>-1.0028172174115717</v>
      </c>
      <c r="AD183">
        <v>-0.82069760991033125</v>
      </c>
      <c r="AE183">
        <v>-1.0995345686949349</v>
      </c>
      <c r="AF183">
        <v>1.1430756765723528E-2</v>
      </c>
      <c r="AG183">
        <v>-0.82542880702061616</v>
      </c>
      <c r="AH183">
        <v>-1.1090749227915548</v>
      </c>
      <c r="AI183">
        <v>4.14642229573537E-4</v>
      </c>
    </row>
    <row r="184" spans="23:35" x14ac:dyDescent="0.25">
      <c r="W184">
        <v>182</v>
      </c>
      <c r="X184">
        <v>63.093273622293744</v>
      </c>
      <c r="Y184">
        <v>-3.9932736222937422</v>
      </c>
      <c r="Z184">
        <v>63.099736096322943</v>
      </c>
      <c r="AA184">
        <v>0.15342631898120074</v>
      </c>
      <c r="AB184">
        <v>57</v>
      </c>
      <c r="AC184">
        <v>-1.0334469496720613</v>
      </c>
      <c r="AD184">
        <v>-1.1105317031786832</v>
      </c>
      <c r="AE184">
        <v>-1.0990847282777656</v>
      </c>
      <c r="AF184">
        <v>1.6157251062488599E-3</v>
      </c>
      <c r="AG184">
        <v>-1.1114299487909058</v>
      </c>
      <c r="AH184">
        <v>-1.1025230196463305</v>
      </c>
      <c r="AI184">
        <v>1.0521564716315266E-4</v>
      </c>
    </row>
    <row r="185" spans="23:35" x14ac:dyDescent="0.25">
      <c r="W185">
        <v>183</v>
      </c>
      <c r="X185">
        <v>62.692150681843799</v>
      </c>
      <c r="Y185">
        <v>-3.9921506818437962</v>
      </c>
      <c r="Z185">
        <v>62.698904956828279</v>
      </c>
      <c r="AA185">
        <v>0.14493632504548212</v>
      </c>
      <c r="AB185">
        <v>57</v>
      </c>
      <c r="AC185">
        <v>-1.0597326997110486</v>
      </c>
      <c r="AD185">
        <v>-1.1102194127902949</v>
      </c>
      <c r="AE185">
        <v>-1.0954934793264359</v>
      </c>
      <c r="AF185">
        <v>1.6890311366235271E-3</v>
      </c>
      <c r="AG185">
        <v>-1.1111581997664921</v>
      </c>
      <c r="AH185">
        <v>-1.1021059282175949</v>
      </c>
      <c r="AI185">
        <v>1.0994361249447858E-4</v>
      </c>
    </row>
    <row r="186" spans="23:35" x14ac:dyDescent="0.25">
      <c r="W186">
        <v>184</v>
      </c>
      <c r="X186">
        <v>61.731165192065411</v>
      </c>
      <c r="Y186">
        <v>-3.3311651920654128</v>
      </c>
      <c r="Z186">
        <v>61.770388374949277</v>
      </c>
      <c r="AA186">
        <v>0.1406913280776228</v>
      </c>
      <c r="AB186">
        <v>57.1</v>
      </c>
      <c r="AC186">
        <v>-1.0895196306228982</v>
      </c>
      <c r="AD186">
        <v>-0.92639896591634707</v>
      </c>
      <c r="AE186">
        <v>-1.0908692811870346</v>
      </c>
      <c r="AF186">
        <v>1.1637585500649909E-2</v>
      </c>
      <c r="AG186">
        <v>-0.93183699999354763</v>
      </c>
      <c r="AH186">
        <v>-1.0989148622377753</v>
      </c>
      <c r="AI186">
        <v>5.3811235517907678E-4</v>
      </c>
    </row>
    <row r="187" spans="23:35" x14ac:dyDescent="0.25">
      <c r="W187">
        <v>185</v>
      </c>
      <c r="X187">
        <v>61.522571065252897</v>
      </c>
      <c r="Y187">
        <v>-3.922571065252896</v>
      </c>
      <c r="Z187">
        <v>61.530527813379038</v>
      </c>
      <c r="AA187">
        <v>0.12431776834445118</v>
      </c>
      <c r="AB187">
        <v>57.1</v>
      </c>
      <c r="AC187">
        <v>-1.1700898139672218</v>
      </c>
      <c r="AD187">
        <v>-1.0908692811870346</v>
      </c>
      <c r="AE187">
        <v>-1.0897909975467939</v>
      </c>
      <c r="AF187">
        <v>2.0243459667312982E-3</v>
      </c>
      <c r="AG187">
        <v>-1.0919751088186307</v>
      </c>
      <c r="AH187">
        <v>-1.097258575690133</v>
      </c>
      <c r="AI187">
        <v>1.2730242214179429E-4</v>
      </c>
    </row>
    <row r="188" spans="23:35" x14ac:dyDescent="0.25">
      <c r="W188">
        <v>186</v>
      </c>
      <c r="X188">
        <v>61.229665984709825</v>
      </c>
      <c r="Y188">
        <v>-4.129665984709824</v>
      </c>
      <c r="Z188">
        <v>61.238569354759257</v>
      </c>
      <c r="AA188">
        <v>0.11279563371740449</v>
      </c>
      <c r="AB188">
        <v>57.1</v>
      </c>
      <c r="AC188">
        <v>-1.2197514087080794</v>
      </c>
      <c r="AD188">
        <v>-1.1484624980255167</v>
      </c>
      <c r="AE188">
        <v>-1.0869692625161878</v>
      </c>
      <c r="AF188">
        <v>2.1513158983773781E-3</v>
      </c>
      <c r="AG188">
        <v>-1.149699847646598</v>
      </c>
      <c r="AH188">
        <v>-1.0919751088186307</v>
      </c>
      <c r="AI188">
        <v>1.4998742336004477E-4</v>
      </c>
    </row>
    <row r="189" spans="23:35" x14ac:dyDescent="0.25">
      <c r="W189">
        <v>187</v>
      </c>
      <c r="X189">
        <v>60.898788052468696</v>
      </c>
      <c r="Y189">
        <v>-4.0987880524686986</v>
      </c>
      <c r="Z189">
        <v>60.907480003688342</v>
      </c>
      <c r="AA189">
        <v>0.10794420861127957</v>
      </c>
      <c r="AB189">
        <v>57.2</v>
      </c>
      <c r="AC189">
        <v>-1.2523823790942721</v>
      </c>
      <c r="AD189">
        <v>-1.1398753272163509</v>
      </c>
      <c r="AE189">
        <v>-1.083868163676563</v>
      </c>
      <c r="AF189">
        <v>2.1161274581589454E-3</v>
      </c>
      <c r="AG189">
        <v>-1.1410833054711571</v>
      </c>
      <c r="AH189">
        <v>-1.090449369984321</v>
      </c>
      <c r="AI189">
        <v>1.4532586639306362E-4</v>
      </c>
    </row>
    <row r="190" spans="23:35" x14ac:dyDescent="0.25">
      <c r="W190">
        <v>188</v>
      </c>
      <c r="X190">
        <v>59.345618860754222</v>
      </c>
      <c r="Y190">
        <v>-2.8456188607542217</v>
      </c>
      <c r="Z190">
        <v>59.387804159619996</v>
      </c>
      <c r="AA190">
        <v>0.10066707095209218</v>
      </c>
      <c r="AB190">
        <v>57.3</v>
      </c>
      <c r="AC190">
        <v>-1.2898891601746336</v>
      </c>
      <c r="AD190">
        <v>-0.79136825044700432</v>
      </c>
      <c r="AE190">
        <v>-1.0794711650919195</v>
      </c>
      <c r="AF190">
        <v>1.4608088545494386E-2</v>
      </c>
      <c r="AG190">
        <v>-0.79721254822036725</v>
      </c>
      <c r="AH190">
        <v>-1.0872093199552832</v>
      </c>
      <c r="AI190">
        <v>4.9588280649594458E-4</v>
      </c>
    </row>
    <row r="191" spans="23:35" x14ac:dyDescent="0.25">
      <c r="W191">
        <v>189</v>
      </c>
      <c r="X191">
        <v>59.462652916617678</v>
      </c>
      <c r="Y191">
        <v>-3.3626529166176766</v>
      </c>
      <c r="Z191">
        <v>59.474180154885239</v>
      </c>
      <c r="AA191">
        <v>9.3996361431170405E-2</v>
      </c>
      <c r="AB191">
        <v>57.3</v>
      </c>
      <c r="AC191">
        <v>-1.3219841213691266</v>
      </c>
      <c r="AD191">
        <v>-0.93515572031980843</v>
      </c>
      <c r="AE191">
        <v>-1.0772967457685754</v>
      </c>
      <c r="AF191">
        <v>3.4163078847083E-3</v>
      </c>
      <c r="AG191">
        <v>-0.93675721481910768</v>
      </c>
      <c r="AH191">
        <v>-1.0819343961395391</v>
      </c>
      <c r="AI191">
        <v>1.5832289389769292E-4</v>
      </c>
    </row>
    <row r="192" spans="23:35" x14ac:dyDescent="0.25">
      <c r="W192">
        <v>190</v>
      </c>
      <c r="X192">
        <v>59.57607228614841</v>
      </c>
      <c r="Y192">
        <v>-3.7760722861484126</v>
      </c>
      <c r="Z192">
        <v>59.5865682469001</v>
      </c>
      <c r="AA192">
        <v>9.0357792601576711E-2</v>
      </c>
      <c r="AB192">
        <v>57.3</v>
      </c>
      <c r="AC192">
        <v>-1.3404190152831756</v>
      </c>
      <c r="AD192">
        <v>-1.0501278860158594</v>
      </c>
      <c r="AE192">
        <v>-1.0758971087274325</v>
      </c>
      <c r="AF192">
        <v>2.7718926656824031E-3</v>
      </c>
      <c r="AG192">
        <v>-1.0515863396174674</v>
      </c>
      <c r="AH192">
        <v>-1.0817969157722156</v>
      </c>
      <c r="AI192">
        <v>1.6177751843925156E-4</v>
      </c>
    </row>
    <row r="193" spans="23:35" x14ac:dyDescent="0.25">
      <c r="W193">
        <v>191</v>
      </c>
      <c r="X193">
        <v>59.47376665244861</v>
      </c>
      <c r="Y193">
        <v>-3.8737666524486087</v>
      </c>
      <c r="Z193">
        <v>59.507190766145335</v>
      </c>
      <c r="AA193">
        <v>8.9144936325045485E-2</v>
      </c>
      <c r="AB193">
        <v>57.3</v>
      </c>
      <c r="AC193">
        <v>-1.3517022399306602</v>
      </c>
      <c r="AD193">
        <v>-1.0772967457685754</v>
      </c>
      <c r="AE193">
        <v>-1.072446851323523</v>
      </c>
      <c r="AF193">
        <v>8.5545128705601815E-3</v>
      </c>
      <c r="AG193">
        <v>-1.0819343961395391</v>
      </c>
      <c r="AH193">
        <v>-1.0807781043682108</v>
      </c>
      <c r="AI193">
        <v>5.315874244254744E-4</v>
      </c>
    </row>
    <row r="194" spans="23:35" x14ac:dyDescent="0.25">
      <c r="W194">
        <v>192</v>
      </c>
      <c r="X194">
        <v>68.040353052262205</v>
      </c>
      <c r="Y194">
        <v>1.3596469477378008</v>
      </c>
      <c r="Z194">
        <v>68.027890727012931</v>
      </c>
      <c r="AA194">
        <v>0.43784111582777441</v>
      </c>
      <c r="AB194">
        <v>57.3</v>
      </c>
      <c r="AC194">
        <v>-0.16799678341230881</v>
      </c>
      <c r="AD194">
        <v>0.37811860228241795</v>
      </c>
      <c r="AE194">
        <v>-1.0707058460753542</v>
      </c>
      <c r="AF194">
        <v>9.0826040568546661E-3</v>
      </c>
      <c r="AG194">
        <v>0.37984753945162381</v>
      </c>
      <c r="AH194">
        <v>-1.0746950664337371</v>
      </c>
      <c r="AI194">
        <v>6.9604603445392254E-5</v>
      </c>
    </row>
    <row r="195" spans="23:35" x14ac:dyDescent="0.25">
      <c r="W195">
        <v>193</v>
      </c>
      <c r="X195">
        <v>67.809722283227856</v>
      </c>
      <c r="Y195">
        <v>1.2902777167721382</v>
      </c>
      <c r="Z195">
        <v>67.797584727001578</v>
      </c>
      <c r="AA195">
        <v>0.42510612492419647</v>
      </c>
      <c r="AB195">
        <v>57.4</v>
      </c>
      <c r="AC195">
        <v>-0.198915705174462</v>
      </c>
      <c r="AD195">
        <v>0.35882697904317629</v>
      </c>
      <c r="AE195">
        <v>-1.069054109903679</v>
      </c>
      <c r="AF195">
        <v>9.3192674240825946E-3</v>
      </c>
      <c r="AG195">
        <v>0.36051075921224929</v>
      </c>
      <c r="AH195">
        <v>-1.0738128048773372</v>
      </c>
      <c r="AI195">
        <v>6.4347387275338411E-5</v>
      </c>
    </row>
    <row r="196" spans="23:35" x14ac:dyDescent="0.25">
      <c r="W196">
        <v>194</v>
      </c>
      <c r="X196">
        <v>67.444987879520269</v>
      </c>
      <c r="Y196">
        <v>1.2550121204797335</v>
      </c>
      <c r="Z196">
        <v>67.43330693607821</v>
      </c>
      <c r="AA196">
        <v>0.40873256519102485</v>
      </c>
      <c r="AB196">
        <v>57.4</v>
      </c>
      <c r="AC196">
        <v>-0.23783731322627524</v>
      </c>
      <c r="AD196">
        <v>0.34901959632450341</v>
      </c>
      <c r="AE196">
        <v>-1.0652824246488402</v>
      </c>
      <c r="AF196">
        <v>9.22160527656927E-3</v>
      </c>
      <c r="AG196">
        <v>0.35064007299981703</v>
      </c>
      <c r="AH196">
        <v>-1.0713032329859948</v>
      </c>
      <c r="AI196">
        <v>6.0228146233086397E-5</v>
      </c>
    </row>
    <row r="197" spans="23:35" x14ac:dyDescent="0.25">
      <c r="W197">
        <v>195</v>
      </c>
      <c r="X197">
        <v>67.047411563137629</v>
      </c>
      <c r="Y197">
        <v>1.2525884368623679</v>
      </c>
      <c r="Z197">
        <v>67.036327438781257</v>
      </c>
      <c r="AA197">
        <v>0.39599757428744692</v>
      </c>
      <c r="AB197">
        <v>57.4</v>
      </c>
      <c r="AC197">
        <v>-0.27396491687072577</v>
      </c>
      <c r="AD197">
        <v>0.34834556850919596</v>
      </c>
      <c r="AE197">
        <v>-1.0651442976095038</v>
      </c>
      <c r="AF197">
        <v>8.7713579423473707E-3</v>
      </c>
      <c r="AG197">
        <v>0.34988342458575222</v>
      </c>
      <c r="AH197">
        <v>-1.0675201303277413</v>
      </c>
      <c r="AI197">
        <v>5.7014606036373293E-5</v>
      </c>
    </row>
    <row r="198" spans="23:35" x14ac:dyDescent="0.25">
      <c r="W198">
        <v>196</v>
      </c>
      <c r="X198">
        <v>60.336003665490722</v>
      </c>
      <c r="Y198">
        <v>7.5639963345092838</v>
      </c>
      <c r="Z198">
        <v>60.155374196768214</v>
      </c>
      <c r="AA198">
        <v>0.37719830200121285</v>
      </c>
      <c r="AB198">
        <v>57.5</v>
      </c>
      <c r="AC198">
        <v>-0.32163939638952632</v>
      </c>
      <c r="AD198">
        <v>2.1035517539554194</v>
      </c>
      <c r="AE198">
        <v>-1.0631964075841394</v>
      </c>
      <c r="AF198">
        <v>2.332320157381015E-2</v>
      </c>
      <c r="AG198">
        <v>2.1285201508880149</v>
      </c>
      <c r="AH198">
        <v>-1.0674250864360919</v>
      </c>
      <c r="AI198">
        <v>5.6942853420847246E-3</v>
      </c>
    </row>
    <row r="199" spans="23:35" x14ac:dyDescent="0.25">
      <c r="W199">
        <v>197</v>
      </c>
      <c r="X199">
        <v>60.449508780419279</v>
      </c>
      <c r="Y199">
        <v>6.9504912195807265</v>
      </c>
      <c r="Z199">
        <v>60.289098661570698</v>
      </c>
      <c r="AA199">
        <v>0.3547604608853851</v>
      </c>
      <c r="AB199">
        <v>57.5</v>
      </c>
      <c r="AC199">
        <v>-0.38147581702590427</v>
      </c>
      <c r="AD199">
        <v>1.9329356267792668</v>
      </c>
      <c r="AE199">
        <v>-1.0593167974741331</v>
      </c>
      <c r="AF199">
        <v>2.2558338417898859E-2</v>
      </c>
      <c r="AG199">
        <v>1.9551134696821983</v>
      </c>
      <c r="AH199">
        <v>-1.0626366835951053</v>
      </c>
      <c r="AI199">
        <v>4.6430845924988057E-3</v>
      </c>
    </row>
    <row r="200" spans="23:35" x14ac:dyDescent="0.25">
      <c r="W200">
        <v>198</v>
      </c>
      <c r="X200">
        <v>60.219860532240368</v>
      </c>
      <c r="Y200">
        <v>6.7801394677596321</v>
      </c>
      <c r="Z200">
        <v>60.064862103244693</v>
      </c>
      <c r="AA200">
        <v>0.33959975742874471</v>
      </c>
      <c r="AB200">
        <v>57.5</v>
      </c>
      <c r="AC200">
        <v>-0.42600652312983872</v>
      </c>
      <c r="AD200">
        <v>1.8855607061043629</v>
      </c>
      <c r="AE200">
        <v>-1.053437643317306</v>
      </c>
      <c r="AF200">
        <v>2.2349725600726053E-2</v>
      </c>
      <c r="AG200">
        <v>1.9069914941091515</v>
      </c>
      <c r="AH200">
        <v>-1.0616984638497122</v>
      </c>
      <c r="AI200">
        <v>4.3755492837317909E-3</v>
      </c>
    </row>
    <row r="201" spans="23:35" x14ac:dyDescent="0.25">
      <c r="W201">
        <v>199</v>
      </c>
      <c r="X201">
        <v>59.707096538506647</v>
      </c>
      <c r="Y201">
        <v>6.7929034614933528</v>
      </c>
      <c r="Z201">
        <v>59.558047847874072</v>
      </c>
      <c r="AA201">
        <v>0.32383262583383871</v>
      </c>
      <c r="AB201">
        <v>57.5</v>
      </c>
      <c r="AC201">
        <v>-0.46123068213767926</v>
      </c>
      <c r="AD201">
        <v>1.8891103801415576</v>
      </c>
      <c r="AE201">
        <v>-1.0522518499953317</v>
      </c>
      <c r="AF201">
        <v>2.1470717078758833E-2</v>
      </c>
      <c r="AG201">
        <v>1.9097231865521502</v>
      </c>
      <c r="AH201">
        <v>-1.0556983110033562</v>
      </c>
      <c r="AI201">
        <v>4.2117245835964212E-3</v>
      </c>
    </row>
    <row r="202" spans="23:35" x14ac:dyDescent="0.25">
      <c r="W202">
        <v>200</v>
      </c>
      <c r="X202">
        <v>59.036618022293261</v>
      </c>
      <c r="Y202">
        <v>6.7633819777067359</v>
      </c>
      <c r="Z202">
        <v>58.893760982757108</v>
      </c>
      <c r="AA202">
        <v>0.30078835657974529</v>
      </c>
      <c r="AB202">
        <v>57.6</v>
      </c>
      <c r="AC202">
        <v>-0.53349185558387491</v>
      </c>
      <c r="AD202">
        <v>1.8809004384318577</v>
      </c>
      <c r="AE202">
        <v>-1.0501278860158594</v>
      </c>
      <c r="AF202">
        <v>2.0685215090221695E-2</v>
      </c>
      <c r="AG202">
        <v>1.9006609503071605</v>
      </c>
      <c r="AH202">
        <v>-1.0515863396174674</v>
      </c>
      <c r="AI202">
        <v>4.0159974945751346E-3</v>
      </c>
    </row>
    <row r="203" spans="23:35" x14ac:dyDescent="0.25">
      <c r="W203">
        <v>201</v>
      </c>
      <c r="X203">
        <v>58.450719678639828</v>
      </c>
      <c r="Y203">
        <v>6.5492803213601718</v>
      </c>
      <c r="Z203">
        <v>58.314430331576723</v>
      </c>
      <c r="AA203">
        <v>0.27289266221952696</v>
      </c>
      <c r="AB203">
        <v>57.6</v>
      </c>
      <c r="AC203">
        <v>-0.62335641379693996</v>
      </c>
      <c r="AD203">
        <v>1.8213586440132341</v>
      </c>
      <c r="AE203">
        <v>-1.0399179513102139</v>
      </c>
      <c r="AF203">
        <v>2.0385599705409888E-2</v>
      </c>
      <c r="AG203">
        <v>1.8402121377063636</v>
      </c>
      <c r="AH203">
        <v>-1.042848818372055</v>
      </c>
      <c r="AI203">
        <v>3.708946017263088E-3</v>
      </c>
    </row>
    <row r="204" spans="23:35" x14ac:dyDescent="0.25">
      <c r="W204">
        <v>202</v>
      </c>
      <c r="X204">
        <v>57.038598602188877</v>
      </c>
      <c r="Y204">
        <v>7.1614013978111259</v>
      </c>
      <c r="Z204">
        <v>56.807245512583677</v>
      </c>
      <c r="AA204">
        <v>0.24560339599757428</v>
      </c>
      <c r="AB204">
        <v>57.6</v>
      </c>
      <c r="AC204">
        <v>-0.69708605805955215</v>
      </c>
      <c r="AD204">
        <v>1.9915898692885461</v>
      </c>
      <c r="AE204">
        <v>-1.0389825949175322</v>
      </c>
      <c r="AF204">
        <v>3.1294572273298314E-2</v>
      </c>
      <c r="AG204">
        <v>2.0235038819873807</v>
      </c>
      <c r="AH204">
        <v>-1.0420739133538597</v>
      </c>
      <c r="AI204">
        <v>6.9619639451743978E-3</v>
      </c>
    </row>
    <row r="205" spans="23:35" x14ac:dyDescent="0.25">
      <c r="W205">
        <v>203</v>
      </c>
      <c r="X205">
        <v>57.338703620639635</v>
      </c>
      <c r="Y205">
        <v>5.9612963793603626</v>
      </c>
      <c r="Z205">
        <v>57.218436329055478</v>
      </c>
      <c r="AA205">
        <v>0.22741055184960582</v>
      </c>
      <c r="AB205">
        <v>57.6</v>
      </c>
      <c r="AC205">
        <v>-0.75647701124006039</v>
      </c>
      <c r="AD205">
        <v>1.6578399697843205</v>
      </c>
      <c r="AE205">
        <v>-1.0378723615558536</v>
      </c>
      <c r="AF205">
        <v>1.9775718563755249E-2</v>
      </c>
      <c r="AG205">
        <v>1.6744796653565959</v>
      </c>
      <c r="AH205">
        <v>-1.0417577358150856</v>
      </c>
      <c r="AI205">
        <v>2.9772340091400698E-3</v>
      </c>
    </row>
    <row r="206" spans="23:35" x14ac:dyDescent="0.25">
      <c r="W206">
        <v>204</v>
      </c>
      <c r="X206">
        <v>57.012328736148596</v>
      </c>
      <c r="Y206">
        <v>5.4876712638514036</v>
      </c>
      <c r="Z206">
        <v>56.900136635327861</v>
      </c>
      <c r="AA206">
        <v>0.20800485142510614</v>
      </c>
      <c r="AB206">
        <v>57.6</v>
      </c>
      <c r="AC206">
        <v>-0.81866501502518862</v>
      </c>
      <c r="AD206">
        <v>1.5261245513221506</v>
      </c>
      <c r="AE206">
        <v>-1.0372697416946872</v>
      </c>
      <c r="AF206">
        <v>2.0034792550211761E-2</v>
      </c>
      <c r="AG206">
        <v>1.5416459652863319</v>
      </c>
      <c r="AH206">
        <v>-1.0413948404715365</v>
      </c>
      <c r="AI206">
        <v>2.5573483722960344E-3</v>
      </c>
    </row>
    <row r="207" spans="23:35" x14ac:dyDescent="0.25">
      <c r="W207">
        <v>205</v>
      </c>
      <c r="X207">
        <v>60.681617043962696</v>
      </c>
      <c r="Y207">
        <v>1.018382956037307</v>
      </c>
      <c r="Z207">
        <v>60.657565729561675</v>
      </c>
      <c r="AA207">
        <v>0.19102486355366888</v>
      </c>
      <c r="AB207">
        <v>57.6</v>
      </c>
      <c r="AC207">
        <v>-0.87970786716299942</v>
      </c>
      <c r="AD207">
        <v>0.28321288887953422</v>
      </c>
      <c r="AE207">
        <v>-1.0352332680953358</v>
      </c>
      <c r="AF207">
        <v>2.3072259885420537E-2</v>
      </c>
      <c r="AG207">
        <v>0.28653771491862162</v>
      </c>
      <c r="AH207">
        <v>-1.040900524763881</v>
      </c>
      <c r="AI207">
        <v>1.0205579699173762E-4</v>
      </c>
    </row>
    <row r="208" spans="23:35" x14ac:dyDescent="0.25">
      <c r="W208">
        <v>206</v>
      </c>
      <c r="X208">
        <v>55.811662197152501</v>
      </c>
      <c r="Y208">
        <v>6.1883378028474993</v>
      </c>
      <c r="Z208">
        <v>55.684662272920804</v>
      </c>
      <c r="AA208">
        <v>0.19890842935112188</v>
      </c>
      <c r="AB208">
        <v>57.8</v>
      </c>
      <c r="AC208">
        <v>-0.85973834429501084</v>
      </c>
      <c r="AD208">
        <v>1.7209803209262127</v>
      </c>
      <c r="AE208">
        <v>-1.0345647839712893</v>
      </c>
      <c r="AF208">
        <v>2.0109759718334331E-2</v>
      </c>
      <c r="AG208">
        <v>1.738550011584886</v>
      </c>
      <c r="AH208">
        <v>-1.038942950608672</v>
      </c>
      <c r="AI208">
        <v>3.264752212346911E-3</v>
      </c>
    </row>
    <row r="209" spans="23:35" x14ac:dyDescent="0.25">
      <c r="W209">
        <v>207</v>
      </c>
      <c r="X209">
        <v>75.486709412624165</v>
      </c>
      <c r="Y209">
        <v>1.7132905873758375</v>
      </c>
      <c r="Z209">
        <v>75.481282076874166</v>
      </c>
      <c r="AA209">
        <v>0.84111582777440874</v>
      </c>
      <c r="AB209">
        <v>57.8</v>
      </c>
      <c r="AC209">
        <v>0.99032898964496086</v>
      </c>
      <c r="AD209">
        <v>0.47646710293435962</v>
      </c>
      <c r="AE209">
        <v>-1.0341450284214087</v>
      </c>
      <c r="AF209">
        <v>3.1577815515722515E-3</v>
      </c>
      <c r="AG209">
        <v>0.47722117882404963</v>
      </c>
      <c r="AH209">
        <v>-1.037751132201558</v>
      </c>
      <c r="AI209">
        <v>3.7970076974576741E-5</v>
      </c>
    </row>
    <row r="210" spans="23:35" x14ac:dyDescent="0.25">
      <c r="W210">
        <v>208</v>
      </c>
      <c r="X210">
        <v>76.488054142665405</v>
      </c>
      <c r="Y210">
        <v>0.51194585733459519</v>
      </c>
      <c r="Z210">
        <v>76.486001841422947</v>
      </c>
      <c r="AA210">
        <v>0.83747725894481506</v>
      </c>
      <c r="AB210">
        <v>57.9</v>
      </c>
      <c r="AC210">
        <v>0.95855995741850497</v>
      </c>
      <c r="AD210">
        <v>0.14237243892004914</v>
      </c>
      <c r="AE210">
        <v>-1.0320548905638851</v>
      </c>
      <c r="AF210">
        <v>3.9928182780711802E-3</v>
      </c>
      <c r="AG210">
        <v>0.14265752657027481</v>
      </c>
      <c r="AH210">
        <v>-1.0367514930411104</v>
      </c>
      <c r="AI210">
        <v>4.2939091730060917E-6</v>
      </c>
    </row>
    <row r="211" spans="23:35" x14ac:dyDescent="0.25">
      <c r="W211">
        <v>209</v>
      </c>
      <c r="X211">
        <v>75.071890024656199</v>
      </c>
      <c r="Y211">
        <v>1.7281099753437985</v>
      </c>
      <c r="Z211">
        <v>75.066464435071907</v>
      </c>
      <c r="AA211">
        <v>0.82838083687083086</v>
      </c>
      <c r="AB211">
        <v>57.9</v>
      </c>
      <c r="AC211">
        <v>0.93712127394454448</v>
      </c>
      <c r="AD211">
        <v>0.48058838329647818</v>
      </c>
      <c r="AE211">
        <v>-1.0296994555951879</v>
      </c>
      <c r="AF211">
        <v>3.1297826788538115E-3</v>
      </c>
      <c r="AG211">
        <v>0.48134222187075193</v>
      </c>
      <c r="AH211">
        <v>-1.0317036248982261</v>
      </c>
      <c r="AI211">
        <v>3.8285108065426565E-5</v>
      </c>
    </row>
    <row r="212" spans="23:35" x14ac:dyDescent="0.25">
      <c r="W212">
        <v>210</v>
      </c>
      <c r="X212">
        <v>74.08262656921886</v>
      </c>
      <c r="Y212">
        <v>2.8173734307811458</v>
      </c>
      <c r="Z212">
        <v>74.073716691992757</v>
      </c>
      <c r="AA212">
        <v>0.83080654942389331</v>
      </c>
      <c r="AB212">
        <v>57.9</v>
      </c>
      <c r="AC212">
        <v>0.94897780985887181</v>
      </c>
      <c r="AD212">
        <v>0.78351318004063508</v>
      </c>
      <c r="AE212">
        <v>-1.0254699795905775</v>
      </c>
      <c r="AF212">
        <v>3.1525067571483252E-3</v>
      </c>
      <c r="AG212">
        <v>0.78475112307582406</v>
      </c>
      <c r="AH212">
        <v>-1.0314090239936167</v>
      </c>
      <c r="AI212">
        <v>1.0250324065238717E-4</v>
      </c>
    </row>
    <row r="213" spans="23:35" x14ac:dyDescent="0.25">
      <c r="W213">
        <v>211</v>
      </c>
      <c r="X213">
        <v>73.671801785146272</v>
      </c>
      <c r="Y213">
        <v>2.7281982148537338</v>
      </c>
      <c r="Z213">
        <v>73.628209972034114</v>
      </c>
      <c r="AA213">
        <v>0.81867798665858094</v>
      </c>
      <c r="AB213">
        <v>58</v>
      </c>
      <c r="AC213">
        <v>0.90460220385671419</v>
      </c>
      <c r="AD213">
        <v>0.75871350093216683</v>
      </c>
      <c r="AE213">
        <v>-1.0215010897857437</v>
      </c>
      <c r="AF213">
        <v>1.5726953583187618E-2</v>
      </c>
      <c r="AG213">
        <v>0.76475093382967407</v>
      </c>
      <c r="AH213">
        <v>-1.0290599117150248</v>
      </c>
      <c r="AI213">
        <v>4.9183048449590364E-4</v>
      </c>
    </row>
    <row r="214" spans="23:35" x14ac:dyDescent="0.25">
      <c r="W214">
        <v>212</v>
      </c>
      <c r="X214">
        <v>72.882018140882252</v>
      </c>
      <c r="Y214">
        <v>3.2179818591177423</v>
      </c>
      <c r="Z214">
        <v>72.831097226581733</v>
      </c>
      <c r="AA214">
        <v>0.81079442086112796</v>
      </c>
      <c r="AB214">
        <v>58</v>
      </c>
      <c r="AC214">
        <v>0.873012700415573</v>
      </c>
      <c r="AD214">
        <v>0.89492261558360486</v>
      </c>
      <c r="AE214">
        <v>-1.0181962746145161</v>
      </c>
      <c r="AF214">
        <v>1.5577371928766591E-2</v>
      </c>
      <c r="AG214">
        <v>0.90197539239753188</v>
      </c>
      <c r="AH214">
        <v>-1.0230458218865293</v>
      </c>
      <c r="AI214">
        <v>6.7756096695943029E-4</v>
      </c>
    </row>
    <row r="215" spans="23:35" x14ac:dyDescent="0.25">
      <c r="W215">
        <v>213</v>
      </c>
      <c r="X215">
        <v>73.621418756262358</v>
      </c>
      <c r="Y215">
        <v>2.3785812437376421</v>
      </c>
      <c r="Z215">
        <v>73.616273647045048</v>
      </c>
      <c r="AA215">
        <v>0.80836870830806551</v>
      </c>
      <c r="AB215">
        <v>58</v>
      </c>
      <c r="AC215">
        <v>0.83794453378675593</v>
      </c>
      <c r="AD215">
        <v>0.66148481912430501</v>
      </c>
      <c r="AE215">
        <v>-1.0107075294432484</v>
      </c>
      <c r="AF215">
        <v>2.1584311516853333E-3</v>
      </c>
      <c r="AG215">
        <v>0.66219986158014976</v>
      </c>
      <c r="AH215">
        <v>-1.0151504698030425</v>
      </c>
      <c r="AI215">
        <v>4.9923057844018342E-5</v>
      </c>
    </row>
    <row r="216" spans="23:35" x14ac:dyDescent="0.25">
      <c r="W216">
        <v>214</v>
      </c>
      <c r="X216">
        <v>74.743046547302697</v>
      </c>
      <c r="Y216">
        <v>0.65695345269730865</v>
      </c>
      <c r="Z216">
        <v>74.741087342155453</v>
      </c>
      <c r="AA216">
        <v>0.77986658580958157</v>
      </c>
      <c r="AB216">
        <v>58</v>
      </c>
      <c r="AC216">
        <v>0.74840704313415274</v>
      </c>
      <c r="AD216">
        <v>0.18269913503047006</v>
      </c>
      <c r="AE216">
        <v>-1.0100915543466529</v>
      </c>
      <c r="AF216">
        <v>2.9733912741294198E-3</v>
      </c>
      <c r="AG216">
        <v>0.18297136026215818</v>
      </c>
      <c r="AH216">
        <v>-1.0123811484403478</v>
      </c>
      <c r="AI216">
        <v>5.2548212344765321E-6</v>
      </c>
    </row>
    <row r="217" spans="23:35" x14ac:dyDescent="0.25">
      <c r="W217">
        <v>215</v>
      </c>
      <c r="X217">
        <v>75.092487909267433</v>
      </c>
      <c r="Y217">
        <v>0.60751209073256973</v>
      </c>
      <c r="Z217">
        <v>75.085294108643112</v>
      </c>
      <c r="AA217">
        <v>0.79199514857489384</v>
      </c>
      <c r="AB217">
        <v>58</v>
      </c>
      <c r="AC217">
        <v>0.80177968430189828</v>
      </c>
      <c r="AD217">
        <v>0.16894946368221994</v>
      </c>
      <c r="AE217">
        <v>-1.0094365444426916</v>
      </c>
      <c r="AF217">
        <v>1.1702833380106343E-2</v>
      </c>
      <c r="AG217">
        <v>0.16994681990148855</v>
      </c>
      <c r="AH217">
        <v>-1.011868760868613</v>
      </c>
      <c r="AI217">
        <v>1.8000142996369774E-5</v>
      </c>
    </row>
    <row r="218" spans="23:35" x14ac:dyDescent="0.25">
      <c r="W218">
        <v>216</v>
      </c>
      <c r="X218">
        <v>66.076173891468528</v>
      </c>
      <c r="Y218">
        <v>8.9238261085314718</v>
      </c>
      <c r="Z218">
        <v>65.799260000648388</v>
      </c>
      <c r="AA218">
        <v>0.76046088538508183</v>
      </c>
      <c r="AB218">
        <v>58</v>
      </c>
      <c r="AC218">
        <v>0.67020216077934069</v>
      </c>
      <c r="AD218">
        <v>2.4817212003332312</v>
      </c>
      <c r="AE218">
        <v>-1.0081689531598019</v>
      </c>
      <c r="AF218">
        <v>3.0096915122007427E-2</v>
      </c>
      <c r="AG218">
        <v>2.5199319931824578</v>
      </c>
      <c r="AH218">
        <v>-1.0095493171189773</v>
      </c>
      <c r="AI218">
        <v>1.0370929515962397E-2</v>
      </c>
    </row>
    <row r="219" spans="23:35" x14ac:dyDescent="0.25">
      <c r="W219">
        <v>217</v>
      </c>
      <c r="X219">
        <v>66.071430513913299</v>
      </c>
      <c r="Y219">
        <v>9.4285694860867011</v>
      </c>
      <c r="Z219">
        <v>65.7910825666373</v>
      </c>
      <c r="AA219">
        <v>0.78411158277744086</v>
      </c>
      <c r="AB219">
        <v>58</v>
      </c>
      <c r="AC219">
        <v>0.77276680816182786</v>
      </c>
      <c r="AD219">
        <v>2.6220906254623308</v>
      </c>
      <c r="AE219">
        <v>-1.0025415282225743</v>
      </c>
      <c r="AF219">
        <v>2.8875304502296518E-2</v>
      </c>
      <c r="AG219">
        <v>2.6607875432501578</v>
      </c>
      <c r="AH219">
        <v>-1.0053061207364855</v>
      </c>
      <c r="AI219">
        <v>1.1079454310501984E-2</v>
      </c>
    </row>
    <row r="220" spans="23:35" x14ac:dyDescent="0.25">
      <c r="W220">
        <v>218</v>
      </c>
      <c r="X220">
        <v>68.944127606320293</v>
      </c>
      <c r="Y220">
        <v>-3.8441276063202992</v>
      </c>
      <c r="Z220">
        <v>68.96031951069628</v>
      </c>
      <c r="AA220">
        <v>0.27713765918738631</v>
      </c>
      <c r="AB220">
        <v>58.1</v>
      </c>
      <c r="AC220">
        <v>-0.60317578841021124</v>
      </c>
      <c r="AD220">
        <v>-1.069054109903679</v>
      </c>
      <c r="AE220">
        <v>-0.99853441499835471</v>
      </c>
      <c r="AF220">
        <v>4.1944466853394815E-3</v>
      </c>
      <c r="AG220">
        <v>-1.0713032329859948</v>
      </c>
      <c r="AH220">
        <v>-1.0015115587512982</v>
      </c>
      <c r="AI220">
        <v>2.5443178499390045E-4</v>
      </c>
    </row>
    <row r="221" spans="23:35" x14ac:dyDescent="0.25">
      <c r="W221">
        <v>219</v>
      </c>
      <c r="X221">
        <v>68.03006861974859</v>
      </c>
      <c r="Y221">
        <v>-3.8300686197485874</v>
      </c>
      <c r="Z221">
        <v>68.046488799549195</v>
      </c>
      <c r="AA221">
        <v>0.24560339599757428</v>
      </c>
      <c r="AB221">
        <v>58.1</v>
      </c>
      <c r="AC221">
        <v>-0.69708605805955215</v>
      </c>
      <c r="AD221">
        <v>-1.0651442976095038</v>
      </c>
      <c r="AE221">
        <v>-0.99253942442222365</v>
      </c>
      <c r="AF221">
        <v>4.2688749808723163E-3</v>
      </c>
      <c r="AG221">
        <v>-1.0674250864360919</v>
      </c>
      <c r="AH221">
        <v>-0.9943361224761218</v>
      </c>
      <c r="AI221">
        <v>2.5709436808697445E-4</v>
      </c>
    </row>
    <row r="222" spans="23:35" x14ac:dyDescent="0.25">
      <c r="W222">
        <v>220</v>
      </c>
      <c r="X222">
        <v>71.900556507384564</v>
      </c>
      <c r="Y222">
        <v>-8.5005565073845659</v>
      </c>
      <c r="Z222">
        <v>71.945963363566321</v>
      </c>
      <c r="AA222">
        <v>0.22922983626440266</v>
      </c>
      <c r="AB222">
        <v>58.1</v>
      </c>
      <c r="AC222">
        <v>-0.74639716414434454</v>
      </c>
      <c r="AD222">
        <v>-2.3640096795295467</v>
      </c>
      <c r="AE222">
        <v>-0.99145788262757095</v>
      </c>
      <c r="AF222">
        <v>5.3132519120474677E-3</v>
      </c>
      <c r="AG222">
        <v>-2.3703151069025581</v>
      </c>
      <c r="AH222">
        <v>-0.99271706076910748</v>
      </c>
      <c r="AI222">
        <v>1.5795473276533328E-3</v>
      </c>
    </row>
    <row r="223" spans="23:35" x14ac:dyDescent="0.25">
      <c r="W223">
        <v>221</v>
      </c>
      <c r="X223">
        <v>65.713003072525851</v>
      </c>
      <c r="Y223">
        <v>-3.5130030725258479</v>
      </c>
      <c r="Z223">
        <v>65.724317178927933</v>
      </c>
      <c r="AA223">
        <v>0.20436628259551243</v>
      </c>
      <c r="AB223">
        <v>58.1</v>
      </c>
      <c r="AC223">
        <v>-0.8357870519497973</v>
      </c>
      <c r="AD223">
        <v>-0.9769681856068666</v>
      </c>
      <c r="AE223">
        <v>-0.99050590026286078</v>
      </c>
      <c r="AF223">
        <v>3.2102974356925397E-3</v>
      </c>
      <c r="AG223">
        <v>-0.978540150708192</v>
      </c>
      <c r="AH223">
        <v>-0.99264175489645157</v>
      </c>
      <c r="AI223">
        <v>1.6231005619075497E-4</v>
      </c>
    </row>
    <row r="224" spans="23:35" x14ac:dyDescent="0.25">
      <c r="W224">
        <v>222</v>
      </c>
      <c r="X224">
        <v>64.7321087894464</v>
      </c>
      <c r="Y224">
        <v>-3.6321087894463986</v>
      </c>
      <c r="Z224">
        <v>64.744901067603124</v>
      </c>
      <c r="AA224">
        <v>0.17889630078835658</v>
      </c>
      <c r="AB224">
        <v>58.1</v>
      </c>
      <c r="AC224">
        <v>-0.9277300733017374</v>
      </c>
      <c r="AD224">
        <v>-1.0100915543466529</v>
      </c>
      <c r="AE224">
        <v>-0.98351392041369246</v>
      </c>
      <c r="AF224">
        <v>3.5096365908031703E-3</v>
      </c>
      <c r="AG224">
        <v>-1.011868760868613</v>
      </c>
      <c r="AH224">
        <v>-0.98701277971383505</v>
      </c>
      <c r="AI224">
        <v>1.8979458683434164E-4</v>
      </c>
    </row>
    <row r="225" spans="23:35" x14ac:dyDescent="0.25">
      <c r="W225">
        <v>223</v>
      </c>
      <c r="X225">
        <v>62.630765807369279</v>
      </c>
      <c r="Y225">
        <v>-3.4307658073692764</v>
      </c>
      <c r="Z225">
        <v>62.645807850982166</v>
      </c>
      <c r="AA225">
        <v>0.15767131594906003</v>
      </c>
      <c r="AB225">
        <v>58.1</v>
      </c>
      <c r="AC225">
        <v>-1.0205681915260707</v>
      </c>
      <c r="AD225">
        <v>-0.95409795461913227</v>
      </c>
      <c r="AE225">
        <v>-0.98168435582874292</v>
      </c>
      <c r="AF225">
        <v>4.3653170064597586E-3</v>
      </c>
      <c r="AG225">
        <v>-0.95618726751133798</v>
      </c>
      <c r="AH225">
        <v>-0.98672339853065394</v>
      </c>
      <c r="AI225">
        <v>2.1098330069518588E-4</v>
      </c>
    </row>
    <row r="226" spans="23:35" x14ac:dyDescent="0.25">
      <c r="W226">
        <v>224</v>
      </c>
      <c r="X226">
        <v>60.034293154751317</v>
      </c>
      <c r="Y226">
        <v>-2.5342931547513174</v>
      </c>
      <c r="Z226">
        <v>60.04882593983978</v>
      </c>
      <c r="AA226">
        <v>0.12067919951485749</v>
      </c>
      <c r="AB226">
        <v>58.2</v>
      </c>
      <c r="AC226">
        <v>-1.182232646923248</v>
      </c>
      <c r="AD226">
        <v>-0.70478839160624707</v>
      </c>
      <c r="AE226">
        <v>-0.97926182892533953</v>
      </c>
      <c r="AF226">
        <v>5.7017565857688706E-3</v>
      </c>
      <c r="AG226">
        <v>-0.70680629082241653</v>
      </c>
      <c r="AH226">
        <v>-0.98599791595026287</v>
      </c>
      <c r="AI226">
        <v>1.5077842838237242E-4</v>
      </c>
    </row>
    <row r="227" spans="23:35" x14ac:dyDescent="0.25">
      <c r="W227">
        <v>225</v>
      </c>
      <c r="X227">
        <v>59.349972507914281</v>
      </c>
      <c r="Y227">
        <v>-2.449972507914282</v>
      </c>
      <c r="Z227">
        <v>59.365310737923338</v>
      </c>
      <c r="AA227">
        <v>0.1091570648878108</v>
      </c>
      <c r="AB227">
        <v>58.2</v>
      </c>
      <c r="AC227">
        <v>-1.2359023985485402</v>
      </c>
      <c r="AD227">
        <v>-0.68133877096861251</v>
      </c>
      <c r="AE227">
        <v>-0.9769681856068666</v>
      </c>
      <c r="AF227">
        <v>6.2216213855352635E-3</v>
      </c>
      <c r="AG227">
        <v>-0.68346822857985434</v>
      </c>
      <c r="AH227">
        <v>-0.98286037232688295</v>
      </c>
      <c r="AI227">
        <v>1.539207234682116E-4</v>
      </c>
    </row>
    <row r="228" spans="23:35" x14ac:dyDescent="0.25">
      <c r="W228">
        <v>226</v>
      </c>
      <c r="X228">
        <v>57.404953062800246</v>
      </c>
      <c r="Y228">
        <v>-2.6049530628002486</v>
      </c>
      <c r="Z228">
        <v>57.426978566224228</v>
      </c>
      <c r="AA228">
        <v>7.7622801697998789E-2</v>
      </c>
      <c r="AB228">
        <v>58.3</v>
      </c>
      <c r="AC228">
        <v>-1.4402815816722083</v>
      </c>
      <c r="AD228">
        <v>-0.72443895288858551</v>
      </c>
      <c r="AE228">
        <v>-0.97379237148343012</v>
      </c>
      <c r="AF228">
        <v>8.3843483563848329E-3</v>
      </c>
      <c r="AG228">
        <v>-0.72749515886651428</v>
      </c>
      <c r="AH228">
        <v>-0.98107655331799892</v>
      </c>
      <c r="AI228">
        <v>2.3552258295522668E-4</v>
      </c>
    </row>
    <row r="229" spans="23:35" x14ac:dyDescent="0.25">
      <c r="W229">
        <v>227</v>
      </c>
      <c r="X229">
        <v>53.559777618621695</v>
      </c>
      <c r="Y229">
        <v>-1.8597776186216919</v>
      </c>
      <c r="Z229">
        <v>53.606952540255698</v>
      </c>
      <c r="AA229">
        <v>4.4269254093389936E-2</v>
      </c>
      <c r="AB229">
        <v>58.3</v>
      </c>
      <c r="AC229">
        <v>-1.7129636683890181</v>
      </c>
      <c r="AD229">
        <v>-0.51720523101925775</v>
      </c>
      <c r="AE229">
        <v>-0.97021282502832029</v>
      </c>
      <c r="AF229">
        <v>2.4738382648830274E-2</v>
      </c>
      <c r="AG229">
        <v>-0.52372383880018225</v>
      </c>
      <c r="AH229">
        <v>-0.978540150708192</v>
      </c>
      <c r="AI229">
        <v>3.6618559375541597E-4</v>
      </c>
    </row>
    <row r="230" spans="23:35" x14ac:dyDescent="0.25">
      <c r="W230">
        <v>228</v>
      </c>
      <c r="X230">
        <v>48.832038164437478</v>
      </c>
      <c r="Y230">
        <v>-0.73203816443747627</v>
      </c>
      <c r="Z230">
        <v>48.846518344361613</v>
      </c>
      <c r="AA230">
        <v>2.1224984839296544E-2</v>
      </c>
      <c r="AB230">
        <v>58.4</v>
      </c>
      <c r="AC230">
        <v>-2.0597982810364517</v>
      </c>
      <c r="AD230">
        <v>-0.20358023677766088</v>
      </c>
      <c r="AE230">
        <v>-0.97016814895848669</v>
      </c>
      <c r="AF230">
        <v>1.9396951238378819E-2</v>
      </c>
      <c r="AG230">
        <v>-0.20558385031389373</v>
      </c>
      <c r="AH230">
        <v>-0.97615217773450702</v>
      </c>
      <c r="AI230">
        <v>4.4001210569370359E-5</v>
      </c>
    </row>
    <row r="231" spans="23:35" x14ac:dyDescent="0.25">
      <c r="W231">
        <v>229</v>
      </c>
      <c r="X231">
        <v>46.710904783330008</v>
      </c>
      <c r="Y231">
        <v>-0.31090478333000959</v>
      </c>
      <c r="Z231">
        <v>46.721269504827163</v>
      </c>
      <c r="AA231">
        <v>1.4554275318374773E-2</v>
      </c>
      <c r="AB231">
        <v>58.4</v>
      </c>
      <c r="AC231">
        <v>-2.2073550198913567</v>
      </c>
      <c r="AD231">
        <v>-8.6462800002057374E-2</v>
      </c>
      <c r="AE231">
        <v>-0.96970996619144434</v>
      </c>
      <c r="AF231">
        <v>3.2261765718261878E-2</v>
      </c>
      <c r="AG231">
        <v>-8.7892202092477292E-2</v>
      </c>
      <c r="AH231">
        <v>-0.97256997538873158</v>
      </c>
      <c r="AI231">
        <v>1.3554307170247125E-5</v>
      </c>
    </row>
    <row r="232" spans="23:35" x14ac:dyDescent="0.25">
      <c r="W232">
        <v>230</v>
      </c>
      <c r="X232">
        <v>44.353241703652202</v>
      </c>
      <c r="Y232">
        <v>1.646758296347798</v>
      </c>
      <c r="Z232">
        <v>44.312329741556489</v>
      </c>
      <c r="AA232">
        <v>1.2128562765312311E-2</v>
      </c>
      <c r="AB232">
        <v>58.4</v>
      </c>
      <c r="AC232">
        <v>-2.3261203997549518</v>
      </c>
      <c r="AD232">
        <v>0.45796443433202422</v>
      </c>
      <c r="AE232">
        <v>-0.96795713945472306</v>
      </c>
      <c r="AF232">
        <v>2.4241679848910666E-2</v>
      </c>
      <c r="AG232">
        <v>0.46361835352270747</v>
      </c>
      <c r="AH232">
        <v>-0.97204175565278372</v>
      </c>
      <c r="AI232">
        <v>2.8105291100795544E-4</v>
      </c>
    </row>
    <row r="233" spans="23:35" x14ac:dyDescent="0.25">
      <c r="W233">
        <v>231</v>
      </c>
      <c r="X233">
        <v>42.678705693959884</v>
      </c>
      <c r="Y233">
        <v>4.0212943060401187</v>
      </c>
      <c r="Z233">
        <v>42.569440996709076</v>
      </c>
      <c r="AA233">
        <v>1.5767131594906003E-2</v>
      </c>
      <c r="AB233">
        <v>58.4</v>
      </c>
      <c r="AC233">
        <v>-2.1579999581558846</v>
      </c>
      <c r="AD233">
        <v>1.1183242715294643</v>
      </c>
      <c r="AE233">
        <v>-0.96610011308598043</v>
      </c>
      <c r="AF233">
        <v>2.645276272866607E-2</v>
      </c>
      <c r="AG233">
        <v>1.133415731838767</v>
      </c>
      <c r="AH233">
        <v>-0.97202160568125395</v>
      </c>
      <c r="AI233">
        <v>1.8371257293204794E-3</v>
      </c>
    </row>
    <row r="234" spans="23:35" x14ac:dyDescent="0.25">
      <c r="W234">
        <v>232</v>
      </c>
      <c r="X234">
        <v>43.164314660505681</v>
      </c>
      <c r="Y234">
        <v>4.6356853394943158</v>
      </c>
      <c r="Z234">
        <v>43.028605397829985</v>
      </c>
      <c r="AA234">
        <v>1.9405700424499697E-2</v>
      </c>
      <c r="AB234">
        <v>58.4</v>
      </c>
      <c r="AC234">
        <v>-2.0994271873972417</v>
      </c>
      <c r="AD234">
        <v>1.289186773159815</v>
      </c>
      <c r="AE234">
        <v>-0.95967903631423424</v>
      </c>
      <c r="AF234">
        <v>2.844226352898567E-2</v>
      </c>
      <c r="AG234">
        <v>1.3079210632652858</v>
      </c>
      <c r="AH234">
        <v>-0.97158790302081488</v>
      </c>
      <c r="AI234">
        <v>2.6357548142228512E-3</v>
      </c>
    </row>
    <row r="235" spans="23:35" x14ac:dyDescent="0.25">
      <c r="W235">
        <v>233</v>
      </c>
      <c r="X235">
        <v>75.699648912159105</v>
      </c>
      <c r="Y235">
        <v>-0.89964891215910825</v>
      </c>
      <c r="Z235">
        <v>75.702681079468604</v>
      </c>
      <c r="AA235">
        <v>0.74166161309884782</v>
      </c>
      <c r="AB235">
        <v>58.5</v>
      </c>
      <c r="AC235">
        <v>0.63261352584071384</v>
      </c>
      <c r="AD235">
        <v>-0.25019288262771888</v>
      </c>
      <c r="AE235">
        <v>-0.95855903473402992</v>
      </c>
      <c r="AF235">
        <v>3.3590682007954877E-3</v>
      </c>
      <c r="AG235">
        <v>-0.25061415170702783</v>
      </c>
      <c r="AH235">
        <v>-0.97057348200235072</v>
      </c>
      <c r="AI235">
        <v>1.1141346556913536E-5</v>
      </c>
    </row>
    <row r="236" spans="23:35" x14ac:dyDescent="0.25">
      <c r="W236">
        <v>234</v>
      </c>
      <c r="X236">
        <v>75.170319356348216</v>
      </c>
      <c r="Y236">
        <v>-0.47031935634821309</v>
      </c>
      <c r="Z236">
        <v>75.172281137724895</v>
      </c>
      <c r="AA236">
        <v>0.7362037598544573</v>
      </c>
      <c r="AB236">
        <v>58.5</v>
      </c>
      <c r="AC236">
        <v>0.61415241452626612</v>
      </c>
      <c r="AD236">
        <v>-0.13079608492825259</v>
      </c>
      <c r="AE236">
        <v>-0.95600437428931739</v>
      </c>
      <c r="AF236">
        <v>4.1538423196933773E-3</v>
      </c>
      <c r="AG236">
        <v>-0.13106858732814447</v>
      </c>
      <c r="AH236">
        <v>-0.96500683945327348</v>
      </c>
      <c r="AI236">
        <v>3.7713895277807512E-6</v>
      </c>
    </row>
    <row r="237" spans="23:35" x14ac:dyDescent="0.25">
      <c r="W237">
        <v>235</v>
      </c>
      <c r="X237">
        <v>75.115631818640651</v>
      </c>
      <c r="Y237">
        <v>-0.61563181864065086</v>
      </c>
      <c r="Z237">
        <v>75.118565007987215</v>
      </c>
      <c r="AA237">
        <v>0.72407519708914492</v>
      </c>
      <c r="AB237">
        <v>58.6</v>
      </c>
      <c r="AC237">
        <v>0.56531175535073552</v>
      </c>
      <c r="AD237">
        <v>-0.17120756470809687</v>
      </c>
      <c r="AE237">
        <v>-0.95409795461913227</v>
      </c>
      <c r="AF237">
        <v>4.7419257615514444E-3</v>
      </c>
      <c r="AG237">
        <v>-0.17161494087345178</v>
      </c>
      <c r="AH237">
        <v>-0.96320583727740727</v>
      </c>
      <c r="AI237">
        <v>7.3854273440340479E-6</v>
      </c>
    </row>
    <row r="238" spans="23:35" x14ac:dyDescent="0.25">
      <c r="W238">
        <v>236</v>
      </c>
      <c r="X238">
        <v>74.839097307552365</v>
      </c>
      <c r="Y238">
        <v>-0.73909730755237035</v>
      </c>
      <c r="Z238">
        <v>74.847044528945389</v>
      </c>
      <c r="AA238">
        <v>0.69254093389933291</v>
      </c>
      <c r="AB238">
        <v>58.6</v>
      </c>
      <c r="AC238">
        <v>0.48161589062349974</v>
      </c>
      <c r="AD238">
        <v>-0.20554338855934681</v>
      </c>
      <c r="AE238">
        <v>-0.95308103585282777</v>
      </c>
      <c r="AF238">
        <v>1.0638216445059818E-2</v>
      </c>
      <c r="AG238">
        <v>-0.20664549727805018</v>
      </c>
      <c r="AH238">
        <v>-0.96261532874796207</v>
      </c>
      <c r="AI238">
        <v>2.4166401346858812E-5</v>
      </c>
    </row>
    <row r="239" spans="23:35" x14ac:dyDescent="0.25">
      <c r="W239">
        <v>237</v>
      </c>
      <c r="X239">
        <v>74.47446072224291</v>
      </c>
      <c r="Y239">
        <v>-0.67446072224291242</v>
      </c>
      <c r="Z239">
        <v>74.480644293735651</v>
      </c>
      <c r="AA239">
        <v>0.66767738023044265</v>
      </c>
      <c r="AB239">
        <v>58.6</v>
      </c>
      <c r="AC239">
        <v>0.4143837514429769</v>
      </c>
      <c r="AD239">
        <v>-0.18756791681340232</v>
      </c>
      <c r="AE239">
        <v>-0.95147084642625701</v>
      </c>
      <c r="AF239">
        <v>9.0848796495521453E-3</v>
      </c>
      <c r="AG239">
        <v>-0.18842578243852012</v>
      </c>
      <c r="AH239">
        <v>-0.95618726751133798</v>
      </c>
      <c r="AI239">
        <v>1.713206750028835E-5</v>
      </c>
    </row>
    <row r="240" spans="23:35" x14ac:dyDescent="0.25">
      <c r="W240">
        <v>238</v>
      </c>
      <c r="X240">
        <v>74.22517627489762</v>
      </c>
      <c r="Y240">
        <v>-0.62517627489762617</v>
      </c>
      <c r="Z240">
        <v>74.231205248925107</v>
      </c>
      <c r="AA240">
        <v>0.65433596118859916</v>
      </c>
      <c r="AB240">
        <v>58.6</v>
      </c>
      <c r="AC240">
        <v>0.3716850598056044</v>
      </c>
      <c r="AD240">
        <v>-0.17386188351154638</v>
      </c>
      <c r="AE240">
        <v>-0.95052381109755235</v>
      </c>
      <c r="AF240">
        <v>9.5515270789640703E-3</v>
      </c>
      <c r="AG240">
        <v>-0.17469820264092001</v>
      </c>
      <c r="AH240">
        <v>-0.95463389033168689</v>
      </c>
      <c r="AI240">
        <v>1.5490455812655763E-5</v>
      </c>
    </row>
    <row r="241" spans="23:35" x14ac:dyDescent="0.25">
      <c r="W241">
        <v>239</v>
      </c>
      <c r="X241">
        <v>72.325296367796</v>
      </c>
      <c r="Y241">
        <v>1.074703632204006</v>
      </c>
      <c r="Z241">
        <v>72.315917011806633</v>
      </c>
      <c r="AA241">
        <v>0.63735597331716187</v>
      </c>
      <c r="AB241">
        <v>58.7</v>
      </c>
      <c r="AC241">
        <v>0.33286538375086522</v>
      </c>
      <c r="AD241">
        <v>0.29887570148481041</v>
      </c>
      <c r="AE241">
        <v>-0.9498561077527915</v>
      </c>
      <c r="AF241">
        <v>8.6518800603928164E-3</v>
      </c>
      <c r="AG241">
        <v>0.30017707042677355</v>
      </c>
      <c r="AH241">
        <v>-0.95337504802796857</v>
      </c>
      <c r="AI241">
        <v>4.1389076056730141E-5</v>
      </c>
    </row>
    <row r="242" spans="23:35" x14ac:dyDescent="0.25">
      <c r="W242">
        <v>240</v>
      </c>
      <c r="X242">
        <v>73.861212986234079</v>
      </c>
      <c r="Y242">
        <v>-0.56121298623408222</v>
      </c>
      <c r="Z242">
        <v>73.863543022661005</v>
      </c>
      <c r="AA242">
        <v>0.63007883565797451</v>
      </c>
      <c r="AB242">
        <v>58.8</v>
      </c>
      <c r="AC242">
        <v>0.3152427890443939</v>
      </c>
      <c r="AD242">
        <v>-0.15607365595211517</v>
      </c>
      <c r="AE242">
        <v>-0.94924999639417562</v>
      </c>
      <c r="AF242">
        <v>4.1346203097853522E-3</v>
      </c>
      <c r="AG242">
        <v>-0.15639731260051548</v>
      </c>
      <c r="AH242">
        <v>-0.95251405788862009</v>
      </c>
      <c r="AI242">
        <v>5.3449047519593193E-6</v>
      </c>
    </row>
    <row r="243" spans="23:35" x14ac:dyDescent="0.25">
      <c r="W243">
        <v>241</v>
      </c>
      <c r="X243">
        <v>73.865171062139794</v>
      </c>
      <c r="Y243">
        <v>-0.86517106213979389</v>
      </c>
      <c r="Z243">
        <v>73.868730294851744</v>
      </c>
      <c r="AA243">
        <v>0.60946027895694366</v>
      </c>
      <c r="AB243">
        <v>58.8</v>
      </c>
      <c r="AC243">
        <v>0.22222871718700732</v>
      </c>
      <c r="AD243">
        <v>-0.24060457260304913</v>
      </c>
      <c r="AE243">
        <v>-0.94896754704773612</v>
      </c>
      <c r="AF243">
        <v>4.0970514474308285E-3</v>
      </c>
      <c r="AG243">
        <v>-0.24109897697914559</v>
      </c>
      <c r="AH243">
        <v>-0.95208414220028559</v>
      </c>
      <c r="AI243">
        <v>1.2586110304315174E-5</v>
      </c>
    </row>
    <row r="244" spans="23:35" x14ac:dyDescent="0.25">
      <c r="W244">
        <v>242</v>
      </c>
      <c r="X244">
        <v>73.695811167955213</v>
      </c>
      <c r="Y244">
        <v>-0.99581116795521041</v>
      </c>
      <c r="Z244">
        <v>73.704187281990883</v>
      </c>
      <c r="AA244">
        <v>0.57246816252274102</v>
      </c>
      <c r="AB244">
        <v>58.8</v>
      </c>
      <c r="AC244">
        <v>0.16337348484333708</v>
      </c>
      <c r="AD244">
        <v>-0.27693566156341537</v>
      </c>
      <c r="AE244">
        <v>-0.94451403809460499</v>
      </c>
      <c r="AF244">
        <v>8.3411871330114802E-3</v>
      </c>
      <c r="AG244">
        <v>-0.27809792371166742</v>
      </c>
      <c r="AH244">
        <v>-0.95032820504586235</v>
      </c>
      <c r="AI244">
        <v>3.423792850416556E-5</v>
      </c>
    </row>
    <row r="245" spans="23:35" x14ac:dyDescent="0.25">
      <c r="W245">
        <v>243</v>
      </c>
      <c r="X245">
        <v>76.388970644878995</v>
      </c>
      <c r="Y245">
        <v>-4.3889706448789951</v>
      </c>
      <c r="Z245">
        <v>76.425627379265791</v>
      </c>
      <c r="AA245">
        <v>0.52516676773802307</v>
      </c>
      <c r="AB245">
        <v>58.9</v>
      </c>
      <c r="AC245">
        <v>4.1053957112594373E-2</v>
      </c>
      <c r="AD245">
        <v>-1.2205752739425426</v>
      </c>
      <c r="AE245">
        <v>-0.94230766234696361</v>
      </c>
      <c r="AF245">
        <v>8.2828334257274965E-3</v>
      </c>
      <c r="AG245">
        <v>-1.2256618048485042</v>
      </c>
      <c r="AH245">
        <v>-0.94954367429860687</v>
      </c>
      <c r="AI245">
        <v>6.6035702219422799E-4</v>
      </c>
    </row>
    <row r="246" spans="23:35" x14ac:dyDescent="0.25">
      <c r="W246">
        <v>244</v>
      </c>
      <c r="X246">
        <v>74.463266272897357</v>
      </c>
      <c r="Y246">
        <v>-2.66326627289736</v>
      </c>
      <c r="Z246">
        <v>74.485028918327913</v>
      </c>
      <c r="AA246">
        <v>0.51061249241964823</v>
      </c>
      <c r="AB246">
        <v>58.9</v>
      </c>
      <c r="AC246">
        <v>1.0640830227304372E-2</v>
      </c>
      <c r="AD246">
        <v>-0.74065589033194656</v>
      </c>
      <c r="AE246">
        <v>-0.94035294690000337</v>
      </c>
      <c r="AF246">
        <v>8.1051810213310753E-3</v>
      </c>
      <c r="AG246">
        <v>-0.74367583571781126</v>
      </c>
      <c r="AH246">
        <v>-0.94611542416964378</v>
      </c>
      <c r="AI246">
        <v>2.3785420651504868E-4</v>
      </c>
    </row>
    <row r="247" spans="23:35" x14ac:dyDescent="0.25">
      <c r="W247">
        <v>245</v>
      </c>
      <c r="X247">
        <v>74.392705010276472</v>
      </c>
      <c r="Y247">
        <v>-2.9927050102764667</v>
      </c>
      <c r="Z247">
        <v>74.408952499738419</v>
      </c>
      <c r="AA247">
        <v>0.4887810794420861</v>
      </c>
      <c r="AB247">
        <v>58.9</v>
      </c>
      <c r="AC247">
        <v>-4.7140240828996732E-2</v>
      </c>
      <c r="AD247">
        <v>-0.83227299367096308</v>
      </c>
      <c r="AE247">
        <v>-0.93944587432570936</v>
      </c>
      <c r="AF247">
        <v>5.3997161681210038E-3</v>
      </c>
      <c r="AG247">
        <v>-0.83452915373159609</v>
      </c>
      <c r="AH247">
        <v>-0.94591101856297222</v>
      </c>
      <c r="AI247">
        <v>1.9899940525056075E-4</v>
      </c>
    </row>
    <row r="248" spans="23:35" x14ac:dyDescent="0.25">
      <c r="W248">
        <v>246</v>
      </c>
      <c r="X248">
        <v>74.088976927288272</v>
      </c>
      <c r="Y248">
        <v>-3.0889769272882717</v>
      </c>
      <c r="Z248">
        <v>74.107352255466637</v>
      </c>
      <c r="AA248">
        <v>0.46937537901758641</v>
      </c>
      <c r="AB248">
        <v>58.9</v>
      </c>
      <c r="AC248">
        <v>-9.743972564826138E-2</v>
      </c>
      <c r="AD248">
        <v>-0.85904626945415008</v>
      </c>
      <c r="AE248">
        <v>-0.93515572031980843</v>
      </c>
      <c r="AF248">
        <v>5.9135001981298644E-3</v>
      </c>
      <c r="AG248">
        <v>-0.86159757555095617</v>
      </c>
      <c r="AH248">
        <v>-0.93705258703699601</v>
      </c>
      <c r="AI248">
        <v>2.324212193579651E-4</v>
      </c>
    </row>
    <row r="249" spans="23:35" x14ac:dyDescent="0.25">
      <c r="W249">
        <v>247</v>
      </c>
      <c r="X249">
        <v>73.739853696162115</v>
      </c>
      <c r="Y249">
        <v>1.2601463038378853</v>
      </c>
      <c r="Z249">
        <v>73.729695401908913</v>
      </c>
      <c r="AA249">
        <v>0.76046088538508183</v>
      </c>
      <c r="AB249">
        <v>59</v>
      </c>
      <c r="AC249">
        <v>0.67020216077934069</v>
      </c>
      <c r="AD249">
        <v>0.35044741568487192</v>
      </c>
      <c r="AE249">
        <v>-0.93509770612756082</v>
      </c>
      <c r="AF249">
        <v>7.9967389462865506E-3</v>
      </c>
      <c r="AG249">
        <v>0.35185709421384259</v>
      </c>
      <c r="AH249">
        <v>-0.93675721481910768</v>
      </c>
      <c r="AI249">
        <v>5.252654572674101E-5</v>
      </c>
    </row>
    <row r="250" spans="23:35" x14ac:dyDescent="0.25">
      <c r="W250">
        <v>248</v>
      </c>
      <c r="X250">
        <v>75.334475793213585</v>
      </c>
      <c r="Y250">
        <v>-1.0344757932135877</v>
      </c>
      <c r="Z250">
        <v>75.341133748201145</v>
      </c>
      <c r="AA250">
        <v>0.7052759248029109</v>
      </c>
      <c r="AB250">
        <v>59</v>
      </c>
      <c r="AC250">
        <v>0.52824151828033117</v>
      </c>
      <c r="AD250">
        <v>-0.28768831620276553</v>
      </c>
      <c r="AE250">
        <v>-0.93375891462925364</v>
      </c>
      <c r="AF250">
        <v>6.3949084342557073E-3</v>
      </c>
      <c r="AG250">
        <v>-0.28861262193054066</v>
      </c>
      <c r="AH250">
        <v>-0.93631970496459771</v>
      </c>
      <c r="AI250">
        <v>2.8216137406599498E-5</v>
      </c>
    </row>
    <row r="251" spans="23:35" x14ac:dyDescent="0.25">
      <c r="W251">
        <v>249</v>
      </c>
      <c r="X251">
        <v>77.107616598194596</v>
      </c>
      <c r="Y251">
        <v>-3.0076165981946019</v>
      </c>
      <c r="Z251">
        <v>77.12847827888676</v>
      </c>
      <c r="AA251">
        <v>0.69254093389933291</v>
      </c>
      <c r="AB251">
        <v>59.1</v>
      </c>
      <c r="AC251">
        <v>0.48161589062349974</v>
      </c>
      <c r="AD251">
        <v>-0.83641991489253298</v>
      </c>
      <c r="AE251">
        <v>-0.93147092539549892</v>
      </c>
      <c r="AF251">
        <v>6.888502664059928E-3</v>
      </c>
      <c r="AG251">
        <v>-0.83931572476189753</v>
      </c>
      <c r="AH251">
        <v>-0.93548846808132557</v>
      </c>
      <c r="AI251">
        <v>2.5717215230666371E-4</v>
      </c>
    </row>
    <row r="252" spans="23:35" x14ac:dyDescent="0.25">
      <c r="W252">
        <v>250</v>
      </c>
      <c r="X252">
        <v>75.117480696702742</v>
      </c>
      <c r="Y252">
        <v>-1.2174806967027365</v>
      </c>
      <c r="Z252">
        <v>75.121589099082399</v>
      </c>
      <c r="AA252">
        <v>0.67919951485748942</v>
      </c>
      <c r="AB252">
        <v>59.1</v>
      </c>
      <c r="AC252">
        <v>0.43434378704136062</v>
      </c>
      <c r="AD252">
        <v>-0.33858208567231612</v>
      </c>
      <c r="AE252">
        <v>-0.92960620602051025</v>
      </c>
      <c r="AF252">
        <v>3.3631622799763258E-3</v>
      </c>
      <c r="AG252">
        <v>-0.33915287907925268</v>
      </c>
      <c r="AH252">
        <v>-0.93491949306671496</v>
      </c>
      <c r="AI252">
        <v>2.0429056206543536E-5</v>
      </c>
    </row>
    <row r="253" spans="23:35" x14ac:dyDescent="0.25">
      <c r="W253">
        <v>251</v>
      </c>
      <c r="X253">
        <v>74.892167515970399</v>
      </c>
      <c r="Y253">
        <v>-1.1921675159703966</v>
      </c>
      <c r="Z253">
        <v>74.895946938554573</v>
      </c>
      <c r="AA253">
        <v>0.66040024257125529</v>
      </c>
      <c r="AB253">
        <v>59.1</v>
      </c>
      <c r="AC253">
        <v>0.39787592189543292</v>
      </c>
      <c r="AD253">
        <v>-0.33154247547515453</v>
      </c>
      <c r="AE253">
        <v>-0.92639896591634707</v>
      </c>
      <c r="AF253">
        <v>3.1601925322341895E-3</v>
      </c>
      <c r="AG253">
        <v>-0.33206758942688619</v>
      </c>
      <c r="AH253">
        <v>-0.93183699999354763</v>
      </c>
      <c r="AI253">
        <v>1.8398717362347099E-5</v>
      </c>
    </row>
    <row r="254" spans="23:35" x14ac:dyDescent="0.25">
      <c r="W254">
        <v>252</v>
      </c>
      <c r="X254">
        <v>74.271007612999014</v>
      </c>
      <c r="Y254">
        <v>-0.87100761299900853</v>
      </c>
      <c r="Z254">
        <v>74.277629208239532</v>
      </c>
      <c r="AA254">
        <v>0.63735597331716187</v>
      </c>
      <c r="AB254">
        <v>59.1</v>
      </c>
      <c r="AC254">
        <v>0.33286538375086522</v>
      </c>
      <c r="AD254">
        <v>-0.24222772077155594</v>
      </c>
      <c r="AE254">
        <v>-0.92407377515705591</v>
      </c>
      <c r="AF254">
        <v>7.5448665317339502E-3</v>
      </c>
      <c r="AG254">
        <v>-0.24314671221614731</v>
      </c>
      <c r="AH254">
        <v>-0.92616988779841747</v>
      </c>
      <c r="AI254">
        <v>2.3655050585739011E-5</v>
      </c>
    </row>
    <row r="255" spans="23:35" x14ac:dyDescent="0.25">
      <c r="W255">
        <v>253</v>
      </c>
      <c r="X255">
        <v>74.136658133939093</v>
      </c>
      <c r="Y255">
        <v>-0.93665813393909048</v>
      </c>
      <c r="Z255">
        <v>74.140035613900707</v>
      </c>
      <c r="AA255">
        <v>0.62340812613705276</v>
      </c>
      <c r="AB255">
        <v>59.1</v>
      </c>
      <c r="AC255">
        <v>0.29295400660571058</v>
      </c>
      <c r="AD255">
        <v>-0.26048516860261117</v>
      </c>
      <c r="AE255">
        <v>-0.92196708102157066</v>
      </c>
      <c r="AF255">
        <v>3.5929276632320588E-3</v>
      </c>
      <c r="AG255">
        <v>-0.26095438556288114</v>
      </c>
      <c r="AH255">
        <v>-0.92306753322809687</v>
      </c>
      <c r="AI255">
        <v>1.2923711992332252E-5</v>
      </c>
    </row>
    <row r="256" spans="23:35" x14ac:dyDescent="0.25">
      <c r="W256">
        <v>254</v>
      </c>
      <c r="X256">
        <v>73.825028179973629</v>
      </c>
      <c r="Y256">
        <v>-0.92502817997362285</v>
      </c>
      <c r="Z256">
        <v>73.82978298393526</v>
      </c>
      <c r="AA256">
        <v>0.58762886597938147</v>
      </c>
      <c r="AB256">
        <v>59.2</v>
      </c>
      <c r="AC256">
        <v>0.206674078513852</v>
      </c>
      <c r="AD256">
        <v>-0.25725087168064326</v>
      </c>
      <c r="AE256">
        <v>-0.91689135053082771</v>
      </c>
      <c r="AF256">
        <v>5.1138857602117333E-3</v>
      </c>
      <c r="AG256">
        <v>-0.25791118110765732</v>
      </c>
      <c r="AH256">
        <v>-0.9195621547553654</v>
      </c>
      <c r="AI256">
        <v>1.7995519657833088E-5</v>
      </c>
    </row>
    <row r="257" spans="23:35" x14ac:dyDescent="0.25">
      <c r="W257">
        <v>255</v>
      </c>
      <c r="X257">
        <v>71.785102245753492</v>
      </c>
      <c r="Y257">
        <v>0.8148977542465019</v>
      </c>
      <c r="Z257">
        <v>71.779062799170703</v>
      </c>
      <c r="AA257">
        <v>0.56458459672528805</v>
      </c>
      <c r="AB257">
        <v>59.2</v>
      </c>
      <c r="AC257">
        <v>0.14798710972583889</v>
      </c>
      <c r="AD257">
        <v>0.22662353661105644</v>
      </c>
      <c r="AE257">
        <v>-0.91511258571051779</v>
      </c>
      <c r="AF257">
        <v>7.3567705016782548E-3</v>
      </c>
      <c r="AG257">
        <v>0.22746177316701754</v>
      </c>
      <c r="AH257">
        <v>-0.91885456010998612</v>
      </c>
      <c r="AI257">
        <v>2.0181677558606676E-5</v>
      </c>
    </row>
    <row r="258" spans="23:35" x14ac:dyDescent="0.25">
      <c r="W258">
        <v>256</v>
      </c>
      <c r="X258">
        <v>71.651849845121063</v>
      </c>
      <c r="Y258">
        <v>0.54815015487893959</v>
      </c>
      <c r="Z258">
        <v>71.647831193275934</v>
      </c>
      <c r="AA258">
        <v>0.53911461491813217</v>
      </c>
      <c r="AB258">
        <v>59.2</v>
      </c>
      <c r="AC258">
        <v>7.9127168877726875E-2</v>
      </c>
      <c r="AD258">
        <v>0.15244087499962192</v>
      </c>
      <c r="AE258">
        <v>-0.9139564839881974</v>
      </c>
      <c r="AF258">
        <v>7.2779407242778557E-3</v>
      </c>
      <c r="AG258">
        <v>0.15299864926503154</v>
      </c>
      <c r="AH258">
        <v>-0.91660462449417812</v>
      </c>
      <c r="AI258">
        <v>9.0323848602313245E-6</v>
      </c>
    </row>
    <row r="259" spans="23:35" x14ac:dyDescent="0.25">
      <c r="W259">
        <v>257</v>
      </c>
      <c r="X259">
        <v>75.909113970270425</v>
      </c>
      <c r="Y259">
        <v>-3.8091139702704311</v>
      </c>
      <c r="Z259">
        <v>75.92626131851712</v>
      </c>
      <c r="AA259">
        <v>0.5312310491206792</v>
      </c>
      <c r="AB259">
        <v>59.2</v>
      </c>
      <c r="AC259">
        <v>6.3887210036911155E-2</v>
      </c>
      <c r="AD259">
        <v>-1.0593167974741331</v>
      </c>
      <c r="AE259">
        <v>-0.9088760246186931</v>
      </c>
      <c r="AF259">
        <v>4.4814890618449649E-3</v>
      </c>
      <c r="AG259">
        <v>-1.0616984638497122</v>
      </c>
      <c r="AH259">
        <v>-0.9151715633363926</v>
      </c>
      <c r="AI259">
        <v>2.6706795316271684E-4</v>
      </c>
    </row>
    <row r="260" spans="23:35" x14ac:dyDescent="0.25">
      <c r="W260">
        <v>258</v>
      </c>
      <c r="X260">
        <v>73.188023745858004</v>
      </c>
      <c r="Y260">
        <v>-0.98802374585800123</v>
      </c>
      <c r="Z260">
        <v>73.192049717522721</v>
      </c>
      <c r="AA260">
        <v>0.53911461491813217</v>
      </c>
      <c r="AB260">
        <v>59.2</v>
      </c>
      <c r="AC260">
        <v>7.9127168877726875E-2</v>
      </c>
      <c r="AD260">
        <v>-0.27476997497567351</v>
      </c>
      <c r="AE260">
        <v>-0.90764042169416548</v>
      </c>
      <c r="AF260">
        <v>4.0582357855712256E-3</v>
      </c>
      <c r="AG260">
        <v>-0.27532921838131508</v>
      </c>
      <c r="AH260">
        <v>-0.91223280198918155</v>
      </c>
      <c r="AI260">
        <v>1.6257521399001977E-5</v>
      </c>
    </row>
    <row r="261" spans="23:35" x14ac:dyDescent="0.25">
      <c r="W261">
        <v>259</v>
      </c>
      <c r="X261">
        <v>72.548371202508775</v>
      </c>
      <c r="Y261">
        <v>-0.54837120250877547</v>
      </c>
      <c r="Z261">
        <v>72.55101985767331</v>
      </c>
      <c r="AA261">
        <v>0.52516676773802307</v>
      </c>
      <c r="AB261">
        <v>59.2</v>
      </c>
      <c r="AC261">
        <v>4.1053957112594373E-2</v>
      </c>
      <c r="AD261">
        <v>-0.15250234847328392</v>
      </c>
      <c r="AE261">
        <v>-0.90678064324114249</v>
      </c>
      <c r="AF261">
        <v>4.8068234341406575E-3</v>
      </c>
      <c r="AG261">
        <v>-0.15287020108891058</v>
      </c>
      <c r="AH261">
        <v>-0.91196377895255154</v>
      </c>
      <c r="AI261">
        <v>5.940771560852576E-6</v>
      </c>
    </row>
    <row r="262" spans="23:35" x14ac:dyDescent="0.25">
      <c r="W262">
        <v>260</v>
      </c>
      <c r="X262">
        <v>72.476575960071841</v>
      </c>
      <c r="Y262">
        <v>-0.67657596007184395</v>
      </c>
      <c r="Z262">
        <v>72.479206516868686</v>
      </c>
      <c r="AA262">
        <v>0.51061249241964823</v>
      </c>
      <c r="AB262">
        <v>59.2</v>
      </c>
      <c r="AC262">
        <v>1.0640830227304372E-2</v>
      </c>
      <c r="AD262">
        <v>-0.18815616567660995</v>
      </c>
      <c r="AE262">
        <v>-0.90563807961423493</v>
      </c>
      <c r="AF262">
        <v>3.8729852136508884E-3</v>
      </c>
      <c r="AG262">
        <v>-0.18852159050734707</v>
      </c>
      <c r="AH262">
        <v>-0.90863869361072469</v>
      </c>
      <c r="AI262">
        <v>7.2727676001123821E-6</v>
      </c>
    </row>
    <row r="263" spans="23:35" x14ac:dyDescent="0.25">
      <c r="W263">
        <v>261</v>
      </c>
      <c r="X263">
        <v>74.700883598671425</v>
      </c>
      <c r="Y263">
        <v>-3.1008835986714303</v>
      </c>
      <c r="Z263">
        <v>74.716987420435359</v>
      </c>
      <c r="AA263">
        <v>0.49787750151607035</v>
      </c>
      <c r="AB263">
        <v>59.3</v>
      </c>
      <c r="AC263">
        <v>-2.1282865457297767E-2</v>
      </c>
      <c r="AD263">
        <v>-0.86235752164996948</v>
      </c>
      <c r="AE263">
        <v>-0.90492113011271513</v>
      </c>
      <c r="AF263">
        <v>5.1664699248904324E-3</v>
      </c>
      <c r="AG263">
        <v>-0.86459386298320606</v>
      </c>
      <c r="AH263">
        <v>-0.90686666610310451</v>
      </c>
      <c r="AI263">
        <v>2.043215560133763E-4</v>
      </c>
    </row>
    <row r="264" spans="23:35" x14ac:dyDescent="0.25">
      <c r="W264">
        <v>262</v>
      </c>
      <c r="X264">
        <v>72.128480528654805</v>
      </c>
      <c r="Y264">
        <v>-1.0284805286548107</v>
      </c>
      <c r="Z264">
        <v>72.131997413162665</v>
      </c>
      <c r="AA264">
        <v>0.47422680412371132</v>
      </c>
      <c r="AB264">
        <v>59.3</v>
      </c>
      <c r="AC264">
        <v>-7.6077819866612773E-2</v>
      </c>
      <c r="AD264">
        <v>-0.28602102966264581</v>
      </c>
      <c r="AE264">
        <v>-0.89958739297330348</v>
      </c>
      <c r="AF264">
        <v>3.4078423676349302E-3</v>
      </c>
      <c r="AG264">
        <v>-0.28650963612972413</v>
      </c>
      <c r="AH264">
        <v>-0.90399928889247871</v>
      </c>
      <c r="AI264">
        <v>1.477361910758218E-5</v>
      </c>
    </row>
    <row r="265" spans="23:35" x14ac:dyDescent="0.25">
      <c r="W265">
        <v>263</v>
      </c>
      <c r="X265">
        <v>60.442904251276012</v>
      </c>
      <c r="Y265">
        <v>-1.1429042512760148</v>
      </c>
      <c r="Z265">
        <v>60.447303446790315</v>
      </c>
      <c r="AA265">
        <v>0.16070345664038813</v>
      </c>
      <c r="AB265">
        <v>59.3</v>
      </c>
      <c r="AC265">
        <v>-1.0028172174115717</v>
      </c>
      <c r="AD265">
        <v>-0.31784233308076248</v>
      </c>
      <c r="AE265">
        <v>-0.89785250508680137</v>
      </c>
      <c r="AF265">
        <v>3.834378364858065E-3</v>
      </c>
      <c r="AG265">
        <v>-0.31845345498054739</v>
      </c>
      <c r="AH265">
        <v>-0.89888046541897892</v>
      </c>
      <c r="AI265">
        <v>2.0544791811820292E-5</v>
      </c>
    </row>
    <row r="266" spans="23:35" x14ac:dyDescent="0.25">
      <c r="W266">
        <v>264</v>
      </c>
      <c r="X266">
        <v>63.91657550460971</v>
      </c>
      <c r="Y266">
        <v>-4.9165755046097104</v>
      </c>
      <c r="Z266">
        <v>63.955569476867431</v>
      </c>
      <c r="AA266">
        <v>0.15039417828987264</v>
      </c>
      <c r="AB266">
        <v>59.3</v>
      </c>
      <c r="AC266">
        <v>-1.0386467129748296</v>
      </c>
      <c r="AD266">
        <v>-1.3673024904826272</v>
      </c>
      <c r="AE266">
        <v>-0.89135236015892005</v>
      </c>
      <c r="AF266">
        <v>7.8687166913399449E-3</v>
      </c>
      <c r="AG266">
        <v>-1.3727139051375838</v>
      </c>
      <c r="AH266">
        <v>-0.89425047198798968</v>
      </c>
      <c r="AI266">
        <v>7.8657697654650369E-4</v>
      </c>
    </row>
    <row r="267" spans="23:35" x14ac:dyDescent="0.25">
      <c r="W267">
        <v>265</v>
      </c>
      <c r="X267">
        <v>57.884371604687686</v>
      </c>
      <c r="Y267">
        <v>0.71562839531231504</v>
      </c>
      <c r="Z267">
        <v>57.874894149962707</v>
      </c>
      <c r="AA267">
        <v>0.14432989690721648</v>
      </c>
      <c r="AB267">
        <v>59.3</v>
      </c>
      <c r="AC267">
        <v>-1.0704544602760233</v>
      </c>
      <c r="AD267">
        <v>0.19901667049620314</v>
      </c>
      <c r="AE267">
        <v>-0.88811491354001404</v>
      </c>
      <c r="AF267">
        <v>1.3070443059437236E-2</v>
      </c>
      <c r="AG267">
        <v>0.20033017874418096</v>
      </c>
      <c r="AH267">
        <v>-0.8932218806094615</v>
      </c>
      <c r="AI267">
        <v>2.7973274687739092E-5</v>
      </c>
    </row>
    <row r="268" spans="23:35" x14ac:dyDescent="0.25">
      <c r="W268">
        <v>266</v>
      </c>
      <c r="X268">
        <v>57.902384347695566</v>
      </c>
      <c r="Y268">
        <v>0.19761565230443523</v>
      </c>
      <c r="Z268">
        <v>57.898984741734452</v>
      </c>
      <c r="AA268">
        <v>0.13523347483323225</v>
      </c>
      <c r="AB268">
        <v>59.4</v>
      </c>
      <c r="AC268">
        <v>-1.1174634002413726</v>
      </c>
      <c r="AD268">
        <v>5.4957027162680049E-2</v>
      </c>
      <c r="AE268">
        <v>-0.88587939738136223</v>
      </c>
      <c r="AF268">
        <v>1.6912178659698435E-2</v>
      </c>
      <c r="AG268">
        <v>5.5427727607509761E-2</v>
      </c>
      <c r="AH268">
        <v>-0.88854318828231837</v>
      </c>
      <c r="AI268">
        <v>2.7816839770658939E-6</v>
      </c>
    </row>
    <row r="269" spans="23:35" x14ac:dyDescent="0.25">
      <c r="W269">
        <v>267</v>
      </c>
      <c r="X269">
        <v>57.318056306842209</v>
      </c>
      <c r="Y269">
        <v>0.18194369315779113</v>
      </c>
      <c r="Z269">
        <v>57.314699302398161</v>
      </c>
      <c r="AA269">
        <v>0.12067919951485749</v>
      </c>
      <c r="AB269">
        <v>59.4</v>
      </c>
      <c r="AC269">
        <v>-1.182232646923248</v>
      </c>
      <c r="AD269">
        <v>5.0598646262832669E-2</v>
      </c>
      <c r="AE269">
        <v>-0.88355620984293326</v>
      </c>
      <c r="AF269">
        <v>1.8116523507431599E-2</v>
      </c>
      <c r="AG269">
        <v>5.1063305166924214E-2</v>
      </c>
      <c r="AH269">
        <v>-0.88567347615739678</v>
      </c>
      <c r="AI269">
        <v>2.5320900874425853E-6</v>
      </c>
    </row>
    <row r="270" spans="23:35" x14ac:dyDescent="0.25">
      <c r="W270">
        <v>268</v>
      </c>
      <c r="X270">
        <v>56.841626063840444</v>
      </c>
      <c r="Y270">
        <v>5.8373936159554773E-2</v>
      </c>
      <c r="Z270">
        <v>56.839548553539871</v>
      </c>
      <c r="AA270">
        <v>0.1091570648878108</v>
      </c>
      <c r="AB270">
        <v>59.4</v>
      </c>
      <c r="AC270">
        <v>-1.2359023985485402</v>
      </c>
      <c r="AD270">
        <v>1.6233825396436991E-2</v>
      </c>
      <c r="AE270">
        <v>-0.87899869519747409</v>
      </c>
      <c r="AF270">
        <v>3.4366593724818303E-2</v>
      </c>
      <c r="AG270">
        <v>1.6520178275993801E-2</v>
      </c>
      <c r="AH270">
        <v>-0.88351866963692771</v>
      </c>
      <c r="AI270">
        <v>5.1121085298787267E-7</v>
      </c>
    </row>
    <row r="271" spans="23:35" x14ac:dyDescent="0.25">
      <c r="W271">
        <v>269</v>
      </c>
      <c r="X271">
        <v>56.315520900283936</v>
      </c>
      <c r="Y271">
        <v>-0.21552090028393422</v>
      </c>
      <c r="Z271">
        <v>56.317569484469821</v>
      </c>
      <c r="AA271">
        <v>9.3996361431170405E-2</v>
      </c>
      <c r="AB271">
        <v>59.4</v>
      </c>
      <c r="AC271">
        <v>-1.3219841213691266</v>
      </c>
      <c r="AD271">
        <v>-5.993648697818052E-2</v>
      </c>
      <c r="AE271">
        <v>-0.87726197571546527</v>
      </c>
      <c r="AF271">
        <v>9.4157698211876396E-3</v>
      </c>
      <c r="AG271">
        <v>-6.0220669490788928E-2</v>
      </c>
      <c r="AH271">
        <v>-0.88175647114025479</v>
      </c>
      <c r="AI271">
        <v>1.8142702581565309E-6</v>
      </c>
    </row>
    <row r="272" spans="23:35" x14ac:dyDescent="0.25">
      <c r="W272">
        <v>270</v>
      </c>
      <c r="X272">
        <v>55.404343569821492</v>
      </c>
      <c r="Y272">
        <v>-0.10434356982149495</v>
      </c>
      <c r="Z272">
        <v>55.405442185916087</v>
      </c>
      <c r="AA272">
        <v>8.6719223771983017E-2</v>
      </c>
      <c r="AB272">
        <v>59.5</v>
      </c>
      <c r="AC272">
        <v>-1.3946242806491973</v>
      </c>
      <c r="AD272">
        <v>-2.9018007096405483E-2</v>
      </c>
      <c r="AE272">
        <v>-0.87116422419802986</v>
      </c>
      <c r="AF272">
        <v>1.0419132390440742E-2</v>
      </c>
      <c r="AG272">
        <v>-2.9170369981215728E-2</v>
      </c>
      <c r="AH272">
        <v>-0.87281817208811119</v>
      </c>
      <c r="AI272">
        <v>4.7153131530421553E-7</v>
      </c>
    </row>
    <row r="273" spans="23:35" x14ac:dyDescent="0.25">
      <c r="W273">
        <v>271</v>
      </c>
      <c r="X273">
        <v>59.354304835481038</v>
      </c>
      <c r="Y273">
        <v>-5.0543048354810409</v>
      </c>
      <c r="Z273">
        <v>59.526717919772729</v>
      </c>
      <c r="AA273">
        <v>7.3984232868405095E-2</v>
      </c>
      <c r="AB273">
        <v>59.5</v>
      </c>
      <c r="AC273">
        <v>-1.4576525936309461</v>
      </c>
      <c r="AD273">
        <v>-1.4056050970298697</v>
      </c>
      <c r="AE273">
        <v>-0.87114730180942146</v>
      </c>
      <c r="AF273">
        <v>3.2986873777796605E-2</v>
      </c>
      <c r="AG273">
        <v>-1.4293781489816981</v>
      </c>
      <c r="AH273">
        <v>-0.87234884810262725</v>
      </c>
      <c r="AI273">
        <v>3.6681700949707111E-3</v>
      </c>
    </row>
    <row r="274" spans="23:35" x14ac:dyDescent="0.25">
      <c r="W274">
        <v>272</v>
      </c>
      <c r="X274">
        <v>63.416998846931619</v>
      </c>
      <c r="Y274">
        <v>-4.3169988469316181</v>
      </c>
      <c r="Z274">
        <v>63.437039473610177</v>
      </c>
      <c r="AA274">
        <v>0.15342631898120074</v>
      </c>
      <c r="AB274">
        <v>59.6</v>
      </c>
      <c r="AC274">
        <v>-1.0334469496720613</v>
      </c>
      <c r="AD274">
        <v>-1.2005598753209419</v>
      </c>
      <c r="AE274">
        <v>-0.86991595883700068</v>
      </c>
      <c r="AF274">
        <v>4.6208079959838303E-3</v>
      </c>
      <c r="AG274">
        <v>-1.2033433036456751</v>
      </c>
      <c r="AH274">
        <v>-0.87091281269900622</v>
      </c>
      <c r="AI274">
        <v>3.5379757795358342E-4</v>
      </c>
    </row>
    <row r="275" spans="23:35" x14ac:dyDescent="0.25">
      <c r="W275">
        <v>273</v>
      </c>
      <c r="X275">
        <v>67.64912307997804</v>
      </c>
      <c r="Y275">
        <v>-9.0491230799780382</v>
      </c>
      <c r="Z275">
        <v>67.706411875916331</v>
      </c>
      <c r="AA275">
        <v>0.14432989690721648</v>
      </c>
      <c r="AB275">
        <v>59.6</v>
      </c>
      <c r="AC275">
        <v>-1.0704544602760233</v>
      </c>
      <c r="AD275">
        <v>-2.5165663605363431</v>
      </c>
      <c r="AE275">
        <v>-0.86648614900870702</v>
      </c>
      <c r="AF275">
        <v>6.2910394037636258E-3</v>
      </c>
      <c r="AG275">
        <v>-2.524519815966217</v>
      </c>
      <c r="AH275">
        <v>-0.87009956380726283</v>
      </c>
      <c r="AI275">
        <v>2.1235728606995188E-3</v>
      </c>
    </row>
    <row r="276" spans="23:35" x14ac:dyDescent="0.25">
      <c r="W276">
        <v>274</v>
      </c>
      <c r="X276">
        <v>62.522610959958563</v>
      </c>
      <c r="Y276">
        <v>-4.5226109599585627</v>
      </c>
      <c r="Z276">
        <v>62.546175576161374</v>
      </c>
      <c r="AA276">
        <v>0.13159490600363857</v>
      </c>
      <c r="AB276">
        <v>59.6</v>
      </c>
      <c r="AC276">
        <v>-1.1375552391677688</v>
      </c>
      <c r="AD276">
        <v>-1.2577407228339212</v>
      </c>
      <c r="AE276">
        <v>-0.86280882576734153</v>
      </c>
      <c r="AF276">
        <v>5.1833933397508851E-3</v>
      </c>
      <c r="AG276">
        <v>-1.2610131324258123</v>
      </c>
      <c r="AH276">
        <v>-0.86855333445242622</v>
      </c>
      <c r="AI276">
        <v>4.3607055021537423E-4</v>
      </c>
    </row>
    <row r="277" spans="23:35" x14ac:dyDescent="0.25">
      <c r="W277">
        <v>275</v>
      </c>
      <c r="X277">
        <v>61.565901554337913</v>
      </c>
      <c r="Y277">
        <v>-4.1659015543379141</v>
      </c>
      <c r="Z277">
        <v>61.587472495981721</v>
      </c>
      <c r="AA277">
        <v>0.11825348696179502</v>
      </c>
      <c r="AB277">
        <v>59.7</v>
      </c>
      <c r="AC277">
        <v>-1.1914554566319386</v>
      </c>
      <c r="AD277">
        <v>-1.1585396308896601</v>
      </c>
      <c r="AE277">
        <v>-0.86235752164996948</v>
      </c>
      <c r="AF277">
        <v>5.1513034806822018E-3</v>
      </c>
      <c r="AG277">
        <v>-1.1615352038161288</v>
      </c>
      <c r="AH277">
        <v>-0.86459386298320606</v>
      </c>
      <c r="AI277">
        <v>3.6768105576689752E-4</v>
      </c>
    </row>
    <row r="278" spans="23:35" x14ac:dyDescent="0.25">
      <c r="W278">
        <v>276</v>
      </c>
      <c r="X278">
        <v>65.513027816041046</v>
      </c>
      <c r="Y278">
        <v>-8.7130278160410484</v>
      </c>
      <c r="Z278">
        <v>65.580615560131207</v>
      </c>
      <c r="AA278">
        <v>0.10794420861127957</v>
      </c>
      <c r="AB278">
        <v>59.7</v>
      </c>
      <c r="AC278">
        <v>-1.2523823790942721</v>
      </c>
      <c r="AD278">
        <v>-2.423098073312929</v>
      </c>
      <c r="AE278">
        <v>-0.85904626945415008</v>
      </c>
      <c r="AF278">
        <v>7.6973810807809762E-3</v>
      </c>
      <c r="AG278">
        <v>-2.4324780135462265</v>
      </c>
      <c r="AH278">
        <v>-0.86454306167835204</v>
      </c>
      <c r="AI278">
        <v>2.4157005409548055E-3</v>
      </c>
    </row>
    <row r="279" spans="23:35" x14ac:dyDescent="0.25">
      <c r="W279">
        <v>277</v>
      </c>
      <c r="X279">
        <v>59.10655765712886</v>
      </c>
      <c r="Y279">
        <v>-2.9065576571288574</v>
      </c>
      <c r="Z279">
        <v>59.12099231620514</v>
      </c>
      <c r="AA279">
        <v>9.5815645845967259E-2</v>
      </c>
      <c r="AB279">
        <v>59.7</v>
      </c>
      <c r="AC279">
        <v>-1.3147344895569</v>
      </c>
      <c r="AD279">
        <v>-0.80831536495219836</v>
      </c>
      <c r="AE279">
        <v>-0.85845968489190472</v>
      </c>
      <c r="AF279">
        <v>4.9416970377487834E-3</v>
      </c>
      <c r="AG279">
        <v>-0.8103200226499675</v>
      </c>
      <c r="AH279">
        <v>-0.86159757555095617</v>
      </c>
      <c r="AI279">
        <v>1.7162759947561876E-4</v>
      </c>
    </row>
    <row r="280" spans="23:35" x14ac:dyDescent="0.25">
      <c r="W280">
        <v>278</v>
      </c>
      <c r="X280">
        <v>63.1173592984875</v>
      </c>
      <c r="Y280">
        <v>-7.8173592984875029</v>
      </c>
      <c r="Z280">
        <v>63.185915518570795</v>
      </c>
      <c r="AA280">
        <v>8.6719223771983017E-2</v>
      </c>
      <c r="AB280">
        <v>59.7</v>
      </c>
      <c r="AC280">
        <v>-1.3946242806491973</v>
      </c>
      <c r="AD280">
        <v>-2.1740121407263899</v>
      </c>
      <c r="AE280">
        <v>-0.85735451835455168</v>
      </c>
      <c r="AF280">
        <v>8.6935017147784805E-3</v>
      </c>
      <c r="AG280">
        <v>-2.183524094127125</v>
      </c>
      <c r="AH280">
        <v>-0.85846839494706118</v>
      </c>
      <c r="AI280">
        <v>2.2006408331695405E-3</v>
      </c>
    </row>
    <row r="281" spans="23:35" x14ac:dyDescent="0.25">
      <c r="W281">
        <v>279</v>
      </c>
      <c r="X281">
        <v>56.336493851142251</v>
      </c>
      <c r="Y281">
        <v>-1.5364938511422537</v>
      </c>
      <c r="Z281">
        <v>56.349646146840328</v>
      </c>
      <c r="AA281">
        <v>7.7622801697998789E-2</v>
      </c>
      <c r="AB281">
        <v>59.7</v>
      </c>
      <c r="AC281">
        <v>-1.4402815816722083</v>
      </c>
      <c r="AD281">
        <v>-0.4272998283680009</v>
      </c>
      <c r="AE281">
        <v>-0.85544855343408632</v>
      </c>
      <c r="AF281">
        <v>8.4872896466662191E-3</v>
      </c>
      <c r="AG281">
        <v>-0.42912476187827231</v>
      </c>
      <c r="AH281">
        <v>-0.85711607327023309</v>
      </c>
      <c r="AI281">
        <v>8.2962969369985564E-5</v>
      </c>
    </row>
    <row r="282" spans="23:35" x14ac:dyDescent="0.25">
      <c r="W282">
        <v>280</v>
      </c>
      <c r="X282">
        <v>55.427428442465313</v>
      </c>
      <c r="Y282">
        <v>-1.3274284424653118</v>
      </c>
      <c r="Z282">
        <v>55.444207854267603</v>
      </c>
      <c r="AA282">
        <v>7.1558520315342627E-2</v>
      </c>
      <c r="AB282">
        <v>59.8</v>
      </c>
      <c r="AC282">
        <v>-1.4754749432056431</v>
      </c>
      <c r="AD282">
        <v>-0.36915861733814143</v>
      </c>
      <c r="AE282">
        <v>-0.85159530836879582</v>
      </c>
      <c r="AF282">
        <v>1.2482750899732782E-2</v>
      </c>
      <c r="AG282">
        <v>-0.37148447246541039</v>
      </c>
      <c r="AH282">
        <v>-0.85582609762498307</v>
      </c>
      <c r="AI282">
        <v>9.1810709580566062E-5</v>
      </c>
    </row>
    <row r="283" spans="23:35" x14ac:dyDescent="0.25">
      <c r="W283">
        <v>281</v>
      </c>
      <c r="X283">
        <v>54.398836800937502</v>
      </c>
      <c r="Y283">
        <v>-0.99883680093750371</v>
      </c>
      <c r="Z283">
        <v>54.410057586814055</v>
      </c>
      <c r="AA283">
        <v>6.2462098241358399E-2</v>
      </c>
      <c r="AB283">
        <v>59.8</v>
      </c>
      <c r="AC283">
        <v>-1.5418711328403236</v>
      </c>
      <c r="AD283">
        <v>-0.27777709184514243</v>
      </c>
      <c r="AE283">
        <v>-0.84868063400584171</v>
      </c>
      <c r="AF283">
        <v>1.1109055585581357E-2</v>
      </c>
      <c r="AG283">
        <v>-0.27933298789180283</v>
      </c>
      <c r="AH283">
        <v>-0.85337108713972454</v>
      </c>
      <c r="AI283">
        <v>4.6133838673854912E-5</v>
      </c>
    </row>
    <row r="284" spans="23:35" x14ac:dyDescent="0.25">
      <c r="W284">
        <v>282</v>
      </c>
      <c r="X284">
        <v>53.214940520280933</v>
      </c>
      <c r="Y284">
        <v>-0.61494052028093193</v>
      </c>
      <c r="Z284">
        <v>53.220836534329521</v>
      </c>
      <c r="AA284">
        <v>5.5184960582171011E-2</v>
      </c>
      <c r="AB284">
        <v>59.8</v>
      </c>
      <c r="AC284">
        <v>-1.6158584342289828</v>
      </c>
      <c r="AD284">
        <v>-0.17101531423456626</v>
      </c>
      <c r="AE284">
        <v>-0.84284927597916315</v>
      </c>
      <c r="AF284">
        <v>9.4968864146427467E-3</v>
      </c>
      <c r="AG284">
        <v>-0.17183320090680237</v>
      </c>
      <c r="AH284">
        <v>-0.84800311097298864</v>
      </c>
      <c r="AI284">
        <v>1.4899989355438887E-5</v>
      </c>
    </row>
    <row r="285" spans="23:35" x14ac:dyDescent="0.25">
      <c r="W285">
        <v>283</v>
      </c>
      <c r="X285">
        <v>71.261256692671623</v>
      </c>
      <c r="Y285">
        <v>1.7387433073283773</v>
      </c>
      <c r="Z285">
        <v>71.248862611028997</v>
      </c>
      <c r="AA285">
        <v>0.60946027895694366</v>
      </c>
      <c r="AB285">
        <v>59.9</v>
      </c>
      <c r="AC285">
        <v>0.22222871718700732</v>
      </c>
      <c r="AD285">
        <v>0.48354551906933713</v>
      </c>
      <c r="AE285">
        <v>-0.83641991489253298</v>
      </c>
      <c r="AF285">
        <v>7.0777322902752446E-3</v>
      </c>
      <c r="AG285">
        <v>0.48526585942310674</v>
      </c>
      <c r="AH285">
        <v>-0.83931572476189753</v>
      </c>
      <c r="AI285">
        <v>8.8345565716422555E-5</v>
      </c>
    </row>
    <row r="286" spans="23:35" x14ac:dyDescent="0.25">
      <c r="W286">
        <v>284</v>
      </c>
      <c r="X286">
        <v>73.89111489422514</v>
      </c>
      <c r="Y286">
        <v>-1.091114894225143</v>
      </c>
      <c r="Z286">
        <v>73.896670849345867</v>
      </c>
      <c r="AA286">
        <v>0.58156458459672533</v>
      </c>
      <c r="AB286">
        <v>59.9</v>
      </c>
      <c r="AC286">
        <v>0.18343432307636306</v>
      </c>
      <c r="AD286">
        <v>-0.30343968294150214</v>
      </c>
      <c r="AE286">
        <v>-0.83227299367096308</v>
      </c>
      <c r="AF286">
        <v>5.0662011523761753E-3</v>
      </c>
      <c r="AG286">
        <v>-0.30421125913823127</v>
      </c>
      <c r="AH286">
        <v>-0.83533402688257419</v>
      </c>
      <c r="AI286">
        <v>2.4801914796097457E-5</v>
      </c>
    </row>
    <row r="287" spans="23:35" x14ac:dyDescent="0.25">
      <c r="W287">
        <v>285</v>
      </c>
      <c r="X287">
        <v>71.443580591990411</v>
      </c>
      <c r="Y287">
        <v>1.2564194080095916</v>
      </c>
      <c r="Z287">
        <v>71.438995052514827</v>
      </c>
      <c r="AA287">
        <v>0.57246816252274102</v>
      </c>
      <c r="AB287">
        <v>59.9</v>
      </c>
      <c r="AC287">
        <v>0.16337348484333708</v>
      </c>
      <c r="AD287">
        <v>0.34941096380021813</v>
      </c>
      <c r="AE287">
        <v>-0.83076603319391917</v>
      </c>
      <c r="AF287">
        <v>3.6364167204310433E-3</v>
      </c>
      <c r="AG287">
        <v>0.35004800367003036</v>
      </c>
      <c r="AH287">
        <v>-0.83452915373159609</v>
      </c>
      <c r="AI287">
        <v>2.3537341560099775E-5</v>
      </c>
    </row>
    <row r="288" spans="23:35" x14ac:dyDescent="0.25">
      <c r="W288">
        <v>286</v>
      </c>
      <c r="X288">
        <v>69.56507290789429</v>
      </c>
      <c r="Y288">
        <v>3.0349270921057041</v>
      </c>
      <c r="Z288">
        <v>69.519383109879342</v>
      </c>
      <c r="AA288">
        <v>0.56458459672528805</v>
      </c>
      <c r="AB288">
        <v>59.9</v>
      </c>
      <c r="AC288">
        <v>0.14798710972583889</v>
      </c>
      <c r="AD288">
        <v>0.84401497903950873</v>
      </c>
      <c r="AE288">
        <v>-0.82855772469334443</v>
      </c>
      <c r="AF288">
        <v>1.4831379442691188E-2</v>
      </c>
      <c r="AG288">
        <v>0.85034442573270475</v>
      </c>
      <c r="AH288">
        <v>-0.83302982453363039</v>
      </c>
      <c r="AI288">
        <v>5.7293732088829069E-4</v>
      </c>
    </row>
    <row r="289" spans="23:35" x14ac:dyDescent="0.25">
      <c r="W289">
        <v>287</v>
      </c>
      <c r="X289">
        <v>70.755906533912224</v>
      </c>
      <c r="Y289">
        <v>1.7440934660877758</v>
      </c>
      <c r="Z289">
        <v>70.752181086262794</v>
      </c>
      <c r="AA289">
        <v>0.55852031534263191</v>
      </c>
      <c r="AB289">
        <v>59.9</v>
      </c>
      <c r="AC289">
        <v>0.12956927093944998</v>
      </c>
      <c r="AD289">
        <v>0.48503340131366435</v>
      </c>
      <c r="AE289">
        <v>-0.82379237094461055</v>
      </c>
      <c r="AF289">
        <v>2.1314837710884145E-3</v>
      </c>
      <c r="AG289">
        <v>0.48555114955147932</v>
      </c>
      <c r="AH289">
        <v>-0.83189461714908897</v>
      </c>
      <c r="AI289">
        <v>2.6504833615385185E-5</v>
      </c>
    </row>
    <row r="290" spans="23:35" x14ac:dyDescent="0.25">
      <c r="W290">
        <v>288</v>
      </c>
      <c r="X290">
        <v>70.371959818782457</v>
      </c>
      <c r="Y290">
        <v>2.0280401812175484</v>
      </c>
      <c r="Z290">
        <v>70.367270356115483</v>
      </c>
      <c r="AA290">
        <v>0.55124317768344455</v>
      </c>
      <c r="AB290">
        <v>60</v>
      </c>
      <c r="AC290">
        <v>0.11578501997911882</v>
      </c>
      <c r="AD290">
        <v>0.56399914696270192</v>
      </c>
      <c r="AE290">
        <v>-0.82368020424253463</v>
      </c>
      <c r="AF290">
        <v>2.3069780484997089E-3</v>
      </c>
      <c r="AG290">
        <v>0.56465084158933454</v>
      </c>
      <c r="AH290">
        <v>-0.82569323601607614</v>
      </c>
      <c r="AI290">
        <v>3.8801890524854253E-5</v>
      </c>
    </row>
    <row r="291" spans="23:35" x14ac:dyDescent="0.25">
      <c r="W291">
        <v>289</v>
      </c>
      <c r="X291">
        <v>70.109189205591591</v>
      </c>
      <c r="Y291">
        <v>2.2908107944084151</v>
      </c>
      <c r="Z291">
        <v>70.10356319020697</v>
      </c>
      <c r="AA291">
        <v>0.55124317768344455</v>
      </c>
      <c r="AB291">
        <v>60</v>
      </c>
      <c r="AC291">
        <v>0.11578501997911882</v>
      </c>
      <c r="AD291">
        <v>0.63707580641899564</v>
      </c>
      <c r="AE291">
        <v>-0.82069760991033125</v>
      </c>
      <c r="AF291">
        <v>2.4498890457708812E-3</v>
      </c>
      <c r="AG291">
        <v>0.6378576257603491</v>
      </c>
      <c r="AH291">
        <v>-0.82542880702061616</v>
      </c>
      <c r="AI291">
        <v>5.2590293869921496E-5</v>
      </c>
    </row>
    <row r="292" spans="23:35" x14ac:dyDescent="0.25">
      <c r="W292">
        <v>290</v>
      </c>
      <c r="X292">
        <v>69.502421892181772</v>
      </c>
      <c r="Y292">
        <v>2.7975781078182251</v>
      </c>
      <c r="Z292">
        <v>69.495426103140232</v>
      </c>
      <c r="AA292">
        <v>0.54578532443905392</v>
      </c>
      <c r="AB292">
        <v>61</v>
      </c>
      <c r="AC292">
        <v>9.896716322379942E-2</v>
      </c>
      <c r="AD292">
        <v>0.77800808927944731</v>
      </c>
      <c r="AE292">
        <v>-0.82044902126050079</v>
      </c>
      <c r="AF292">
        <v>2.4944213626813109E-3</v>
      </c>
      <c r="AG292">
        <v>0.77898024838793112</v>
      </c>
      <c r="AH292">
        <v>-0.82505294640174553</v>
      </c>
      <c r="AI292">
        <v>7.9864499622741501E-5</v>
      </c>
    </row>
    <row r="293" spans="23:35" x14ac:dyDescent="0.25">
      <c r="W293">
        <v>291</v>
      </c>
      <c r="X293">
        <v>69.285163265165039</v>
      </c>
      <c r="Y293">
        <v>2.8148367348349552</v>
      </c>
      <c r="Z293">
        <v>69.278836912388243</v>
      </c>
      <c r="AA293">
        <v>0.5312310491206792</v>
      </c>
      <c r="AB293">
        <v>61</v>
      </c>
      <c r="AC293">
        <v>6.3887210036911155E-2</v>
      </c>
      <c r="AD293">
        <v>0.78280772343134031</v>
      </c>
      <c r="AE293">
        <v>-0.81879629147167798</v>
      </c>
      <c r="AF293">
        <v>2.242462622802777E-3</v>
      </c>
      <c r="AG293">
        <v>0.78368691089706122</v>
      </c>
      <c r="AH293">
        <v>-0.82490840252367492</v>
      </c>
      <c r="AI293">
        <v>7.2649358081669719E-5</v>
      </c>
    </row>
    <row r="294" spans="23:35" x14ac:dyDescent="0.25">
      <c r="W294">
        <v>292</v>
      </c>
      <c r="X294">
        <v>68.280403802709628</v>
      </c>
      <c r="Y294">
        <v>3.5195961972903689</v>
      </c>
      <c r="Z294">
        <v>68.27248379013966</v>
      </c>
      <c r="AA294">
        <v>0.51061249241964823</v>
      </c>
      <c r="AB294">
        <v>61.1</v>
      </c>
      <c r="AC294">
        <v>1.0640830227304372E-2</v>
      </c>
      <c r="AD294">
        <v>0.97880173741587273</v>
      </c>
      <c r="AE294">
        <v>-0.81866310960355593</v>
      </c>
      <c r="AF294">
        <v>2.2452094048030077E-3</v>
      </c>
      <c r="AG294">
        <v>0.97990239860732287</v>
      </c>
      <c r="AH294">
        <v>-0.82341415146343555</v>
      </c>
      <c r="AI294">
        <v>1.137221525756454E-4</v>
      </c>
    </row>
    <row r="295" spans="23:35" x14ac:dyDescent="0.25">
      <c r="W295">
        <v>293</v>
      </c>
      <c r="X295">
        <v>70.259237783517563</v>
      </c>
      <c r="Y295">
        <v>1.1407622164824431</v>
      </c>
      <c r="Z295">
        <v>70.254701865414887</v>
      </c>
      <c r="AA295">
        <v>0.4887810794420861</v>
      </c>
      <c r="AB295">
        <v>61.1</v>
      </c>
      <c r="AC295">
        <v>-4.7140240828996732E-2</v>
      </c>
      <c r="AD295">
        <v>0.31724663196619501</v>
      </c>
      <c r="AE295">
        <v>-0.81842598546017786</v>
      </c>
      <c r="AF295">
        <v>3.9604693011444942E-3</v>
      </c>
      <c r="AG295">
        <v>0.31787672696243763</v>
      </c>
      <c r="AH295">
        <v>-0.82331870615128722</v>
      </c>
      <c r="AI295">
        <v>2.1146278156932777E-5</v>
      </c>
    </row>
    <row r="296" spans="23:35" x14ac:dyDescent="0.25">
      <c r="W296">
        <v>294</v>
      </c>
      <c r="X296">
        <v>68.203997897705932</v>
      </c>
      <c r="Y296">
        <v>2.8960021022940623</v>
      </c>
      <c r="Z296">
        <v>68.195888513645926</v>
      </c>
      <c r="AA296">
        <v>0.47422680412371132</v>
      </c>
      <c r="AB296">
        <v>61.1</v>
      </c>
      <c r="AC296">
        <v>-7.6077819866612773E-2</v>
      </c>
      <c r="AD296">
        <v>0.80537985904966325</v>
      </c>
      <c r="AE296">
        <v>-0.8144172686134814</v>
      </c>
      <c r="AF296">
        <v>2.7923804227572169E-3</v>
      </c>
      <c r="AG296">
        <v>0.80650668296600359</v>
      </c>
      <c r="AH296">
        <v>-0.82152374909944137</v>
      </c>
      <c r="AI296">
        <v>9.5863070686605847E-5</v>
      </c>
    </row>
    <row r="297" spans="23:35" x14ac:dyDescent="0.25">
      <c r="W297">
        <v>295</v>
      </c>
      <c r="X297">
        <v>68.447963521098799</v>
      </c>
      <c r="Y297">
        <v>8.5520364789012007</v>
      </c>
      <c r="Z297">
        <v>68.33923483902349</v>
      </c>
      <c r="AA297">
        <v>0.83747725894481506</v>
      </c>
      <c r="AB297">
        <v>61.1</v>
      </c>
      <c r="AC297">
        <v>0.95855995741850497</v>
      </c>
      <c r="AD297">
        <v>2.3783262893728558</v>
      </c>
      <c r="AE297">
        <v>-0.81291994403309931</v>
      </c>
      <c r="AF297">
        <v>1.2554165833432256E-2</v>
      </c>
      <c r="AG297">
        <v>2.3933972929986531</v>
      </c>
      <c r="AH297">
        <v>-0.81452539765809451</v>
      </c>
      <c r="AI297">
        <v>3.8331037043625063E-3</v>
      </c>
    </row>
    <row r="298" spans="23:35" x14ac:dyDescent="0.25">
      <c r="W298">
        <v>296</v>
      </c>
      <c r="X298">
        <v>67.332002044820101</v>
      </c>
      <c r="Y298">
        <v>0.96799795517989651</v>
      </c>
      <c r="Z298">
        <v>67.313641841068829</v>
      </c>
      <c r="AA298">
        <v>0.39599757428744692</v>
      </c>
      <c r="AB298">
        <v>61.2</v>
      </c>
      <c r="AC298">
        <v>-0.27396491687072577</v>
      </c>
      <c r="AD298">
        <v>0.26920079100964184</v>
      </c>
      <c r="AE298">
        <v>-0.81288641707281639</v>
      </c>
      <c r="AF298">
        <v>1.8614134820117319E-2</v>
      </c>
      <c r="AG298">
        <v>0.27174179034097418</v>
      </c>
      <c r="AH298">
        <v>-0.81440284476639158</v>
      </c>
      <c r="AI298">
        <v>7.3716094881221122E-5</v>
      </c>
    </row>
    <row r="299" spans="23:35" x14ac:dyDescent="0.25">
      <c r="W299">
        <v>297</v>
      </c>
      <c r="X299">
        <v>66.738035039300399</v>
      </c>
      <c r="Y299">
        <v>1.0619649606995978</v>
      </c>
      <c r="Z299">
        <v>66.734186417557325</v>
      </c>
      <c r="AA299">
        <v>0.37355973317161917</v>
      </c>
      <c r="AB299">
        <v>61.2</v>
      </c>
      <c r="AC299">
        <v>-0.337689309602062</v>
      </c>
      <c r="AD299">
        <v>0.29533306957422811</v>
      </c>
      <c r="AE299">
        <v>-0.81094433758864859</v>
      </c>
      <c r="AF299">
        <v>3.6109708174737647E-3</v>
      </c>
      <c r="AG299">
        <v>0.29586773756144918</v>
      </c>
      <c r="AH299">
        <v>-0.81396501367622398</v>
      </c>
      <c r="AI299">
        <v>1.6696931373758381E-5</v>
      </c>
    </row>
    <row r="300" spans="23:35" x14ac:dyDescent="0.25">
      <c r="W300">
        <v>298</v>
      </c>
      <c r="X300">
        <v>66.676508853578071</v>
      </c>
      <c r="Y300">
        <v>0.72349114642193513</v>
      </c>
      <c r="Z300">
        <v>66.674216335309694</v>
      </c>
      <c r="AA300">
        <v>0.3547604608853851</v>
      </c>
      <c r="AB300">
        <v>61.2</v>
      </c>
      <c r="AC300">
        <v>-0.38147581702590427</v>
      </c>
      <c r="AD300">
        <v>0.20120330612585</v>
      </c>
      <c r="AE300">
        <v>-0.80831536495219836</v>
      </c>
      <c r="AF300">
        <v>3.1586798930758036E-3</v>
      </c>
      <c r="AG300">
        <v>0.2015218293281546</v>
      </c>
      <c r="AH300">
        <v>-0.81229676542960638</v>
      </c>
      <c r="AI300">
        <v>6.7728300332746985E-6</v>
      </c>
    </row>
    <row r="301" spans="23:35" x14ac:dyDescent="0.25">
      <c r="W301">
        <v>299</v>
      </c>
      <c r="X301">
        <v>69.334927034849002</v>
      </c>
      <c r="Y301">
        <v>-2.3349270348490023</v>
      </c>
      <c r="Z301">
        <v>69.346103959658151</v>
      </c>
      <c r="AA301">
        <v>0.33959975742874471</v>
      </c>
      <c r="AB301">
        <v>61.3</v>
      </c>
      <c r="AC301">
        <v>-0.42600652312983872</v>
      </c>
      <c r="AD301">
        <v>-0.64934455839251659</v>
      </c>
      <c r="AE301">
        <v>-0.80512807919051277</v>
      </c>
      <c r="AF301">
        <v>4.7640364627213813E-3</v>
      </c>
      <c r="AG301">
        <v>-0.65089685758370475</v>
      </c>
      <c r="AH301">
        <v>-0.8103200226499675</v>
      </c>
      <c r="AI301">
        <v>1.067381728827956E-4</v>
      </c>
    </row>
    <row r="302" spans="23:35" x14ac:dyDescent="0.25">
      <c r="W302">
        <v>300</v>
      </c>
      <c r="X302">
        <v>66.138830018146876</v>
      </c>
      <c r="Y302">
        <v>0.46116998185311786</v>
      </c>
      <c r="Z302">
        <v>66.137515768218378</v>
      </c>
      <c r="AA302">
        <v>0.32686476652516677</v>
      </c>
      <c r="AB302">
        <v>61.3</v>
      </c>
      <c r="AC302">
        <v>-0.45616451589519369</v>
      </c>
      <c r="AD302">
        <v>0.12825163859120908</v>
      </c>
      <c r="AE302">
        <v>-0.80435815618884066</v>
      </c>
      <c r="AF302">
        <v>2.841718351001294E-3</v>
      </c>
      <c r="AG302">
        <v>0.12843425541014836</v>
      </c>
      <c r="AH302">
        <v>-0.80690340053211995</v>
      </c>
      <c r="AI302">
        <v>2.4741445814869897E-6</v>
      </c>
    </row>
    <row r="303" spans="23:35" x14ac:dyDescent="0.25">
      <c r="W303">
        <v>301</v>
      </c>
      <c r="X303">
        <v>66.078355082197419</v>
      </c>
      <c r="Y303">
        <v>2.1644917802575492E-2</v>
      </c>
      <c r="Z303">
        <v>66.078283285472438</v>
      </c>
      <c r="AA303">
        <v>0.31412977562158884</v>
      </c>
      <c r="AB303">
        <v>61.3</v>
      </c>
      <c r="AC303">
        <v>-0.4918835074548818</v>
      </c>
      <c r="AD303">
        <v>6.0194641554889659E-3</v>
      </c>
      <c r="AE303">
        <v>-0.80273847791513608</v>
      </c>
      <c r="AF303">
        <v>3.3060583306338256E-3</v>
      </c>
      <c r="AG303">
        <v>6.029439245795909E-3</v>
      </c>
      <c r="AH303">
        <v>-0.80370432094321764</v>
      </c>
      <c r="AI303">
        <v>6.3467141613018047E-9</v>
      </c>
    </row>
    <row r="304" spans="23:35" x14ac:dyDescent="0.25">
      <c r="W304">
        <v>302</v>
      </c>
      <c r="X304">
        <v>65.748010094313472</v>
      </c>
      <c r="Y304">
        <v>-0.14801009431347723</v>
      </c>
      <c r="Z304">
        <v>65.748462317299612</v>
      </c>
      <c r="AA304">
        <v>0.29411764705882354</v>
      </c>
      <c r="AB304">
        <v>61.4</v>
      </c>
      <c r="AC304">
        <v>-0.55287102664223609</v>
      </c>
      <c r="AD304">
        <v>-4.1161692804604029E-2</v>
      </c>
      <c r="AE304">
        <v>-0.79617263606766364</v>
      </c>
      <c r="AF304">
        <v>3.046045584937557E-3</v>
      </c>
      <c r="AG304">
        <v>-4.1224526583330631E-2</v>
      </c>
      <c r="AH304">
        <v>-0.80261359627555817</v>
      </c>
      <c r="AI304">
        <v>2.7328704897435224E-7</v>
      </c>
    </row>
    <row r="305" spans="23:35" x14ac:dyDescent="0.25">
      <c r="W305">
        <v>303</v>
      </c>
      <c r="X305">
        <v>67.8583682702684</v>
      </c>
      <c r="Y305">
        <v>-2.8583682702684001</v>
      </c>
      <c r="Z305">
        <v>67.873806140576548</v>
      </c>
      <c r="AA305">
        <v>0.27289266221952696</v>
      </c>
      <c r="AB305">
        <v>61.4</v>
      </c>
      <c r="AC305">
        <v>-0.62335641379693996</v>
      </c>
      <c r="AD305">
        <v>-0.79491386860431212</v>
      </c>
      <c r="AE305">
        <v>-0.79579337891989488</v>
      </c>
      <c r="AF305">
        <v>5.3719247412608142E-3</v>
      </c>
      <c r="AG305">
        <v>-0.79705761826654653</v>
      </c>
      <c r="AH305">
        <v>-0.80052724276458664</v>
      </c>
      <c r="AI305">
        <v>1.8059055768837002E-4</v>
      </c>
    </row>
    <row r="306" spans="23:35" x14ac:dyDescent="0.25">
      <c r="W306">
        <v>304</v>
      </c>
      <c r="X306">
        <v>63.062700414581599</v>
      </c>
      <c r="Y306">
        <v>1.0372995854183955</v>
      </c>
      <c r="Z306">
        <v>63.048160203309209</v>
      </c>
      <c r="AA306">
        <v>0.24257125530624621</v>
      </c>
      <c r="AB306">
        <v>61.4</v>
      </c>
      <c r="AC306">
        <v>-0.70291235686137066</v>
      </c>
      <c r="AD306">
        <v>0.28847361444757413</v>
      </c>
      <c r="AE306">
        <v>-0.79491386860431212</v>
      </c>
      <c r="AF306">
        <v>1.3823598724954202E-2</v>
      </c>
      <c r="AG306">
        <v>0.29048839910378987</v>
      </c>
      <c r="AH306">
        <v>-0.79973729042388886</v>
      </c>
      <c r="AI306">
        <v>6.2254463962073517E-5</v>
      </c>
    </row>
    <row r="307" spans="23:35" x14ac:dyDescent="0.25">
      <c r="W307">
        <v>305</v>
      </c>
      <c r="X307">
        <v>61.405282868164043</v>
      </c>
      <c r="Y307">
        <v>-4.7052828681640406</v>
      </c>
      <c r="Z307">
        <v>61.424646539935594</v>
      </c>
      <c r="AA307">
        <v>0.10491206791995149</v>
      </c>
      <c r="AB307">
        <v>61.4</v>
      </c>
      <c r="AC307">
        <v>-1.2726185683477402</v>
      </c>
      <c r="AD307">
        <v>-1.3085418861225528</v>
      </c>
      <c r="AE307">
        <v>-0.79465770281924952</v>
      </c>
      <c r="AF307">
        <v>4.0984381811168405E-3</v>
      </c>
      <c r="AG307">
        <v>-1.3112316458263693</v>
      </c>
      <c r="AH307">
        <v>-0.79721254822036725</v>
      </c>
      <c r="AI307">
        <v>3.7239789603784587E-4</v>
      </c>
    </row>
    <row r="308" spans="23:35" x14ac:dyDescent="0.25">
      <c r="W308">
        <v>306</v>
      </c>
      <c r="X308">
        <v>61.210489175469327</v>
      </c>
      <c r="Y308">
        <v>-4.8104891754693284</v>
      </c>
      <c r="Z308">
        <v>61.230111360888081</v>
      </c>
      <c r="AA308">
        <v>9.8241358399029713E-2</v>
      </c>
      <c r="AB308">
        <v>61.4</v>
      </c>
      <c r="AC308">
        <v>-1.2969062889401866</v>
      </c>
      <c r="AD308">
        <v>-1.3377998210120159</v>
      </c>
      <c r="AE308">
        <v>-0.7934288229583617</v>
      </c>
      <c r="AF308">
        <v>4.0624706042270897E-3</v>
      </c>
      <c r="AG308">
        <v>-1.3405255148411312</v>
      </c>
      <c r="AH308">
        <v>-0.79709459676327554</v>
      </c>
      <c r="AI308">
        <v>3.8579331824088221E-4</v>
      </c>
    </row>
    <row r="309" spans="23:35" x14ac:dyDescent="0.25">
      <c r="W309">
        <v>307</v>
      </c>
      <c r="X309">
        <v>60.724410314593079</v>
      </c>
      <c r="Y309">
        <v>-4.8244103145930808</v>
      </c>
      <c r="Z309">
        <v>60.743566095118609</v>
      </c>
      <c r="AA309">
        <v>9.0964220739842325E-2</v>
      </c>
      <c r="AB309">
        <v>61.4</v>
      </c>
      <c r="AC309">
        <v>-1.3366956165977166</v>
      </c>
      <c r="AD309">
        <v>-1.3416712978512133</v>
      </c>
      <c r="AE309">
        <v>-0.79136825044700432</v>
      </c>
      <c r="AF309">
        <v>3.9548919431153821E-3</v>
      </c>
      <c r="AG309">
        <v>-1.34433227587116</v>
      </c>
      <c r="AH309">
        <v>-0.79705761826654653</v>
      </c>
      <c r="AI309">
        <v>3.7767241523285419E-4</v>
      </c>
    </row>
    <row r="310" spans="23:35" x14ac:dyDescent="0.25">
      <c r="W310">
        <v>308</v>
      </c>
      <c r="X310">
        <v>58.978079544041556</v>
      </c>
      <c r="Y310">
        <v>-3.3780795440415545</v>
      </c>
      <c r="Z310">
        <v>59.026214826309449</v>
      </c>
      <c r="AA310">
        <v>8.9144936325045485E-2</v>
      </c>
      <c r="AB310">
        <v>61.5</v>
      </c>
      <c r="AC310">
        <v>-1.3517022399306602</v>
      </c>
      <c r="AD310">
        <v>-0.93944587432570936</v>
      </c>
      <c r="AE310">
        <v>-0.78804762311817211</v>
      </c>
      <c r="AF310">
        <v>1.4049113878751884E-2</v>
      </c>
      <c r="AG310">
        <v>-0.94611542416964378</v>
      </c>
      <c r="AH310">
        <v>-0.79557442612233831</v>
      </c>
      <c r="AI310">
        <v>6.7131800542861639E-4</v>
      </c>
    </row>
    <row r="311" spans="23:35" x14ac:dyDescent="0.25">
      <c r="W311">
        <v>309</v>
      </c>
      <c r="X311">
        <v>64.697177960119788</v>
      </c>
      <c r="Y311">
        <v>-9.3971779601197909</v>
      </c>
      <c r="Z311">
        <v>64.752229840856927</v>
      </c>
      <c r="AA311">
        <v>8.6719223771983017E-2</v>
      </c>
      <c r="AB311">
        <v>61.6</v>
      </c>
      <c r="AC311">
        <v>-1.3946242806491973</v>
      </c>
      <c r="AD311">
        <v>-2.6133606239410763</v>
      </c>
      <c r="AE311">
        <v>-0.78556349471974196</v>
      </c>
      <c r="AF311">
        <v>5.8242215502603651E-3</v>
      </c>
      <c r="AG311">
        <v>-2.6210044252204265</v>
      </c>
      <c r="AH311">
        <v>-0.79212507109675068</v>
      </c>
      <c r="AI311">
        <v>2.1181495331770361E-3</v>
      </c>
    </row>
    <row r="312" spans="23:35" x14ac:dyDescent="0.25">
      <c r="W312">
        <v>310</v>
      </c>
      <c r="X312">
        <v>57.304873130918267</v>
      </c>
      <c r="Y312">
        <v>-2.5048731309182699</v>
      </c>
      <c r="Z312">
        <v>57.343296007417983</v>
      </c>
      <c r="AA312">
        <v>7.7622801697998789E-2</v>
      </c>
      <c r="AB312">
        <v>61.6</v>
      </c>
      <c r="AC312">
        <v>-1.4402815816722083</v>
      </c>
      <c r="AD312">
        <v>-0.69660666596829668</v>
      </c>
      <c r="AE312">
        <v>-0.77771564711878283</v>
      </c>
      <c r="AF312">
        <v>1.5107512608696565E-2</v>
      </c>
      <c r="AG312">
        <v>-0.70192904540048939</v>
      </c>
      <c r="AH312">
        <v>-0.79072178111453095</v>
      </c>
      <c r="AI312">
        <v>3.9777452605603233E-4</v>
      </c>
    </row>
    <row r="313" spans="23:35" x14ac:dyDescent="0.25">
      <c r="W313">
        <v>311</v>
      </c>
      <c r="X313">
        <v>57.276040183166245</v>
      </c>
      <c r="Y313">
        <v>-3.0760401831662421</v>
      </c>
      <c r="Z313">
        <v>57.288044078227671</v>
      </c>
      <c r="AA313">
        <v>7.2164948453608241E-2</v>
      </c>
      <c r="AB313">
        <v>61.6</v>
      </c>
      <c r="AC313">
        <v>-1.462064744247453</v>
      </c>
      <c r="AD313">
        <v>-0.85544855343408632</v>
      </c>
      <c r="AE313">
        <v>-0.76958486232745271</v>
      </c>
      <c r="AF313">
        <v>3.8872162305126374E-3</v>
      </c>
      <c r="AG313">
        <v>-0.85711607327023309</v>
      </c>
      <c r="AH313">
        <v>-0.78193609487208071</v>
      </c>
      <c r="AI313">
        <v>1.5088840352025585E-4</v>
      </c>
    </row>
    <row r="314" spans="23:35" x14ac:dyDescent="0.25">
      <c r="W314">
        <v>312</v>
      </c>
      <c r="X314">
        <v>55.971375958088437</v>
      </c>
      <c r="Y314">
        <v>-2.3713759580884357</v>
      </c>
      <c r="Z314">
        <v>55.982350537077032</v>
      </c>
      <c r="AA314">
        <v>6.4887810794420867E-2</v>
      </c>
      <c r="AB314">
        <v>61.6</v>
      </c>
      <c r="AC314">
        <v>-1.5319668124298669</v>
      </c>
      <c r="AD314">
        <v>-0.65948102501933059</v>
      </c>
      <c r="AE314">
        <v>-0.76920330462797926</v>
      </c>
      <c r="AF314">
        <v>4.6066180512875123E-3</v>
      </c>
      <c r="AG314">
        <v>-0.66100528189473029</v>
      </c>
      <c r="AH314">
        <v>-0.77863182865414948</v>
      </c>
      <c r="AI314">
        <v>1.0642501371481224E-4</v>
      </c>
    </row>
    <row r="315" spans="23:35" x14ac:dyDescent="0.25">
      <c r="W315">
        <v>313</v>
      </c>
      <c r="X315">
        <v>55.967529532075041</v>
      </c>
      <c r="Y315">
        <v>-2.6675295320750436</v>
      </c>
      <c r="Z315">
        <v>55.978875373593276</v>
      </c>
      <c r="AA315">
        <v>6.1249241964827165E-2</v>
      </c>
      <c r="AB315">
        <v>61.7</v>
      </c>
      <c r="AC315">
        <v>-1.5468805340999257</v>
      </c>
      <c r="AD315">
        <v>-0.74184150517417857</v>
      </c>
      <c r="AE315">
        <v>-0.76260012286823031</v>
      </c>
      <c r="AF315">
        <v>4.2353002420638256E-3</v>
      </c>
      <c r="AG315">
        <v>-0.74341747372296574</v>
      </c>
      <c r="AH315">
        <v>-0.77551711926024136</v>
      </c>
      <c r="AI315">
        <v>1.237198558694874E-4</v>
      </c>
    </row>
    <row r="316" spans="23:35" x14ac:dyDescent="0.25">
      <c r="W316">
        <v>314</v>
      </c>
      <c r="X316">
        <v>61.416144542242627</v>
      </c>
      <c r="Y316">
        <v>-8.6161445422426297</v>
      </c>
      <c r="Z316">
        <v>61.613535604983504</v>
      </c>
      <c r="AA316">
        <v>5.7004244996967858E-2</v>
      </c>
      <c r="AB316">
        <v>61.7</v>
      </c>
      <c r="AC316">
        <v>-1.5884297017318656</v>
      </c>
      <c r="AD316">
        <v>-2.3961547788539126</v>
      </c>
      <c r="AE316">
        <v>-0.76187619016639008</v>
      </c>
      <c r="AF316">
        <v>2.2396353925122386E-2</v>
      </c>
      <c r="AG316">
        <v>-2.4234466380113786</v>
      </c>
      <c r="AH316">
        <v>-0.77334246860028066</v>
      </c>
      <c r="AI316">
        <v>7.0815419333814175E-3</v>
      </c>
    </row>
    <row r="317" spans="23:35" x14ac:dyDescent="0.25">
      <c r="W317">
        <v>315</v>
      </c>
      <c r="X317">
        <v>78.714715455059235</v>
      </c>
      <c r="Y317">
        <v>3.2852845449407653</v>
      </c>
      <c r="Z317">
        <v>78.686377734906713</v>
      </c>
      <c r="AA317">
        <v>0.96604002425712554</v>
      </c>
      <c r="AB317">
        <v>61.7</v>
      </c>
      <c r="AC317">
        <v>1.7539324289023792</v>
      </c>
      <c r="AD317">
        <v>0.91363953142384968</v>
      </c>
      <c r="AE317">
        <v>-0.76013555527345333</v>
      </c>
      <c r="AF317">
        <v>8.5518860888379525E-3</v>
      </c>
      <c r="AG317">
        <v>0.91757143899228155</v>
      </c>
      <c r="AH317">
        <v>-0.76918059581867482</v>
      </c>
      <c r="AI317">
        <v>3.8222411997520936E-4</v>
      </c>
    </row>
    <row r="318" spans="23:35" x14ac:dyDescent="0.25">
      <c r="W318">
        <v>316</v>
      </c>
      <c r="X318">
        <v>83.001603730281104</v>
      </c>
      <c r="Y318">
        <v>-1.2016037302811071</v>
      </c>
      <c r="Z318">
        <v>83.036878713425693</v>
      </c>
      <c r="AA318">
        <v>0.95815645845967257</v>
      </c>
      <c r="AB318">
        <v>61.8</v>
      </c>
      <c r="AC318">
        <v>1.7064083338107217</v>
      </c>
      <c r="AD318">
        <v>-0.33416669213076483</v>
      </c>
      <c r="AE318">
        <v>-0.75859917475129091</v>
      </c>
      <c r="AF318">
        <v>2.8519355019769255E-2</v>
      </c>
      <c r="AG318">
        <v>-0.33903620914241106</v>
      </c>
      <c r="AH318">
        <v>-0.76653175559471098</v>
      </c>
      <c r="AI318">
        <v>1.7760047088285642E-4</v>
      </c>
    </row>
    <row r="319" spans="23:35" x14ac:dyDescent="0.25">
      <c r="W319">
        <v>317</v>
      </c>
      <c r="X319">
        <v>83.369370198759015</v>
      </c>
      <c r="Y319">
        <v>-1.7693701987590202</v>
      </c>
      <c r="Z319">
        <v>83.434287662010419</v>
      </c>
      <c r="AA319">
        <v>0.95148574893875071</v>
      </c>
      <c r="AB319">
        <v>61.8</v>
      </c>
      <c r="AC319">
        <v>1.6445597025796697</v>
      </c>
      <c r="AD319">
        <v>-0.49206287528396181</v>
      </c>
      <c r="AE319">
        <v>-0.757740284862221</v>
      </c>
      <c r="AF319">
        <v>3.5391102822039555E-2</v>
      </c>
      <c r="AG319">
        <v>-0.50100835493675311</v>
      </c>
      <c r="AH319">
        <v>-0.76103900725420792</v>
      </c>
      <c r="AI319">
        <v>4.8470686217198079E-4</v>
      </c>
    </row>
    <row r="320" spans="23:35" x14ac:dyDescent="0.25">
      <c r="W320">
        <v>318</v>
      </c>
      <c r="X320">
        <v>79.13473100464283</v>
      </c>
      <c r="Y320">
        <v>2.3652689953571695</v>
      </c>
      <c r="Z320">
        <v>79.100311670633573</v>
      </c>
      <c r="AA320">
        <v>0.94966646452395387</v>
      </c>
      <c r="AB320">
        <v>61.8</v>
      </c>
      <c r="AC320">
        <v>1.6214924498394727</v>
      </c>
      <c r="AD320">
        <v>0.65778267515286037</v>
      </c>
      <c r="AE320">
        <v>-0.75741215896999536</v>
      </c>
      <c r="AF320">
        <v>1.4343251824849981E-2</v>
      </c>
      <c r="AG320">
        <v>0.66255140753818997</v>
      </c>
      <c r="AH320">
        <v>-0.76097871436855047</v>
      </c>
      <c r="AI320">
        <v>3.3620756768148454E-4</v>
      </c>
    </row>
    <row r="321" spans="23:35" x14ac:dyDescent="0.25">
      <c r="W321">
        <v>319</v>
      </c>
      <c r="X321">
        <v>84.092328241320743</v>
      </c>
      <c r="Y321">
        <v>-2.8923282413207403</v>
      </c>
      <c r="Z321">
        <v>84.149701615567849</v>
      </c>
      <c r="AA321">
        <v>0.94178289872650089</v>
      </c>
      <c r="AB321">
        <v>61.8</v>
      </c>
      <c r="AC321">
        <v>1.5519290565282795</v>
      </c>
      <c r="AD321">
        <v>-0.80435815618884066</v>
      </c>
      <c r="AE321">
        <v>-0.75022251660489114</v>
      </c>
      <c r="AF321">
        <v>1.9450568811537696E-2</v>
      </c>
      <c r="AG321">
        <v>-0.81229676542960638</v>
      </c>
      <c r="AH321">
        <v>-0.7589928142189305</v>
      </c>
      <c r="AI321">
        <v>6.8887220356031616E-4</v>
      </c>
    </row>
    <row r="322" spans="23:35" x14ac:dyDescent="0.25">
      <c r="W322">
        <v>320</v>
      </c>
      <c r="X322">
        <v>79.537459367928506</v>
      </c>
      <c r="Y322">
        <v>1.4625406320714944</v>
      </c>
      <c r="Z322">
        <v>79.524831306247805</v>
      </c>
      <c r="AA322">
        <v>0.93571861734384476</v>
      </c>
      <c r="AB322">
        <v>61.9</v>
      </c>
      <c r="AC322">
        <v>1.4576525936309466</v>
      </c>
      <c r="AD322">
        <v>0.40673339538637554</v>
      </c>
      <c r="AE322">
        <v>-0.7495979922043009</v>
      </c>
      <c r="AF322">
        <v>8.5604187061379886E-3</v>
      </c>
      <c r="AG322">
        <v>0.40848555695654248</v>
      </c>
      <c r="AH322">
        <v>-0.75871616148820575</v>
      </c>
      <c r="AI322">
        <v>7.5827818909281482E-5</v>
      </c>
    </row>
    <row r="323" spans="23:35" x14ac:dyDescent="0.25">
      <c r="W323">
        <v>321</v>
      </c>
      <c r="X323">
        <v>82.13380118081615</v>
      </c>
      <c r="Y323">
        <v>4.8661988191838503</v>
      </c>
      <c r="Z323">
        <v>82.011203186411976</v>
      </c>
      <c r="AA323">
        <v>0.99211643420254703</v>
      </c>
      <c r="AB323">
        <v>61.9</v>
      </c>
      <c r="AC323">
        <v>2.349487559997844</v>
      </c>
      <c r="AD323">
        <v>1.3532927051390569</v>
      </c>
      <c r="AE323">
        <v>-0.74325343307873615</v>
      </c>
      <c r="AF323">
        <v>2.4574661784230501E-2</v>
      </c>
      <c r="AG323">
        <v>1.3702339518784261</v>
      </c>
      <c r="AH323">
        <v>-0.75852198911206137</v>
      </c>
      <c r="AI323">
        <v>2.4895987902370824E-3</v>
      </c>
    </row>
    <row r="324" spans="23:35" x14ac:dyDescent="0.25">
      <c r="W324">
        <v>322</v>
      </c>
      <c r="X324">
        <v>82.035413543983168</v>
      </c>
      <c r="Y324">
        <v>2.964586456016832</v>
      </c>
      <c r="Z324">
        <v>81.937524841665663</v>
      </c>
      <c r="AA324">
        <v>0.98544572468162528</v>
      </c>
      <c r="AB324">
        <v>62</v>
      </c>
      <c r="AC324">
        <v>2.1134016615055304</v>
      </c>
      <c r="AD324">
        <v>0.82445320747385853</v>
      </c>
      <c r="AE324">
        <v>-0.74184150517417857</v>
      </c>
      <c r="AF324">
        <v>3.1963917176960607E-2</v>
      </c>
      <c r="AG324">
        <v>0.83795411713295775</v>
      </c>
      <c r="AH324">
        <v>-0.75126418647432025</v>
      </c>
      <c r="AI324">
        <v>1.2202682972143393E-3</v>
      </c>
    </row>
    <row r="325" spans="23:35" x14ac:dyDescent="0.25">
      <c r="W325">
        <v>323</v>
      </c>
      <c r="X325">
        <v>79.414028114607476</v>
      </c>
      <c r="Y325">
        <v>5.5859718853925244</v>
      </c>
      <c r="Z325">
        <v>79.342900160656981</v>
      </c>
      <c r="AA325">
        <v>0.98544572468162528</v>
      </c>
      <c r="AB325">
        <v>62</v>
      </c>
      <c r="AC325">
        <v>2.1134016615055304</v>
      </c>
      <c r="AD325">
        <v>1.5534620110078907</v>
      </c>
      <c r="AE325">
        <v>-0.74065589033194656</v>
      </c>
      <c r="AF325">
        <v>1.2573218781790331E-2</v>
      </c>
      <c r="AG325">
        <v>1.5633210881536634</v>
      </c>
      <c r="AH325">
        <v>-0.74514236004582435</v>
      </c>
      <c r="AI325">
        <v>1.6378885319724191E-3</v>
      </c>
    </row>
    <row r="326" spans="23:35" x14ac:dyDescent="0.25">
      <c r="W326">
        <v>324</v>
      </c>
      <c r="X326">
        <v>81.820837397260135</v>
      </c>
      <c r="Y326">
        <v>-0.82083739726013505</v>
      </c>
      <c r="Z326">
        <v>81.834278887173141</v>
      </c>
      <c r="AA326">
        <v>0.93571861734384476</v>
      </c>
      <c r="AB326">
        <v>62</v>
      </c>
      <c r="AC326">
        <v>1.4576525936309466</v>
      </c>
      <c r="AD326">
        <v>-0.22827535476731253</v>
      </c>
      <c r="AE326">
        <v>-0.73947861520599478</v>
      </c>
      <c r="AF326">
        <v>1.6111506739125706E-2</v>
      </c>
      <c r="AG326">
        <v>-0.2301368082869544</v>
      </c>
      <c r="AH326">
        <v>-0.74367583571781126</v>
      </c>
      <c r="AI326">
        <v>4.5646643272493367E-5</v>
      </c>
    </row>
    <row r="327" spans="23:35" x14ac:dyDescent="0.25">
      <c r="W327">
        <v>325</v>
      </c>
      <c r="X327">
        <v>79.520223135340729</v>
      </c>
      <c r="Y327">
        <v>0.4797768646592715</v>
      </c>
      <c r="Z327">
        <v>79.51041376720886</v>
      </c>
      <c r="AA327">
        <v>0.92722862340812617</v>
      </c>
      <c r="AB327">
        <v>62</v>
      </c>
      <c r="AC327">
        <v>1.4191611772342045</v>
      </c>
      <c r="AD327">
        <v>0.1334262234576713</v>
      </c>
      <c r="AE327">
        <v>-0.73918583026590878</v>
      </c>
      <c r="AF327">
        <v>2.0036037524868301E-2</v>
      </c>
      <c r="AG327">
        <v>0.13478331735096552</v>
      </c>
      <c r="AH327">
        <v>-0.74341747372296574</v>
      </c>
      <c r="AI327">
        <v>1.9548813924872907E-5</v>
      </c>
    </row>
    <row r="328" spans="23:35" x14ac:dyDescent="0.25">
      <c r="W328">
        <v>326</v>
      </c>
      <c r="X328">
        <v>79.05975877334329</v>
      </c>
      <c r="Y328">
        <v>0.64024122665671257</v>
      </c>
      <c r="Z328">
        <v>79.047664212437425</v>
      </c>
      <c r="AA328">
        <v>0.9151000606428138</v>
      </c>
      <c r="AB328">
        <v>62</v>
      </c>
      <c r="AC328">
        <v>1.3555018111021329</v>
      </c>
      <c r="AD328">
        <v>0.17805145530595629</v>
      </c>
      <c r="AE328">
        <v>-0.7347474034590219</v>
      </c>
      <c r="AF328">
        <v>1.854039152298247E-2</v>
      </c>
      <c r="AG328">
        <v>0.17972533929995393</v>
      </c>
      <c r="AH328">
        <v>-0.7428505223265891</v>
      </c>
      <c r="AI328">
        <v>3.2115263770196006E-5</v>
      </c>
    </row>
    <row r="329" spans="23:35" x14ac:dyDescent="0.25">
      <c r="W329">
        <v>327</v>
      </c>
      <c r="X329">
        <v>54.788883058895927</v>
      </c>
      <c r="Y329">
        <v>3.2111169411040734</v>
      </c>
      <c r="Z329">
        <v>54.76857184754639</v>
      </c>
      <c r="AA329">
        <v>0.13159490600363857</v>
      </c>
      <c r="AB329">
        <v>62</v>
      </c>
      <c r="AC329">
        <v>-1.1375552391677688</v>
      </c>
      <c r="AD329">
        <v>0.89301347791486607</v>
      </c>
      <c r="AE329">
        <v>-0.7334402259386118</v>
      </c>
      <c r="AF329">
        <v>6.2855215685708029E-3</v>
      </c>
      <c r="AG329">
        <v>0.8958333057041773</v>
      </c>
      <c r="AH329">
        <v>-0.74106985552256055</v>
      </c>
      <c r="AI329">
        <v>2.6716558405511789E-4</v>
      </c>
    </row>
    <row r="330" spans="23:35" x14ac:dyDescent="0.25">
      <c r="W330">
        <v>328</v>
      </c>
      <c r="X330">
        <v>54.096432578843988</v>
      </c>
      <c r="Y330">
        <v>-4.1964325788439893</v>
      </c>
      <c r="Z330">
        <v>54.139357276537524</v>
      </c>
      <c r="AA330">
        <v>3.3959975742874467E-2</v>
      </c>
      <c r="AB330">
        <v>62</v>
      </c>
      <c r="AC330">
        <v>-1.8295749434197282</v>
      </c>
      <c r="AD330">
        <v>-1.1670303264571344</v>
      </c>
      <c r="AE330">
        <v>-0.73230732560754175</v>
      </c>
      <c r="AF330">
        <v>1.0125284304557253E-2</v>
      </c>
      <c r="AG330">
        <v>-1.1729838324282309</v>
      </c>
      <c r="AH330">
        <v>-0.7383179628381118</v>
      </c>
      <c r="AI330">
        <v>7.4072575716586876E-4</v>
      </c>
    </row>
    <row r="331" spans="23:35" x14ac:dyDescent="0.25">
      <c r="W331">
        <v>329</v>
      </c>
      <c r="X331">
        <v>54.614793181963925</v>
      </c>
      <c r="Y331">
        <v>-1.6147931819639254</v>
      </c>
      <c r="Z331">
        <v>54.625191719189523</v>
      </c>
      <c r="AA331">
        <v>5.8823529411764705E-2</v>
      </c>
      <c r="AB331">
        <v>62.1</v>
      </c>
      <c r="AC331">
        <v>-1.5725296242490356</v>
      </c>
      <c r="AD331">
        <v>-0.44907491754037665</v>
      </c>
      <c r="AE331">
        <v>-0.73179780957316376</v>
      </c>
      <c r="AF331">
        <v>6.398344947746765E-3</v>
      </c>
      <c r="AG331">
        <v>-0.45051851684558691</v>
      </c>
      <c r="AH331">
        <v>-0.73661633848085117</v>
      </c>
      <c r="AI331">
        <v>6.8790273204978345E-5</v>
      </c>
    </row>
    <row r="332" spans="23:35" x14ac:dyDescent="0.25">
      <c r="W332">
        <v>330</v>
      </c>
      <c r="X332">
        <v>53.157630252875975</v>
      </c>
      <c r="Y332">
        <v>-3.3576302528759783</v>
      </c>
      <c r="Z332">
        <v>53.181358943827135</v>
      </c>
      <c r="AA332">
        <v>3.3353547604608853E-2</v>
      </c>
      <c r="AB332">
        <v>62.1</v>
      </c>
      <c r="AC332">
        <v>-1.8544489690938102</v>
      </c>
      <c r="AD332">
        <v>-0.93375891462925364</v>
      </c>
      <c r="AE332">
        <v>-0.73160590006036219</v>
      </c>
      <c r="AF332">
        <v>7.0175013494129454E-3</v>
      </c>
      <c r="AG332">
        <v>-0.93705258703699601</v>
      </c>
      <c r="AH332">
        <v>-0.7361578383554952</v>
      </c>
      <c r="AI332">
        <v>3.26599291130705E-4</v>
      </c>
    </row>
    <row r="333" spans="23:35" x14ac:dyDescent="0.25">
      <c r="W333">
        <v>331</v>
      </c>
      <c r="X333">
        <v>52.549403052311519</v>
      </c>
      <c r="Y333">
        <v>-3.3494030523115157</v>
      </c>
      <c r="Z333">
        <v>52.574249828813663</v>
      </c>
      <c r="AA333">
        <v>2.7895694360218316E-2</v>
      </c>
      <c r="AB333">
        <v>62.1</v>
      </c>
      <c r="AC333">
        <v>-1.9270603903023944</v>
      </c>
      <c r="AD333">
        <v>-0.93147092539549892</v>
      </c>
      <c r="AE333">
        <v>-0.7288711197938299</v>
      </c>
      <c r="AF333">
        <v>7.3636445914494874E-3</v>
      </c>
      <c r="AG333">
        <v>-0.93491949306671496</v>
      </c>
      <c r="AH333">
        <v>-0.73594176867540551</v>
      </c>
      <c r="AI333">
        <v>3.412694956429967E-4</v>
      </c>
    </row>
    <row r="334" spans="23:35" x14ac:dyDescent="0.25">
      <c r="W334">
        <v>332</v>
      </c>
      <c r="X334">
        <v>52.335995810323055</v>
      </c>
      <c r="Y334">
        <v>-3.7359958103230539</v>
      </c>
      <c r="Z334">
        <v>52.363852040637262</v>
      </c>
      <c r="AA334">
        <v>2.4257125530624622E-2</v>
      </c>
      <c r="AB334">
        <v>62.1</v>
      </c>
      <c r="AC334">
        <v>-1.9781851538562727</v>
      </c>
      <c r="AD334">
        <v>-1.0389825949175322</v>
      </c>
      <c r="AE334">
        <v>-0.72672795405203428</v>
      </c>
      <c r="AF334">
        <v>7.4009897343060458E-3</v>
      </c>
      <c r="AG334">
        <v>-1.042848818372055</v>
      </c>
      <c r="AH334">
        <v>-0.73430289333132159</v>
      </c>
      <c r="AI334">
        <v>4.2678099324571471E-4</v>
      </c>
    </row>
    <row r="335" spans="23:35" x14ac:dyDescent="0.25">
      <c r="W335">
        <v>333</v>
      </c>
      <c r="X335">
        <v>56.013333415618291</v>
      </c>
      <c r="Y335">
        <v>-3.4133334156182897</v>
      </c>
      <c r="Z335">
        <v>56.033746006880307</v>
      </c>
      <c r="AA335">
        <v>5.5184960582171011E-2</v>
      </c>
      <c r="AB335">
        <v>62.2</v>
      </c>
      <c r="AC335">
        <v>-1.6158584342289828</v>
      </c>
      <c r="AD335">
        <v>-0.94924999639417562</v>
      </c>
      <c r="AE335">
        <v>-0.72619942473423416</v>
      </c>
      <c r="AF335">
        <v>5.9447004004132943E-3</v>
      </c>
      <c r="AG335">
        <v>-0.95208414220028559</v>
      </c>
      <c r="AH335">
        <v>-0.73036405980618335</v>
      </c>
      <c r="AI335">
        <v>2.8530966865470845E-4</v>
      </c>
    </row>
    <row r="336" spans="23:35" x14ac:dyDescent="0.25">
      <c r="W336">
        <v>334</v>
      </c>
      <c r="X336">
        <v>55.829753490840929</v>
      </c>
      <c r="Y336">
        <v>-3.6297534908409261</v>
      </c>
      <c r="Z336">
        <v>55.850960917557529</v>
      </c>
      <c r="AA336">
        <v>5.033353547604609E-2</v>
      </c>
      <c r="AB336">
        <v>62.2</v>
      </c>
      <c r="AC336">
        <v>-1.6504653896281696</v>
      </c>
      <c r="AD336">
        <v>-1.0094365444426916</v>
      </c>
      <c r="AE336">
        <v>-0.72443895288858551</v>
      </c>
      <c r="AF336">
        <v>5.8087246605714703E-3</v>
      </c>
      <c r="AG336">
        <v>-1.0123811484403478</v>
      </c>
      <c r="AH336">
        <v>-0.7301630997167502</v>
      </c>
      <c r="AI336">
        <v>3.1517034094200513E-4</v>
      </c>
    </row>
    <row r="337" spans="23:35" x14ac:dyDescent="0.25">
      <c r="W337">
        <v>335</v>
      </c>
      <c r="X337">
        <v>55.142697854547407</v>
      </c>
      <c r="Y337">
        <v>-3.34269785454741</v>
      </c>
      <c r="Z337">
        <v>55.185134822293129</v>
      </c>
      <c r="AA337">
        <v>4.4875682231655549E-2</v>
      </c>
      <c r="AB337">
        <v>62.2</v>
      </c>
      <c r="AC337">
        <v>-1.6999255180307868</v>
      </c>
      <c r="AD337">
        <v>-0.92960620602051025</v>
      </c>
      <c r="AE337">
        <v>-0.72193052400854341</v>
      </c>
      <c r="AF337">
        <v>1.2536271071465445E-2</v>
      </c>
      <c r="AG337">
        <v>-0.93548846808132557</v>
      </c>
      <c r="AH337">
        <v>-0.72810469907103637</v>
      </c>
      <c r="AI337">
        <v>5.8475035961186241E-4</v>
      </c>
    </row>
    <row r="338" spans="23:35" x14ac:dyDescent="0.25">
      <c r="W338">
        <v>336</v>
      </c>
      <c r="X338">
        <v>54.211283405071342</v>
      </c>
      <c r="Y338">
        <v>-2.6112834050713403</v>
      </c>
      <c r="Z338">
        <v>54.239866532024109</v>
      </c>
      <c r="AA338">
        <v>4.3056397816858702E-2</v>
      </c>
      <c r="AB338">
        <v>62.2</v>
      </c>
      <c r="AC338">
        <v>-1.7262996894247766</v>
      </c>
      <c r="AD338">
        <v>-0.72619942473423416</v>
      </c>
      <c r="AE338">
        <v>-0.72132119724664678</v>
      </c>
      <c r="AF338">
        <v>1.0827489422676027E-2</v>
      </c>
      <c r="AG338">
        <v>-0.7301630997167502</v>
      </c>
      <c r="AH338">
        <v>-0.72749515886651428</v>
      </c>
      <c r="AI338">
        <v>3.0714389749293995E-4</v>
      </c>
    </row>
    <row r="339" spans="23:35" x14ac:dyDescent="0.25">
      <c r="W339">
        <v>337</v>
      </c>
      <c r="X339">
        <v>54.360722286014671</v>
      </c>
      <c r="Y339">
        <v>-3.1607222860146678</v>
      </c>
      <c r="Z339">
        <v>54.380586337305303</v>
      </c>
      <c r="AA339">
        <v>4.0024257125530621E-2</v>
      </c>
      <c r="AB339">
        <v>62.2</v>
      </c>
      <c r="AC339">
        <v>-1.7610542000458449</v>
      </c>
      <c r="AD339">
        <v>-0.87899869519747409</v>
      </c>
      <c r="AE339">
        <v>-0.72063620152910324</v>
      </c>
      <c r="AF339">
        <v>6.2454054642827293E-3</v>
      </c>
      <c r="AG339">
        <v>-0.88175647114025479</v>
      </c>
      <c r="AH339">
        <v>-0.72619398839167515</v>
      </c>
      <c r="AI339">
        <v>2.5717289843849516E-4</v>
      </c>
    </row>
    <row r="340" spans="23:35" x14ac:dyDescent="0.25">
      <c r="W340">
        <v>338</v>
      </c>
      <c r="X340">
        <v>58.994569813160645</v>
      </c>
      <c r="Y340">
        <v>-1.9945698131606449</v>
      </c>
      <c r="Z340">
        <v>59.01929821103306</v>
      </c>
      <c r="AA340">
        <v>0.11097634930260764</v>
      </c>
      <c r="AB340">
        <v>62.3</v>
      </c>
      <c r="AC340">
        <v>-1.2294035019788656</v>
      </c>
      <c r="AD340">
        <v>-0.55469101825428146</v>
      </c>
      <c r="AE340">
        <v>-0.71673907018446736</v>
      </c>
      <c r="AF340">
        <v>1.2246035646099055E-2</v>
      </c>
      <c r="AG340">
        <v>-0.55811891720225248</v>
      </c>
      <c r="AH340">
        <v>-0.72592449697535788</v>
      </c>
      <c r="AI340">
        <v>2.032575202617854E-4</v>
      </c>
    </row>
    <row r="341" spans="23:35" x14ac:dyDescent="0.25">
      <c r="W341">
        <v>339</v>
      </c>
      <c r="X341">
        <v>52.231414196872024</v>
      </c>
      <c r="Y341">
        <v>-2.6314141968720222</v>
      </c>
      <c r="Z341">
        <v>52.26286337450059</v>
      </c>
      <c r="AA341">
        <v>3.0927835051546393E-2</v>
      </c>
      <c r="AB341">
        <v>62.3</v>
      </c>
      <c r="AC341">
        <v>-1.8805262984826756</v>
      </c>
      <c r="AD341">
        <v>-0.73179780957316376</v>
      </c>
      <c r="AE341">
        <v>-0.71542236292395389</v>
      </c>
      <c r="AF341">
        <v>1.1810285848579688E-2</v>
      </c>
      <c r="AG341">
        <v>-0.7361578383554952</v>
      </c>
      <c r="AH341">
        <v>-0.72591222163555147</v>
      </c>
      <c r="AI341">
        <v>3.4088536817420664E-4</v>
      </c>
    </row>
    <row r="342" spans="23:35" x14ac:dyDescent="0.25">
      <c r="W342">
        <v>340</v>
      </c>
      <c r="X342">
        <v>79.334042122153576</v>
      </c>
      <c r="Y342">
        <v>3.6659578778464237</v>
      </c>
      <c r="Z342">
        <v>79.32389090292034</v>
      </c>
      <c r="AA342">
        <v>0.97877501516070342</v>
      </c>
      <c r="AB342">
        <v>62.4</v>
      </c>
      <c r="AC342">
        <v>1.9368862628682144</v>
      </c>
      <c r="AD342">
        <v>1.0195050054014627</v>
      </c>
      <c r="AE342">
        <v>-0.71419288210612208</v>
      </c>
      <c r="AF342">
        <v>2.7614031480451408E-3</v>
      </c>
      <c r="AG342">
        <v>1.0209155595718671</v>
      </c>
      <c r="AH342">
        <v>-0.72250285546419091</v>
      </c>
      <c r="AI342">
        <v>1.5189965287974461E-4</v>
      </c>
    </row>
    <row r="343" spans="23:35" x14ac:dyDescent="0.25">
      <c r="W343">
        <v>341</v>
      </c>
      <c r="X343">
        <v>78.446863874993596</v>
      </c>
      <c r="Y343">
        <v>2.5531361250064037</v>
      </c>
      <c r="Z343">
        <v>78.391448355697676</v>
      </c>
      <c r="AA343">
        <v>0.93571861734384476</v>
      </c>
      <c r="AB343">
        <v>62.5</v>
      </c>
      <c r="AC343">
        <v>1.4576525936309466</v>
      </c>
      <c r="AD343">
        <v>0.71002863252875781</v>
      </c>
      <c r="AE343">
        <v>-0.71396270709990584</v>
      </c>
      <c r="AF343">
        <v>2.1243788451326358E-2</v>
      </c>
      <c r="AG343">
        <v>0.71769281222397541</v>
      </c>
      <c r="AH343">
        <v>-0.71980606449294804</v>
      </c>
      <c r="AI343">
        <v>5.8841133364702413E-4</v>
      </c>
    </row>
    <row r="344" spans="23:35" x14ac:dyDescent="0.25">
      <c r="W344">
        <v>342</v>
      </c>
      <c r="X344">
        <v>77.042654074295257</v>
      </c>
      <c r="Y344">
        <v>2.8573459257047489</v>
      </c>
      <c r="Z344">
        <v>76.996564690239666</v>
      </c>
      <c r="AA344">
        <v>0.92177077016373554</v>
      </c>
      <c r="AB344">
        <v>62.5</v>
      </c>
      <c r="AC344">
        <v>1.3946242806491955</v>
      </c>
      <c r="AD344">
        <v>0.79462955399006463</v>
      </c>
      <c r="AE344">
        <v>-0.7118731225806032</v>
      </c>
      <c r="AF344">
        <v>1.5874086775984904E-2</v>
      </c>
      <c r="AG344">
        <v>0.80101265904459262</v>
      </c>
      <c r="AH344">
        <v>-0.71631368705368381</v>
      </c>
      <c r="AI344">
        <v>5.4470735686298476E-4</v>
      </c>
    </row>
    <row r="345" spans="23:35" x14ac:dyDescent="0.25">
      <c r="W345">
        <v>343</v>
      </c>
      <c r="X345">
        <v>77.224787578563081</v>
      </c>
      <c r="Y345">
        <v>2.5752124214369161</v>
      </c>
      <c r="Z345">
        <v>77.218013034139204</v>
      </c>
      <c r="AA345">
        <v>0.91813220133414186</v>
      </c>
      <c r="AB345">
        <v>62.5</v>
      </c>
      <c r="AC345">
        <v>1.3748000243745633</v>
      </c>
      <c r="AD345">
        <v>0.7161680633300892</v>
      </c>
      <c r="AE345">
        <v>-0.70893272001287866</v>
      </c>
      <c r="AF345">
        <v>2.62377173605206E-3</v>
      </c>
      <c r="AG345">
        <v>0.71710944697893453</v>
      </c>
      <c r="AH345">
        <v>-0.71598885620590902</v>
      </c>
      <c r="AI345">
        <v>7.1200709802737795E-5</v>
      </c>
    </row>
    <row r="346" spans="23:35" x14ac:dyDescent="0.25">
      <c r="W346">
        <v>344</v>
      </c>
      <c r="X346">
        <v>75.035615894424296</v>
      </c>
      <c r="Y346">
        <v>4.064384105575698</v>
      </c>
      <c r="Z346">
        <v>74.999286153859515</v>
      </c>
      <c r="AA346">
        <v>0.89326864766525171</v>
      </c>
      <c r="AB346">
        <v>62.6</v>
      </c>
      <c r="AC346">
        <v>1.2294035019788656</v>
      </c>
      <c r="AD346">
        <v>1.1303075696938381</v>
      </c>
      <c r="AE346">
        <v>-0.70478839160624707</v>
      </c>
      <c r="AF346">
        <v>8.8593698384917575E-3</v>
      </c>
      <c r="AG346">
        <v>1.1353479921505021</v>
      </c>
      <c r="AH346">
        <v>-0.71490550151828647</v>
      </c>
      <c r="AI346">
        <v>6.064178045007149E-4</v>
      </c>
    </row>
    <row r="347" spans="23:35" x14ac:dyDescent="0.25">
      <c r="W347">
        <v>345</v>
      </c>
      <c r="X347">
        <v>76.966890544062508</v>
      </c>
      <c r="Y347">
        <v>2.333109455937489</v>
      </c>
      <c r="Z347">
        <v>76.960736783269155</v>
      </c>
      <c r="AA347">
        <v>0.9017586416009703</v>
      </c>
      <c r="AB347">
        <v>62.6</v>
      </c>
      <c r="AC347">
        <v>1.262435852359769</v>
      </c>
      <c r="AD347">
        <v>0.64883908864634254</v>
      </c>
      <c r="AE347">
        <v>-0.70401117860056883</v>
      </c>
      <c r="AF347">
        <v>2.630640600569997E-3</v>
      </c>
      <c r="AG347">
        <v>0.64969420737413075</v>
      </c>
      <c r="AH347">
        <v>-0.71419790854143772</v>
      </c>
      <c r="AI347">
        <v>5.8596258332193378E-5</v>
      </c>
    </row>
    <row r="348" spans="23:35" x14ac:dyDescent="0.25">
      <c r="W348">
        <v>346</v>
      </c>
      <c r="X348">
        <v>76.815842395341505</v>
      </c>
      <c r="Y348">
        <v>2.784157604658489</v>
      </c>
      <c r="Z348">
        <v>76.80917169758979</v>
      </c>
      <c r="AA348">
        <v>0.91206791995148573</v>
      </c>
      <c r="AB348">
        <v>62.7</v>
      </c>
      <c r="AC348">
        <v>1.3404190152831756</v>
      </c>
      <c r="AD348">
        <v>0.77427583959129898</v>
      </c>
      <c r="AE348">
        <v>-0.70375467538325154</v>
      </c>
      <c r="AF348">
        <v>2.3902214786741811E-3</v>
      </c>
      <c r="AG348">
        <v>0.77520284710876808</v>
      </c>
      <c r="AH348">
        <v>-0.70761858054909088</v>
      </c>
      <c r="AI348">
        <v>7.5779993638406859E-5</v>
      </c>
    </row>
    <row r="349" spans="23:35" x14ac:dyDescent="0.25">
      <c r="W349">
        <v>347</v>
      </c>
      <c r="X349">
        <v>77.679638626805783</v>
      </c>
      <c r="Y349">
        <v>1.2203613731942227</v>
      </c>
      <c r="Z349">
        <v>77.676068255630611</v>
      </c>
      <c r="AA349">
        <v>0.88599151000606424</v>
      </c>
      <c r="AB349">
        <v>62.7</v>
      </c>
      <c r="AC349">
        <v>1.1852957183684145</v>
      </c>
      <c r="AD349">
        <v>0.33938320347013917</v>
      </c>
      <c r="AE349">
        <v>-0.70137443779352482</v>
      </c>
      <c r="AF349">
        <v>2.9171325865117578E-3</v>
      </c>
      <c r="AG349">
        <v>0.33987930202439948</v>
      </c>
      <c r="AH349">
        <v>-0.70680629082241653</v>
      </c>
      <c r="AI349">
        <v>1.7787739032069781E-5</v>
      </c>
    </row>
    <row r="350" spans="23:35" x14ac:dyDescent="0.25">
      <c r="W350">
        <v>348</v>
      </c>
      <c r="X350">
        <v>76.801914080018832</v>
      </c>
      <c r="Y350">
        <v>2.0980859199811732</v>
      </c>
      <c r="Z350">
        <v>76.798422413025293</v>
      </c>
      <c r="AA350">
        <v>0.88599151000606424</v>
      </c>
      <c r="AB350">
        <v>62.7</v>
      </c>
      <c r="AC350">
        <v>1.1852957183684145</v>
      </c>
      <c r="AD350">
        <v>0.58347890741169817</v>
      </c>
      <c r="AE350">
        <v>-0.70007189431138739</v>
      </c>
      <c r="AF350">
        <v>1.66145043380106E-3</v>
      </c>
      <c r="AG350">
        <v>0.58396422288311411</v>
      </c>
      <c r="AH350">
        <v>-0.70554373230474521</v>
      </c>
      <c r="AI350">
        <v>2.9869532702301146E-5</v>
      </c>
    </row>
    <row r="351" spans="23:35" x14ac:dyDescent="0.25">
      <c r="W351">
        <v>349</v>
      </c>
      <c r="X351">
        <v>74.816036432855341</v>
      </c>
      <c r="Y351">
        <v>0.98396356714465583</v>
      </c>
      <c r="Z351">
        <v>74.793063059337371</v>
      </c>
      <c r="AA351">
        <v>0.79624014554275313</v>
      </c>
      <c r="AB351">
        <v>62.7</v>
      </c>
      <c r="AC351">
        <v>0.81442193874053515</v>
      </c>
      <c r="AD351">
        <v>0.27364083692799035</v>
      </c>
      <c r="AE351">
        <v>-0.69873914397518033</v>
      </c>
      <c r="AF351">
        <v>2.2815106478124382E-2</v>
      </c>
      <c r="AG351">
        <v>0.27681685984087206</v>
      </c>
      <c r="AH351">
        <v>-0.70231707391198317</v>
      </c>
      <c r="AI351">
        <v>9.4162337305000416E-5</v>
      </c>
    </row>
    <row r="352" spans="23:35" x14ac:dyDescent="0.25">
      <c r="W352">
        <v>350</v>
      </c>
      <c r="X352">
        <v>73.502162833440977</v>
      </c>
      <c r="Y352">
        <v>2.0978371665590174</v>
      </c>
      <c r="Z352">
        <v>73.470933944079377</v>
      </c>
      <c r="AA352">
        <v>0.78835657974530016</v>
      </c>
      <c r="AB352">
        <v>62.8</v>
      </c>
      <c r="AC352">
        <v>0.78719041678006285</v>
      </c>
      <c r="AD352">
        <v>0.58340972894117316</v>
      </c>
      <c r="AE352">
        <v>-0.6972487550171157</v>
      </c>
      <c r="AF352">
        <v>1.4667881851181494E-2</v>
      </c>
      <c r="AG352">
        <v>0.58773607377028836</v>
      </c>
      <c r="AH352">
        <v>-0.70192904540048939</v>
      </c>
      <c r="AI352">
        <v>2.7064241345503781E-4</v>
      </c>
    </row>
    <row r="353" spans="23:35" x14ac:dyDescent="0.25">
      <c r="W353">
        <v>351</v>
      </c>
      <c r="X353">
        <v>73.668048661359549</v>
      </c>
      <c r="Y353">
        <v>1.7319513386404566</v>
      </c>
      <c r="Z353">
        <v>73.635402491330581</v>
      </c>
      <c r="AA353">
        <v>0.77986658580958157</v>
      </c>
      <c r="AB353">
        <v>62.8</v>
      </c>
      <c r="AC353">
        <v>0.74840704313415274</v>
      </c>
      <c r="AD353">
        <v>0.48165666865026657</v>
      </c>
      <c r="AE353">
        <v>-0.69688522842192102</v>
      </c>
      <c r="AF353">
        <v>1.8500632506041038E-2</v>
      </c>
      <c r="AG353">
        <v>0.48617493582075427</v>
      </c>
      <c r="AH353">
        <v>-0.70157207185898141</v>
      </c>
      <c r="AI353">
        <v>2.3449202794201818E-4</v>
      </c>
    </row>
    <row r="354" spans="23:35" x14ac:dyDescent="0.25">
      <c r="W354">
        <v>352</v>
      </c>
      <c r="X354">
        <v>74.824185835722005</v>
      </c>
      <c r="Y354">
        <v>0.37581416427799752</v>
      </c>
      <c r="Z354">
        <v>74.818777897747154</v>
      </c>
      <c r="AA354">
        <v>0.76652516676773808</v>
      </c>
      <c r="AB354">
        <v>62.8</v>
      </c>
      <c r="AC354">
        <v>0.71660092108895201</v>
      </c>
      <c r="AD354">
        <v>0.10451413637280121</v>
      </c>
      <c r="AE354">
        <v>-0.69660666596829668</v>
      </c>
      <c r="AF354">
        <v>1.4185793381072741E-2</v>
      </c>
      <c r="AG354">
        <v>0.10526342578485759</v>
      </c>
      <c r="AH354">
        <v>-0.70122684301760574</v>
      </c>
      <c r="AI354">
        <v>8.3918933606443783E-6</v>
      </c>
    </row>
    <row r="355" spans="23:35" x14ac:dyDescent="0.25">
      <c r="W355">
        <v>353</v>
      </c>
      <c r="X355">
        <v>74.3340347238411</v>
      </c>
      <c r="Y355">
        <v>0.66596527615890011</v>
      </c>
      <c r="Z355">
        <v>74.321787569319085</v>
      </c>
      <c r="AA355">
        <v>0.76046088538508183</v>
      </c>
      <c r="AB355">
        <v>62.8</v>
      </c>
      <c r="AC355">
        <v>0.67020216077934069</v>
      </c>
      <c r="AD355">
        <v>0.18520532834556733</v>
      </c>
      <c r="AE355">
        <v>-0.69617248745936755</v>
      </c>
      <c r="AF355">
        <v>1.8057991814914486E-2</v>
      </c>
      <c r="AG355">
        <v>0.18690054045717522</v>
      </c>
      <c r="AH355">
        <v>-0.69949488981508934</v>
      </c>
      <c r="AI355">
        <v>3.3810463579567315E-5</v>
      </c>
    </row>
    <row r="356" spans="23:35" x14ac:dyDescent="0.25">
      <c r="W356">
        <v>354</v>
      </c>
      <c r="X356">
        <v>74.170088986603332</v>
      </c>
      <c r="Y356">
        <v>0.72991101339667352</v>
      </c>
      <c r="Z356">
        <v>74.151145750142987</v>
      </c>
      <c r="AA356">
        <v>0.74833232261976956</v>
      </c>
      <c r="AB356">
        <v>62.8</v>
      </c>
      <c r="AC356">
        <v>0.64941472986293525</v>
      </c>
      <c r="AD356">
        <v>0.2029886748433439</v>
      </c>
      <c r="AE356">
        <v>-0.68963548327914381</v>
      </c>
      <c r="AF356">
        <v>2.52962929221048E-2</v>
      </c>
      <c r="AG356">
        <v>0.2056058652611478</v>
      </c>
      <c r="AH356">
        <v>-0.69841123275254702</v>
      </c>
      <c r="AI356">
        <v>5.7743308224856309E-5</v>
      </c>
    </row>
    <row r="357" spans="23:35" x14ac:dyDescent="0.25">
      <c r="W357">
        <v>355</v>
      </c>
      <c r="X357">
        <v>73.219494241802181</v>
      </c>
      <c r="Y357">
        <v>1.280505758197819</v>
      </c>
      <c r="Z357">
        <v>73.039038462339335</v>
      </c>
      <c r="AA357">
        <v>0.72407519708914492</v>
      </c>
      <c r="AB357">
        <v>62.9</v>
      </c>
      <c r="AC357">
        <v>0.56531175535073552</v>
      </c>
      <c r="AD357">
        <v>0.35610939171373684</v>
      </c>
      <c r="AE357">
        <v>-0.68242104172806795</v>
      </c>
      <c r="AF357">
        <v>0.12351850121379121</v>
      </c>
      <c r="AG357">
        <v>0.38037507492633565</v>
      </c>
      <c r="AH357">
        <v>-0.69146800832855526</v>
      </c>
      <c r="AI357">
        <v>1.073148346886883E-3</v>
      </c>
    </row>
    <row r="358" spans="23:35" x14ac:dyDescent="0.25">
      <c r="W358">
        <v>356</v>
      </c>
      <c r="X358">
        <v>72.930145162447019</v>
      </c>
      <c r="Y358">
        <v>1.4698548375529867</v>
      </c>
      <c r="Z358">
        <v>72.794962588605998</v>
      </c>
      <c r="AA358">
        <v>0.71376591873862949</v>
      </c>
      <c r="AB358">
        <v>62.9</v>
      </c>
      <c r="AC358">
        <v>0.54051528578164909</v>
      </c>
      <c r="AD358">
        <v>0.40876748015968362</v>
      </c>
      <c r="AE358">
        <v>-0.68133877096861251</v>
      </c>
      <c r="AF358">
        <v>8.4223939505321199E-2</v>
      </c>
      <c r="AG358">
        <v>0.42715126284343774</v>
      </c>
      <c r="AH358">
        <v>-0.68817977272493014</v>
      </c>
      <c r="AI358">
        <v>8.831938847780876E-4</v>
      </c>
    </row>
    <row r="359" spans="23:35" x14ac:dyDescent="0.25">
      <c r="W359">
        <v>357</v>
      </c>
      <c r="X359">
        <v>72.463737717266497</v>
      </c>
      <c r="Y359">
        <v>1.7362622827335059</v>
      </c>
      <c r="Z359">
        <v>72.331148899663361</v>
      </c>
      <c r="AA359">
        <v>0.7010309278350515</v>
      </c>
      <c r="AB359">
        <v>62.9</v>
      </c>
      <c r="AC359">
        <v>0.5039283835636299</v>
      </c>
      <c r="AD359">
        <v>0.48285554469503211</v>
      </c>
      <c r="AE359">
        <v>-0.68095389798622108</v>
      </c>
      <c r="AF359">
        <v>7.0946699594875776E-2</v>
      </c>
      <c r="AG359">
        <v>0.50095291445386003</v>
      </c>
      <c r="AH359">
        <v>-0.68346822857985434</v>
      </c>
      <c r="AI359">
        <v>1.0086297665827346E-3</v>
      </c>
    </row>
    <row r="360" spans="23:35" x14ac:dyDescent="0.25">
      <c r="W360">
        <v>358</v>
      </c>
      <c r="X360">
        <v>71.821471371966865</v>
      </c>
      <c r="Y360">
        <v>2.0785286280331405</v>
      </c>
      <c r="Z360">
        <v>71.56938690711695</v>
      </c>
      <c r="AA360">
        <v>0.67919951485748942</v>
      </c>
      <c r="AB360">
        <v>62.9</v>
      </c>
      <c r="AC360">
        <v>0.43434378704136062</v>
      </c>
      <c r="AD360">
        <v>0.57804001321337473</v>
      </c>
      <c r="AE360">
        <v>-0.67862208105649369</v>
      </c>
      <c r="AF360">
        <v>0.10816229670196856</v>
      </c>
      <c r="AG360">
        <v>0.61208958239022315</v>
      </c>
      <c r="AH360">
        <v>-0.68278968023243425</v>
      </c>
      <c r="AI360">
        <v>2.3914783128827373E-3</v>
      </c>
    </row>
    <row r="361" spans="23:35" x14ac:dyDescent="0.25">
      <c r="W361">
        <v>359</v>
      </c>
      <c r="X361">
        <v>73.363142244649495</v>
      </c>
      <c r="Y361">
        <v>0.13685775535050482</v>
      </c>
      <c r="Z361">
        <v>73.356932705857361</v>
      </c>
      <c r="AA361">
        <v>0.64463311097634934</v>
      </c>
      <c r="AB361">
        <v>63</v>
      </c>
      <c r="AC361">
        <v>0.35220887014201224</v>
      </c>
      <c r="AD361">
        <v>3.8060220890975993E-2</v>
      </c>
      <c r="AE361">
        <v>-0.67664445683006547</v>
      </c>
      <c r="AF361">
        <v>4.3402923284117108E-2</v>
      </c>
      <c r="AG361">
        <v>3.8914081111811154E-2</v>
      </c>
      <c r="AH361">
        <v>-0.67974777870180614</v>
      </c>
      <c r="AI361">
        <v>3.6161787557892877E-6</v>
      </c>
    </row>
    <row r="362" spans="23:35" x14ac:dyDescent="0.25">
      <c r="W362">
        <v>360</v>
      </c>
      <c r="X362">
        <v>73.070367051538057</v>
      </c>
      <c r="Y362">
        <v>2.9632948461937758E-2</v>
      </c>
      <c r="Z362">
        <v>73.068936935986912</v>
      </c>
      <c r="AA362">
        <v>0.61491813220133418</v>
      </c>
      <c r="AB362">
        <v>63</v>
      </c>
      <c r="AC362">
        <v>0.27870266916975811</v>
      </c>
      <c r="AD362">
        <v>8.2409401003528757E-3</v>
      </c>
      <c r="AE362">
        <v>-0.67601556466110424</v>
      </c>
      <c r="AF362">
        <v>4.6039101311591106E-2</v>
      </c>
      <c r="AG362">
        <v>8.4374550164360816E-3</v>
      </c>
      <c r="AH362">
        <v>-0.67956406006873504</v>
      </c>
      <c r="AI362">
        <v>1.8082796857456002E-7</v>
      </c>
    </row>
    <row r="363" spans="23:35" x14ac:dyDescent="0.25">
      <c r="W363">
        <v>361</v>
      </c>
      <c r="X363">
        <v>72.994754685424823</v>
      </c>
      <c r="Y363">
        <v>-0.2947546854248202</v>
      </c>
      <c r="Z363">
        <v>73.008274351175913</v>
      </c>
      <c r="AA363">
        <v>0.57246816252274102</v>
      </c>
      <c r="AB363">
        <v>63</v>
      </c>
      <c r="AC363">
        <v>0.16337348484333708</v>
      </c>
      <c r="AD363">
        <v>-8.1971448437009736E-2</v>
      </c>
      <c r="AE363">
        <v>-0.67360087051747264</v>
      </c>
      <c r="AF363">
        <v>4.3855953956320588E-2</v>
      </c>
      <c r="AG363">
        <v>-8.3830285772046667E-2</v>
      </c>
      <c r="AH363">
        <v>-0.67527761144894538</v>
      </c>
      <c r="AI363">
        <v>1.6964986936573833E-5</v>
      </c>
    </row>
    <row r="364" spans="23:35" x14ac:dyDescent="0.25">
      <c r="W364">
        <v>362</v>
      </c>
      <c r="X364">
        <v>72.198803653071877</v>
      </c>
      <c r="Y364">
        <v>1.1963469281255357E-3</v>
      </c>
      <c r="Z364">
        <v>72.19872509772695</v>
      </c>
      <c r="AA364">
        <v>0.53911461491813217</v>
      </c>
      <c r="AB364">
        <v>63</v>
      </c>
      <c r="AC364">
        <v>7.9127168877726875E-2</v>
      </c>
      <c r="AD364">
        <v>3.3270477241193852E-4</v>
      </c>
      <c r="AE364">
        <v>-0.67251106050205023</v>
      </c>
      <c r="AF364">
        <v>6.161675807833536E-2</v>
      </c>
      <c r="AG364">
        <v>3.4345426111546235E-4</v>
      </c>
      <c r="AH364">
        <v>-0.67487195428744173</v>
      </c>
      <c r="AI364">
        <v>4.0766442850453764E-10</v>
      </c>
    </row>
    <row r="365" spans="23:35" x14ac:dyDescent="0.25">
      <c r="W365">
        <v>363</v>
      </c>
      <c r="X365">
        <v>69.673043582690966</v>
      </c>
      <c r="Y365">
        <v>2.0269564173090373</v>
      </c>
      <c r="Z365">
        <v>69.559994414921206</v>
      </c>
      <c r="AA365">
        <v>0.50394178289872649</v>
      </c>
      <c r="AB365">
        <v>63</v>
      </c>
      <c r="AC365">
        <v>-4.5602855597810616E-3</v>
      </c>
      <c r="AD365">
        <v>0.56369775159313773</v>
      </c>
      <c r="AE365">
        <v>-0.6711040733381185</v>
      </c>
      <c r="AF365">
        <v>5.2826576041665657E-2</v>
      </c>
      <c r="AG365">
        <v>0.57920399748461393</v>
      </c>
      <c r="AH365">
        <v>-0.67409076665251522</v>
      </c>
      <c r="AI365">
        <v>9.8476466942949616E-4</v>
      </c>
    </row>
    <row r="366" spans="23:35" x14ac:dyDescent="0.25">
      <c r="W366">
        <v>364</v>
      </c>
      <c r="X366">
        <v>72.91458303236854</v>
      </c>
      <c r="Y366">
        <v>1.6854169676314541</v>
      </c>
      <c r="Z366">
        <v>72.889487574859501</v>
      </c>
      <c r="AA366">
        <v>0.73013947847180105</v>
      </c>
      <c r="AB366">
        <v>63</v>
      </c>
      <c r="AC366">
        <v>0.59589828697336056</v>
      </c>
      <c r="AD366">
        <v>0.46871543316756192</v>
      </c>
      <c r="AE366">
        <v>-0.66017095142375337</v>
      </c>
      <c r="AF366">
        <v>1.4671309684860741E-2</v>
      </c>
      <c r="AG366">
        <v>0.47219207003402131</v>
      </c>
      <c r="AH366">
        <v>-0.66524031843716691</v>
      </c>
      <c r="AI366">
        <v>1.7473163207319729E-4</v>
      </c>
    </row>
    <row r="367" spans="23:35" x14ac:dyDescent="0.25">
      <c r="W367">
        <v>365</v>
      </c>
      <c r="X367">
        <v>73.148262560540218</v>
      </c>
      <c r="Y367">
        <v>1.251737439459788</v>
      </c>
      <c r="Z367">
        <v>73.145581720307462</v>
      </c>
      <c r="AA367">
        <v>0.71376591873862949</v>
      </c>
      <c r="AB367">
        <v>63</v>
      </c>
      <c r="AC367">
        <v>0.54051528578164909</v>
      </c>
      <c r="AD367">
        <v>0.34810890563951141</v>
      </c>
      <c r="AE367">
        <v>-0.66006895472381344</v>
      </c>
      <c r="AF367">
        <v>2.13711827718112E-3</v>
      </c>
      <c r="AG367">
        <v>0.34848147787151851</v>
      </c>
      <c r="AH367">
        <v>-0.66455870111768978</v>
      </c>
      <c r="AI367">
        <v>1.368874045633509E-5</v>
      </c>
    </row>
    <row r="368" spans="23:35" x14ac:dyDescent="0.25">
      <c r="W368">
        <v>366</v>
      </c>
      <c r="X368">
        <v>73.686061461134727</v>
      </c>
      <c r="Y368">
        <v>0.61393853886526983</v>
      </c>
      <c r="Z368">
        <v>73.684644103969788</v>
      </c>
      <c r="AA368">
        <v>0.7052759248029109</v>
      </c>
      <c r="AB368">
        <v>63</v>
      </c>
      <c r="AC368">
        <v>0.52824151828033117</v>
      </c>
      <c r="AD368">
        <v>0.17073666262354806</v>
      </c>
      <c r="AE368">
        <v>-0.65948102501933059</v>
      </c>
      <c r="AF368">
        <v>2.3033128862132457E-3</v>
      </c>
      <c r="AG368">
        <v>0.17093363292970265</v>
      </c>
      <c r="AH368">
        <v>-0.66100528189473029</v>
      </c>
      <c r="AI368">
        <v>3.5502247900367462E-6</v>
      </c>
    </row>
    <row r="369" spans="23:35" x14ac:dyDescent="0.25">
      <c r="W369">
        <v>367</v>
      </c>
      <c r="X369">
        <v>72.832658311371489</v>
      </c>
      <c r="Y369">
        <v>1.3673416886285139</v>
      </c>
      <c r="Z369">
        <v>72.828972038307924</v>
      </c>
      <c r="AA369">
        <v>0.7010309278350515</v>
      </c>
      <c r="AB369">
        <v>63.1</v>
      </c>
      <c r="AC369">
        <v>0.5039283835636299</v>
      </c>
      <c r="AD369">
        <v>0.38025851417304718</v>
      </c>
      <c r="AE369">
        <v>-0.64934455839251659</v>
      </c>
      <c r="AF369">
        <v>2.6886928396525609E-3</v>
      </c>
      <c r="AG369">
        <v>0.38077074650348031</v>
      </c>
      <c r="AH369">
        <v>-0.66072138025689253</v>
      </c>
      <c r="AI369">
        <v>2.057235441169348E-5</v>
      </c>
    </row>
    <row r="370" spans="23:35" x14ac:dyDescent="0.25">
      <c r="W370">
        <v>368</v>
      </c>
      <c r="X370">
        <v>74.635537467781489</v>
      </c>
      <c r="Y370">
        <v>-1.035537467781495</v>
      </c>
      <c r="Z370">
        <v>74.638120678856723</v>
      </c>
      <c r="AA370">
        <v>0.65433596118859916</v>
      </c>
      <c r="AB370">
        <v>63.2</v>
      </c>
      <c r="AC370">
        <v>0.3716850598056044</v>
      </c>
      <c r="AD370">
        <v>-0.28798356851393631</v>
      </c>
      <c r="AE370">
        <v>-0.64882623304564802</v>
      </c>
      <c r="AF370">
        <v>2.4883533560672217E-3</v>
      </c>
      <c r="AG370">
        <v>-0.28834254103048124</v>
      </c>
      <c r="AH370">
        <v>-0.65089685758370475</v>
      </c>
      <c r="AI370">
        <v>1.0915859035186053E-5</v>
      </c>
    </row>
    <row r="371" spans="23:35" x14ac:dyDescent="0.25">
      <c r="W371">
        <v>369</v>
      </c>
      <c r="X371">
        <v>74.752777513787592</v>
      </c>
      <c r="Y371">
        <v>-1.1527775137875977</v>
      </c>
      <c r="Z371">
        <v>74.756174943082215</v>
      </c>
      <c r="AA371">
        <v>0.65433596118859916</v>
      </c>
      <c r="AB371">
        <v>63.2</v>
      </c>
      <c r="AC371">
        <v>0.3716850598056044</v>
      </c>
      <c r="AD371">
        <v>-0.32058809309372654</v>
      </c>
      <c r="AE371">
        <v>-0.64695713894073603</v>
      </c>
      <c r="AF371">
        <v>2.9385079783602595E-3</v>
      </c>
      <c r="AG371">
        <v>-0.32106015906073404</v>
      </c>
      <c r="AH371">
        <v>-0.65060543475110411</v>
      </c>
      <c r="AI371">
        <v>1.5989105304658831E-5</v>
      </c>
    </row>
    <row r="372" spans="23:35" x14ac:dyDescent="0.25">
      <c r="W372">
        <v>370</v>
      </c>
      <c r="X372">
        <v>72.286777339223349</v>
      </c>
      <c r="Y372">
        <v>1.2132226607766512</v>
      </c>
      <c r="Z372">
        <v>72.284640446529238</v>
      </c>
      <c r="AA372">
        <v>0.64463311097634934</v>
      </c>
      <c r="AB372">
        <v>63.2</v>
      </c>
      <c r="AC372">
        <v>0.35220887014201224</v>
      </c>
      <c r="AD372">
        <v>0.33739792341937352</v>
      </c>
      <c r="AE372">
        <v>-0.6419910349316843</v>
      </c>
      <c r="AF372">
        <v>1.7582391054584146E-3</v>
      </c>
      <c r="AG372">
        <v>0.33769492824245823</v>
      </c>
      <c r="AH372">
        <v>-0.64956438445779552</v>
      </c>
      <c r="AI372">
        <v>1.0571525847705383E-5</v>
      </c>
    </row>
    <row r="373" spans="23:35" x14ac:dyDescent="0.25">
      <c r="W373">
        <v>371</v>
      </c>
      <c r="X373">
        <v>71.739116254608405</v>
      </c>
      <c r="Y373">
        <v>1.7608837453915953</v>
      </c>
      <c r="Z373">
        <v>71.735657349492058</v>
      </c>
      <c r="AA373">
        <v>0.64463311097634934</v>
      </c>
      <c r="AB373">
        <v>63.3</v>
      </c>
      <c r="AC373">
        <v>0.35220887014201224</v>
      </c>
      <c r="AD373">
        <v>0.48970278769580916</v>
      </c>
      <c r="AE373">
        <v>-0.64180855084203237</v>
      </c>
      <c r="AF373">
        <v>1.9604497546730488E-3</v>
      </c>
      <c r="AG373">
        <v>0.49018351349548017</v>
      </c>
      <c r="AH373">
        <v>-0.64725317098580093</v>
      </c>
      <c r="AI373">
        <v>2.4841153819538302E-5</v>
      </c>
    </row>
    <row r="374" spans="23:35" x14ac:dyDescent="0.25">
      <c r="W374">
        <v>372</v>
      </c>
      <c r="X374">
        <v>71.021886651704165</v>
      </c>
      <c r="Y374">
        <v>2.0781133482958296</v>
      </c>
      <c r="Z374">
        <v>71.017165145625768</v>
      </c>
      <c r="AA374">
        <v>0.61491813220133418</v>
      </c>
      <c r="AB374">
        <v>63.3</v>
      </c>
      <c r="AC374">
        <v>0.27870266916975811</v>
      </c>
      <c r="AD374">
        <v>0.57792452367832337</v>
      </c>
      <c r="AE374">
        <v>-0.63985745972719699</v>
      </c>
      <c r="AF374">
        <v>2.2668653102703371E-3</v>
      </c>
      <c r="AG374">
        <v>0.57858067797670121</v>
      </c>
      <c r="AH374">
        <v>-0.64271283568494231</v>
      </c>
      <c r="AI374">
        <v>4.0029998360038695E-5</v>
      </c>
    </row>
    <row r="375" spans="23:35" x14ac:dyDescent="0.25">
      <c r="W375">
        <v>373</v>
      </c>
      <c r="X375">
        <v>69.204098677435127</v>
      </c>
      <c r="Y375">
        <v>3.8959013225648675</v>
      </c>
      <c r="Z375">
        <v>69.181010100970823</v>
      </c>
      <c r="AA375">
        <v>0.61491813220133418</v>
      </c>
      <c r="AB375">
        <v>63.3</v>
      </c>
      <c r="AC375">
        <v>0.27870266916975811</v>
      </c>
      <c r="AD375">
        <v>1.0834524103256633</v>
      </c>
      <c r="AE375">
        <v>-0.63963435730577967</v>
      </c>
      <c r="AF375">
        <v>5.8914610803213058E-3</v>
      </c>
      <c r="AG375">
        <v>1.0866581409824747</v>
      </c>
      <c r="AH375">
        <v>-0.6420358430830988</v>
      </c>
      <c r="AI375">
        <v>3.6831676192065232E-4</v>
      </c>
    </row>
    <row r="376" spans="23:35" x14ac:dyDescent="0.25">
      <c r="W376">
        <v>374</v>
      </c>
      <c r="X376">
        <v>70.490689912460439</v>
      </c>
      <c r="Y376">
        <v>2.3093100875395578</v>
      </c>
      <c r="Z376">
        <v>70.485750349328015</v>
      </c>
      <c r="AA376">
        <v>0.58156458459672533</v>
      </c>
      <c r="AB376">
        <v>63.3</v>
      </c>
      <c r="AC376">
        <v>0.18343432307636306</v>
      </c>
      <c r="AD376">
        <v>0.64222047053463149</v>
      </c>
      <c r="AE376">
        <v>-0.63913093588009295</v>
      </c>
      <c r="AF376">
        <v>2.1344123919354897E-3</v>
      </c>
      <c r="AG376">
        <v>0.6429069513204575</v>
      </c>
      <c r="AH376">
        <v>-0.64126672805389029</v>
      </c>
      <c r="AI376">
        <v>4.6531701125906016E-5</v>
      </c>
    </row>
    <row r="377" spans="23:35" x14ac:dyDescent="0.25">
      <c r="W377">
        <v>375</v>
      </c>
      <c r="X377">
        <v>73.246399879818128</v>
      </c>
      <c r="Y377">
        <v>-0.84639987981812226</v>
      </c>
      <c r="Z377">
        <v>73.248999266747418</v>
      </c>
      <c r="AA377">
        <v>0.55124317768344455</v>
      </c>
      <c r="AB377">
        <v>63.3</v>
      </c>
      <c r="AC377">
        <v>0.11578501997911882</v>
      </c>
      <c r="AD377">
        <v>-0.23538429594632718</v>
      </c>
      <c r="AE377">
        <v>-0.63677653752948338</v>
      </c>
      <c r="AF377">
        <v>3.0617069190811046E-3</v>
      </c>
      <c r="AG377">
        <v>-0.23574546436591023</v>
      </c>
      <c r="AH377">
        <v>-0.63980931082964476</v>
      </c>
      <c r="AI377">
        <v>8.9831453873620583E-6</v>
      </c>
    </row>
    <row r="378" spans="23:35" x14ac:dyDescent="0.25">
      <c r="W378">
        <v>376</v>
      </c>
      <c r="X378">
        <v>70.431116369770947</v>
      </c>
      <c r="Y378">
        <v>1.3688836302290497</v>
      </c>
      <c r="Z378">
        <v>70.428722624448454</v>
      </c>
      <c r="AA378">
        <v>0.51061249241964823</v>
      </c>
      <c r="AB378">
        <v>63.4</v>
      </c>
      <c r="AC378">
        <v>1.0640830227304372E-2</v>
      </c>
      <c r="AD378">
        <v>0.38068732902367125</v>
      </c>
      <c r="AE378">
        <v>-0.63518784822873375</v>
      </c>
      <c r="AF378">
        <v>1.7456317483086842E-3</v>
      </c>
      <c r="AG378">
        <v>0.38102003461703726</v>
      </c>
      <c r="AH378">
        <v>-0.63807361207895852</v>
      </c>
      <c r="AI378">
        <v>1.3361445236236385E-5</v>
      </c>
    </row>
    <row r="379" spans="23:35" x14ac:dyDescent="0.25">
      <c r="W379">
        <v>377</v>
      </c>
      <c r="X379">
        <v>69.584831279432606</v>
      </c>
      <c r="Y379">
        <v>1.9151687205673937</v>
      </c>
      <c r="Z379">
        <v>69.554628743982065</v>
      </c>
      <c r="AA379">
        <v>0.49120679199514855</v>
      </c>
      <c r="AB379">
        <v>63.4</v>
      </c>
      <c r="AC379">
        <v>-2.7365033500434788E-2</v>
      </c>
      <c r="AD379">
        <v>0.53260952849621623</v>
      </c>
      <c r="AE379">
        <v>-0.63474001763185484</v>
      </c>
      <c r="AF379">
        <v>1.552533243056527E-2</v>
      </c>
      <c r="AG379">
        <v>0.53679277168334738</v>
      </c>
      <c r="AH379">
        <v>-0.63751406076187545</v>
      </c>
      <c r="AI379">
        <v>2.3916414958721099E-4</v>
      </c>
    </row>
    <row r="380" spans="23:35" x14ac:dyDescent="0.25">
      <c r="W380">
        <v>378</v>
      </c>
      <c r="X380">
        <v>70.134864694549037</v>
      </c>
      <c r="Y380">
        <v>1.2651353054509684</v>
      </c>
      <c r="Z380">
        <v>70.132664655253876</v>
      </c>
      <c r="AA380">
        <v>0.4887810794420861</v>
      </c>
      <c r="AB380">
        <v>63.4</v>
      </c>
      <c r="AC380">
        <v>-4.7140240828996732E-2</v>
      </c>
      <c r="AD380">
        <v>0.35183485991799607</v>
      </c>
      <c r="AE380">
        <v>-0.63324122972901475</v>
      </c>
      <c r="AF380">
        <v>1.735956709701962E-3</v>
      </c>
      <c r="AG380">
        <v>0.35214064313835503</v>
      </c>
      <c r="AH380">
        <v>-0.63654914642326477</v>
      </c>
      <c r="AI380">
        <v>1.1349380790491047E-5</v>
      </c>
    </row>
    <row r="381" spans="23:35" x14ac:dyDescent="0.25">
      <c r="W381">
        <v>379</v>
      </c>
      <c r="X381">
        <v>69.543495831122826</v>
      </c>
      <c r="Y381">
        <v>-6.3434958311228229</v>
      </c>
      <c r="Z381">
        <v>69.56885653224117</v>
      </c>
      <c r="AA381">
        <v>0.22437841115827775</v>
      </c>
      <c r="AB381">
        <v>63.5</v>
      </c>
      <c r="AC381">
        <v>-0.7625619542054235</v>
      </c>
      <c r="AD381">
        <v>-1.7641298582983769</v>
      </c>
      <c r="AE381">
        <v>-0.63223245623979996</v>
      </c>
      <c r="AF381">
        <v>3.9819865606900567E-3</v>
      </c>
      <c r="AG381">
        <v>-1.767652753581364</v>
      </c>
      <c r="AH381">
        <v>-0.63605416231155265</v>
      </c>
      <c r="AI381">
        <v>6.574654028153492E-4</v>
      </c>
    </row>
    <row r="382" spans="23:35" x14ac:dyDescent="0.25">
      <c r="W382">
        <v>380</v>
      </c>
      <c r="X382">
        <v>65.69652653804954</v>
      </c>
      <c r="Y382">
        <v>-2.796526538049541</v>
      </c>
      <c r="Z382">
        <v>65.703119269294078</v>
      </c>
      <c r="AA382">
        <v>0.21710127349909036</v>
      </c>
      <c r="AB382">
        <v>63.5</v>
      </c>
      <c r="AC382">
        <v>-0.78926429572475043</v>
      </c>
      <c r="AD382">
        <v>-0.77771564711878283</v>
      </c>
      <c r="AE382">
        <v>-0.62981926229084073</v>
      </c>
      <c r="AF382">
        <v>2.3519267684249056E-3</v>
      </c>
      <c r="AG382">
        <v>-0.77863182865414948</v>
      </c>
      <c r="AH382">
        <v>-0.63457535150867905</v>
      </c>
      <c r="AI382">
        <v>7.5224122676053001E-5</v>
      </c>
    </row>
    <row r="383" spans="23:35" x14ac:dyDescent="0.25">
      <c r="W383">
        <v>381</v>
      </c>
      <c r="X383">
        <v>65.582893692543891</v>
      </c>
      <c r="Y383">
        <v>-3.082893692543891</v>
      </c>
      <c r="Z383">
        <v>65.590909498732373</v>
      </c>
      <c r="AA383">
        <v>0.20800485142510614</v>
      </c>
      <c r="AB383">
        <v>63.5</v>
      </c>
      <c r="AC383">
        <v>-0.81866501502518862</v>
      </c>
      <c r="AD383">
        <v>-0.85735451835455168</v>
      </c>
      <c r="AE383">
        <v>-0.62828374099277151</v>
      </c>
      <c r="AF383">
        <v>2.5933487188037549E-3</v>
      </c>
      <c r="AG383">
        <v>-0.85846839494706118</v>
      </c>
      <c r="AH383">
        <v>-0.63428883885306364</v>
      </c>
      <c r="AI383">
        <v>1.0085180600811461E-4</v>
      </c>
    </row>
    <row r="384" spans="23:35" x14ac:dyDescent="0.25">
      <c r="W384">
        <v>382</v>
      </c>
      <c r="X384">
        <v>65.428517218383817</v>
      </c>
      <c r="Y384">
        <v>-3.2285172183838142</v>
      </c>
      <c r="Z384">
        <v>65.435914173830398</v>
      </c>
      <c r="AA384">
        <v>0.20436628259551243</v>
      </c>
      <c r="AB384">
        <v>63.5</v>
      </c>
      <c r="AC384">
        <v>-0.8357870519497973</v>
      </c>
      <c r="AD384">
        <v>-0.89785250508680137</v>
      </c>
      <c r="AE384">
        <v>-0.62573502881416032</v>
      </c>
      <c r="AF384">
        <v>2.2858935834572927E-3</v>
      </c>
      <c r="AG384">
        <v>-0.89888046541897892</v>
      </c>
      <c r="AH384">
        <v>-0.63361045284813888</v>
      </c>
      <c r="AI384">
        <v>9.7431677456602205E-5</v>
      </c>
    </row>
    <row r="385" spans="23:35" x14ac:dyDescent="0.25">
      <c r="W385">
        <v>383</v>
      </c>
      <c r="X385">
        <v>65.115228925683553</v>
      </c>
      <c r="Y385">
        <v>-3.3152289256835559</v>
      </c>
      <c r="Z385">
        <v>65.123147707866778</v>
      </c>
      <c r="AA385">
        <v>0.19345057610673136</v>
      </c>
      <c r="AB385">
        <v>63.5</v>
      </c>
      <c r="AC385">
        <v>-0.873012700415573</v>
      </c>
      <c r="AD385">
        <v>-0.92196708102157066</v>
      </c>
      <c r="AE385">
        <v>-0.62399625716887352</v>
      </c>
      <c r="AF385">
        <v>2.382916102249943E-3</v>
      </c>
      <c r="AG385">
        <v>-0.92306753322809687</v>
      </c>
      <c r="AH385">
        <v>-0.62822624705487418</v>
      </c>
      <c r="AI385">
        <v>1.0711695663491124E-4</v>
      </c>
    </row>
    <row r="386" spans="23:35" x14ac:dyDescent="0.25">
      <c r="W386">
        <v>384</v>
      </c>
      <c r="X386">
        <v>64.662444307945847</v>
      </c>
      <c r="Y386">
        <v>-3.3624443079458501</v>
      </c>
      <c r="Z386">
        <v>64.671238229250775</v>
      </c>
      <c r="AA386">
        <v>0.18253486961795026</v>
      </c>
      <c r="AB386">
        <v>63.7</v>
      </c>
      <c r="AC386">
        <v>-0.91148934236618206</v>
      </c>
      <c r="AD386">
        <v>-0.93509770612756082</v>
      </c>
      <c r="AE386">
        <v>-0.62312782310002945</v>
      </c>
      <c r="AF386">
        <v>2.6085137587232715E-3</v>
      </c>
      <c r="AG386">
        <v>-0.93631970496459771</v>
      </c>
      <c r="AH386">
        <v>-0.62482615116762641</v>
      </c>
      <c r="AI386">
        <v>1.2067635962683006E-4</v>
      </c>
    </row>
    <row r="387" spans="23:35" x14ac:dyDescent="0.25">
      <c r="W387">
        <v>385</v>
      </c>
      <c r="X387">
        <v>63.92299434399439</v>
      </c>
      <c r="Y387">
        <v>-2.9229943439943895</v>
      </c>
      <c r="Z387">
        <v>63.934793189517606</v>
      </c>
      <c r="AA387">
        <v>0.17647058823529413</v>
      </c>
      <c r="AB387">
        <v>63.7</v>
      </c>
      <c r="AC387">
        <v>-0.93241539434320697</v>
      </c>
      <c r="AD387">
        <v>-0.81288641707281639</v>
      </c>
      <c r="AE387">
        <v>-0.61805901683976927</v>
      </c>
      <c r="AF387">
        <v>4.0203328688926745E-3</v>
      </c>
      <c r="AG387">
        <v>-0.81452539765809451</v>
      </c>
      <c r="AH387">
        <v>-0.62272221751252343</v>
      </c>
      <c r="AI387">
        <v>1.4095068808399417E-4</v>
      </c>
    </row>
    <row r="388" spans="23:35" x14ac:dyDescent="0.25">
      <c r="W388">
        <v>386</v>
      </c>
      <c r="X388">
        <v>63.477979890500706</v>
      </c>
      <c r="Y388">
        <v>2.5220201094992944</v>
      </c>
      <c r="Z388">
        <v>63.467756005716183</v>
      </c>
      <c r="AA388">
        <v>0.31109763493026077</v>
      </c>
      <c r="AB388">
        <v>63.7</v>
      </c>
      <c r="AC388">
        <v>-0.50738317096904828</v>
      </c>
      <c r="AD388">
        <v>0.70137525062566752</v>
      </c>
      <c r="AE388">
        <v>-0.61648498220975223</v>
      </c>
      <c r="AF388">
        <v>4.0374801194510024E-3</v>
      </c>
      <c r="AG388">
        <v>0.70279544690154172</v>
      </c>
      <c r="AH388">
        <v>-0.61959499633196957</v>
      </c>
      <c r="AI388">
        <v>1.0538327209335309E-4</v>
      </c>
    </row>
    <row r="389" spans="23:35" x14ac:dyDescent="0.25">
      <c r="W389">
        <v>387</v>
      </c>
      <c r="X389">
        <v>63.740156125928699</v>
      </c>
      <c r="Y389">
        <v>-0.74015612592869928</v>
      </c>
      <c r="Z389">
        <v>63.742051464481634</v>
      </c>
      <c r="AA389">
        <v>0.22195269860521527</v>
      </c>
      <c r="AB389">
        <v>63.8</v>
      </c>
      <c r="AC389">
        <v>-0.78098898173722842</v>
      </c>
      <c r="AD389">
        <v>-0.20583784656198825</v>
      </c>
      <c r="AE389">
        <v>-0.61603443427834659</v>
      </c>
      <c r="AF389">
        <v>2.5541874703547207E-3</v>
      </c>
      <c r="AG389">
        <v>-0.2061012254330824</v>
      </c>
      <c r="AH389">
        <v>-0.61821927102813745</v>
      </c>
      <c r="AI389">
        <v>5.7249408744404824E-6</v>
      </c>
    </row>
    <row r="390" spans="23:35" x14ac:dyDescent="0.25">
      <c r="W390">
        <v>388</v>
      </c>
      <c r="X390">
        <v>63.256512753590791</v>
      </c>
      <c r="Y390">
        <v>-3.2565127535907905</v>
      </c>
      <c r="Z390">
        <v>63.265354301822725</v>
      </c>
      <c r="AA390">
        <v>0.17525773195876287</v>
      </c>
      <c r="AB390">
        <v>63.8</v>
      </c>
      <c r="AC390">
        <v>-0.93712127394454381</v>
      </c>
      <c r="AD390">
        <v>-0.90563807961423493</v>
      </c>
      <c r="AE390">
        <v>-0.61445870074261422</v>
      </c>
      <c r="AF390">
        <v>2.7076841943305982E-3</v>
      </c>
      <c r="AG390">
        <v>-0.90686666610310451</v>
      </c>
      <c r="AH390">
        <v>-0.61644658222307103</v>
      </c>
      <c r="AI390">
        <v>1.1751919653416219E-4</v>
      </c>
    </row>
    <row r="391" spans="23:35" x14ac:dyDescent="0.25">
      <c r="W391">
        <v>389</v>
      </c>
      <c r="X391">
        <v>58.813615424845807</v>
      </c>
      <c r="Y391">
        <v>0.9863845751541902</v>
      </c>
      <c r="Z391">
        <v>58.799029973719101</v>
      </c>
      <c r="AA391">
        <v>0.17101273499090358</v>
      </c>
      <c r="AB391">
        <v>63.8</v>
      </c>
      <c r="AC391">
        <v>-0.95615619123390583</v>
      </c>
      <c r="AD391">
        <v>0.27431412065521293</v>
      </c>
      <c r="AE391">
        <v>-0.6125508795725404</v>
      </c>
      <c r="AF391">
        <v>1.4571316566692097E-2</v>
      </c>
      <c r="AG391">
        <v>0.27633478946614154</v>
      </c>
      <c r="AH391">
        <v>-0.61421945141925205</v>
      </c>
      <c r="AI391">
        <v>5.9428000975885613E-5</v>
      </c>
    </row>
    <row r="392" spans="23:35" x14ac:dyDescent="0.25">
      <c r="W392">
        <v>390</v>
      </c>
      <c r="X392">
        <v>57.271822159748758</v>
      </c>
      <c r="Y392">
        <v>2.328177840251243</v>
      </c>
      <c r="Z392">
        <v>57.220375226949855</v>
      </c>
      <c r="AA392">
        <v>0.16616130988477865</v>
      </c>
      <c r="AB392">
        <v>63.8</v>
      </c>
      <c r="AC392">
        <v>-0.97554401628441823</v>
      </c>
      <c r="AD392">
        <v>0.64746760347265098</v>
      </c>
      <c r="AE392">
        <v>-0.61154747628572048</v>
      </c>
      <c r="AF392">
        <v>2.1619766856333694E-2</v>
      </c>
      <c r="AG392">
        <v>0.65458222525773579</v>
      </c>
      <c r="AH392">
        <v>-0.61413691378631852</v>
      </c>
      <c r="AI392">
        <v>4.9833128389885405E-4</v>
      </c>
    </row>
    <row r="393" spans="23:35" x14ac:dyDescent="0.25">
      <c r="W393">
        <v>391</v>
      </c>
      <c r="X393">
        <v>75.518961664317757</v>
      </c>
      <c r="Y393">
        <v>3.9810383356822427</v>
      </c>
      <c r="Z393">
        <v>75.50444463945405</v>
      </c>
      <c r="AA393">
        <v>0.90964220739842327</v>
      </c>
      <c r="AB393">
        <v>63.9</v>
      </c>
      <c r="AC393">
        <v>1.3219841213691266</v>
      </c>
      <c r="AD393">
        <v>1.1071290628978645</v>
      </c>
      <c r="AE393">
        <v>-0.61121451939887406</v>
      </c>
      <c r="AF393">
        <v>3.6332933857107998E-3</v>
      </c>
      <c r="AG393">
        <v>1.1091458225250623</v>
      </c>
      <c r="AH393">
        <v>-0.61313761544588541</v>
      </c>
      <c r="AI393">
        <v>2.3610487574091777E-4</v>
      </c>
    </row>
    <row r="394" spans="23:35" x14ac:dyDescent="0.25">
      <c r="W394">
        <v>392</v>
      </c>
      <c r="X394">
        <v>75.340200370442716</v>
      </c>
      <c r="Y394">
        <v>4.0597996295572898</v>
      </c>
      <c r="Z394">
        <v>75.324799531239364</v>
      </c>
      <c r="AA394">
        <v>0.90661006670709521</v>
      </c>
      <c r="AB394">
        <v>63.9</v>
      </c>
      <c r="AC394">
        <v>1.2933897637306977</v>
      </c>
      <c r="AD394">
        <v>1.1290326242624804</v>
      </c>
      <c r="AE394">
        <v>-0.60876015335669598</v>
      </c>
      <c r="AF394">
        <v>3.7791611287387962E-3</v>
      </c>
      <c r="AG394">
        <v>1.131172088313724</v>
      </c>
      <c r="AH394">
        <v>-0.60985227705489142</v>
      </c>
      <c r="AI394">
        <v>2.5547214043567001E-4</v>
      </c>
    </row>
    <row r="395" spans="23:35" x14ac:dyDescent="0.25">
      <c r="W395">
        <v>393</v>
      </c>
      <c r="X395">
        <v>75.395972568543769</v>
      </c>
      <c r="Y395">
        <v>3.8040274314562339</v>
      </c>
      <c r="Z395">
        <v>75.318352502309864</v>
      </c>
      <c r="AA395">
        <v>0.89630078835657978</v>
      </c>
      <c r="AB395">
        <v>64</v>
      </c>
      <c r="AC395">
        <v>1.2457497672431228</v>
      </c>
      <c r="AD395">
        <v>1.0579022280889854</v>
      </c>
      <c r="AE395">
        <v>-0.60858310952167161</v>
      </c>
      <c r="AF395">
        <v>1.9996680862981345E-2</v>
      </c>
      <c r="AG395">
        <v>1.0686408179169016</v>
      </c>
      <c r="AH395">
        <v>-0.60932070762868662</v>
      </c>
      <c r="AI395">
        <v>1.2264229956934021E-3</v>
      </c>
    </row>
    <row r="396" spans="23:35" x14ac:dyDescent="0.25">
      <c r="W396">
        <v>394</v>
      </c>
      <c r="X396">
        <v>75.585400318682531</v>
      </c>
      <c r="Y396">
        <v>3.414599681317469</v>
      </c>
      <c r="Z396">
        <v>75.561836878594562</v>
      </c>
      <c r="AA396">
        <v>0.89023650697392354</v>
      </c>
      <c r="AB396">
        <v>64</v>
      </c>
      <c r="AC396">
        <v>1.2070560687293583</v>
      </c>
      <c r="AD396">
        <v>0.9496021456172431</v>
      </c>
      <c r="AE396">
        <v>-0.606480978629931</v>
      </c>
      <c r="AF396">
        <v>6.8534968400016695E-3</v>
      </c>
      <c r="AG396">
        <v>0.95287301557724668</v>
      </c>
      <c r="AH396">
        <v>-0.6093115950249729</v>
      </c>
      <c r="AI396">
        <v>3.2977319716488896E-4</v>
      </c>
    </row>
    <row r="397" spans="23:35" x14ac:dyDescent="0.25">
      <c r="W397">
        <v>395</v>
      </c>
      <c r="X397">
        <v>76.867069478658237</v>
      </c>
      <c r="Y397">
        <v>1.232930521341757</v>
      </c>
      <c r="Z397">
        <v>76.857288634465831</v>
      </c>
      <c r="AA397">
        <v>0.86476652516676777</v>
      </c>
      <c r="AB397">
        <v>64</v>
      </c>
      <c r="AC397">
        <v>1.0950400512086551</v>
      </c>
      <c r="AD397">
        <v>0.34287869083716027</v>
      </c>
      <c r="AE397">
        <v>-0.60390244827980932</v>
      </c>
      <c r="AF397">
        <v>7.8705679079423708E-3</v>
      </c>
      <c r="AG397">
        <v>0.34423603341596648</v>
      </c>
      <c r="AH397">
        <v>-0.60590301082771403</v>
      </c>
      <c r="AI397">
        <v>4.9476252083615265E-5</v>
      </c>
    </row>
    <row r="398" spans="23:35" x14ac:dyDescent="0.25">
      <c r="W398">
        <v>396</v>
      </c>
      <c r="X398">
        <v>73.579983623174087</v>
      </c>
      <c r="Y398">
        <v>5.6200163768259159</v>
      </c>
      <c r="Z398">
        <v>73.488016513602986</v>
      </c>
      <c r="AA398">
        <v>0.89630078835657978</v>
      </c>
      <c r="AB398">
        <v>64</v>
      </c>
      <c r="AC398">
        <v>1.2457497672431228</v>
      </c>
      <c r="AD398">
        <v>1.5629298037592574</v>
      </c>
      <c r="AE398">
        <v>-0.60259227125822945</v>
      </c>
      <c r="AF398">
        <v>1.6100730996530838E-2</v>
      </c>
      <c r="AG398">
        <v>1.5756659640766657</v>
      </c>
      <c r="AH398">
        <v>-0.60520984283617851</v>
      </c>
      <c r="AI398">
        <v>2.1383050571825201E-3</v>
      </c>
    </row>
    <row r="399" spans="23:35" x14ac:dyDescent="0.25">
      <c r="W399">
        <v>397</v>
      </c>
      <c r="X399">
        <v>73.493423149787404</v>
      </c>
      <c r="Y399">
        <v>5.4065768502126019</v>
      </c>
      <c r="Z399">
        <v>73.365338615924102</v>
      </c>
      <c r="AA399">
        <v>0.88599151000606424</v>
      </c>
      <c r="AB399">
        <v>64</v>
      </c>
      <c r="AC399">
        <v>1.1852957183684145</v>
      </c>
      <c r="AD399">
        <v>1.5035721480022786</v>
      </c>
      <c r="AE399">
        <v>-0.60194686336501868</v>
      </c>
      <c r="AF399">
        <v>2.3142252971758485E-2</v>
      </c>
      <c r="AG399">
        <v>1.5212780876329783</v>
      </c>
      <c r="AH399">
        <v>-0.60508084975728549</v>
      </c>
      <c r="AI399">
        <v>2.8856119654548039E-3</v>
      </c>
    </row>
    <row r="400" spans="23:35" x14ac:dyDescent="0.25">
      <c r="W400">
        <v>398</v>
      </c>
      <c r="X400">
        <v>73.768335078815554</v>
      </c>
      <c r="Y400">
        <v>5.1316649211844521</v>
      </c>
      <c r="Z400">
        <v>73.755941540435344</v>
      </c>
      <c r="AA400">
        <v>0.88599151000606424</v>
      </c>
      <c r="AB400">
        <v>64.099999999999994</v>
      </c>
      <c r="AC400">
        <v>1.1852957183684145</v>
      </c>
      <c r="AD400">
        <v>1.4271189815918073</v>
      </c>
      <c r="AE400">
        <v>-0.60055255031285981</v>
      </c>
      <c r="AF400">
        <v>2.4092919000882492E-3</v>
      </c>
      <c r="AG400">
        <v>1.4288412674358002</v>
      </c>
      <c r="AH400">
        <v>-0.60253262064445434</v>
      </c>
      <c r="AI400">
        <v>2.5950838449648834E-4</v>
      </c>
    </row>
    <row r="401" spans="23:35" x14ac:dyDescent="0.25">
      <c r="W401">
        <v>399</v>
      </c>
      <c r="X401">
        <v>75.211908150423071</v>
      </c>
      <c r="Y401">
        <v>2.7880918495769293</v>
      </c>
      <c r="Z401">
        <v>75.202937594454426</v>
      </c>
      <c r="AA401">
        <v>0.86294724075197093</v>
      </c>
      <c r="AB401">
        <v>64.099999999999994</v>
      </c>
      <c r="AC401">
        <v>1.0491313979639725</v>
      </c>
      <c r="AD401">
        <v>0.77536995537780695</v>
      </c>
      <c r="AE401">
        <v>-0.59989993879413928</v>
      </c>
      <c r="AF401">
        <v>3.2071347249400441E-3</v>
      </c>
      <c r="AG401">
        <v>0.77661631205995352</v>
      </c>
      <c r="AH401">
        <v>-0.60152498624841499</v>
      </c>
      <c r="AI401">
        <v>1.0213431931263919E-4</v>
      </c>
    </row>
    <row r="402" spans="23:35" x14ac:dyDescent="0.25">
      <c r="W402">
        <v>400</v>
      </c>
      <c r="X402">
        <v>72.482214103208108</v>
      </c>
      <c r="Y402">
        <v>6.1177858967918866</v>
      </c>
      <c r="Z402">
        <v>72.389060436609697</v>
      </c>
      <c r="AA402">
        <v>0.8750758035172832</v>
      </c>
      <c r="AB402">
        <v>64.099999999999994</v>
      </c>
      <c r="AC402">
        <v>1.1404631659072275</v>
      </c>
      <c r="AD402">
        <v>1.7013597950606603</v>
      </c>
      <c r="AE402">
        <v>-0.59817623094126326</v>
      </c>
      <c r="AF402">
        <v>1.4998321211737425E-2</v>
      </c>
      <c r="AG402">
        <v>1.7142639031778741</v>
      </c>
      <c r="AH402">
        <v>-0.60046792625930956</v>
      </c>
      <c r="AI402">
        <v>2.3550896270129657E-3</v>
      </c>
    </row>
    <row r="403" spans="23:35" x14ac:dyDescent="0.25">
      <c r="W403">
        <v>401</v>
      </c>
      <c r="X403">
        <v>72.926189418322636</v>
      </c>
      <c r="Y403">
        <v>4.7738105816773668</v>
      </c>
      <c r="Z403">
        <v>72.819572138164361</v>
      </c>
      <c r="AA403">
        <v>0.85021224984839294</v>
      </c>
      <c r="AB403">
        <v>64.2</v>
      </c>
      <c r="AC403">
        <v>1.0308575175648222</v>
      </c>
      <c r="AD403">
        <v>1.3275994828717537</v>
      </c>
      <c r="AE403">
        <v>-0.59670038598856134</v>
      </c>
      <c r="AF403">
        <v>2.184588793781897E-2</v>
      </c>
      <c r="AG403">
        <v>1.3423427826203533</v>
      </c>
      <c r="AH403">
        <v>-0.59936595603501652</v>
      </c>
      <c r="AI403">
        <v>2.1180474230512504E-3</v>
      </c>
    </row>
    <row r="404" spans="23:35" x14ac:dyDescent="0.25">
      <c r="W404">
        <v>402</v>
      </c>
      <c r="X404">
        <v>74.776566277370279</v>
      </c>
      <c r="Y404">
        <v>3.2234337226297214</v>
      </c>
      <c r="Z404">
        <v>74.763566204137817</v>
      </c>
      <c r="AA404">
        <v>0.86294724075197093</v>
      </c>
      <c r="AB404">
        <v>64.2</v>
      </c>
      <c r="AC404">
        <v>1.0491313979639725</v>
      </c>
      <c r="AD404">
        <v>0.89643878197842808</v>
      </c>
      <c r="AE404">
        <v>-0.58875052821561447</v>
      </c>
      <c r="AF404">
        <v>4.0167894826343064E-3</v>
      </c>
      <c r="AG404">
        <v>0.89824462701327668</v>
      </c>
      <c r="AH404">
        <v>-0.59216243217500686</v>
      </c>
      <c r="AI404">
        <v>1.7126266941839191E-4</v>
      </c>
    </row>
    <row r="405" spans="23:35" x14ac:dyDescent="0.25">
      <c r="W405">
        <v>403</v>
      </c>
      <c r="X405">
        <v>72.531820274250435</v>
      </c>
      <c r="Y405">
        <v>5.7681797257495617</v>
      </c>
      <c r="Z405">
        <v>72.517040319866325</v>
      </c>
      <c r="AA405">
        <v>0.86901152213462707</v>
      </c>
      <c r="AB405">
        <v>64.2</v>
      </c>
      <c r="AC405">
        <v>1.1118051137279645</v>
      </c>
      <c r="AD405">
        <v>1.6041341167595575</v>
      </c>
      <c r="AE405">
        <v>-0.5886869341306229</v>
      </c>
      <c r="AF405">
        <v>2.5557768342885714E-3</v>
      </c>
      <c r="AG405">
        <v>1.6061879588780448</v>
      </c>
      <c r="AH405">
        <v>-0.58964780058256083</v>
      </c>
      <c r="AI405">
        <v>3.479152301515446E-4</v>
      </c>
    </row>
    <row r="406" spans="23:35" x14ac:dyDescent="0.25">
      <c r="W406">
        <v>404</v>
      </c>
      <c r="X406">
        <v>74.608753917922556</v>
      </c>
      <c r="Y406">
        <v>2.8912460820774442</v>
      </c>
      <c r="Z406">
        <v>74.572895236420905</v>
      </c>
      <c r="AA406">
        <v>0.84596725288053365</v>
      </c>
      <c r="AB406">
        <v>64.2</v>
      </c>
      <c r="AC406">
        <v>1.0129215482717411</v>
      </c>
      <c r="AD406">
        <v>0.80405720707760042</v>
      </c>
      <c r="AE406">
        <v>-0.58864966450566292</v>
      </c>
      <c r="AF406">
        <v>1.2250563064166095E-2</v>
      </c>
      <c r="AG406">
        <v>0.80902800202932945</v>
      </c>
      <c r="AH406">
        <v>-0.58922355471291588</v>
      </c>
      <c r="AI406">
        <v>4.2725068323590297E-4</v>
      </c>
    </row>
    <row r="407" spans="23:35" x14ac:dyDescent="0.25">
      <c r="W407">
        <v>405</v>
      </c>
      <c r="X407">
        <v>71.275556713720007</v>
      </c>
      <c r="Y407">
        <v>6.3244432862799869</v>
      </c>
      <c r="Z407">
        <v>71.18128784259099</v>
      </c>
      <c r="AA407">
        <v>0.8483929654335961</v>
      </c>
      <c r="AB407">
        <v>64.2</v>
      </c>
      <c r="AC407">
        <v>1.0205681915260707</v>
      </c>
      <c r="AD407">
        <v>1.7588313345618418</v>
      </c>
      <c r="AE407">
        <v>-0.58663555594963734</v>
      </c>
      <c r="AF407">
        <v>1.4686570891048316E-2</v>
      </c>
      <c r="AG407">
        <v>1.7718909633360733</v>
      </c>
      <c r="AH407">
        <v>-0.58740895880638355</v>
      </c>
      <c r="AI407">
        <v>2.4630112159574891E-3</v>
      </c>
    </row>
    <row r="408" spans="23:35" x14ac:dyDescent="0.25">
      <c r="W408">
        <v>406</v>
      </c>
      <c r="X408">
        <v>77.380376522070605</v>
      </c>
      <c r="Y408">
        <v>0.4196234779293917</v>
      </c>
      <c r="Z408">
        <v>77.378896307400296</v>
      </c>
      <c r="AA408">
        <v>0.85203153426318978</v>
      </c>
      <c r="AB408">
        <v>64.3</v>
      </c>
      <c r="AC408">
        <v>1.0386467129748296</v>
      </c>
      <c r="AD408">
        <v>0.11669753182878961</v>
      </c>
      <c r="AE408">
        <v>-0.58137801622108143</v>
      </c>
      <c r="AF408">
        <v>3.5150835680642441E-3</v>
      </c>
      <c r="AG408">
        <v>0.11690317491563391</v>
      </c>
      <c r="AH408">
        <v>-0.58242415562533167</v>
      </c>
      <c r="AI408">
        <v>2.5372539451205687E-6</v>
      </c>
    </row>
    <row r="409" spans="23:35" x14ac:dyDescent="0.25">
      <c r="W409">
        <v>407</v>
      </c>
      <c r="X409">
        <v>77.167727031719963</v>
      </c>
      <c r="Y409">
        <v>0.53227296828004</v>
      </c>
      <c r="Z409">
        <v>77.165729385750069</v>
      </c>
      <c r="AA409">
        <v>0.85021224984839294</v>
      </c>
      <c r="AB409">
        <v>64.3</v>
      </c>
      <c r="AC409">
        <v>1.0308575175648222</v>
      </c>
      <c r="AD409">
        <v>0.1480254202266445</v>
      </c>
      <c r="AE409">
        <v>-0.58013257992698775</v>
      </c>
      <c r="AF409">
        <v>3.7390152417273144E-3</v>
      </c>
      <c r="AG409">
        <v>0.14830293334009603</v>
      </c>
      <c r="AH409">
        <v>-0.58234887612569175</v>
      </c>
      <c r="AI409">
        <v>4.3444018902666156E-6</v>
      </c>
    </row>
    <row r="410" spans="23:35" x14ac:dyDescent="0.25">
      <c r="W410">
        <v>408</v>
      </c>
      <c r="X410">
        <v>78.278971848979708</v>
      </c>
      <c r="Y410">
        <v>-1.1789718489797139</v>
      </c>
      <c r="Z410">
        <v>78.283636395022029</v>
      </c>
      <c r="AA410">
        <v>0.83869011522134629</v>
      </c>
      <c r="AB410">
        <v>64.3</v>
      </c>
      <c r="AC410">
        <v>0.98537673313779217</v>
      </c>
      <c r="AD410">
        <v>-0.32787275285561507</v>
      </c>
      <c r="AE410">
        <v>-0.57715803840047952</v>
      </c>
      <c r="AF410">
        <v>3.9408606071444129E-3</v>
      </c>
      <c r="AG410">
        <v>-0.32852071905209129</v>
      </c>
      <c r="AH410">
        <v>-0.58072638101573748</v>
      </c>
      <c r="AI410">
        <v>2.2473870674993921E-5</v>
      </c>
    </row>
    <row r="411" spans="23:35" x14ac:dyDescent="0.25">
      <c r="W411">
        <v>409</v>
      </c>
      <c r="X411">
        <v>78.112819714702283</v>
      </c>
      <c r="Y411">
        <v>-1.1128197147022831</v>
      </c>
      <c r="Z411">
        <v>78.117797854494157</v>
      </c>
      <c r="AA411">
        <v>0.83747725894481506</v>
      </c>
      <c r="AB411">
        <v>64.3</v>
      </c>
      <c r="AC411">
        <v>0.95855995741850497</v>
      </c>
      <c r="AD411">
        <v>-0.30947580606542185</v>
      </c>
      <c r="AE411">
        <v>-0.57143536785219273</v>
      </c>
      <c r="AF411">
        <v>4.4535241965736796E-3</v>
      </c>
      <c r="AG411">
        <v>-0.31016724542618201</v>
      </c>
      <c r="AH411">
        <v>-0.57465737791624172</v>
      </c>
      <c r="AI411">
        <v>2.2650643368457124E-5</v>
      </c>
    </row>
    <row r="412" spans="23:35" x14ac:dyDescent="0.25">
      <c r="W412">
        <v>410</v>
      </c>
      <c r="X412">
        <v>75.162376816314691</v>
      </c>
      <c r="Y412">
        <v>1.4376231836853037</v>
      </c>
      <c r="Z412">
        <v>75.146071336918595</v>
      </c>
      <c r="AA412">
        <v>0.82413583990297146</v>
      </c>
      <c r="AB412">
        <v>64.3</v>
      </c>
      <c r="AC412">
        <v>0.91841998904288702</v>
      </c>
      <c r="AD412">
        <v>0.3998038385834814</v>
      </c>
      <c r="AE412">
        <v>-0.56948555499176201</v>
      </c>
      <c r="AF412">
        <v>1.1214772643338713E-2</v>
      </c>
      <c r="AG412">
        <v>0.40206472754861089</v>
      </c>
      <c r="AH412">
        <v>-0.57276507658476883</v>
      </c>
      <c r="AI412">
        <v>9.6499897710414847E-5</v>
      </c>
    </row>
    <row r="413" spans="23:35" x14ac:dyDescent="0.25">
      <c r="W413">
        <v>411</v>
      </c>
      <c r="X413">
        <v>75.974630291027637</v>
      </c>
      <c r="Y413">
        <v>0.32536970897236017</v>
      </c>
      <c r="Z413">
        <v>75.971319485011051</v>
      </c>
      <c r="AA413">
        <v>0.8168587022437841</v>
      </c>
      <c r="AB413">
        <v>64.3</v>
      </c>
      <c r="AC413">
        <v>0.89095501331493132</v>
      </c>
      <c r="AD413">
        <v>9.0485504186481769E-2</v>
      </c>
      <c r="AE413">
        <v>-0.56931398744457595</v>
      </c>
      <c r="AF413">
        <v>1.0073021872600124E-2</v>
      </c>
      <c r="AG413">
        <v>9.0944707518648762E-2</v>
      </c>
      <c r="AH413">
        <v>-0.5725965460425616</v>
      </c>
      <c r="AI413">
        <v>4.4295323430590117E-6</v>
      </c>
    </row>
    <row r="414" spans="23:35" x14ac:dyDescent="0.25">
      <c r="W414">
        <v>412</v>
      </c>
      <c r="X414">
        <v>76.272044598093046</v>
      </c>
      <c r="Y414">
        <v>-0.27204459809304637</v>
      </c>
      <c r="Z414">
        <v>76.273075212738618</v>
      </c>
      <c r="AA414">
        <v>0.80836870830806551</v>
      </c>
      <c r="AB414">
        <v>64.3</v>
      </c>
      <c r="AC414">
        <v>0.83794453378675593</v>
      </c>
      <c r="AD414">
        <v>-7.5655760019594231E-2</v>
      </c>
      <c r="AE414">
        <v>-0.56908869282133911</v>
      </c>
      <c r="AF414">
        <v>3.7741054387029366E-3</v>
      </c>
      <c r="AG414">
        <v>-7.5798931814058557E-2</v>
      </c>
      <c r="AH414">
        <v>-0.57120222281356892</v>
      </c>
      <c r="AI414">
        <v>1.1455888367363813E-6</v>
      </c>
    </row>
    <row r="415" spans="23:35" x14ac:dyDescent="0.25">
      <c r="W415">
        <v>413</v>
      </c>
      <c r="X415">
        <v>75.991082885244211</v>
      </c>
      <c r="Y415">
        <v>-0.19108288524421368</v>
      </c>
      <c r="Z415">
        <v>75.991838724550661</v>
      </c>
      <c r="AA415">
        <v>0.79624014554275313</v>
      </c>
      <c r="AB415">
        <v>64.400000000000006</v>
      </c>
      <c r="AC415">
        <v>0.81442193874053515</v>
      </c>
      <c r="AD415">
        <v>-5.3140260866137053E-2</v>
      </c>
      <c r="AE415">
        <v>-0.56881642846159486</v>
      </c>
      <c r="AF415">
        <v>3.9399725379599491E-3</v>
      </c>
      <c r="AG415">
        <v>-5.324525681330413E-2</v>
      </c>
      <c r="AH415">
        <v>-0.57042069836592901</v>
      </c>
      <c r="AI415">
        <v>5.9022273471409681E-7</v>
      </c>
    </row>
    <row r="416" spans="23:35" x14ac:dyDescent="0.25">
      <c r="W416">
        <v>414</v>
      </c>
      <c r="X416">
        <v>77.30157928100023</v>
      </c>
      <c r="Y416">
        <v>5.6984207189997704</v>
      </c>
      <c r="Z416">
        <v>77.267904246193581</v>
      </c>
      <c r="AA416">
        <v>0.97877501516070342</v>
      </c>
      <c r="AB416">
        <v>64.400000000000006</v>
      </c>
      <c r="AC416">
        <v>1.9368862628682144</v>
      </c>
      <c r="AD416">
        <v>1.5847340966493901</v>
      </c>
      <c r="AE416">
        <v>-0.56629936737112874</v>
      </c>
      <c r="AF416">
        <v>5.8748207031053849E-3</v>
      </c>
      <c r="AG416">
        <v>1.5894097224523007</v>
      </c>
      <c r="AH416">
        <v>-0.56998395779132482</v>
      </c>
      <c r="AI416">
        <v>7.8572699165760482E-4</v>
      </c>
    </row>
    <row r="417" spans="23:35" x14ac:dyDescent="0.25">
      <c r="W417">
        <v>415</v>
      </c>
      <c r="X417">
        <v>76.607390363693327</v>
      </c>
      <c r="Y417">
        <v>4.3926096363066733</v>
      </c>
      <c r="Z417">
        <v>76.592242576536563</v>
      </c>
      <c r="AA417">
        <v>0.93571861734384476</v>
      </c>
      <c r="AB417">
        <v>64.400000000000006</v>
      </c>
      <c r="AC417">
        <v>1.4576525936309466</v>
      </c>
      <c r="AD417">
        <v>1.2215872795625611</v>
      </c>
      <c r="AE417">
        <v>-0.56590414549946644</v>
      </c>
      <c r="AF417">
        <v>3.4366199637338715E-3</v>
      </c>
      <c r="AG417">
        <v>1.2236917709877888</v>
      </c>
      <c r="AH417">
        <v>-0.56855605332066284</v>
      </c>
      <c r="AI417">
        <v>2.7177972965373656E-4</v>
      </c>
    </row>
    <row r="418" spans="23:35" x14ac:dyDescent="0.25">
      <c r="W418">
        <v>416</v>
      </c>
      <c r="X418">
        <v>77.571278730883137</v>
      </c>
      <c r="Y418">
        <v>2.4287212691168634</v>
      </c>
      <c r="Z418">
        <v>77.534333705548619</v>
      </c>
      <c r="AA418">
        <v>0.92722862340812617</v>
      </c>
      <c r="AB418">
        <v>64.400000000000006</v>
      </c>
      <c r="AC418">
        <v>1.4191611772342045</v>
      </c>
      <c r="AD418">
        <v>0.67542878917207383</v>
      </c>
      <c r="AE418">
        <v>-0.56267406250839247</v>
      </c>
      <c r="AF418">
        <v>1.4983789743835248E-2</v>
      </c>
      <c r="AG418">
        <v>0.68054661634584634</v>
      </c>
      <c r="AH418">
        <v>-0.56792977648932008</v>
      </c>
      <c r="AI418">
        <v>3.7080061836172826E-4</v>
      </c>
    </row>
    <row r="419" spans="23:35" x14ac:dyDescent="0.25">
      <c r="W419">
        <v>417</v>
      </c>
      <c r="X419">
        <v>77.663701689344791</v>
      </c>
      <c r="Y419">
        <v>2.0362983106552122</v>
      </c>
      <c r="Z419">
        <v>77.626535704073774</v>
      </c>
      <c r="AA419">
        <v>0.9151000606428138</v>
      </c>
      <c r="AB419">
        <v>64.5</v>
      </c>
      <c r="AC419">
        <v>1.3555018111021329</v>
      </c>
      <c r="AD419">
        <v>0.56629573753397644</v>
      </c>
      <c r="AE419">
        <v>-0.5624183880109721</v>
      </c>
      <c r="AF419">
        <v>1.7924584158035439E-2</v>
      </c>
      <c r="AG419">
        <v>0.57144031032566456</v>
      </c>
      <c r="AH419">
        <v>-0.56406855167537395</v>
      </c>
      <c r="AI419">
        <v>3.1368401960537055E-4</v>
      </c>
    </row>
    <row r="420" spans="23:35" x14ac:dyDescent="0.25">
      <c r="W420">
        <v>418</v>
      </c>
      <c r="X420">
        <v>77.10751662703619</v>
      </c>
      <c r="Y420">
        <v>2.3924833729638095</v>
      </c>
      <c r="Z420">
        <v>77.098243442699243</v>
      </c>
      <c r="AA420">
        <v>0.90964220739842327</v>
      </c>
      <c r="AB420">
        <v>64.5</v>
      </c>
      <c r="AC420">
        <v>1.3219841213691266</v>
      </c>
      <c r="AD420">
        <v>0.66535100929999291</v>
      </c>
      <c r="AE420">
        <v>-0.56188538153334588</v>
      </c>
      <c r="AF420">
        <v>3.8610009448115292E-3</v>
      </c>
      <c r="AG420">
        <v>0.66663920122297748</v>
      </c>
      <c r="AH420">
        <v>-0.56287672829393809</v>
      </c>
      <c r="AI420">
        <v>9.0658402212918772E-5</v>
      </c>
    </row>
    <row r="421" spans="23:35" x14ac:dyDescent="0.25">
      <c r="W421">
        <v>419</v>
      </c>
      <c r="X421">
        <v>77.521050208890003</v>
      </c>
      <c r="Y421">
        <v>1.7789497911099943</v>
      </c>
      <c r="Z421">
        <v>77.512937158094445</v>
      </c>
      <c r="AA421">
        <v>0.9017586416009703</v>
      </c>
      <c r="AB421">
        <v>64.5</v>
      </c>
      <c r="AC421">
        <v>1.262435852359769</v>
      </c>
      <c r="AD421">
        <v>0.49472696545546724</v>
      </c>
      <c r="AE421">
        <v>-0.56117568862976064</v>
      </c>
      <c r="AF421">
        <v>4.5398799669007514E-3</v>
      </c>
      <c r="AG421">
        <v>0.4958538042146266</v>
      </c>
      <c r="AH421">
        <v>-0.56279579667904311</v>
      </c>
      <c r="AI421">
        <v>5.901660225567026E-5</v>
      </c>
    </row>
    <row r="422" spans="23:35" x14ac:dyDescent="0.25">
      <c r="W422">
        <v>420</v>
      </c>
      <c r="X422">
        <v>76.031856878801676</v>
      </c>
      <c r="Y422">
        <v>3.0681431211983181</v>
      </c>
      <c r="Z422">
        <v>76.016738420156727</v>
      </c>
      <c r="AA422">
        <v>0.89326864766525171</v>
      </c>
      <c r="AB422">
        <v>64.599999999999994</v>
      </c>
      <c r="AC422">
        <v>1.2294035019788656</v>
      </c>
      <c r="AD422">
        <v>0.85325237593490733</v>
      </c>
      <c r="AE422">
        <v>-0.55926326405439175</v>
      </c>
      <c r="AF422">
        <v>4.9033979937932589E-3</v>
      </c>
      <c r="AG422">
        <v>0.85535201862982713</v>
      </c>
      <c r="AH422">
        <v>-0.56038873958878166</v>
      </c>
      <c r="AI422">
        <v>1.8974400804922653E-4</v>
      </c>
    </row>
    <row r="423" spans="23:35" x14ac:dyDescent="0.25">
      <c r="W423">
        <v>421</v>
      </c>
      <c r="X423">
        <v>76.771725178143527</v>
      </c>
      <c r="Y423">
        <v>2.1282748218564791</v>
      </c>
      <c r="Z423">
        <v>76.722656196383952</v>
      </c>
      <c r="AA423">
        <v>0.88599151000606424</v>
      </c>
      <c r="AB423">
        <v>64.599999999999994</v>
      </c>
      <c r="AC423">
        <v>1.1852957183684145</v>
      </c>
      <c r="AD423">
        <v>0.59187445847774811</v>
      </c>
      <c r="AE423">
        <v>-0.55879814534612759</v>
      </c>
      <c r="AF423">
        <v>2.2536166166353705E-2</v>
      </c>
      <c r="AG423">
        <v>0.598658633835495</v>
      </c>
      <c r="AH423">
        <v>-0.55982497928829689</v>
      </c>
      <c r="AI423">
        <v>4.348948234511101E-4</v>
      </c>
    </row>
    <row r="424" spans="23:35" x14ac:dyDescent="0.25">
      <c r="W424">
        <v>422</v>
      </c>
      <c r="X424">
        <v>76.41328353287949</v>
      </c>
      <c r="Y424">
        <v>2.3867164671205074</v>
      </c>
      <c r="Z424">
        <v>76.371303485565306</v>
      </c>
      <c r="AA424">
        <v>0.88174651303820495</v>
      </c>
      <c r="AB424">
        <v>64.599999999999994</v>
      </c>
      <c r="AC424">
        <v>1.1700898139672218</v>
      </c>
      <c r="AD424">
        <v>0.66374722945067854</v>
      </c>
      <c r="AE424">
        <v>-0.55808444522995915</v>
      </c>
      <c r="AF424">
        <v>1.7285011554421199E-2</v>
      </c>
      <c r="AG424">
        <v>0.66955912216534763</v>
      </c>
      <c r="AH424">
        <v>-0.55944120375480566</v>
      </c>
      <c r="AI424">
        <v>4.1501744830391943E-4</v>
      </c>
    </row>
    <row r="425" spans="23:35" x14ac:dyDescent="0.25">
      <c r="W425">
        <v>423</v>
      </c>
      <c r="X425">
        <v>76.420726850461349</v>
      </c>
      <c r="Y425">
        <v>2.2792731495386533</v>
      </c>
      <c r="Z425">
        <v>76.385290920059944</v>
      </c>
      <c r="AA425">
        <v>0.87871437234687688</v>
      </c>
      <c r="AB425">
        <v>64.599999999999994</v>
      </c>
      <c r="AC425">
        <v>1.1521925343545227</v>
      </c>
      <c r="AD425">
        <v>0.63386718070991444</v>
      </c>
      <c r="AE425">
        <v>-0.55655019063501876</v>
      </c>
      <c r="AF425">
        <v>1.5309021210703225E-2</v>
      </c>
      <c r="AG425">
        <v>0.63877555300161049</v>
      </c>
      <c r="AH425">
        <v>-0.55930489367306124</v>
      </c>
      <c r="AI425">
        <v>3.338800254107346E-4</v>
      </c>
    </row>
    <row r="426" spans="23:35" x14ac:dyDescent="0.25">
      <c r="W426">
        <v>424</v>
      </c>
      <c r="X426">
        <v>76.192597371964752</v>
      </c>
      <c r="Y426">
        <v>2.4074026280352427</v>
      </c>
      <c r="Z426">
        <v>76.157948493003289</v>
      </c>
      <c r="AA426">
        <v>0.8750758035172832</v>
      </c>
      <c r="AB426">
        <v>64.599999999999994</v>
      </c>
      <c r="AC426">
        <v>1.1404631659072275</v>
      </c>
      <c r="AD426">
        <v>0.66950006276132801</v>
      </c>
      <c r="AE426">
        <v>-0.5559094711449577</v>
      </c>
      <c r="AF426">
        <v>1.4188430859134911E-2</v>
      </c>
      <c r="AG426">
        <v>0.67430078733309573</v>
      </c>
      <c r="AH426">
        <v>-0.55869484340411346</v>
      </c>
      <c r="AI426">
        <v>3.4442462180693116E-4</v>
      </c>
    </row>
    <row r="427" spans="23:35" x14ac:dyDescent="0.25">
      <c r="W427">
        <v>425</v>
      </c>
      <c r="X427">
        <v>75.053360708583924</v>
      </c>
      <c r="Y427">
        <v>3.4466392914160764</v>
      </c>
      <c r="Z427">
        <v>75.03831218240029</v>
      </c>
      <c r="AA427">
        <v>0.87265009096422075</v>
      </c>
      <c r="AB427">
        <v>64.599999999999994</v>
      </c>
      <c r="AC427">
        <v>1.128888636463274</v>
      </c>
      <c r="AD427">
        <v>0.95851237971023007</v>
      </c>
      <c r="AE427">
        <v>-0.55497455677001217</v>
      </c>
      <c r="AF427">
        <v>4.3471644401700919E-3</v>
      </c>
      <c r="AG427">
        <v>0.96060260255749907</v>
      </c>
      <c r="AH427">
        <v>-0.55819038373494112</v>
      </c>
      <c r="AI427">
        <v>2.120469599762742E-4</v>
      </c>
    </row>
    <row r="428" spans="23:35" x14ac:dyDescent="0.25">
      <c r="W428">
        <v>426</v>
      </c>
      <c r="X428">
        <v>74.912056076950918</v>
      </c>
      <c r="Y428">
        <v>3.4879439230490874</v>
      </c>
      <c r="Z428">
        <v>74.881744500252509</v>
      </c>
      <c r="AA428">
        <v>0.87022437841115829</v>
      </c>
      <c r="AB428">
        <v>64.7</v>
      </c>
      <c r="AC428">
        <v>1.1231576917613038</v>
      </c>
      <c r="AD428">
        <v>0.96999922164875674</v>
      </c>
      <c r="AE428">
        <v>-0.55469101825428146</v>
      </c>
      <c r="AF428">
        <v>8.6155131998171489E-3</v>
      </c>
      <c r="AG428">
        <v>0.97420493759427995</v>
      </c>
      <c r="AH428">
        <v>-0.55811891720225248</v>
      </c>
      <c r="AI428">
        <v>4.3409630103689384E-4</v>
      </c>
    </row>
    <row r="429" spans="23:35" x14ac:dyDescent="0.25">
      <c r="W429">
        <v>427</v>
      </c>
      <c r="X429">
        <v>74.17693365883639</v>
      </c>
      <c r="Y429">
        <v>4.0230663411636129</v>
      </c>
      <c r="Z429">
        <v>74.158163980295981</v>
      </c>
      <c r="AA429">
        <v>0.86658580958156461</v>
      </c>
      <c r="AB429">
        <v>64.7</v>
      </c>
      <c r="AC429">
        <v>1.1033838166983498</v>
      </c>
      <c r="AD429">
        <v>1.1188170755218578</v>
      </c>
      <c r="AE429">
        <v>-0.55275489319012516</v>
      </c>
      <c r="AF429">
        <v>4.6438495893729084E-3</v>
      </c>
      <c r="AG429">
        <v>1.1214239676633204</v>
      </c>
      <c r="AH429">
        <v>-0.55684466485067363</v>
      </c>
      <c r="AI429">
        <v>3.0880598382863509E-4</v>
      </c>
    </row>
    <row r="430" spans="23:35" x14ac:dyDescent="0.25">
      <c r="W430">
        <v>428</v>
      </c>
      <c r="X430">
        <v>75.809059036220461</v>
      </c>
      <c r="Y430">
        <v>2.2909409637795335</v>
      </c>
      <c r="Z430">
        <v>75.791993407773504</v>
      </c>
      <c r="AA430">
        <v>0.86476652516676777</v>
      </c>
      <c r="AB430">
        <v>64.7</v>
      </c>
      <c r="AC430">
        <v>1.0950400512086551</v>
      </c>
      <c r="AD430">
        <v>0.63711200659636458</v>
      </c>
      <c r="AE430">
        <v>-0.55155121844536648</v>
      </c>
      <c r="AF430">
        <v>7.3940986583149442E-3</v>
      </c>
      <c r="AG430">
        <v>0.63948058435979116</v>
      </c>
      <c r="AH430">
        <v>-0.55253039621355571</v>
      </c>
      <c r="AI430">
        <v>1.6032805110619751E-4</v>
      </c>
    </row>
    <row r="431" spans="23:35" x14ac:dyDescent="0.25">
      <c r="W431">
        <v>429</v>
      </c>
      <c r="X431">
        <v>60.490810355843912</v>
      </c>
      <c r="Y431">
        <v>2.5091896441560877</v>
      </c>
      <c r="Z431">
        <v>60.473070530664216</v>
      </c>
      <c r="AA431">
        <v>0.22195269860521527</v>
      </c>
      <c r="AB431">
        <v>64.7</v>
      </c>
      <c r="AC431">
        <v>-0.78098898173722842</v>
      </c>
      <c r="AD431">
        <v>0.69780709079544234</v>
      </c>
      <c r="AE431">
        <v>-0.55103814468790124</v>
      </c>
      <c r="AF431">
        <v>7.0203087957011658E-3</v>
      </c>
      <c r="AG431">
        <v>0.70026947405379514</v>
      </c>
      <c r="AH431">
        <v>-0.55224635582269033</v>
      </c>
      <c r="AI431">
        <v>1.8247049009076531E-4</v>
      </c>
    </row>
    <row r="432" spans="23:35" x14ac:dyDescent="0.25">
      <c r="W432">
        <v>430</v>
      </c>
      <c r="X432">
        <v>61.062468068814496</v>
      </c>
      <c r="Y432">
        <v>1.6375319311855066</v>
      </c>
      <c r="Z432">
        <v>61.050051076786708</v>
      </c>
      <c r="AA432">
        <v>0.21164342025469982</v>
      </c>
      <c r="AB432">
        <v>64.7</v>
      </c>
      <c r="AC432">
        <v>-0.80808466725232064</v>
      </c>
      <c r="AD432">
        <v>0.45539857684591922</v>
      </c>
      <c r="AE432">
        <v>-0.55085378939427709</v>
      </c>
      <c r="AF432">
        <v>7.5256826760457312E-3</v>
      </c>
      <c r="AG432">
        <v>0.45712190246063811</v>
      </c>
      <c r="AH432">
        <v>-0.5513870061462911</v>
      </c>
      <c r="AI432">
        <v>8.3394437756798497E-5</v>
      </c>
    </row>
    <row r="433" spans="23:35" x14ac:dyDescent="0.25">
      <c r="W433">
        <v>431</v>
      </c>
      <c r="X433">
        <v>60.924465103980531</v>
      </c>
      <c r="Y433">
        <v>1.2755348960194723</v>
      </c>
      <c r="Z433">
        <v>60.915092993548178</v>
      </c>
      <c r="AA433">
        <v>0.20436628259551243</v>
      </c>
      <c r="AB433">
        <v>64.7</v>
      </c>
      <c r="AC433">
        <v>-0.8357870519497973</v>
      </c>
      <c r="AD433">
        <v>0.35472699206790065</v>
      </c>
      <c r="AE433">
        <v>-0.54881420089755872</v>
      </c>
      <c r="AF433">
        <v>7.2939990094953687E-3</v>
      </c>
      <c r="AG433">
        <v>0.35602780165138875</v>
      </c>
      <c r="AH433">
        <v>-0.55035232193750461</v>
      </c>
      <c r="AI433">
        <v>4.9018416448398787E-5</v>
      </c>
    </row>
    <row r="434" spans="23:35" x14ac:dyDescent="0.25">
      <c r="W434">
        <v>432</v>
      </c>
      <c r="X434">
        <v>60.032757791553635</v>
      </c>
      <c r="Y434">
        <v>1.7672422084463619</v>
      </c>
      <c r="Z434">
        <v>60.018588810762083</v>
      </c>
      <c r="AA434">
        <v>0.19345057610673136</v>
      </c>
      <c r="AB434">
        <v>64.7</v>
      </c>
      <c r="AC434">
        <v>-0.873012700415573</v>
      </c>
      <c r="AD434">
        <v>0.49147107994765654</v>
      </c>
      <c r="AE434">
        <v>-0.54754962114782602</v>
      </c>
      <c r="AF434">
        <v>7.9537957755926939E-3</v>
      </c>
      <c r="AG434">
        <v>0.49343734752100799</v>
      </c>
      <c r="AH434">
        <v>-0.54945086631217699</v>
      </c>
      <c r="AI434">
        <v>1.027431720845283E-4</v>
      </c>
    </row>
    <row r="435" spans="23:35" x14ac:dyDescent="0.25">
      <c r="W435">
        <v>433</v>
      </c>
      <c r="X435">
        <v>59.405688892260159</v>
      </c>
      <c r="Y435">
        <v>1.8943111077398385</v>
      </c>
      <c r="Z435">
        <v>59.388465113742484</v>
      </c>
      <c r="AA435">
        <v>0.18253486961795026</v>
      </c>
      <c r="AB435">
        <v>64.8</v>
      </c>
      <c r="AC435">
        <v>-0.91148934236618206</v>
      </c>
      <c r="AD435">
        <v>0.52680901430948202</v>
      </c>
      <c r="AE435">
        <v>-0.54685987822450421</v>
      </c>
      <c r="AF435">
        <v>9.0104442464033103E-3</v>
      </c>
      <c r="AG435">
        <v>0.52919856630938911</v>
      </c>
      <c r="AH435">
        <v>-0.54903142888438405</v>
      </c>
      <c r="AI435">
        <v>1.3401729357204832E-4</v>
      </c>
    </row>
    <row r="436" spans="23:35" x14ac:dyDescent="0.25">
      <c r="W436">
        <v>434</v>
      </c>
      <c r="X436">
        <v>58.989879555349859</v>
      </c>
      <c r="Y436">
        <v>10.010120444650141</v>
      </c>
      <c r="Z436">
        <v>58.898191632068325</v>
      </c>
      <c r="AA436">
        <v>0.42086112795633718</v>
      </c>
      <c r="AB436">
        <v>64.8</v>
      </c>
      <c r="AC436">
        <v>-0.21444491222324932</v>
      </c>
      <c r="AD436">
        <v>2.7838202832781875</v>
      </c>
      <c r="AE436">
        <v>-0.54568942574420265</v>
      </c>
      <c r="AF436">
        <v>9.076387112291296E-3</v>
      </c>
      <c r="AG436">
        <v>2.7965404542385945</v>
      </c>
      <c r="AH436">
        <v>-0.54857427925052948</v>
      </c>
      <c r="AI436">
        <v>3.7701744364533559E-3</v>
      </c>
    </row>
    <row r="437" spans="23:35" x14ac:dyDescent="0.25">
      <c r="W437">
        <v>435</v>
      </c>
      <c r="X437">
        <v>58.423853157542403</v>
      </c>
      <c r="Y437">
        <v>3.5761468424575966</v>
      </c>
      <c r="Z437">
        <v>58.388186067810786</v>
      </c>
      <c r="AA437">
        <v>0.19890842935112188</v>
      </c>
      <c r="AB437">
        <v>64.8</v>
      </c>
      <c r="AC437">
        <v>-0.85973834429501084</v>
      </c>
      <c r="AD437">
        <v>0.99452850453315866</v>
      </c>
      <c r="AE437">
        <v>-0.54531419226190203</v>
      </c>
      <c r="AF437">
        <v>9.8751182650210229E-3</v>
      </c>
      <c r="AG437">
        <v>0.99947571888077891</v>
      </c>
      <c r="AH437">
        <v>-0.54779545105407668</v>
      </c>
      <c r="AI437">
        <v>5.2437650650602788E-4</v>
      </c>
    </row>
    <row r="438" spans="23:35" x14ac:dyDescent="0.25">
      <c r="W438">
        <v>436</v>
      </c>
      <c r="X438">
        <v>56.946177609162518</v>
      </c>
      <c r="Y438">
        <v>2.8538223908374789</v>
      </c>
      <c r="Z438">
        <v>56.900733988626882</v>
      </c>
      <c r="AA438">
        <v>0.17101273499090358</v>
      </c>
      <c r="AB438">
        <v>64.8</v>
      </c>
      <c r="AC438">
        <v>-0.95615619123390583</v>
      </c>
      <c r="AD438">
        <v>0.79364965690625022</v>
      </c>
      <c r="AE438">
        <v>-0.54476275027539101</v>
      </c>
      <c r="AF438">
        <v>1.5674181105622288E-2</v>
      </c>
      <c r="AG438">
        <v>0.79994364841586407</v>
      </c>
      <c r="AH438">
        <v>-0.54615783871585555</v>
      </c>
      <c r="AI438">
        <v>5.3630416724911542E-4</v>
      </c>
    </row>
    <row r="439" spans="23:35" x14ac:dyDescent="0.25">
      <c r="W439">
        <v>437</v>
      </c>
      <c r="X439">
        <v>72.362190954979496</v>
      </c>
      <c r="Y439">
        <v>1.2378090450204979</v>
      </c>
      <c r="Z439">
        <v>72.342831034711324</v>
      </c>
      <c r="AA439">
        <v>0.65433596118859916</v>
      </c>
      <c r="AB439">
        <v>64.900000000000006</v>
      </c>
      <c r="AC439">
        <v>0.3716850598056044</v>
      </c>
      <c r="AD439">
        <v>0.34423541109286815</v>
      </c>
      <c r="AE439">
        <v>-0.54360544768833619</v>
      </c>
      <c r="AF439">
        <v>1.5399616760129044E-2</v>
      </c>
      <c r="AG439">
        <v>0.34691696907426578</v>
      </c>
      <c r="AH439">
        <v>-0.54583245592742524</v>
      </c>
      <c r="AI439">
        <v>9.907119428710233E-5</v>
      </c>
    </row>
    <row r="440" spans="23:35" x14ac:dyDescent="0.25">
      <c r="W440">
        <v>438</v>
      </c>
      <c r="X440">
        <v>72.680056264818617</v>
      </c>
      <c r="Y440">
        <v>0.71994373518138843</v>
      </c>
      <c r="Z440">
        <v>72.67274278978303</v>
      </c>
      <c r="AA440">
        <v>0.63735597331716187</v>
      </c>
      <c r="AB440">
        <v>64.900000000000006</v>
      </c>
      <c r="AC440">
        <v>0.33286538375086522</v>
      </c>
      <c r="AD440">
        <v>0.20021676900882251</v>
      </c>
      <c r="AE440">
        <v>-0.54240261777502319</v>
      </c>
      <c r="AF440">
        <v>1.0056242733443852E-2</v>
      </c>
      <c r="AG440">
        <v>0.20123114023931407</v>
      </c>
      <c r="AH440">
        <v>-0.54559059432246759</v>
      </c>
      <c r="AI440">
        <v>2.1650204431108348E-5</v>
      </c>
    </row>
    <row r="441" spans="23:35" x14ac:dyDescent="0.25">
      <c r="W441">
        <v>439</v>
      </c>
      <c r="X441">
        <v>72.25490716116731</v>
      </c>
      <c r="Y441">
        <v>-0.15490716116731562</v>
      </c>
      <c r="Z441">
        <v>72.255209309298621</v>
      </c>
      <c r="AA441">
        <v>0.5312310491206792</v>
      </c>
      <c r="AB441">
        <v>64.900000000000006</v>
      </c>
      <c r="AC441">
        <v>6.3887210036911155E-2</v>
      </c>
      <c r="AD441">
        <v>-4.3079771084381616E-2</v>
      </c>
      <c r="AE441">
        <v>-0.54155507017599713</v>
      </c>
      <c r="AF441">
        <v>1.9467139740522083E-3</v>
      </c>
      <c r="AG441">
        <v>-4.3121764402256194E-2</v>
      </c>
      <c r="AH441">
        <v>-0.54254225695123626</v>
      </c>
      <c r="AI441">
        <v>1.9089205860467902E-7</v>
      </c>
    </row>
    <row r="442" spans="23:35" x14ac:dyDescent="0.25">
      <c r="W442">
        <v>440</v>
      </c>
      <c r="X442">
        <v>74.973888378657321</v>
      </c>
      <c r="Y442">
        <v>-1.8738883786573268</v>
      </c>
      <c r="Z442">
        <v>74.99354498541831</v>
      </c>
      <c r="AA442">
        <v>0.61491813220133418</v>
      </c>
      <c r="AB442">
        <v>65</v>
      </c>
      <c r="AC442">
        <v>0.27870266916975811</v>
      </c>
      <c r="AD442">
        <v>-0.52112944154368412</v>
      </c>
      <c r="AE442">
        <v>-0.53859032681876984</v>
      </c>
      <c r="AF442">
        <v>1.0380850157960919E-2</v>
      </c>
      <c r="AG442">
        <v>-0.52385556795554633</v>
      </c>
      <c r="AH442">
        <v>-0.53932116518799167</v>
      </c>
      <c r="AI442">
        <v>1.5150757928870554E-4</v>
      </c>
    </row>
    <row r="443" spans="23:35" x14ac:dyDescent="0.25">
      <c r="W443">
        <v>441</v>
      </c>
      <c r="X443">
        <v>71.6859903783851</v>
      </c>
      <c r="Y443">
        <v>1.0140096216149033</v>
      </c>
      <c r="Z443">
        <v>71.684488050512101</v>
      </c>
      <c r="AA443">
        <v>0.57246816252274102</v>
      </c>
      <c r="AB443">
        <v>65</v>
      </c>
      <c r="AC443">
        <v>0.16337348484333708</v>
      </c>
      <c r="AD443">
        <v>0.28199666204810253</v>
      </c>
      <c r="AE443">
        <v>-0.53676044455911875</v>
      </c>
      <c r="AF443">
        <v>1.4793798081358116E-3</v>
      </c>
      <c r="AG443">
        <v>0.28220548385565947</v>
      </c>
      <c r="AH443">
        <v>-0.53930990219916664</v>
      </c>
      <c r="AI443">
        <v>6.2101193322579074E-6</v>
      </c>
    </row>
    <row r="444" spans="23:35" x14ac:dyDescent="0.25">
      <c r="W444">
        <v>442</v>
      </c>
      <c r="X444">
        <v>71.932283516959941</v>
      </c>
      <c r="Y444">
        <v>1.6677164830400528</v>
      </c>
      <c r="Z444">
        <v>71.916879333710227</v>
      </c>
      <c r="AA444">
        <v>0.65433596118859916</v>
      </c>
      <c r="AB444">
        <v>65</v>
      </c>
      <c r="AC444">
        <v>0.3716850598056044</v>
      </c>
      <c r="AD444">
        <v>0.4637929181686809</v>
      </c>
      <c r="AE444">
        <v>-0.5361804124531141</v>
      </c>
      <c r="AF444">
        <v>9.1521562049773908E-3</v>
      </c>
      <c r="AG444">
        <v>0.46592995086752675</v>
      </c>
      <c r="AH444">
        <v>-0.53723510791721762</v>
      </c>
      <c r="AI444">
        <v>1.0553684612188594E-4</v>
      </c>
    </row>
    <row r="445" spans="23:35" x14ac:dyDescent="0.25">
      <c r="W445">
        <v>443</v>
      </c>
      <c r="X445">
        <v>70.943839818319333</v>
      </c>
      <c r="Y445">
        <v>2.3561601816806643</v>
      </c>
      <c r="Z445">
        <v>70.939349112279302</v>
      </c>
      <c r="AA445">
        <v>0.63007883565797451</v>
      </c>
      <c r="AB445">
        <v>65</v>
      </c>
      <c r="AC445">
        <v>0.3152427890443939</v>
      </c>
      <c r="AD445">
        <v>0.6552495088029181</v>
      </c>
      <c r="AE445">
        <v>-0.53526424126391614</v>
      </c>
      <c r="AF445">
        <v>1.9023168836117316E-3</v>
      </c>
      <c r="AG445">
        <v>0.65587364552537264</v>
      </c>
      <c r="AH445">
        <v>-0.53686636239047725</v>
      </c>
      <c r="AI445">
        <v>4.3151567338088917E-5</v>
      </c>
    </row>
    <row r="446" spans="23:35" x14ac:dyDescent="0.25">
      <c r="W446">
        <v>444</v>
      </c>
      <c r="X446">
        <v>69.224600460163003</v>
      </c>
      <c r="Y446">
        <v>3.6753995398370023</v>
      </c>
      <c r="Z446">
        <v>69.204320367890077</v>
      </c>
      <c r="AA446">
        <v>0.58762886597938147</v>
      </c>
      <c r="AB446">
        <v>65</v>
      </c>
      <c r="AC446">
        <v>0.206674078513852</v>
      </c>
      <c r="AD446">
        <v>1.0221307370599939</v>
      </c>
      <c r="AE446">
        <v>-0.53474446673650733</v>
      </c>
      <c r="AF446">
        <v>5.4875136082473104E-3</v>
      </c>
      <c r="AG446">
        <v>1.0249468104699595</v>
      </c>
      <c r="AH446">
        <v>-0.53550072176883701</v>
      </c>
      <c r="AI446">
        <v>3.0508048328978834E-4</v>
      </c>
    </row>
    <row r="447" spans="23:35" x14ac:dyDescent="0.25">
      <c r="W447">
        <v>445</v>
      </c>
      <c r="X447">
        <v>70.433803394599735</v>
      </c>
      <c r="Y447">
        <v>1.8661966054002619</v>
      </c>
      <c r="Z447">
        <v>70.43095293266208</v>
      </c>
      <c r="AA447">
        <v>0.54578532443905392</v>
      </c>
      <c r="AB447">
        <v>65</v>
      </c>
      <c r="AC447">
        <v>9.896716322379942E-2</v>
      </c>
      <c r="AD447">
        <v>0.51899035495368828</v>
      </c>
      <c r="AE447">
        <v>-0.53400810423386968</v>
      </c>
      <c r="AF447">
        <v>1.5250883658705511E-3</v>
      </c>
      <c r="AG447">
        <v>0.5193865612747357</v>
      </c>
      <c r="AH447">
        <v>-0.5354957117515512</v>
      </c>
      <c r="AI447">
        <v>2.1686310267874136E-5</v>
      </c>
    </row>
    <row r="448" spans="23:35" x14ac:dyDescent="0.25">
      <c r="W448">
        <v>446</v>
      </c>
      <c r="X448">
        <v>72.687286249600305</v>
      </c>
      <c r="Y448">
        <v>-2.9872862496003023</v>
      </c>
      <c r="Z448">
        <v>72.695408135180529</v>
      </c>
      <c r="AA448">
        <v>0.45057610673135234</v>
      </c>
      <c r="AB448">
        <v>65</v>
      </c>
      <c r="AC448">
        <v>-0.12956927093944987</v>
      </c>
      <c r="AD448">
        <v>-0.83076603319391917</v>
      </c>
      <c r="AE448">
        <v>-0.53232643979492655</v>
      </c>
      <c r="AF448">
        <v>2.7114453903070825E-3</v>
      </c>
      <c r="AG448">
        <v>-0.83189461714908897</v>
      </c>
      <c r="AH448">
        <v>-0.53322448702300296</v>
      </c>
      <c r="AI448">
        <v>9.9029150706262035E-5</v>
      </c>
    </row>
    <row r="449" spans="23:35" x14ac:dyDescent="0.25">
      <c r="W449">
        <v>447</v>
      </c>
      <c r="X449">
        <v>69.090654426380226</v>
      </c>
      <c r="Y449">
        <v>0.20934557361977113</v>
      </c>
      <c r="Z449">
        <v>69.090203475371112</v>
      </c>
      <c r="AA449">
        <v>0.4329896907216495</v>
      </c>
      <c r="AB449">
        <v>65</v>
      </c>
      <c r="AC449">
        <v>-0.17879863688351211</v>
      </c>
      <c r="AD449">
        <v>5.8219125062445178E-2</v>
      </c>
      <c r="AE449">
        <v>-0.53168781573687418</v>
      </c>
      <c r="AF449">
        <v>2.1494684428450751E-3</v>
      </c>
      <c r="AG449">
        <v>5.8281796198830123E-2</v>
      </c>
      <c r="AH449">
        <v>-0.53282936088017241</v>
      </c>
      <c r="AI449">
        <v>3.851038277532613E-7</v>
      </c>
    </row>
    <row r="450" spans="23:35" x14ac:dyDescent="0.25">
      <c r="W450">
        <v>448</v>
      </c>
      <c r="X450">
        <v>72.197670621291763</v>
      </c>
      <c r="Y450">
        <v>0.80232937870823662</v>
      </c>
      <c r="Z450">
        <v>72.194952389885074</v>
      </c>
      <c r="AA450">
        <v>0.60946027895694366</v>
      </c>
      <c r="AB450">
        <v>65</v>
      </c>
      <c r="AC450">
        <v>0.22222871718700732</v>
      </c>
      <c r="AD450">
        <v>0.22312826410711972</v>
      </c>
      <c r="AE450">
        <v>-0.53005748404096054</v>
      </c>
      <c r="AF450">
        <v>3.3764852817776353E-3</v>
      </c>
      <c r="AG450">
        <v>0.2235059153769858</v>
      </c>
      <c r="AH450">
        <v>-0.53175556832364079</v>
      </c>
      <c r="AI450">
        <v>8.9075480495055524E-6</v>
      </c>
    </row>
    <row r="451" spans="23:35" x14ac:dyDescent="0.25">
      <c r="W451">
        <v>449</v>
      </c>
      <c r="X451">
        <v>69.228105814518401</v>
      </c>
      <c r="Y451">
        <v>2.1718941854816052</v>
      </c>
      <c r="Z451">
        <v>69.224058345990798</v>
      </c>
      <c r="AA451">
        <v>0.4887810794420861</v>
      </c>
      <c r="AB451">
        <v>65</v>
      </c>
      <c r="AC451">
        <v>-4.7140240828996732E-2</v>
      </c>
      <c r="AD451">
        <v>0.60400502872160666</v>
      </c>
      <c r="AE451">
        <v>-0.52897252027570207</v>
      </c>
      <c r="AF451">
        <v>1.8600997504434589E-3</v>
      </c>
      <c r="AG451">
        <v>0.6045675684299423</v>
      </c>
      <c r="AH451">
        <v>-0.53125839738810154</v>
      </c>
      <c r="AI451">
        <v>3.5849318904096742E-5</v>
      </c>
    </row>
    <row r="452" spans="23:35" x14ac:dyDescent="0.25">
      <c r="W452">
        <v>450</v>
      </c>
      <c r="X452">
        <v>69.03807601231847</v>
      </c>
      <c r="Y452">
        <v>2.1619239876815328</v>
      </c>
      <c r="Z452">
        <v>69.034953216099865</v>
      </c>
      <c r="AA452">
        <v>0.47907822922983628</v>
      </c>
      <c r="AB452">
        <v>65</v>
      </c>
      <c r="AC452">
        <v>-6.3887210036911155E-2</v>
      </c>
      <c r="AD452">
        <v>0.60123231094886787</v>
      </c>
      <c r="AE452">
        <v>-0.52862717647524271</v>
      </c>
      <c r="AF452">
        <v>1.4423689325427798E-3</v>
      </c>
      <c r="AG452">
        <v>0.60166637997438366</v>
      </c>
      <c r="AH452">
        <v>-0.52999719583868399</v>
      </c>
      <c r="AI452">
        <v>2.752080370823239E-5</v>
      </c>
    </row>
    <row r="453" spans="23:35" x14ac:dyDescent="0.25">
      <c r="W453">
        <v>451</v>
      </c>
      <c r="X453">
        <v>68.992296293966589</v>
      </c>
      <c r="Y453">
        <v>3.0077037060334106</v>
      </c>
      <c r="Z453">
        <v>68.987316364299687</v>
      </c>
      <c r="AA453">
        <v>0.52516676773802307</v>
      </c>
      <c r="AB453">
        <v>65.099999999999994</v>
      </c>
      <c r="AC453">
        <v>4.1053957112594373E-2</v>
      </c>
      <c r="AD453">
        <v>0.83644413963286945</v>
      </c>
      <c r="AE453">
        <v>-0.52849833408560942</v>
      </c>
      <c r="AF453">
        <v>1.6529879234233307E-3</v>
      </c>
      <c r="AG453">
        <v>0.83713631389866427</v>
      </c>
      <c r="AH453">
        <v>-0.52890940283609644</v>
      </c>
      <c r="AI453">
        <v>6.10698594070256E-5</v>
      </c>
    </row>
    <row r="454" spans="23:35" x14ac:dyDescent="0.25">
      <c r="W454">
        <v>452</v>
      </c>
      <c r="X454">
        <v>74.555427957662758</v>
      </c>
      <c r="Y454">
        <v>1.4445720423372421</v>
      </c>
      <c r="Z454">
        <v>74.549485294350902</v>
      </c>
      <c r="AA454">
        <v>0.80836870830806551</v>
      </c>
      <c r="AB454">
        <v>65.099999999999994</v>
      </c>
      <c r="AC454">
        <v>0.83794453378675593</v>
      </c>
      <c r="AD454">
        <v>0.40173632019225541</v>
      </c>
      <c r="AE454">
        <v>-0.5252652609428774</v>
      </c>
      <c r="AF454">
        <v>4.096934204605638E-3</v>
      </c>
      <c r="AG454">
        <v>0.4025618011516055</v>
      </c>
      <c r="AH454">
        <v>-0.52786456712378715</v>
      </c>
      <c r="AI454">
        <v>3.5087582295559757E-5</v>
      </c>
    </row>
    <row r="455" spans="23:35" x14ac:dyDescent="0.25">
      <c r="W455">
        <v>453</v>
      </c>
      <c r="X455">
        <v>73.631149122620073</v>
      </c>
      <c r="Y455">
        <v>2.3688508773799271</v>
      </c>
      <c r="Z455">
        <v>73.626472235772667</v>
      </c>
      <c r="AA455">
        <v>0.80836870830806551</v>
      </c>
      <c r="AB455">
        <v>65.099999999999994</v>
      </c>
      <c r="AC455">
        <v>0.83794453378675593</v>
      </c>
      <c r="AD455">
        <v>0.65877879861435085</v>
      </c>
      <c r="AE455">
        <v>-0.52466576412316579</v>
      </c>
      <c r="AF455">
        <v>1.9704369663964385E-3</v>
      </c>
      <c r="AG455">
        <v>0.65942880041164964</v>
      </c>
      <c r="AH455">
        <v>-0.52682749442007837</v>
      </c>
      <c r="AI455">
        <v>4.5185736096323674E-5</v>
      </c>
    </row>
    <row r="456" spans="23:35" x14ac:dyDescent="0.25">
      <c r="W456">
        <v>454</v>
      </c>
      <c r="X456">
        <v>73.326117042622712</v>
      </c>
      <c r="Y456">
        <v>2.1738829573772875</v>
      </c>
      <c r="Z456">
        <v>73.322311391408817</v>
      </c>
      <c r="AA456">
        <v>0.78411158277744086</v>
      </c>
      <c r="AB456">
        <v>65.099999999999994</v>
      </c>
      <c r="AC456">
        <v>0.77276680816182786</v>
      </c>
      <c r="AD456">
        <v>0.60455810733565796</v>
      </c>
      <c r="AE456">
        <v>-0.52455878109490495</v>
      </c>
      <c r="AF456">
        <v>1.7475644584269436E-3</v>
      </c>
      <c r="AG456">
        <v>0.60508705284220077</v>
      </c>
      <c r="AH456">
        <v>-0.52674126588624326</v>
      </c>
      <c r="AI456">
        <v>3.3734551829444565E-5</v>
      </c>
    </row>
    <row r="457" spans="23:35" x14ac:dyDescent="0.25">
      <c r="W457">
        <v>455</v>
      </c>
      <c r="X457">
        <v>73.221732485180624</v>
      </c>
      <c r="Y457">
        <v>2.0782675148193732</v>
      </c>
      <c r="Z457">
        <v>73.218436121033264</v>
      </c>
      <c r="AA457">
        <v>0.77258944815039421</v>
      </c>
      <c r="AB457">
        <v>65.099999999999994</v>
      </c>
      <c r="AC457">
        <v>0.72844171022016913</v>
      </c>
      <c r="AD457">
        <v>0.57796739747765635</v>
      </c>
      <c r="AE457">
        <v>-0.52449756224054001</v>
      </c>
      <c r="AF457">
        <v>1.5835998023754068E-3</v>
      </c>
      <c r="AG457">
        <v>0.57842557625660718</v>
      </c>
      <c r="AH457">
        <v>-0.52539104060649322</v>
      </c>
      <c r="AI457">
        <v>2.7930268298557581E-5</v>
      </c>
    </row>
    <row r="458" spans="23:35" x14ac:dyDescent="0.25">
      <c r="W458">
        <v>456</v>
      </c>
      <c r="X458">
        <v>72.004482180651479</v>
      </c>
      <c r="Y458">
        <v>2.995517819348521</v>
      </c>
      <c r="Z458">
        <v>71.96036024806854</v>
      </c>
      <c r="AA458">
        <v>0.76046088538508183</v>
      </c>
      <c r="AB458">
        <v>65.099999999999994</v>
      </c>
      <c r="AC458">
        <v>0.67020216077934069</v>
      </c>
      <c r="AD458">
        <v>0.83305523750020272</v>
      </c>
      <c r="AE458">
        <v>-0.52221162709844671</v>
      </c>
      <c r="AF458">
        <v>1.451551373971088E-2</v>
      </c>
      <c r="AG458">
        <v>0.83916797813796518</v>
      </c>
      <c r="AH458">
        <v>-0.52519721774048678</v>
      </c>
      <c r="AI458">
        <v>5.459172592479516E-4</v>
      </c>
    </row>
    <row r="459" spans="23:35" x14ac:dyDescent="0.25">
      <c r="W459">
        <v>457</v>
      </c>
      <c r="X459">
        <v>71.46119683031695</v>
      </c>
      <c r="Y459">
        <v>3.6388031696830438</v>
      </c>
      <c r="Z459">
        <v>71.436849692915814</v>
      </c>
      <c r="AA459">
        <v>0.76288659793814428</v>
      </c>
      <c r="AB459">
        <v>65.099999999999994</v>
      </c>
      <c r="AC459">
        <v>0.70876261491573156</v>
      </c>
      <c r="AD459">
        <v>1.0119532653610002</v>
      </c>
      <c r="AE459">
        <v>-0.52127865496779691</v>
      </c>
      <c r="AF459">
        <v>6.6465024255336702E-3</v>
      </c>
      <c r="AG459">
        <v>1.0153330976880512</v>
      </c>
      <c r="AH459">
        <v>-0.52385643935361026</v>
      </c>
      <c r="AI459">
        <v>3.6303862054691224E-4</v>
      </c>
    </row>
    <row r="460" spans="23:35" x14ac:dyDescent="0.25">
      <c r="W460">
        <v>458</v>
      </c>
      <c r="X460">
        <v>72.735886086627985</v>
      </c>
      <c r="Y460">
        <v>1.8641139133720088</v>
      </c>
      <c r="Z460">
        <v>72.732547325145276</v>
      </c>
      <c r="AA460">
        <v>0.73013947847180105</v>
      </c>
      <c r="AB460">
        <v>65.2</v>
      </c>
      <c r="AC460">
        <v>0.59589828697336056</v>
      </c>
      <c r="AD460">
        <v>0.51841115709646657</v>
      </c>
      <c r="AE460">
        <v>-0.52112944154368412</v>
      </c>
      <c r="AF460">
        <v>1.7878693943174206E-3</v>
      </c>
      <c r="AG460">
        <v>0.51887520515296803</v>
      </c>
      <c r="AH460">
        <v>-0.52385556795554633</v>
      </c>
      <c r="AI460">
        <v>2.5379623896871224E-5</v>
      </c>
    </row>
    <row r="461" spans="23:35" x14ac:dyDescent="0.25">
      <c r="W461">
        <v>459</v>
      </c>
      <c r="X461">
        <v>74.585358592918851</v>
      </c>
      <c r="Y461">
        <v>0.11464140708115167</v>
      </c>
      <c r="Z461">
        <v>74.585040206911486</v>
      </c>
      <c r="AA461">
        <v>0.7362037598544573</v>
      </c>
      <c r="AB461">
        <v>65.2</v>
      </c>
      <c r="AC461">
        <v>0.61415241452626612</v>
      </c>
      <c r="AD461">
        <v>3.1881841592288233E-2</v>
      </c>
      <c r="AE461">
        <v>-0.51970152670151637</v>
      </c>
      <c r="AF461">
        <v>2.7695422791595464E-3</v>
      </c>
      <c r="AG461">
        <v>3.192608256306962E-2</v>
      </c>
      <c r="AH461">
        <v>-0.52372383880018225</v>
      </c>
      <c r="AI461">
        <v>1.4898760157627195E-7</v>
      </c>
    </row>
    <row r="462" spans="23:35" x14ac:dyDescent="0.25">
      <c r="W462">
        <v>460</v>
      </c>
      <c r="X462">
        <v>72.263396367033124</v>
      </c>
      <c r="Y462">
        <v>2.1366036329668816</v>
      </c>
      <c r="Z462">
        <v>72.259373039255749</v>
      </c>
      <c r="AA462">
        <v>0.71376591873862949</v>
      </c>
      <c r="AB462">
        <v>65.2</v>
      </c>
      <c r="AC462">
        <v>0.54051528578164909</v>
      </c>
      <c r="AD462">
        <v>0.59419070566307775</v>
      </c>
      <c r="AE462">
        <v>-0.51933768113980283</v>
      </c>
      <c r="AF462">
        <v>1.8795090649406274E-3</v>
      </c>
      <c r="AG462">
        <v>0.59474988743585944</v>
      </c>
      <c r="AH462">
        <v>-0.52283108152250746</v>
      </c>
      <c r="AI462">
        <v>3.5057148574915154E-5</v>
      </c>
    </row>
    <row r="463" spans="23:35" x14ac:dyDescent="0.25">
      <c r="W463">
        <v>461</v>
      </c>
      <c r="X463">
        <v>72.00446227298491</v>
      </c>
      <c r="Y463">
        <v>2.1955377270150933</v>
      </c>
      <c r="Z463">
        <v>72.000644174756644</v>
      </c>
      <c r="AA463">
        <v>0.7010309278350515</v>
      </c>
      <c r="AB463">
        <v>65.2</v>
      </c>
      <c r="AC463">
        <v>0.5039283835636299</v>
      </c>
      <c r="AD463">
        <v>0.61058031129222057</v>
      </c>
      <c r="AE463">
        <v>-0.51894156988538254</v>
      </c>
      <c r="AF463">
        <v>1.7360075093104635E-3</v>
      </c>
      <c r="AG463">
        <v>0.61111098833948896</v>
      </c>
      <c r="AH463">
        <v>-0.52105140938028316</v>
      </c>
      <c r="AI463">
        <v>3.4181630702427388E-5</v>
      </c>
    </row>
    <row r="464" spans="23:35" x14ac:dyDescent="0.25">
      <c r="W464">
        <v>462</v>
      </c>
      <c r="X464">
        <v>71.251144935174494</v>
      </c>
      <c r="Y464">
        <v>3.1488550648255114</v>
      </c>
      <c r="Z464">
        <v>71.206381742912541</v>
      </c>
      <c r="AA464">
        <v>0.71376591873862949</v>
      </c>
      <c r="AB464">
        <v>65.2</v>
      </c>
      <c r="AC464">
        <v>0.54051528578164909</v>
      </c>
      <c r="AD464">
        <v>0.87569841412341587</v>
      </c>
      <c r="AE464">
        <v>-0.51720523101925775</v>
      </c>
      <c r="AF464">
        <v>1.4016450514276586E-2</v>
      </c>
      <c r="AG464">
        <v>0.88190078397058103</v>
      </c>
      <c r="AH464">
        <v>-0.52061742430941571</v>
      </c>
      <c r="AI464">
        <v>5.8190787608907476E-4</v>
      </c>
    </row>
    <row r="465" spans="23:35" x14ac:dyDescent="0.25">
      <c r="W465">
        <v>463</v>
      </c>
      <c r="X465">
        <v>71.710066527100324</v>
      </c>
      <c r="Y465">
        <v>2.689933472899682</v>
      </c>
      <c r="Z465">
        <v>71.705129768868332</v>
      </c>
      <c r="AA465">
        <v>0.71376591873862949</v>
      </c>
      <c r="AB465">
        <v>65.2</v>
      </c>
      <c r="AC465">
        <v>0.54051528578164909</v>
      </c>
      <c r="AD465">
        <v>0.7480720540709529</v>
      </c>
      <c r="AE465">
        <v>-0.51701796495309427</v>
      </c>
      <c r="AF465">
        <v>1.8319094459386684E-3</v>
      </c>
      <c r="AG465">
        <v>0.74875819705991342</v>
      </c>
      <c r="AH465">
        <v>-0.51747995373396782</v>
      </c>
      <c r="AI465">
        <v>5.4153919944718833E-5</v>
      </c>
    </row>
    <row r="466" spans="23:35" x14ac:dyDescent="0.25">
      <c r="W466">
        <v>464</v>
      </c>
      <c r="X466">
        <v>71.375638247805057</v>
      </c>
      <c r="Y466">
        <v>2.2243617521949375</v>
      </c>
      <c r="Z466">
        <v>71.371805237741214</v>
      </c>
      <c r="AA466">
        <v>0.65433596118859916</v>
      </c>
      <c r="AB466">
        <v>65.3</v>
      </c>
      <c r="AC466">
        <v>0.3716850598056044</v>
      </c>
      <c r="AD466">
        <v>0.61859628936012245</v>
      </c>
      <c r="AE466">
        <v>-0.51543920328182202</v>
      </c>
      <c r="AF466">
        <v>1.7202311614637289E-3</v>
      </c>
      <c r="AG466">
        <v>0.61912904110751898</v>
      </c>
      <c r="AH466">
        <v>-0.51657444600337477</v>
      </c>
      <c r="AI466">
        <v>3.4765084645287039E-5</v>
      </c>
    </row>
    <row r="467" spans="23:35" x14ac:dyDescent="0.25">
      <c r="W467">
        <v>465</v>
      </c>
      <c r="X467">
        <v>70.535622734034433</v>
      </c>
      <c r="Y467">
        <v>2.8643772659655724</v>
      </c>
      <c r="Z467">
        <v>70.494906669637558</v>
      </c>
      <c r="AA467">
        <v>0.63735597331716187</v>
      </c>
      <c r="AB467">
        <v>65.3</v>
      </c>
      <c r="AC467">
        <v>0.33286538375086522</v>
      </c>
      <c r="AD467">
        <v>0.79658497378195858</v>
      </c>
      <c r="AE467">
        <v>-0.51519476726656477</v>
      </c>
      <c r="AF467">
        <v>1.4015406655384765E-2</v>
      </c>
      <c r="AG467">
        <v>0.80222657672457864</v>
      </c>
      <c r="AH467">
        <v>-0.51576433211903372</v>
      </c>
      <c r="AI467">
        <v>4.8147757495756941E-4</v>
      </c>
    </row>
    <row r="468" spans="23:35" x14ac:dyDescent="0.25">
      <c r="W468">
        <v>466</v>
      </c>
      <c r="X468">
        <v>71.086126691067591</v>
      </c>
      <c r="Y468">
        <v>1.7138733089324063</v>
      </c>
      <c r="Z468">
        <v>71.076997341306281</v>
      </c>
      <c r="AA468">
        <v>0.58156458459672533</v>
      </c>
      <c r="AB468">
        <v>65.3</v>
      </c>
      <c r="AC468">
        <v>0.18343432307636306</v>
      </c>
      <c r="AD468">
        <v>0.47662915813615758</v>
      </c>
      <c r="AE468">
        <v>-0.51106083175754469</v>
      </c>
      <c r="AF468">
        <v>5.2985117087600824E-3</v>
      </c>
      <c r="AG468">
        <v>0.4778969108560519</v>
      </c>
      <c r="AH468">
        <v>-0.51148486585706554</v>
      </c>
      <c r="AI468">
        <v>6.4028890466622196E-5</v>
      </c>
    </row>
    <row r="469" spans="23:35" x14ac:dyDescent="0.25">
      <c r="W469">
        <v>467</v>
      </c>
      <c r="X469">
        <v>72.446021183718926</v>
      </c>
      <c r="Y469">
        <v>0.85397881628107086</v>
      </c>
      <c r="Z469">
        <v>72.443926358537027</v>
      </c>
      <c r="AA469">
        <v>0.63007883565797451</v>
      </c>
      <c r="AB469">
        <v>65.3</v>
      </c>
      <c r="AC469">
        <v>0.3152427890443939</v>
      </c>
      <c r="AD469">
        <v>0.23749200255863961</v>
      </c>
      <c r="AE469">
        <v>-0.5058142779749234</v>
      </c>
      <c r="AF469">
        <v>2.4470151637011233E-3</v>
      </c>
      <c r="AG469">
        <v>0.23778311019207232</v>
      </c>
      <c r="AH469">
        <v>-0.50723819597918152</v>
      </c>
      <c r="AI469">
        <v>7.2997686077555035E-6</v>
      </c>
    </row>
    <row r="470" spans="23:35" x14ac:dyDescent="0.25">
      <c r="W470">
        <v>468</v>
      </c>
      <c r="X470">
        <v>72.348920118752119</v>
      </c>
      <c r="Y470">
        <v>0.65107988124788108</v>
      </c>
      <c r="Z470">
        <v>72.347297767980379</v>
      </c>
      <c r="AA470">
        <v>0.60946027895694366</v>
      </c>
      <c r="AB470">
        <v>65.3</v>
      </c>
      <c r="AC470">
        <v>0.22222871718700732</v>
      </c>
      <c r="AD470">
        <v>0.18106569141442058</v>
      </c>
      <c r="AE470">
        <v>-0.50486697081234277</v>
      </c>
      <c r="AF470">
        <v>2.4855909665372788E-3</v>
      </c>
      <c r="AG470">
        <v>0.18129113940366121</v>
      </c>
      <c r="AH470">
        <v>-0.50601393645428716</v>
      </c>
      <c r="AI470">
        <v>4.3103252262630858E-6</v>
      </c>
    </row>
    <row r="471" spans="23:35" x14ac:dyDescent="0.25">
      <c r="W471">
        <v>469</v>
      </c>
      <c r="X471">
        <v>72.242979817634051</v>
      </c>
      <c r="Y471">
        <v>0.75702018236594881</v>
      </c>
      <c r="Z471">
        <v>72.241227219842045</v>
      </c>
      <c r="AA471">
        <v>0.60946027895694366</v>
      </c>
      <c r="AB471">
        <v>65.400000000000006</v>
      </c>
      <c r="AC471">
        <v>0.22222871718700732</v>
      </c>
      <c r="AD471">
        <v>0.21052775040759619</v>
      </c>
      <c r="AE471">
        <v>-0.50107909335087353</v>
      </c>
      <c r="AF471">
        <v>2.3097794726390283E-3</v>
      </c>
      <c r="AG471">
        <v>0.21077130875160657</v>
      </c>
      <c r="AH471">
        <v>-0.50201612888831604</v>
      </c>
      <c r="AI471">
        <v>5.4130767600018002E-6</v>
      </c>
    </row>
    <row r="472" spans="23:35" x14ac:dyDescent="0.25">
      <c r="W472">
        <v>470</v>
      </c>
      <c r="X472">
        <v>71.050122618241957</v>
      </c>
      <c r="Y472">
        <v>0.94987738175804282</v>
      </c>
      <c r="Z472">
        <v>71.035940276179787</v>
      </c>
      <c r="AA472">
        <v>0.52516676773802307</v>
      </c>
      <c r="AB472">
        <v>65.400000000000006</v>
      </c>
      <c r="AC472">
        <v>4.1053957112594373E-2</v>
      </c>
      <c r="AD472">
        <v>0.26416144906412631</v>
      </c>
      <c r="AE472">
        <v>-0.49744403714968549</v>
      </c>
      <c r="AF472">
        <v>1.4711061681912477E-2</v>
      </c>
      <c r="AG472">
        <v>0.26612620121471331</v>
      </c>
      <c r="AH472">
        <v>-0.50100835493675311</v>
      </c>
      <c r="AI472">
        <v>5.5654729704470967E-5</v>
      </c>
    </row>
    <row r="473" spans="23:35" x14ac:dyDescent="0.25">
      <c r="W473">
        <v>471</v>
      </c>
      <c r="X473">
        <v>71.602019290814184</v>
      </c>
      <c r="Y473">
        <v>0.39798070918581629</v>
      </c>
      <c r="Z473">
        <v>71.601152390343472</v>
      </c>
      <c r="AA473">
        <v>0.52516676773802307</v>
      </c>
      <c r="AB473">
        <v>65.400000000000006</v>
      </c>
      <c r="AC473">
        <v>4.1053957112594373E-2</v>
      </c>
      <c r="AD473">
        <v>0.1106786653278511</v>
      </c>
      <c r="AE473">
        <v>-0.49667612938758576</v>
      </c>
      <c r="AF473">
        <v>2.1735130152872916E-3</v>
      </c>
      <c r="AG473">
        <v>0.11079914251731877</v>
      </c>
      <c r="AH473">
        <v>-0.49882295940463117</v>
      </c>
      <c r="AI473">
        <v>1.4074287393486487E-6</v>
      </c>
    </row>
    <row r="474" spans="23:35" x14ac:dyDescent="0.25">
      <c r="W474">
        <v>472</v>
      </c>
      <c r="X474">
        <v>74.323114900954408</v>
      </c>
      <c r="Y474">
        <v>-2.9231149009544026</v>
      </c>
      <c r="Z474">
        <v>74.330635499492814</v>
      </c>
      <c r="AA474">
        <v>0.4887810794420861</v>
      </c>
      <c r="AB474">
        <v>65.400000000000006</v>
      </c>
      <c r="AC474">
        <v>-4.7140240828996732E-2</v>
      </c>
      <c r="AD474">
        <v>-0.81291994403309931</v>
      </c>
      <c r="AE474">
        <v>-0.49511428514297279</v>
      </c>
      <c r="AF474">
        <v>2.5662005867680125E-3</v>
      </c>
      <c r="AG474">
        <v>-0.81396501367622398</v>
      </c>
      <c r="AH474">
        <v>-0.498766031320105</v>
      </c>
      <c r="AI474">
        <v>8.9714862235163573E-5</v>
      </c>
    </row>
    <row r="475" spans="23:35" x14ac:dyDescent="0.25">
      <c r="W475">
        <v>473</v>
      </c>
      <c r="X475">
        <v>71.718461794073988</v>
      </c>
      <c r="Y475">
        <v>-1.8461794073985516E-2</v>
      </c>
      <c r="Z475">
        <v>71.718511429139753</v>
      </c>
      <c r="AA475">
        <v>0.50394178289872649</v>
      </c>
      <c r="AB475">
        <v>65.400000000000006</v>
      </c>
      <c r="AC475">
        <v>-4.5602855597810616E-3</v>
      </c>
      <c r="AD475">
        <v>-5.1342356061593007E-3</v>
      </c>
      <c r="AE475">
        <v>-0.49206287528396181</v>
      </c>
      <c r="AF475">
        <v>2.6813200316940363E-3</v>
      </c>
      <c r="AG475">
        <v>-5.1411327437265938E-3</v>
      </c>
      <c r="AH475">
        <v>-0.49874790182182599</v>
      </c>
      <c r="AI475">
        <v>3.7400614101990051E-9</v>
      </c>
    </row>
    <row r="476" spans="23:35" x14ac:dyDescent="0.25">
      <c r="W476">
        <v>474</v>
      </c>
      <c r="X476">
        <v>72.635968518719693</v>
      </c>
      <c r="Y476">
        <v>-1.4359685187196902</v>
      </c>
      <c r="Z476">
        <v>72.64729515614178</v>
      </c>
      <c r="AA476">
        <v>0.47907822922983628</v>
      </c>
      <c r="AB476">
        <v>65.5</v>
      </c>
      <c r="AC476">
        <v>-6.3887210036911155E-2</v>
      </c>
      <c r="AD476">
        <v>-0.39934367529985515</v>
      </c>
      <c r="AE476">
        <v>-0.49047462953775517</v>
      </c>
      <c r="AF476">
        <v>7.8260729154107748E-3</v>
      </c>
      <c r="AG476">
        <v>-0.40091555392878575</v>
      </c>
      <c r="AH476">
        <v>-0.49146906589859535</v>
      </c>
      <c r="AI476">
        <v>6.6728027886953586E-5</v>
      </c>
    </row>
    <row r="477" spans="23:35" x14ac:dyDescent="0.25">
      <c r="W477">
        <v>475</v>
      </c>
      <c r="X477">
        <v>69.500561896789193</v>
      </c>
      <c r="Y477">
        <v>5.4994381032108066</v>
      </c>
      <c r="Z477">
        <v>69.462185257906455</v>
      </c>
      <c r="AA477">
        <v>0.76046088538508183</v>
      </c>
      <c r="AB477">
        <v>65.5</v>
      </c>
      <c r="AC477">
        <v>0.67020216077934069</v>
      </c>
      <c r="AD477">
        <v>1.5293969161513159</v>
      </c>
      <c r="AE477">
        <v>-0.48850932842763944</v>
      </c>
      <c r="AF477">
        <v>6.9299246489839383E-3</v>
      </c>
      <c r="AG477">
        <v>1.5347239216998678</v>
      </c>
      <c r="AH477">
        <v>-0.48966277267082026</v>
      </c>
      <c r="AI477">
        <v>8.6507854516858045E-4</v>
      </c>
    </row>
    <row r="478" spans="23:35" x14ac:dyDescent="0.25">
      <c r="W478">
        <v>476</v>
      </c>
      <c r="X478">
        <v>70.803313704431019</v>
      </c>
      <c r="Y478">
        <v>0.19668629556898054</v>
      </c>
      <c r="Z478">
        <v>70.802883326084157</v>
      </c>
      <c r="AA478">
        <v>0.46937537901758641</v>
      </c>
      <c r="AB478">
        <v>65.5</v>
      </c>
      <c r="AC478">
        <v>-9.743972564826138E-2</v>
      </c>
      <c r="AD478">
        <v>5.469857251721745E-2</v>
      </c>
      <c r="AE478">
        <v>-0.48719212187859634</v>
      </c>
      <c r="AF478">
        <v>2.1833685518304179E-3</v>
      </c>
      <c r="AG478">
        <v>5.4758384049553507E-2</v>
      </c>
      <c r="AH478">
        <v>-0.48883242868963805</v>
      </c>
      <c r="AI478">
        <v>3.4532176980295561E-7</v>
      </c>
    </row>
    <row r="479" spans="23:35" x14ac:dyDescent="0.25">
      <c r="W479">
        <v>477</v>
      </c>
      <c r="X479">
        <v>69.008866329086459</v>
      </c>
      <c r="Y479">
        <v>0.99113367091354121</v>
      </c>
      <c r="Z479">
        <v>68.995316205585482</v>
      </c>
      <c r="AA479">
        <v>0.46088538508186777</v>
      </c>
      <c r="AB479">
        <v>65.5</v>
      </c>
      <c r="AC479">
        <v>-0.10660788786182936</v>
      </c>
      <c r="AD479">
        <v>0.27563484693170615</v>
      </c>
      <c r="AE479">
        <v>-0.48579877675210065</v>
      </c>
      <c r="AF479">
        <v>1.3486953384052676E-2</v>
      </c>
      <c r="AG479">
        <v>0.27751259946075502</v>
      </c>
      <c r="AH479">
        <v>-0.48814133125453008</v>
      </c>
      <c r="AI479">
        <v>5.5414425265109235E-5</v>
      </c>
    </row>
    <row r="480" spans="23:35" x14ac:dyDescent="0.25">
      <c r="W480">
        <v>478</v>
      </c>
      <c r="X480">
        <v>73.032490077942612</v>
      </c>
      <c r="Y480">
        <v>-3.1324900779426059</v>
      </c>
      <c r="Z480">
        <v>73.04113712879554</v>
      </c>
      <c r="AA480">
        <v>0.45724681625227409</v>
      </c>
      <c r="AB480">
        <v>65.5</v>
      </c>
      <c r="AC480">
        <v>-0.11731546960548965</v>
      </c>
      <c r="AD480">
        <v>-0.87114730180942146</v>
      </c>
      <c r="AE480">
        <v>-0.48412525115657373</v>
      </c>
      <c r="AF480">
        <v>2.7528409293752229E-3</v>
      </c>
      <c r="AG480">
        <v>-0.87234884810262725</v>
      </c>
      <c r="AH480">
        <v>-0.48514801074491309</v>
      </c>
      <c r="AI480">
        <v>1.105617977866643E-4</v>
      </c>
    </row>
    <row r="481" spans="23:35" x14ac:dyDescent="0.25">
      <c r="W481">
        <v>479</v>
      </c>
      <c r="X481">
        <v>72.456300214140185</v>
      </c>
      <c r="Y481">
        <v>0.54369978585981471</v>
      </c>
      <c r="Z481">
        <v>72.454701396215285</v>
      </c>
      <c r="AA481">
        <v>0.60946027895694366</v>
      </c>
      <c r="AB481">
        <v>65.599999999999994</v>
      </c>
      <c r="AC481">
        <v>0.22222871718700732</v>
      </c>
      <c r="AD481">
        <v>0.15120322480230247</v>
      </c>
      <c r="AE481">
        <v>-0.47991793683785622</v>
      </c>
      <c r="AF481">
        <v>2.9320044353791513E-3</v>
      </c>
      <c r="AG481">
        <v>0.15142537769968076</v>
      </c>
      <c r="AH481">
        <v>-0.48056610957060858</v>
      </c>
      <c r="AI481">
        <v>3.5488167715334823E-6</v>
      </c>
    </row>
    <row r="482" spans="23:35" x14ac:dyDescent="0.25">
      <c r="W482">
        <v>480</v>
      </c>
      <c r="X482">
        <v>69.454539579999164</v>
      </c>
      <c r="Y482">
        <v>-0.55453957999915815</v>
      </c>
      <c r="Z482">
        <v>69.456114888306857</v>
      </c>
      <c r="AA482">
        <v>0.41479684657368104</v>
      </c>
      <c r="AB482">
        <v>65.599999999999994</v>
      </c>
      <c r="AC482">
        <v>-0.22378708008709278</v>
      </c>
      <c r="AD482">
        <v>-0.15421777781977308</v>
      </c>
      <c r="AE482">
        <v>-0.47601025110260409</v>
      </c>
      <c r="AF482">
        <v>2.8327029914359744E-3</v>
      </c>
      <c r="AG482">
        <v>-0.15443666955143454</v>
      </c>
      <c r="AH482">
        <v>-0.47643916992541907</v>
      </c>
      <c r="AI482">
        <v>3.5659912081778889E-6</v>
      </c>
    </row>
    <row r="483" spans="23:35" x14ac:dyDescent="0.25">
      <c r="W483">
        <v>481</v>
      </c>
      <c r="X483">
        <v>69.032429662115931</v>
      </c>
      <c r="Y483">
        <v>-3.2429662115930569E-2</v>
      </c>
      <c r="Z483">
        <v>69.032526136467993</v>
      </c>
      <c r="AA483">
        <v>0.42086112795633718</v>
      </c>
      <c r="AB483">
        <v>65.599999999999994</v>
      </c>
      <c r="AC483">
        <v>-0.21444491222324932</v>
      </c>
      <c r="AD483">
        <v>-9.0187077845236673E-3</v>
      </c>
      <c r="AE483">
        <v>-0.47524105063499156</v>
      </c>
      <c r="AF483">
        <v>2.9660563023976411E-3</v>
      </c>
      <c r="AG483">
        <v>-9.0321126090352217E-3</v>
      </c>
      <c r="AH483">
        <v>-0.47579466828175476</v>
      </c>
      <c r="AI483">
        <v>1.2773047666176042E-8</v>
      </c>
    </row>
    <row r="484" spans="23:35" x14ac:dyDescent="0.25">
      <c r="W484">
        <v>482</v>
      </c>
      <c r="X484">
        <v>65.425127731176318</v>
      </c>
      <c r="Y484">
        <v>-7.5251277311763189</v>
      </c>
      <c r="Z484">
        <v>65.54522629742354</v>
      </c>
      <c r="AA484">
        <v>0.12734990903577925</v>
      </c>
      <c r="AB484">
        <v>65.599999999999994</v>
      </c>
      <c r="AC484">
        <v>-1.1463081367501964</v>
      </c>
      <c r="AD484">
        <v>-2.0927423728955912</v>
      </c>
      <c r="AE484">
        <v>-0.47068214831115512</v>
      </c>
      <c r="AF484">
        <v>1.5708961589233968E-2</v>
      </c>
      <c r="AG484">
        <v>-2.1093760091151355</v>
      </c>
      <c r="AH484">
        <v>-0.47360673991397956</v>
      </c>
      <c r="AI484">
        <v>3.7374754647174061E-3</v>
      </c>
    </row>
    <row r="485" spans="23:35" x14ac:dyDescent="0.25">
      <c r="W485">
        <v>483</v>
      </c>
      <c r="X485">
        <v>58.410606954093055</v>
      </c>
      <c r="Y485">
        <v>4.4893930459069438</v>
      </c>
      <c r="Z485">
        <v>58.371849467974798</v>
      </c>
      <c r="AA485">
        <v>0.21710127349909036</v>
      </c>
      <c r="AB485">
        <v>65.599999999999994</v>
      </c>
      <c r="AC485">
        <v>-0.78926429572475043</v>
      </c>
      <c r="AD485">
        <v>1.2485028017303335</v>
      </c>
      <c r="AE485">
        <v>-0.46987384012570527</v>
      </c>
      <c r="AF485">
        <v>8.5592309363721163E-3</v>
      </c>
      <c r="AG485">
        <v>1.2538804598248807</v>
      </c>
      <c r="AH485">
        <v>-0.47160105457004381</v>
      </c>
      <c r="AI485">
        <v>7.1437564306016713E-4</v>
      </c>
    </row>
    <row r="486" spans="23:35" x14ac:dyDescent="0.25">
      <c r="W486">
        <v>484</v>
      </c>
      <c r="X486">
        <v>56.626487696115092</v>
      </c>
      <c r="Y486">
        <v>5.4735123038849096</v>
      </c>
      <c r="Z486">
        <v>56.544600967281724</v>
      </c>
      <c r="AA486">
        <v>0.20133414190418436</v>
      </c>
      <c r="AB486">
        <v>65.599999999999994</v>
      </c>
      <c r="AC486">
        <v>-0.84444052159937644</v>
      </c>
      <c r="AD486">
        <v>1.5221869363690843</v>
      </c>
      <c r="AE486">
        <v>-0.46881284466875733</v>
      </c>
      <c r="AF486">
        <v>1.47400264771438E-2</v>
      </c>
      <c r="AG486">
        <v>1.5335310387088927</v>
      </c>
      <c r="AH486">
        <v>-0.47081919531884908</v>
      </c>
      <c r="AI486">
        <v>1.8517355484270579E-3</v>
      </c>
    </row>
    <row r="487" spans="23:35" x14ac:dyDescent="0.25">
      <c r="W487">
        <v>485</v>
      </c>
      <c r="X487">
        <v>57.781043819375867</v>
      </c>
      <c r="Y487">
        <v>3.6189561806241315</v>
      </c>
      <c r="Z487">
        <v>57.752318845258813</v>
      </c>
      <c r="AA487">
        <v>0.18617343844754397</v>
      </c>
      <c r="AB487">
        <v>65.599999999999994</v>
      </c>
      <c r="AC487">
        <v>-0.90460220385671419</v>
      </c>
      <c r="AD487">
        <v>1.0064338062286449</v>
      </c>
      <c r="AE487">
        <v>-0.46862637090082171</v>
      </c>
      <c r="AF487">
        <v>7.8748588208486289E-3</v>
      </c>
      <c r="AG487">
        <v>1.0104201275968969</v>
      </c>
      <c r="AH487">
        <v>-0.47016683664416881</v>
      </c>
      <c r="AI487">
        <v>4.2650752512808719E-4</v>
      </c>
    </row>
    <row r="488" spans="23:35" x14ac:dyDescent="0.25">
      <c r="W488">
        <v>486</v>
      </c>
      <c r="X488">
        <v>57.644064579051999</v>
      </c>
      <c r="Y488">
        <v>9.3559354209480006</v>
      </c>
      <c r="Z488">
        <v>57.567885712826318</v>
      </c>
      <c r="AA488">
        <v>0.33959975742874471</v>
      </c>
      <c r="AB488">
        <v>65.7</v>
      </c>
      <c r="AC488">
        <v>-0.42600652312983872</v>
      </c>
      <c r="AD488">
        <v>2.6018910499519157</v>
      </c>
      <c r="AE488">
        <v>-0.46859736303375826</v>
      </c>
      <c r="AF488">
        <v>8.0765418978517613E-3</v>
      </c>
      <c r="AG488">
        <v>2.6124622684307339</v>
      </c>
      <c r="AH488">
        <v>-0.47002183559237776</v>
      </c>
      <c r="AI488">
        <v>2.9247836192521403E-3</v>
      </c>
    </row>
    <row r="489" spans="23:35" x14ac:dyDescent="0.25">
      <c r="W489">
        <v>487</v>
      </c>
      <c r="X489">
        <v>57.374078943138727</v>
      </c>
      <c r="Y489">
        <v>4.625921056861273</v>
      </c>
      <c r="Z489">
        <v>57.337087790878527</v>
      </c>
      <c r="AA489">
        <v>0.19890842935112188</v>
      </c>
      <c r="AB489">
        <v>65.7</v>
      </c>
      <c r="AC489">
        <v>-0.85973834429501084</v>
      </c>
      <c r="AD489">
        <v>1.2864713205140825</v>
      </c>
      <c r="AE489">
        <v>-0.46820988901929106</v>
      </c>
      <c r="AF489">
        <v>7.9330578405145055E-3</v>
      </c>
      <c r="AG489">
        <v>1.291604709085163</v>
      </c>
      <c r="AH489">
        <v>-0.46904500897628698</v>
      </c>
      <c r="AI489">
        <v>7.021101979540307E-4</v>
      </c>
    </row>
    <row r="490" spans="23:35" x14ac:dyDescent="0.25">
      <c r="W490">
        <v>488</v>
      </c>
      <c r="X490">
        <v>57.352531670954285</v>
      </c>
      <c r="Y490">
        <v>2.3474683290457179</v>
      </c>
      <c r="Z490">
        <v>57.333105279349077</v>
      </c>
      <c r="AA490">
        <v>0.16919345057610674</v>
      </c>
      <c r="AB490">
        <v>65.7</v>
      </c>
      <c r="AC490">
        <v>-0.96823093621551704</v>
      </c>
      <c r="AD490">
        <v>0.65283229955971056</v>
      </c>
      <c r="AE490">
        <v>-0.46779361703013811</v>
      </c>
      <c r="AF490">
        <v>8.2075435952907727E-3</v>
      </c>
      <c r="AG490">
        <v>0.65552797941796592</v>
      </c>
      <c r="AH490">
        <v>-0.46894723531655086</v>
      </c>
      <c r="AI490">
        <v>1.8716354513410893E-4</v>
      </c>
    </row>
    <row r="491" spans="23:35" x14ac:dyDescent="0.25">
      <c r="W491">
        <v>489</v>
      </c>
      <c r="X491">
        <v>58.450134502432576</v>
      </c>
      <c r="Y491">
        <v>0.94986549756742278</v>
      </c>
      <c r="Z491">
        <v>58.432478831323671</v>
      </c>
      <c r="AA491">
        <v>0.16312916919345058</v>
      </c>
      <c r="AB491">
        <v>65.7</v>
      </c>
      <c r="AC491">
        <v>-0.99032898964496086</v>
      </c>
      <c r="AD491">
        <v>0.26415814406384375</v>
      </c>
      <c r="AE491">
        <v>-0.46680359397752691</v>
      </c>
      <c r="AF491">
        <v>1.8248356398301614E-2</v>
      </c>
      <c r="AG491">
        <v>0.26660186681560738</v>
      </c>
      <c r="AH491">
        <v>-0.46810971553752295</v>
      </c>
      <c r="AI491">
        <v>6.9533627806749756E-5</v>
      </c>
    </row>
    <row r="492" spans="23:35" x14ac:dyDescent="0.25">
      <c r="W492">
        <v>490</v>
      </c>
      <c r="X492">
        <v>52.869891017179079</v>
      </c>
      <c r="Y492">
        <v>6.2301089828209228</v>
      </c>
      <c r="Z492">
        <v>52.78248865169018</v>
      </c>
      <c r="AA492">
        <v>0.15342631898120074</v>
      </c>
      <c r="AB492">
        <v>65.8</v>
      </c>
      <c r="AC492">
        <v>-1.0334469496720613</v>
      </c>
      <c r="AD492">
        <v>1.7325969102279555</v>
      </c>
      <c r="AE492">
        <v>-0.4653351348776964</v>
      </c>
      <c r="AF492">
        <v>1.383493604839863E-2</v>
      </c>
      <c r="AG492">
        <v>1.7447079059850026</v>
      </c>
      <c r="AH492">
        <v>-0.46620079254697061</v>
      </c>
      <c r="AI492">
        <v>2.2476019489691542E-3</v>
      </c>
    </row>
    <row r="493" spans="23:35" x14ac:dyDescent="0.25">
      <c r="W493">
        <v>491</v>
      </c>
      <c r="X493">
        <v>52.423190609619716</v>
      </c>
      <c r="Y493">
        <v>6.3768093903802807</v>
      </c>
      <c r="Z493">
        <v>52.33823516464318</v>
      </c>
      <c r="AA493">
        <v>0.14675560946027896</v>
      </c>
      <c r="AB493">
        <v>65.8</v>
      </c>
      <c r="AC493">
        <v>-1.0570712344634026</v>
      </c>
      <c r="AD493">
        <v>1.7733943783890083</v>
      </c>
      <c r="AE493">
        <v>-0.46316959973456584</v>
      </c>
      <c r="AF493">
        <v>1.3147405877677064E-2</v>
      </c>
      <c r="AG493">
        <v>1.7851683723764424</v>
      </c>
      <c r="AH493">
        <v>-0.46428879075929619</v>
      </c>
      <c r="AI493">
        <v>2.2345627258218066E-3</v>
      </c>
    </row>
    <row r="494" spans="23:35" x14ac:dyDescent="0.25">
      <c r="W494">
        <v>492</v>
      </c>
      <c r="X494">
        <v>50.971994443195804</v>
      </c>
      <c r="Y494">
        <v>7.5280055568041959</v>
      </c>
      <c r="Z494">
        <v>50.769575588672339</v>
      </c>
      <c r="AA494">
        <v>0.14190418435415403</v>
      </c>
      <c r="AB494">
        <v>65.8</v>
      </c>
      <c r="AC494">
        <v>-1.0758617643853021</v>
      </c>
      <c r="AD494">
        <v>2.0935426978665959</v>
      </c>
      <c r="AE494">
        <v>-0.46297424955399696</v>
      </c>
      <c r="AF494">
        <v>2.6184701350530516E-2</v>
      </c>
      <c r="AG494">
        <v>2.1215023943355344</v>
      </c>
      <c r="AH494">
        <v>-0.46423638876866502</v>
      </c>
      <c r="AI494">
        <v>6.3694874087574889E-3</v>
      </c>
    </row>
    <row r="495" spans="23:35" x14ac:dyDescent="0.25">
      <c r="W495">
        <v>493</v>
      </c>
      <c r="X495">
        <v>79.345362264941613</v>
      </c>
      <c r="Y495">
        <v>-2.0453622649416161</v>
      </c>
      <c r="Z495">
        <v>79.362556028091788</v>
      </c>
      <c r="AA495">
        <v>0.84414796846573681</v>
      </c>
      <c r="AB495">
        <v>65.8</v>
      </c>
      <c r="AC495">
        <v>1.0003070916314494</v>
      </c>
      <c r="AD495">
        <v>-0.56881642846159486</v>
      </c>
      <c r="AE495">
        <v>-0.46247351632332806</v>
      </c>
      <c r="AF495">
        <v>8.3361435597365911E-3</v>
      </c>
      <c r="AG495">
        <v>-0.57120222281356892</v>
      </c>
      <c r="AH495">
        <v>-0.46350620806653192</v>
      </c>
      <c r="AI495">
        <v>1.4435335340135438E-4</v>
      </c>
    </row>
    <row r="496" spans="23:35" x14ac:dyDescent="0.25">
      <c r="W496">
        <v>494</v>
      </c>
      <c r="X496">
        <v>78.06816837335144</v>
      </c>
      <c r="Y496">
        <v>-1.1681683733514348</v>
      </c>
      <c r="Z496">
        <v>78.077343732580218</v>
      </c>
      <c r="AA496">
        <v>0.83080654942389331</v>
      </c>
      <c r="AB496">
        <v>65.8</v>
      </c>
      <c r="AC496">
        <v>0.94897780985887181</v>
      </c>
      <c r="AD496">
        <v>-0.32486830003707001</v>
      </c>
      <c r="AE496">
        <v>-0.46241601060176418</v>
      </c>
      <c r="AF496">
        <v>7.7932713912395148E-3</v>
      </c>
      <c r="AG496">
        <v>-0.32614164092214343</v>
      </c>
      <c r="AH496">
        <v>-0.46337847907813451</v>
      </c>
      <c r="AI496">
        <v>4.3972032000721123E-5</v>
      </c>
    </row>
    <row r="497" spans="23:35" x14ac:dyDescent="0.25">
      <c r="W497">
        <v>495</v>
      </c>
      <c r="X497">
        <v>78.812541140891</v>
      </c>
      <c r="Y497">
        <v>-2.5125411408910026</v>
      </c>
      <c r="Z497">
        <v>78.832955846480772</v>
      </c>
      <c r="AA497">
        <v>0.8168587022437841</v>
      </c>
      <c r="AB497">
        <v>65.8</v>
      </c>
      <c r="AC497">
        <v>0.89095501331493132</v>
      </c>
      <c r="AD497">
        <v>-0.69873914397518033</v>
      </c>
      <c r="AE497">
        <v>-0.46047185808049779</v>
      </c>
      <c r="AF497">
        <v>8.0596373672043933E-3</v>
      </c>
      <c r="AG497">
        <v>-0.70157207185898141</v>
      </c>
      <c r="AH497">
        <v>-0.46319635952419019</v>
      </c>
      <c r="AI497">
        <v>2.1048488921179592E-4</v>
      </c>
    </row>
    <row r="498" spans="23:35" x14ac:dyDescent="0.25">
      <c r="W498">
        <v>496</v>
      </c>
      <c r="X498">
        <v>78.426342300982455</v>
      </c>
      <c r="Y498">
        <v>-2.3263423009824606</v>
      </c>
      <c r="Z498">
        <v>78.445130461370468</v>
      </c>
      <c r="AA498">
        <v>0.81079442086112796</v>
      </c>
      <c r="AB498">
        <v>65.8</v>
      </c>
      <c r="AC498">
        <v>0.873012700415573</v>
      </c>
      <c r="AD498">
        <v>-0.64695713894073603</v>
      </c>
      <c r="AE498">
        <v>-0.45908980232493041</v>
      </c>
      <c r="AF498">
        <v>8.011562980183148E-3</v>
      </c>
      <c r="AG498">
        <v>-0.64956438445779552</v>
      </c>
      <c r="AH498">
        <v>-0.46284835928286333</v>
      </c>
      <c r="AI498">
        <v>1.7935002823893454E-4</v>
      </c>
    </row>
    <row r="499" spans="23:35" x14ac:dyDescent="0.25">
      <c r="W499">
        <v>497</v>
      </c>
      <c r="X499">
        <v>77.27854233542979</v>
      </c>
      <c r="Y499">
        <v>-1.6785423354297961</v>
      </c>
      <c r="Z499">
        <v>77.287948636126998</v>
      </c>
      <c r="AA499">
        <v>0.78835657974530016</v>
      </c>
      <c r="AB499">
        <v>65.900000000000006</v>
      </c>
      <c r="AC499">
        <v>0.78719041678006285</v>
      </c>
      <c r="AD499">
        <v>-0.46680359397752691</v>
      </c>
      <c r="AE499">
        <v>-0.45850100661141513</v>
      </c>
      <c r="AF499">
        <v>5.5726225880812098E-3</v>
      </c>
      <c r="AG499">
        <v>-0.46810971553752295</v>
      </c>
      <c r="AH499">
        <v>-0.46086605024638216</v>
      </c>
      <c r="AI499">
        <v>6.462912372973961E-5</v>
      </c>
    </row>
    <row r="500" spans="23:35" x14ac:dyDescent="0.25">
      <c r="W500">
        <v>498</v>
      </c>
      <c r="X500">
        <v>76.917887529427148</v>
      </c>
      <c r="Y500">
        <v>-2.0178875294271421</v>
      </c>
      <c r="Z500">
        <v>76.92955558619272</v>
      </c>
      <c r="AA500">
        <v>0.74833232261976956</v>
      </c>
      <c r="AB500">
        <v>65.900000000000006</v>
      </c>
      <c r="AC500">
        <v>0.64941472986293525</v>
      </c>
      <c r="AD500">
        <v>-0.56117568862976064</v>
      </c>
      <c r="AE500">
        <v>-0.45823753475811951</v>
      </c>
      <c r="AF500">
        <v>5.749069818513741E-3</v>
      </c>
      <c r="AG500">
        <v>-0.56279579667904311</v>
      </c>
      <c r="AH500">
        <v>-0.45992128691636874</v>
      </c>
      <c r="AI500">
        <v>9.6393925434389816E-5</v>
      </c>
    </row>
    <row r="501" spans="23:35" x14ac:dyDescent="0.25">
      <c r="W501">
        <v>499</v>
      </c>
      <c r="X501">
        <v>75.836959114150915</v>
      </c>
      <c r="Y501">
        <v>-1.6369591141509119</v>
      </c>
      <c r="Z501">
        <v>75.852540122639738</v>
      </c>
      <c r="AA501">
        <v>0.7010309278350515</v>
      </c>
      <c r="AB501">
        <v>65.900000000000006</v>
      </c>
      <c r="AC501">
        <v>0.5039283835636299</v>
      </c>
      <c r="AD501">
        <v>-0.45523927609740883</v>
      </c>
      <c r="AE501">
        <v>-0.45743010550875274</v>
      </c>
      <c r="AF501">
        <v>9.4285205396015467E-3</v>
      </c>
      <c r="AG501">
        <v>-0.4574006887888275</v>
      </c>
      <c r="AH501">
        <v>-0.45807584443925109</v>
      </c>
      <c r="AI501">
        <v>1.0480880262198773E-4</v>
      </c>
    </row>
    <row r="502" spans="23:35" x14ac:dyDescent="0.25">
      <c r="W502">
        <v>500</v>
      </c>
      <c r="X502">
        <v>76.062184602244585</v>
      </c>
      <c r="Y502">
        <v>-3.0621846022445851</v>
      </c>
      <c r="Z502">
        <v>76.092686507151768</v>
      </c>
      <c r="AA502">
        <v>0.60946027895694366</v>
      </c>
      <c r="AB502">
        <v>65.900000000000006</v>
      </c>
      <c r="AC502">
        <v>0.22222871718700732</v>
      </c>
      <c r="AD502">
        <v>-0.85159530836879582</v>
      </c>
      <c r="AE502">
        <v>-0.45547402614784593</v>
      </c>
      <c r="AF502">
        <v>9.8625919040427647E-3</v>
      </c>
      <c r="AG502">
        <v>-0.85582609762498307</v>
      </c>
      <c r="AH502">
        <v>-0.45754278583808483</v>
      </c>
      <c r="AI502">
        <v>3.8398392624981807E-4</v>
      </c>
    </row>
    <row r="503" spans="23:35" x14ac:dyDescent="0.25">
      <c r="W503">
        <v>501</v>
      </c>
      <c r="X503">
        <v>75.37385681019218</v>
      </c>
      <c r="Y503">
        <v>-2.37385681019218</v>
      </c>
      <c r="Z503">
        <v>75.405516802110398</v>
      </c>
      <c r="AA503">
        <v>0.60946027895694366</v>
      </c>
      <c r="AB503">
        <v>65.900000000000006</v>
      </c>
      <c r="AC503">
        <v>0.22222871718700732</v>
      </c>
      <c r="AD503">
        <v>-0.66017095142375337</v>
      </c>
      <c r="AE503">
        <v>-0.45523927609740883</v>
      </c>
      <c r="AF503">
        <v>1.3161409594163922E-2</v>
      </c>
      <c r="AG503">
        <v>-0.66455870111768978</v>
      </c>
      <c r="AH503">
        <v>-0.4574006887888275</v>
      </c>
      <c r="AI503">
        <v>3.1000548428602304E-4</v>
      </c>
    </row>
    <row r="504" spans="23:35" x14ac:dyDescent="0.25">
      <c r="W504">
        <v>502</v>
      </c>
      <c r="X504">
        <v>74.966814162014416</v>
      </c>
      <c r="Y504">
        <v>-2.1668141620144183</v>
      </c>
      <c r="Z504">
        <v>74.984748084817184</v>
      </c>
      <c r="AA504">
        <v>0.58156458459672533</v>
      </c>
      <c r="AB504">
        <v>65.900000000000006</v>
      </c>
      <c r="AC504">
        <v>0.18343432307636306</v>
      </c>
      <c r="AD504">
        <v>-0.60259227125822945</v>
      </c>
      <c r="AE504">
        <v>-0.45267668851332937</v>
      </c>
      <c r="AF504">
        <v>8.2086913943971093E-3</v>
      </c>
      <c r="AG504">
        <v>-0.60508084975728549</v>
      </c>
      <c r="AH504">
        <v>-0.45453383724784496</v>
      </c>
      <c r="AI504">
        <v>1.5948757177622268E-4</v>
      </c>
    </row>
    <row r="505" spans="23:35" x14ac:dyDescent="0.25">
      <c r="W505">
        <v>503</v>
      </c>
      <c r="X505">
        <v>75.042173813040336</v>
      </c>
      <c r="Y505">
        <v>-2.7421738130403384</v>
      </c>
      <c r="Z505">
        <v>75.08970240452453</v>
      </c>
      <c r="AA505">
        <v>0.54578532443905392</v>
      </c>
      <c r="AB505">
        <v>65.900000000000006</v>
      </c>
      <c r="AC505">
        <v>9.896716322379942E-2</v>
      </c>
      <c r="AD505">
        <v>-0.76260012286823031</v>
      </c>
      <c r="AE505">
        <v>-0.45046669706590259</v>
      </c>
      <c r="AF505">
        <v>1.7037154718408033E-2</v>
      </c>
      <c r="AG505">
        <v>-0.76918059581867482</v>
      </c>
      <c r="AH505">
        <v>-0.45379405883138146</v>
      </c>
      <c r="AI505">
        <v>5.397131546954479E-4</v>
      </c>
    </row>
    <row r="506" spans="23:35" x14ac:dyDescent="0.25">
      <c r="W506">
        <v>504</v>
      </c>
      <c r="X506">
        <v>61.616130501145918</v>
      </c>
      <c r="Y506">
        <v>2.5838694988540851</v>
      </c>
      <c r="Z506">
        <v>61.595551035856801</v>
      </c>
      <c r="AA506">
        <v>0.24560339599757428</v>
      </c>
      <c r="AB506">
        <v>65.900000000000006</v>
      </c>
      <c r="AC506">
        <v>-0.69708605805955215</v>
      </c>
      <c r="AD506">
        <v>0.71857560156512656</v>
      </c>
      <c r="AE506">
        <v>-0.450424793695481</v>
      </c>
      <c r="AF506">
        <v>7.9016581136524336E-3</v>
      </c>
      <c r="AG506">
        <v>0.72143150691079239</v>
      </c>
      <c r="AH506">
        <v>-0.45167313182800556</v>
      </c>
      <c r="AI506">
        <v>2.1817255647171377E-4</v>
      </c>
    </row>
    <row r="507" spans="23:35" x14ac:dyDescent="0.25">
      <c r="W507">
        <v>505</v>
      </c>
      <c r="X507">
        <v>60.545712517168965</v>
      </c>
      <c r="Y507">
        <v>3.1542874828310374</v>
      </c>
      <c r="Z507">
        <v>60.497000098207785</v>
      </c>
      <c r="AA507">
        <v>0.23408126137052759</v>
      </c>
      <c r="AB507">
        <v>66</v>
      </c>
      <c r="AC507">
        <v>-0.73042509746273321</v>
      </c>
      <c r="AD507">
        <v>0.87720917271165155</v>
      </c>
      <c r="AE507">
        <v>-0.44907491754037665</v>
      </c>
      <c r="AF507">
        <v>1.5208373541918386E-2</v>
      </c>
      <c r="AG507">
        <v>0.88395669754727768</v>
      </c>
      <c r="AH507">
        <v>-0.45051851684558691</v>
      </c>
      <c r="AI507">
        <v>6.3510686075793474E-4</v>
      </c>
    </row>
    <row r="508" spans="23:35" x14ac:dyDescent="0.25">
      <c r="W508">
        <v>506</v>
      </c>
      <c r="X508">
        <v>60.107760681942793</v>
      </c>
      <c r="Y508">
        <v>3.1922393180572044</v>
      </c>
      <c r="Z508">
        <v>60.059101399394379</v>
      </c>
      <c r="AA508">
        <v>0.22741055184960582</v>
      </c>
      <c r="AB508">
        <v>66</v>
      </c>
      <c r="AC508">
        <v>-0.75647701124006039</v>
      </c>
      <c r="AD508">
        <v>0.88776360003092514</v>
      </c>
      <c r="AE508">
        <v>-0.44809681610627561</v>
      </c>
      <c r="AF508">
        <v>1.5014132975131957E-2</v>
      </c>
      <c r="AG508">
        <v>0.89450409813942988</v>
      </c>
      <c r="AH508">
        <v>-0.44964640985438886</v>
      </c>
      <c r="AI508">
        <v>6.4192062095012187E-4</v>
      </c>
    </row>
    <row r="509" spans="23:35" x14ac:dyDescent="0.25">
      <c r="W509">
        <v>507</v>
      </c>
      <c r="X509">
        <v>59.557634117311238</v>
      </c>
      <c r="Y509">
        <v>3.0423658826887632</v>
      </c>
      <c r="Z509">
        <v>59.512389000738672</v>
      </c>
      <c r="AA509">
        <v>0.20921770770163736</v>
      </c>
      <c r="AB509">
        <v>66</v>
      </c>
      <c r="AC509">
        <v>-0.81230589119800856</v>
      </c>
      <c r="AD509">
        <v>0.84608371100159485</v>
      </c>
      <c r="AE509">
        <v>-0.44798996816059466</v>
      </c>
      <c r="AF509">
        <v>1.4653761948441306E-2</v>
      </c>
      <c r="AG509">
        <v>0.85235183913481016</v>
      </c>
      <c r="AH509">
        <v>-0.44834537711872874</v>
      </c>
      <c r="AI509">
        <v>5.6864925365112155E-4</v>
      </c>
    </row>
    <row r="510" spans="23:35" x14ac:dyDescent="0.25">
      <c r="W510">
        <v>508</v>
      </c>
      <c r="X510">
        <v>59.116591742819644</v>
      </c>
      <c r="Y510">
        <v>2.6834082571803535</v>
      </c>
      <c r="Z510">
        <v>59.054733929066579</v>
      </c>
      <c r="AA510">
        <v>0.19345057610673136</v>
      </c>
      <c r="AB510">
        <v>66</v>
      </c>
      <c r="AC510">
        <v>-0.873012700415573</v>
      </c>
      <c r="AD510">
        <v>0.74625738780667827</v>
      </c>
      <c r="AE510">
        <v>-0.44466686304093617</v>
      </c>
      <c r="AF510">
        <v>2.2532538615476209E-2</v>
      </c>
      <c r="AG510">
        <v>0.7548097284559232</v>
      </c>
      <c r="AH510">
        <v>-0.44716677939776289</v>
      </c>
      <c r="AI510">
        <v>6.912405257149673E-4</v>
      </c>
    </row>
    <row r="511" spans="23:35" x14ac:dyDescent="0.25">
      <c r="W511">
        <v>509</v>
      </c>
      <c r="X511">
        <v>58.146639250323773</v>
      </c>
      <c r="Y511">
        <v>9.8533607496762272</v>
      </c>
      <c r="Z511">
        <v>57.912338614732981</v>
      </c>
      <c r="AA511">
        <v>0.38447543966040026</v>
      </c>
      <c r="AB511">
        <v>66</v>
      </c>
      <c r="AC511">
        <v>-0.31204933220437475</v>
      </c>
      <c r="AD511">
        <v>2.7402253214710988</v>
      </c>
      <c r="AE511">
        <v>-0.44441091027500795</v>
      </c>
      <c r="AF511">
        <v>2.3226457217624969E-2</v>
      </c>
      <c r="AG511">
        <v>2.7726134862042606</v>
      </c>
      <c r="AH511">
        <v>-0.4456575522181272</v>
      </c>
      <c r="AI511">
        <v>9.6208655403083893E-3</v>
      </c>
    </row>
    <row r="512" spans="23:35" x14ac:dyDescent="0.25">
      <c r="W512">
        <v>510</v>
      </c>
      <c r="X512">
        <v>56.79087202990592</v>
      </c>
      <c r="Y512">
        <v>3.0091279700940774</v>
      </c>
      <c r="Z512">
        <v>56.717049535294926</v>
      </c>
      <c r="AA512">
        <v>0.17101273499090358</v>
      </c>
      <c r="AB512">
        <v>66</v>
      </c>
      <c r="AC512">
        <v>-0.95615619123390583</v>
      </c>
      <c r="AD512">
        <v>0.83684022829161753</v>
      </c>
      <c r="AE512">
        <v>-0.44246694692258109</v>
      </c>
      <c r="AF512">
        <v>2.3945404071892967E-2</v>
      </c>
      <c r="AG512">
        <v>0.8470430704577766</v>
      </c>
      <c r="AH512">
        <v>-0.44536184153736091</v>
      </c>
      <c r="AI512">
        <v>9.2641471809834931E-4</v>
      </c>
    </row>
    <row r="513" spans="23:35" x14ac:dyDescent="0.25">
      <c r="W513">
        <v>511</v>
      </c>
      <c r="X513">
        <v>58.891431469294808</v>
      </c>
      <c r="Y513">
        <v>-0.39143146929480821</v>
      </c>
      <c r="Z513">
        <v>58.899002746541264</v>
      </c>
      <c r="AA513">
        <v>0.14190418435415403</v>
      </c>
      <c r="AB513">
        <v>66</v>
      </c>
      <c r="AC513">
        <v>-1.0758617643853021</v>
      </c>
      <c r="AD513">
        <v>-0.10885731792754216</v>
      </c>
      <c r="AE513">
        <v>-0.43774474993203072</v>
      </c>
      <c r="AF513">
        <v>1.8975501577586464E-2</v>
      </c>
      <c r="AG513">
        <v>-0.10990506396678719</v>
      </c>
      <c r="AH513">
        <v>-0.44006240152794474</v>
      </c>
      <c r="AI513">
        <v>1.2296887994678925E-5</v>
      </c>
    </row>
    <row r="514" spans="23:35" x14ac:dyDescent="0.25">
      <c r="W514">
        <v>512</v>
      </c>
      <c r="X514">
        <v>77.290764603584975</v>
      </c>
      <c r="Y514">
        <v>-7.5907646035849723</v>
      </c>
      <c r="Z514">
        <v>77.342382342586419</v>
      </c>
      <c r="AA514">
        <v>0.45057610673135234</v>
      </c>
      <c r="AB514">
        <v>66</v>
      </c>
      <c r="AC514">
        <v>-0.12956927093944987</v>
      </c>
      <c r="AD514">
        <v>-2.1109960250621649</v>
      </c>
      <c r="AE514">
        <v>-0.43284709963876739</v>
      </c>
      <c r="AF514">
        <v>6.7541424502937548E-3</v>
      </c>
      <c r="AG514">
        <v>-2.1181613260913394</v>
      </c>
      <c r="AH514">
        <v>-0.43391033492525694</v>
      </c>
      <c r="AI514">
        <v>1.6057499650965459E-3</v>
      </c>
    </row>
    <row r="515" spans="23:35" x14ac:dyDescent="0.25">
      <c r="W515">
        <v>513</v>
      </c>
      <c r="X515">
        <v>74.282328272672274</v>
      </c>
      <c r="Y515">
        <v>-4.6823282726722795</v>
      </c>
      <c r="Z515">
        <v>74.312893649667316</v>
      </c>
      <c r="AA515">
        <v>0.44815039417828989</v>
      </c>
      <c r="AB515">
        <v>66</v>
      </c>
      <c r="AC515">
        <v>-0.14337818601426075</v>
      </c>
      <c r="AD515">
        <v>-1.3021581998444758</v>
      </c>
      <c r="AE515">
        <v>-0.43252338442305077</v>
      </c>
      <c r="AF515">
        <v>6.485479891360597E-3</v>
      </c>
      <c r="AG515">
        <v>-1.3064014108906874</v>
      </c>
      <c r="AH515">
        <v>-0.43377304847852194</v>
      </c>
      <c r="AI515">
        <v>5.8636437833062412E-4</v>
      </c>
    </row>
    <row r="516" spans="23:35" x14ac:dyDescent="0.25">
      <c r="W516">
        <v>514</v>
      </c>
      <c r="X516">
        <v>72.233678478067503</v>
      </c>
      <c r="Y516">
        <v>-2.8336784780674975</v>
      </c>
      <c r="Z516">
        <v>72.263077888849296</v>
      </c>
      <c r="AA516">
        <v>0.43784111582777441</v>
      </c>
      <c r="AB516">
        <v>66.099999999999994</v>
      </c>
      <c r="AC516">
        <v>-0.16799678341230881</v>
      </c>
      <c r="AD516">
        <v>-0.78804762311817211</v>
      </c>
      <c r="AE516">
        <v>-0.43035182070425965</v>
      </c>
      <c r="AF516">
        <v>1.0268463493882048E-2</v>
      </c>
      <c r="AG516">
        <v>-0.79212507109675068</v>
      </c>
      <c r="AH516">
        <v>-0.43357215255303555</v>
      </c>
      <c r="AI516">
        <v>3.4262730639996874E-4</v>
      </c>
    </row>
    <row r="517" spans="23:35" x14ac:dyDescent="0.25">
      <c r="W517">
        <v>515</v>
      </c>
      <c r="X517">
        <v>73.782302909473771</v>
      </c>
      <c r="Y517">
        <v>-4.5823029094737677</v>
      </c>
      <c r="Z517">
        <v>73.809503044371212</v>
      </c>
      <c r="AA517">
        <v>0.42874469375379015</v>
      </c>
      <c r="AB517">
        <v>66.099999999999994</v>
      </c>
      <c r="AC517">
        <v>-0.1880739545732803</v>
      </c>
      <c r="AD517">
        <v>-1.2743410885066095</v>
      </c>
      <c r="AE517">
        <v>-0.4272998283680009</v>
      </c>
      <c r="AF517">
        <v>5.9008822937321095E-3</v>
      </c>
      <c r="AG517">
        <v>-1.2781176790447006</v>
      </c>
      <c r="AH517">
        <v>-0.42912476187827231</v>
      </c>
      <c r="AI517">
        <v>5.1035849331255089E-4</v>
      </c>
    </row>
    <row r="518" spans="23:35" x14ac:dyDescent="0.25">
      <c r="W518">
        <v>516</v>
      </c>
      <c r="X518">
        <v>76.642212518377718</v>
      </c>
      <c r="Y518">
        <v>-7.542212518377724</v>
      </c>
      <c r="Z518">
        <v>76.678525009063705</v>
      </c>
      <c r="AA518">
        <v>0.42510612492419647</v>
      </c>
      <c r="AB518">
        <v>66.099999999999994</v>
      </c>
      <c r="AC518">
        <v>-0.198915705174462</v>
      </c>
      <c r="AD518">
        <v>-2.0974936620943319</v>
      </c>
      <c r="AE518">
        <v>-0.4264774300965592</v>
      </c>
      <c r="AF518">
        <v>4.7914984304411757E-3</v>
      </c>
      <c r="AG518">
        <v>-2.1025368615046625</v>
      </c>
      <c r="AH518">
        <v>-0.42749135975805513</v>
      </c>
      <c r="AI518">
        <v>1.120187982115233E-3</v>
      </c>
    </row>
    <row r="519" spans="23:35" x14ac:dyDescent="0.25">
      <c r="W519">
        <v>517</v>
      </c>
      <c r="X519">
        <v>76.150767558146171</v>
      </c>
      <c r="Y519">
        <v>-7.2507675581461655</v>
      </c>
      <c r="Z519">
        <v>76.182078953998584</v>
      </c>
      <c r="AA519">
        <v>0.41479684657368104</v>
      </c>
      <c r="AB519">
        <v>66.099999999999994</v>
      </c>
      <c r="AC519">
        <v>-0.22378708008709278</v>
      </c>
      <c r="AD519">
        <v>-2.0164426501471753</v>
      </c>
      <c r="AE519">
        <v>-0.42246952629446555</v>
      </c>
      <c r="AF519">
        <v>4.2997880207292609E-3</v>
      </c>
      <c r="AG519">
        <v>-2.0207918185359195</v>
      </c>
      <c r="AH519">
        <v>-0.42319797342259291</v>
      </c>
      <c r="AI519">
        <v>9.2812825629208875E-4</v>
      </c>
    </row>
    <row r="520" spans="23:35" x14ac:dyDescent="0.25">
      <c r="W520">
        <v>518</v>
      </c>
      <c r="X520">
        <v>75.854420863986334</v>
      </c>
      <c r="Y520">
        <v>-7.1544208639863314</v>
      </c>
      <c r="Z520">
        <v>75.8883491107553</v>
      </c>
      <c r="AA520">
        <v>0.40873256519102485</v>
      </c>
      <c r="AB520">
        <v>66.099999999999994</v>
      </c>
      <c r="AC520">
        <v>-0.23783731322627524</v>
      </c>
      <c r="AD520">
        <v>-1.9896485787958869</v>
      </c>
      <c r="AE520">
        <v>-0.4201482777271483</v>
      </c>
      <c r="AF520">
        <v>4.7198941295444469E-3</v>
      </c>
      <c r="AG520">
        <v>-1.9943607313416341</v>
      </c>
      <c r="AH520">
        <v>-0.42158033578761578</v>
      </c>
      <c r="AI520">
        <v>9.9275197966435923E-4</v>
      </c>
    </row>
    <row r="521" spans="23:35" x14ac:dyDescent="0.25">
      <c r="W521">
        <v>519</v>
      </c>
      <c r="X521">
        <v>75.583941808097407</v>
      </c>
      <c r="Y521">
        <v>-6.9839418080974127</v>
      </c>
      <c r="Z521">
        <v>75.615199419676799</v>
      </c>
      <c r="AA521">
        <v>0.40570042449969679</v>
      </c>
      <c r="AB521">
        <v>66.2</v>
      </c>
      <c r="AC521">
        <v>-0.24253103988010652</v>
      </c>
      <c r="AD521">
        <v>-1.9422382547861168</v>
      </c>
      <c r="AE521">
        <v>-0.41698354994938275</v>
      </c>
      <c r="AF521">
        <v>4.4556982217379866E-3</v>
      </c>
      <c r="AG521">
        <v>-1.9465797823567685</v>
      </c>
      <c r="AH521">
        <v>-0.41789020104608426</v>
      </c>
      <c r="AI521">
        <v>8.9257762101895672E-4</v>
      </c>
    </row>
    <row r="522" spans="23:35" x14ac:dyDescent="0.25">
      <c r="W522">
        <v>520</v>
      </c>
      <c r="X522">
        <v>72.330565299907406</v>
      </c>
      <c r="Y522">
        <v>-3.8305652999074056</v>
      </c>
      <c r="Z522">
        <v>72.346674981720653</v>
      </c>
      <c r="AA522">
        <v>0.40388114008489995</v>
      </c>
      <c r="AB522">
        <v>66.2</v>
      </c>
      <c r="AC522">
        <v>-0.25193465741015014</v>
      </c>
      <c r="AD522">
        <v>-1.0652824246488402</v>
      </c>
      <c r="AE522">
        <v>-0.41569996568449802</v>
      </c>
      <c r="AF522">
        <v>4.1879498241488124E-3</v>
      </c>
      <c r="AG522">
        <v>-1.0675201303277413</v>
      </c>
      <c r="AH522">
        <v>-0.41631338122925499</v>
      </c>
      <c r="AI522">
        <v>2.5224504164335332E-4</v>
      </c>
    </row>
    <row r="523" spans="23:35" x14ac:dyDescent="0.25">
      <c r="W523">
        <v>521</v>
      </c>
      <c r="X523">
        <v>72.156327298396036</v>
      </c>
      <c r="Y523">
        <v>-3.8563272983960388</v>
      </c>
      <c r="Z523">
        <v>72.172512605442634</v>
      </c>
      <c r="AA523">
        <v>0.39599757428744692</v>
      </c>
      <c r="AB523">
        <v>66.2</v>
      </c>
      <c r="AC523">
        <v>-0.27396491687072577</v>
      </c>
      <c r="AD523">
        <v>-1.072446851323523</v>
      </c>
      <c r="AE523">
        <v>-0.41529890412902171</v>
      </c>
      <c r="AF523">
        <v>4.1795363103135849E-3</v>
      </c>
      <c r="AG523">
        <v>-1.0746950664337371</v>
      </c>
      <c r="AH523">
        <v>-0.41623633725021991</v>
      </c>
      <c r="AI523">
        <v>2.5513143125326869E-4</v>
      </c>
    </row>
    <row r="524" spans="23:35" x14ac:dyDescent="0.25">
      <c r="W524">
        <v>522</v>
      </c>
      <c r="X524">
        <v>71.521319195607092</v>
      </c>
      <c r="Y524">
        <v>-3.4213191956070972</v>
      </c>
      <c r="Z524">
        <v>71.535027236608315</v>
      </c>
      <c r="AA524">
        <v>0.38932686476652517</v>
      </c>
      <c r="AB524">
        <v>66.2</v>
      </c>
      <c r="AC524">
        <v>-0.29295400660571042</v>
      </c>
      <c r="AD524">
        <v>-0.95147084642625701</v>
      </c>
      <c r="AE524">
        <v>-0.41332763428142483</v>
      </c>
      <c r="AF524">
        <v>3.9906644276726244E-3</v>
      </c>
      <c r="AG524">
        <v>-0.95337504802796857</v>
      </c>
      <c r="AH524">
        <v>-0.41573645357717853</v>
      </c>
      <c r="AI524">
        <v>1.916707147258932E-4</v>
      </c>
    </row>
    <row r="525" spans="23:35" x14ac:dyDescent="0.25">
      <c r="W525">
        <v>523</v>
      </c>
      <c r="X525">
        <v>74.710530059496179</v>
      </c>
      <c r="Y525">
        <v>-6.710530059496179</v>
      </c>
      <c r="Z525">
        <v>74.737725357482944</v>
      </c>
      <c r="AA525">
        <v>0.38447543966040026</v>
      </c>
      <c r="AB525">
        <v>66.2</v>
      </c>
      <c r="AC525">
        <v>-0.31204933220437475</v>
      </c>
      <c r="AD525">
        <v>-1.8662022894197405</v>
      </c>
      <c r="AE525">
        <v>-0.40965074191884271</v>
      </c>
      <c r="AF525">
        <v>4.0362728582530481E-3</v>
      </c>
      <c r="AG525">
        <v>-1.8699799799407228</v>
      </c>
      <c r="AH525">
        <v>-0.41322781095874722</v>
      </c>
      <c r="AI525">
        <v>7.4585998618804451E-4</v>
      </c>
    </row>
    <row r="526" spans="23:35" x14ac:dyDescent="0.25">
      <c r="W526">
        <v>524</v>
      </c>
      <c r="X526">
        <v>74.614637114471378</v>
      </c>
      <c r="Y526">
        <v>-6.7146371144713726</v>
      </c>
      <c r="Z526">
        <v>74.640801252832176</v>
      </c>
      <c r="AA526">
        <v>0.37719830200121285</v>
      </c>
      <c r="AB526">
        <v>66.3</v>
      </c>
      <c r="AC526">
        <v>-0.32163939638952632</v>
      </c>
      <c r="AD526">
        <v>-1.8673444637829466</v>
      </c>
      <c r="AE526">
        <v>-0.4095045920905363</v>
      </c>
      <c r="AF526">
        <v>3.8814582094078864E-3</v>
      </c>
      <c r="AG526">
        <v>-1.8709790576043557</v>
      </c>
      <c r="AH526">
        <v>-0.41120769536895035</v>
      </c>
      <c r="AI526">
        <v>7.179069243177644E-4</v>
      </c>
    </row>
    <row r="527" spans="23:35" x14ac:dyDescent="0.25">
      <c r="W527">
        <v>525</v>
      </c>
      <c r="X527">
        <v>70.93255092782907</v>
      </c>
      <c r="Y527">
        <v>-3.1325509278290724</v>
      </c>
      <c r="Z527">
        <v>70.944456821383241</v>
      </c>
      <c r="AA527">
        <v>0.37355973317161917</v>
      </c>
      <c r="AB527">
        <v>66.3</v>
      </c>
      <c r="AC527">
        <v>-0.337689309602062</v>
      </c>
      <c r="AD527">
        <v>-0.87116422419802986</v>
      </c>
      <c r="AE527">
        <v>-0.40661083566036299</v>
      </c>
      <c r="AF527">
        <v>3.786311668588783E-3</v>
      </c>
      <c r="AG527">
        <v>-0.87281817208811119</v>
      </c>
      <c r="AH527">
        <v>-0.41011748643798468</v>
      </c>
      <c r="AI527">
        <v>1.5239047175171205E-4</v>
      </c>
    </row>
    <row r="528" spans="23:35" x14ac:dyDescent="0.25">
      <c r="W528">
        <v>526</v>
      </c>
      <c r="X528">
        <v>68.141609611063799</v>
      </c>
      <c r="Y528">
        <v>-0.44160961106379659</v>
      </c>
      <c r="Z528">
        <v>68.15381441911228</v>
      </c>
      <c r="AA528">
        <v>0.36749545178896303</v>
      </c>
      <c r="AB528">
        <v>66.3</v>
      </c>
      <c r="AC528">
        <v>-0.35059197017921911</v>
      </c>
      <c r="AD528">
        <v>-0.12281188816534318</v>
      </c>
      <c r="AE528">
        <v>-0.40583745029072393</v>
      </c>
      <c r="AF528">
        <v>2.689383046125457E-2</v>
      </c>
      <c r="AG528">
        <v>-0.12449740393192799</v>
      </c>
      <c r="AH528">
        <v>-0.40734214667531904</v>
      </c>
      <c r="AI528">
        <v>2.2545476920974492E-5</v>
      </c>
    </row>
    <row r="529" spans="23:35" x14ac:dyDescent="0.25">
      <c r="W529">
        <v>527</v>
      </c>
      <c r="X529">
        <v>82.088198703677676</v>
      </c>
      <c r="Y529">
        <v>0.11180129632232649</v>
      </c>
      <c r="Z529">
        <v>82.086983303406853</v>
      </c>
      <c r="AA529">
        <v>0.96846573681018799</v>
      </c>
      <c r="AB529">
        <v>66.400000000000006</v>
      </c>
      <c r="AC529">
        <v>1.8460302671294702</v>
      </c>
      <c r="AD529">
        <v>3.1092005148172355E-2</v>
      </c>
      <c r="AE529">
        <v>-0.40516525703470546</v>
      </c>
      <c r="AF529">
        <v>1.075416560079894E-2</v>
      </c>
      <c r="AG529">
        <v>3.1260550079240342E-2</v>
      </c>
      <c r="AH529">
        <v>-0.40559720858899212</v>
      </c>
      <c r="AI529">
        <v>5.5912913162727562E-7</v>
      </c>
    </row>
    <row r="530" spans="23:35" x14ac:dyDescent="0.25">
      <c r="W530">
        <v>528</v>
      </c>
      <c r="X530">
        <v>82.108054210182743</v>
      </c>
      <c r="Y530">
        <v>-0.1080542101827433</v>
      </c>
      <c r="Z530">
        <v>82.109163259054554</v>
      </c>
      <c r="AA530">
        <v>0.96604002425712554</v>
      </c>
      <c r="AB530">
        <v>66.400000000000006</v>
      </c>
      <c r="AC530">
        <v>1.7539324289023792</v>
      </c>
      <c r="AD530">
        <v>-3.0049938326275404E-2</v>
      </c>
      <c r="AE530">
        <v>-0.39952674742277766</v>
      </c>
      <c r="AF530">
        <v>1.0159543434473719E-2</v>
      </c>
      <c r="AG530">
        <v>-3.0203758205264192E-2</v>
      </c>
      <c r="AH530">
        <v>-0.40091555392878575</v>
      </c>
      <c r="AI530">
        <v>4.9280755816617184E-7</v>
      </c>
    </row>
    <row r="531" spans="23:35" x14ac:dyDescent="0.25">
      <c r="W531">
        <v>529</v>
      </c>
      <c r="X531">
        <v>79.150404045284162</v>
      </c>
      <c r="Y531">
        <v>2.3495959547158378</v>
      </c>
      <c r="Z531">
        <v>79.134866644425472</v>
      </c>
      <c r="AA531">
        <v>0.94966646452395387</v>
      </c>
      <c r="AB531">
        <v>66.400000000000006</v>
      </c>
      <c r="AC531">
        <v>1.6214924498394727</v>
      </c>
      <c r="AD531">
        <v>0.65342399348871505</v>
      </c>
      <c r="AE531">
        <v>-0.39934367529985515</v>
      </c>
      <c r="AF531">
        <v>6.569355094532753E-3</v>
      </c>
      <c r="AG531">
        <v>0.65558091362669402</v>
      </c>
      <c r="AH531">
        <v>-0.40074862579903292</v>
      </c>
      <c r="AI531">
        <v>1.4958367061018919E-4</v>
      </c>
    </row>
    <row r="532" spans="23:35" x14ac:dyDescent="0.25">
      <c r="W532">
        <v>530</v>
      </c>
      <c r="X532">
        <v>77.09126684437696</v>
      </c>
      <c r="Y532">
        <v>4.6087331556230424</v>
      </c>
      <c r="Z532">
        <v>77.016744647462758</v>
      </c>
      <c r="AA532">
        <v>0.95573074590661011</v>
      </c>
      <c r="AB532">
        <v>66.400000000000006</v>
      </c>
      <c r="AC532">
        <v>1.6624525291871317</v>
      </c>
      <c r="AD532">
        <v>1.2816913552420821</v>
      </c>
      <c r="AE532">
        <v>-0.39876628960737781</v>
      </c>
      <c r="AF532">
        <v>1.5912477818195964E-2</v>
      </c>
      <c r="AG532">
        <v>1.2920121343924684</v>
      </c>
      <c r="AH532">
        <v>-0.39979859932248785</v>
      </c>
      <c r="AI532">
        <v>1.4206387946280633E-3</v>
      </c>
    </row>
    <row r="533" spans="23:35" x14ac:dyDescent="0.25">
      <c r="W533">
        <v>531</v>
      </c>
      <c r="X533">
        <v>76.79298922377842</v>
      </c>
      <c r="Y533">
        <v>4.507010776221577</v>
      </c>
      <c r="Z533">
        <v>76.724938220766589</v>
      </c>
      <c r="AA533">
        <v>0.94481503941782896</v>
      </c>
      <c r="AB533">
        <v>66.400000000000006</v>
      </c>
      <c r="AC533">
        <v>1.5725296242490356</v>
      </c>
      <c r="AD533">
        <v>1.2534023027169987</v>
      </c>
      <c r="AE533">
        <v>-0.39675340106080764</v>
      </c>
      <c r="AF533">
        <v>1.4874335319517498E-2</v>
      </c>
      <c r="AG533">
        <v>1.2628293630646616</v>
      </c>
      <c r="AH533">
        <v>-0.39868012725967222</v>
      </c>
      <c r="AI533">
        <v>1.2673065404363174E-3</v>
      </c>
    </row>
    <row r="534" spans="23:35" x14ac:dyDescent="0.25">
      <c r="W534">
        <v>532</v>
      </c>
      <c r="X534">
        <v>81.607319835676734</v>
      </c>
      <c r="Y534">
        <v>-0.50731983567673922</v>
      </c>
      <c r="Z534">
        <v>81.61303409056768</v>
      </c>
      <c r="AA534">
        <v>0.93935718617343844</v>
      </c>
      <c r="AB534">
        <v>66.5</v>
      </c>
      <c r="AC534">
        <v>1.5222105313262397</v>
      </c>
      <c r="AD534">
        <v>-0.14108593962234026</v>
      </c>
      <c r="AE534">
        <v>-0.39617298570295512</v>
      </c>
      <c r="AF534">
        <v>1.1138158255000615E-2</v>
      </c>
      <c r="AG534">
        <v>-0.14187828350052506</v>
      </c>
      <c r="AH534">
        <v>-0.39774475641614687</v>
      </c>
      <c r="AI534">
        <v>1.1933175169135211E-5</v>
      </c>
    </row>
    <row r="535" spans="23:35" x14ac:dyDescent="0.25">
      <c r="W535">
        <v>533</v>
      </c>
      <c r="X535">
        <v>81.179511314841406</v>
      </c>
      <c r="Y535">
        <v>7.820488685158594</v>
      </c>
      <c r="Z535">
        <v>81.060091257973681</v>
      </c>
      <c r="AA535">
        <v>1</v>
      </c>
      <c r="AB535">
        <v>66.5</v>
      </c>
      <c r="AC535">
        <v>2.6570161854420777</v>
      </c>
      <c r="AD535">
        <v>2.1748824249689593</v>
      </c>
      <c r="AE535">
        <v>-0.39499727556359576</v>
      </c>
      <c r="AF535">
        <v>1.5040482296179034E-2</v>
      </c>
      <c r="AG535">
        <v>2.1914249061060458</v>
      </c>
      <c r="AH535">
        <v>-0.39717670232623309</v>
      </c>
      <c r="AI535">
        <v>3.8596059487865948E-3</v>
      </c>
    </row>
    <row r="536" spans="23:35" x14ac:dyDescent="0.25">
      <c r="W536">
        <v>534</v>
      </c>
      <c r="X536">
        <v>77.87852148165527</v>
      </c>
      <c r="Y536">
        <v>11.12147851834473</v>
      </c>
      <c r="Z536">
        <v>77.747771937927396</v>
      </c>
      <c r="AA536">
        <v>1</v>
      </c>
      <c r="AB536">
        <v>66.5</v>
      </c>
      <c r="AC536">
        <v>2.6570161854420777</v>
      </c>
      <c r="AD536">
        <v>3.0928896061342828</v>
      </c>
      <c r="AE536">
        <v>-0.39029136831320788</v>
      </c>
      <c r="AF536">
        <v>1.1619880347837865E-2</v>
      </c>
      <c r="AG536">
        <v>3.111017244322241</v>
      </c>
      <c r="AH536">
        <v>-0.39264805251702878</v>
      </c>
      <c r="AI536">
        <v>5.9886494285881827E-3</v>
      </c>
    </row>
    <row r="537" spans="23:35" x14ac:dyDescent="0.25">
      <c r="W537">
        <v>535</v>
      </c>
      <c r="X537">
        <v>80.319196899863599</v>
      </c>
      <c r="Y537">
        <v>5.6808031001364014</v>
      </c>
      <c r="Z537">
        <v>80.23869719706876</v>
      </c>
      <c r="AA537">
        <v>0.99029714978775019</v>
      </c>
      <c r="AB537">
        <v>66.599999999999994</v>
      </c>
      <c r="AC537">
        <v>2.190305027167327</v>
      </c>
      <c r="AD537">
        <v>1.5798346266573859</v>
      </c>
      <c r="AE537">
        <v>-0.38930240011999301</v>
      </c>
      <c r="AF537">
        <v>1.3972482535352214E-2</v>
      </c>
      <c r="AG537">
        <v>1.5909887577594832</v>
      </c>
      <c r="AH537">
        <v>-0.39263009210644328</v>
      </c>
      <c r="AI537">
        <v>1.8878399011740274E-3</v>
      </c>
    </row>
    <row r="538" spans="23:35" x14ac:dyDescent="0.25">
      <c r="W538">
        <v>536</v>
      </c>
      <c r="X538">
        <v>79.564186297579511</v>
      </c>
      <c r="Y538">
        <v>1.4358137024204893</v>
      </c>
      <c r="Z538">
        <v>79.543971373242371</v>
      </c>
      <c r="AA538">
        <v>0.93571861734384476</v>
      </c>
      <c r="AB538">
        <v>66.599999999999994</v>
      </c>
      <c r="AC538">
        <v>1.4576525936309466</v>
      </c>
      <c r="AD538">
        <v>0.39930062079753614</v>
      </c>
      <c r="AE538">
        <v>-0.38684434025075509</v>
      </c>
      <c r="AF538">
        <v>1.3883603636393824E-2</v>
      </c>
      <c r="AG538">
        <v>0.40210168722621592</v>
      </c>
      <c r="AH538">
        <v>-0.38732606918134682</v>
      </c>
      <c r="AI538">
        <v>1.1980976501939404E-4</v>
      </c>
    </row>
    <row r="539" spans="23:35" x14ac:dyDescent="0.25">
      <c r="W539">
        <v>537</v>
      </c>
      <c r="X539">
        <v>79.376899989603402</v>
      </c>
      <c r="Y539">
        <v>2.6231000103965982</v>
      </c>
      <c r="Z539">
        <v>79.340364857927526</v>
      </c>
      <c r="AA539">
        <v>0.96604002425712554</v>
      </c>
      <c r="AB539">
        <v>66.599999999999994</v>
      </c>
      <c r="AC539">
        <v>1.7539324289023792</v>
      </c>
      <c r="AD539">
        <v>0.72948562950727724</v>
      </c>
      <c r="AE539">
        <v>-0.38606544648128616</v>
      </c>
      <c r="AF539">
        <v>1.3736896124559573E-2</v>
      </c>
      <c r="AG539">
        <v>0.73454828264296435</v>
      </c>
      <c r="AH539">
        <v>-0.38702173209259888</v>
      </c>
      <c r="AI539">
        <v>3.9553318117624864E-4</v>
      </c>
    </row>
    <row r="540" spans="23:35" x14ac:dyDescent="0.25">
      <c r="W540">
        <v>538</v>
      </c>
      <c r="X540">
        <v>78.782032975914973</v>
      </c>
      <c r="Y540">
        <v>0.51796702408502426</v>
      </c>
      <c r="Z540">
        <v>78.774449457107394</v>
      </c>
      <c r="AA540">
        <v>0.9017586416009703</v>
      </c>
      <c r="AB540">
        <v>66.599999999999994</v>
      </c>
      <c r="AC540">
        <v>1.262435852359769</v>
      </c>
      <c r="AD540">
        <v>0.14404692887464335</v>
      </c>
      <c r="AE540">
        <v>-0.38602064047382723</v>
      </c>
      <c r="AF540">
        <v>1.4429666014310951E-2</v>
      </c>
      <c r="AG540">
        <v>0.14509758767560693</v>
      </c>
      <c r="AH540">
        <v>-0.38684042623294579</v>
      </c>
      <c r="AI540">
        <v>1.6223159567086063E-5</v>
      </c>
    </row>
    <row r="541" spans="23:35" x14ac:dyDescent="0.25">
      <c r="W541">
        <v>539</v>
      </c>
      <c r="X541">
        <v>79.914765853662828</v>
      </c>
      <c r="Y541">
        <v>-0.71476585366282563</v>
      </c>
      <c r="Z541">
        <v>79.92502815954029</v>
      </c>
      <c r="AA541">
        <v>0.89630078835657978</v>
      </c>
      <c r="AB541">
        <v>66.599999999999994</v>
      </c>
      <c r="AC541">
        <v>1.2457497672431228</v>
      </c>
      <c r="AD541">
        <v>-0.19877679716477842</v>
      </c>
      <c r="AE541">
        <v>-0.3853205497342469</v>
      </c>
      <c r="AF541">
        <v>1.4154354892869783E-2</v>
      </c>
      <c r="AG541">
        <v>-0.20019868822505826</v>
      </c>
      <c r="AH541">
        <v>-0.38657691894758794</v>
      </c>
      <c r="AI541">
        <v>3.0286564463300145E-5</v>
      </c>
    </row>
    <row r="542" spans="23:35" x14ac:dyDescent="0.25">
      <c r="W542">
        <v>540</v>
      </c>
      <c r="X542">
        <v>80.486252337161346</v>
      </c>
      <c r="Y542">
        <v>-1.4862523371613463</v>
      </c>
      <c r="Z542">
        <v>80.503626184085419</v>
      </c>
      <c r="AA542">
        <v>0.89023650697392354</v>
      </c>
      <c r="AB542">
        <v>66.7</v>
      </c>
      <c r="AC542">
        <v>1.2070560687293583</v>
      </c>
      <c r="AD542">
        <v>-0.41332763428142483</v>
      </c>
      <c r="AE542">
        <v>-0.38231705266503729</v>
      </c>
      <c r="AF542">
        <v>1.1554631801418018E-2</v>
      </c>
      <c r="AG542">
        <v>-0.41573645357717853</v>
      </c>
      <c r="AH542">
        <v>-0.38352545695072709</v>
      </c>
      <c r="AI542">
        <v>1.0633740387748386E-4</v>
      </c>
    </row>
    <row r="543" spans="23:35" x14ac:dyDescent="0.25">
      <c r="W543">
        <v>541</v>
      </c>
      <c r="X543">
        <v>80.455774544228007</v>
      </c>
      <c r="Y543">
        <v>-1.6557745442280094</v>
      </c>
      <c r="Z543">
        <v>80.47542615065116</v>
      </c>
      <c r="AA543">
        <v>0.88174651303820495</v>
      </c>
      <c r="AB543">
        <v>66.7</v>
      </c>
      <c r="AC543">
        <v>1.1700898139672218</v>
      </c>
      <c r="AD543">
        <v>-0.46047185808049779</v>
      </c>
      <c r="AE543">
        <v>-0.38135130570979003</v>
      </c>
      <c r="AF543">
        <v>1.1729318188997081E-2</v>
      </c>
      <c r="AG543">
        <v>-0.46319635952419019</v>
      </c>
      <c r="AH543">
        <v>-0.38266599953113684</v>
      </c>
      <c r="AI543">
        <v>1.3402120857613595E-4</v>
      </c>
    </row>
    <row r="544" spans="23:35" x14ac:dyDescent="0.25">
      <c r="W544">
        <v>542</v>
      </c>
      <c r="X544">
        <v>67.953864160231404</v>
      </c>
      <c r="Y544">
        <v>-2.4538641602314044</v>
      </c>
      <c r="Z544">
        <v>67.995453638910107</v>
      </c>
      <c r="AA544">
        <v>0.28987265009096425</v>
      </c>
      <c r="AB544">
        <v>66.8</v>
      </c>
      <c r="AC544">
        <v>-0.56174840893422073</v>
      </c>
      <c r="AD544">
        <v>-0.68242104172806795</v>
      </c>
      <c r="AE544">
        <v>-0.3806561478946629</v>
      </c>
      <c r="AF544">
        <v>1.6666099514023799E-2</v>
      </c>
      <c r="AG544">
        <v>-0.68817977272493014</v>
      </c>
      <c r="AH544">
        <v>-0.38206194002394422</v>
      </c>
      <c r="AI544">
        <v>4.2245763651134824E-4</v>
      </c>
    </row>
    <row r="545" spans="23:35" x14ac:dyDescent="0.25">
      <c r="W545">
        <v>543</v>
      </c>
      <c r="X545">
        <v>67.107181968436791</v>
      </c>
      <c r="Y545">
        <v>-2.5071819684367966</v>
      </c>
      <c r="Z545">
        <v>67.12336138590139</v>
      </c>
      <c r="AA545">
        <v>0.25773195876288657</v>
      </c>
      <c r="AB545">
        <v>66.8</v>
      </c>
      <c r="AC545">
        <v>-0.66071795340131467</v>
      </c>
      <c r="AD545">
        <v>-0.6972487550171157</v>
      </c>
      <c r="AE545">
        <v>-0.37734005626415823</v>
      </c>
      <c r="AF545">
        <v>6.4118510947330544E-3</v>
      </c>
      <c r="AG545">
        <v>-0.69949488981508934</v>
      </c>
      <c r="AH545">
        <v>-0.37796846474950124</v>
      </c>
      <c r="AI545">
        <v>1.661852659428506E-4</v>
      </c>
    </row>
    <row r="546" spans="23:35" x14ac:dyDescent="0.25">
      <c r="W546">
        <v>544</v>
      </c>
      <c r="X546">
        <v>65.808485078097107</v>
      </c>
      <c r="Y546">
        <v>-2.3084850780971067</v>
      </c>
      <c r="Z546">
        <v>65.84648357396172</v>
      </c>
      <c r="AA546">
        <v>0.23226197695573075</v>
      </c>
      <c r="AB546">
        <v>66.8</v>
      </c>
      <c r="AC546">
        <v>-0.74038552290047832</v>
      </c>
      <c r="AD546">
        <v>-0.6419910349316843</v>
      </c>
      <c r="AE546">
        <v>-0.37675124543349048</v>
      </c>
      <c r="AF546">
        <v>1.6193804331843101E-2</v>
      </c>
      <c r="AG546">
        <v>-0.64725317098580093</v>
      </c>
      <c r="AH546">
        <v>-0.37763383387733407</v>
      </c>
      <c r="AI546">
        <v>3.6293939151789379E-4</v>
      </c>
    </row>
    <row r="547" spans="23:35" x14ac:dyDescent="0.25">
      <c r="W547">
        <v>545</v>
      </c>
      <c r="X547">
        <v>65.100813122797788</v>
      </c>
      <c r="Y547">
        <v>-2.3008131227977913</v>
      </c>
      <c r="Z547">
        <v>65.110959238085741</v>
      </c>
      <c r="AA547">
        <v>0.21467556094602788</v>
      </c>
      <c r="AB547">
        <v>66.8</v>
      </c>
      <c r="AC547">
        <v>-0.79968509868701798</v>
      </c>
      <c r="AD547">
        <v>-0.63985745972719699</v>
      </c>
      <c r="AE547">
        <v>-0.37668532486463019</v>
      </c>
      <c r="AF547">
        <v>4.3904345523452471E-3</v>
      </c>
      <c r="AG547">
        <v>-0.64126672805389029</v>
      </c>
      <c r="AH547">
        <v>-0.3774936622094146</v>
      </c>
      <c r="AI547">
        <v>9.5442599772041641E-5</v>
      </c>
    </row>
    <row r="548" spans="23:35" x14ac:dyDescent="0.25">
      <c r="W548">
        <v>546</v>
      </c>
      <c r="X548">
        <v>64.515149778963632</v>
      </c>
      <c r="Y548">
        <v>-2.2151497789636352</v>
      </c>
      <c r="Z548">
        <v>64.530890207488824</v>
      </c>
      <c r="AA548">
        <v>0.20557913887204365</v>
      </c>
      <c r="AB548">
        <v>66.8</v>
      </c>
      <c r="AC548">
        <v>-0.82505741806651978</v>
      </c>
      <c r="AD548">
        <v>-0.61603443427834659</v>
      </c>
      <c r="AE548">
        <v>-0.37639128592412407</v>
      </c>
      <c r="AF548">
        <v>7.0556715307400712E-3</v>
      </c>
      <c r="AG548">
        <v>-0.61821927102813745</v>
      </c>
      <c r="AH548">
        <v>-0.37716363083391435</v>
      </c>
      <c r="AI548">
        <v>1.4293708840423824E-4</v>
      </c>
    </row>
    <row r="549" spans="23:35" x14ac:dyDescent="0.25">
      <c r="W549">
        <v>547</v>
      </c>
      <c r="X549">
        <v>68.304304757720885</v>
      </c>
      <c r="Y549">
        <v>-6.6043047577208824</v>
      </c>
      <c r="Z549">
        <v>68.353650031322616</v>
      </c>
      <c r="AA549">
        <v>0.19102486355366888</v>
      </c>
      <c r="AB549">
        <v>66.8</v>
      </c>
      <c r="AC549">
        <v>-0.87970786716299942</v>
      </c>
      <c r="AD549">
        <v>-1.8366609715790088</v>
      </c>
      <c r="AE549">
        <v>-0.37296666181424676</v>
      </c>
      <c r="AF549">
        <v>7.4162712750795766E-3</v>
      </c>
      <c r="AG549">
        <v>-1.8435096771059469</v>
      </c>
      <c r="AH549">
        <v>-0.37422541588170716</v>
      </c>
      <c r="AI549">
        <v>1.3364591786444813E-3</v>
      </c>
    </row>
    <row r="550" spans="23:35" x14ac:dyDescent="0.25">
      <c r="W550">
        <v>548</v>
      </c>
      <c r="X550">
        <v>63.388719895552171</v>
      </c>
      <c r="Y550">
        <v>-1.7887198955521697</v>
      </c>
      <c r="Z550">
        <v>63.398109113503693</v>
      </c>
      <c r="AA550">
        <v>0.18920557913887204</v>
      </c>
      <c r="AB550">
        <v>66.8</v>
      </c>
      <c r="AC550">
        <v>-0.88869659543514345</v>
      </c>
      <c r="AD550">
        <v>-0.49744403714968549</v>
      </c>
      <c r="AE550">
        <v>-0.3697319024670912</v>
      </c>
      <c r="AF550">
        <v>5.221717570424173E-3</v>
      </c>
      <c r="AG550">
        <v>-0.49874790182182599</v>
      </c>
      <c r="AH550">
        <v>-0.37299876493496614</v>
      </c>
      <c r="AI550">
        <v>6.872197706543806E-5</v>
      </c>
    </row>
    <row r="551" spans="23:35" x14ac:dyDescent="0.25">
      <c r="W551">
        <v>549</v>
      </c>
      <c r="X551">
        <v>63.264772696946366</v>
      </c>
      <c r="Y551">
        <v>-1.6647726969463648</v>
      </c>
      <c r="Z551">
        <v>63.274239828791252</v>
      </c>
      <c r="AA551">
        <v>0.18920557913887204</v>
      </c>
      <c r="AB551">
        <v>66.900000000000006</v>
      </c>
      <c r="AC551">
        <v>-0.88869659543514345</v>
      </c>
      <c r="AD551">
        <v>-0.46297424955399696</v>
      </c>
      <c r="AE551">
        <v>-0.36915861733814143</v>
      </c>
      <c r="AF551">
        <v>5.6545852524112934E-3</v>
      </c>
      <c r="AG551">
        <v>-0.46428879075929619</v>
      </c>
      <c r="AH551">
        <v>-0.37267821918824917</v>
      </c>
      <c r="AI551">
        <v>6.4518799401226185E-5</v>
      </c>
    </row>
    <row r="552" spans="23:35" x14ac:dyDescent="0.25">
      <c r="W552">
        <v>550</v>
      </c>
      <c r="X552">
        <v>62.098381649713417</v>
      </c>
      <c r="Y552">
        <v>-0.69838164971341854</v>
      </c>
      <c r="Z552">
        <v>62.104096070750124</v>
      </c>
      <c r="AA552">
        <v>0.18617343844754397</v>
      </c>
      <c r="AB552">
        <v>66.900000000000006</v>
      </c>
      <c r="AC552">
        <v>-0.90460220385671419</v>
      </c>
      <c r="AD552">
        <v>-0.19422034057347912</v>
      </c>
      <c r="AE552">
        <v>-0.3687230019883535</v>
      </c>
      <c r="AF552">
        <v>8.1159677977177738E-3</v>
      </c>
      <c r="AG552">
        <v>-0.19501331367430347</v>
      </c>
      <c r="AH552">
        <v>-0.37148447246541039</v>
      </c>
      <c r="AI552">
        <v>1.6377753836103972E-5</v>
      </c>
    </row>
    <row r="553" spans="23:35" x14ac:dyDescent="0.25">
      <c r="W553">
        <v>551</v>
      </c>
      <c r="X553">
        <v>65.598273108352274</v>
      </c>
      <c r="Y553">
        <v>-0.59827310835227365</v>
      </c>
      <c r="Z553">
        <v>65.607878861211859</v>
      </c>
      <c r="AA553">
        <v>0.27289266221952696</v>
      </c>
      <c r="AB553">
        <v>66.900000000000006</v>
      </c>
      <c r="AC553">
        <v>-0.62335641379693996</v>
      </c>
      <c r="AD553">
        <v>-0.16638009734049286</v>
      </c>
      <c r="AE553">
        <v>-0.36680184802410221</v>
      </c>
      <c r="AF553">
        <v>1.5802084054103271E-2</v>
      </c>
      <c r="AG553">
        <v>-0.16771046130257192</v>
      </c>
      <c r="AH553">
        <v>-0.37120591959556004</v>
      </c>
      <c r="AI553">
        <v>2.3768328027291365E-5</v>
      </c>
    </row>
    <row r="554" spans="23:35" x14ac:dyDescent="0.25">
      <c r="W554">
        <v>552</v>
      </c>
      <c r="X554">
        <v>74.040081647550863</v>
      </c>
      <c r="Y554">
        <v>0.45991835244913659</v>
      </c>
      <c r="Z554">
        <v>74.039248134221708</v>
      </c>
      <c r="AA554">
        <v>0.72407519708914492</v>
      </c>
      <c r="AB554">
        <v>66.900000000000006</v>
      </c>
      <c r="AC554">
        <v>0.56531175535073552</v>
      </c>
      <c r="AD554">
        <v>0.12790355973029863</v>
      </c>
      <c r="AE554">
        <v>-0.35819050765034011</v>
      </c>
      <c r="AF554">
        <v>1.8090286574292611E-3</v>
      </c>
      <c r="AG554">
        <v>0.12801940753548446</v>
      </c>
      <c r="AH554">
        <v>-0.36890607921964497</v>
      </c>
      <c r="AI554">
        <v>1.5632550286398163E-6</v>
      </c>
    </row>
    <row r="555" spans="23:35" x14ac:dyDescent="0.25">
      <c r="W555">
        <v>553</v>
      </c>
      <c r="X555">
        <v>73.884708515685787</v>
      </c>
      <c r="Y555">
        <v>0.61529148431421277</v>
      </c>
      <c r="Z555">
        <v>73.883325173753917</v>
      </c>
      <c r="AA555">
        <v>0.72407519708914492</v>
      </c>
      <c r="AB555">
        <v>67</v>
      </c>
      <c r="AC555">
        <v>0.56531175535073552</v>
      </c>
      <c r="AD555">
        <v>0.17111291753514096</v>
      </c>
      <c r="AE555">
        <v>-0.35687819994643555</v>
      </c>
      <c r="AF555">
        <v>2.2432275049991761E-3</v>
      </c>
      <c r="AG555">
        <v>0.17130516363601478</v>
      </c>
      <c r="AH555">
        <v>-0.35893250593320331</v>
      </c>
      <c r="AI555">
        <v>3.4724495455851808E-6</v>
      </c>
    </row>
    <row r="556" spans="23:35" x14ac:dyDescent="0.25">
      <c r="W556">
        <v>554</v>
      </c>
      <c r="X556">
        <v>75.719124947757734</v>
      </c>
      <c r="Y556">
        <v>-1.5191249477577315</v>
      </c>
      <c r="Z556">
        <v>75.724368195714106</v>
      </c>
      <c r="AA556">
        <v>0.7010309278350515</v>
      </c>
      <c r="AB556">
        <v>67</v>
      </c>
      <c r="AC556">
        <v>0.5039283835636299</v>
      </c>
      <c r="AD556">
        <v>-0.42246952629446555</v>
      </c>
      <c r="AE556">
        <v>-0.35613275289137369</v>
      </c>
      <c r="AF556">
        <v>3.4396204087179891E-3</v>
      </c>
      <c r="AG556">
        <v>-0.42319797342259291</v>
      </c>
      <c r="AH556">
        <v>-0.35760483529214049</v>
      </c>
      <c r="AI556">
        <v>3.2534224409603534E-5</v>
      </c>
    </row>
    <row r="557" spans="23:35" x14ac:dyDescent="0.25">
      <c r="W557">
        <v>555</v>
      </c>
      <c r="X557">
        <v>73.66731689294167</v>
      </c>
      <c r="Y557">
        <v>0.23268310705833528</v>
      </c>
      <c r="Z557">
        <v>73.666591858206928</v>
      </c>
      <c r="AA557">
        <v>0.67919951485748942</v>
      </c>
      <c r="AB557">
        <v>67</v>
      </c>
      <c r="AC557">
        <v>0.43434378704136062</v>
      </c>
      <c r="AD557">
        <v>6.4709306604933944E-2</v>
      </c>
      <c r="AE557">
        <v>-0.3551559705003049</v>
      </c>
      <c r="AF557">
        <v>3.1062958179874042E-3</v>
      </c>
      <c r="AG557">
        <v>6.481004448125903E-2</v>
      </c>
      <c r="AH557">
        <v>-0.3571745764493795</v>
      </c>
      <c r="AI557">
        <v>6.8885052991110685E-7</v>
      </c>
    </row>
    <row r="558" spans="23:35" x14ac:dyDescent="0.25">
      <c r="W558">
        <v>556</v>
      </c>
      <c r="X558">
        <v>72.863001793880485</v>
      </c>
      <c r="Y558">
        <v>0.93699820611951168</v>
      </c>
      <c r="Z558">
        <v>72.858747496052004</v>
      </c>
      <c r="AA558">
        <v>0.66767738023044265</v>
      </c>
      <c r="AB558">
        <v>67</v>
      </c>
      <c r="AC558">
        <v>0.4143837514429769</v>
      </c>
      <c r="AD558">
        <v>0.26057974287260821</v>
      </c>
      <c r="AE558">
        <v>-0.35484530105047085</v>
      </c>
      <c r="AF558">
        <v>4.5198263065875273E-3</v>
      </c>
      <c r="AG558">
        <v>0.2611706342620036</v>
      </c>
      <c r="AH558">
        <v>-0.35565257174487952</v>
      </c>
      <c r="AI558">
        <v>1.6299872871177445E-5</v>
      </c>
    </row>
    <row r="559" spans="23:35" x14ac:dyDescent="0.25">
      <c r="W559">
        <v>557</v>
      </c>
      <c r="X559">
        <v>72.457981725234873</v>
      </c>
      <c r="Y559">
        <v>0.7420182747651296</v>
      </c>
      <c r="Z559">
        <v>72.453396685421126</v>
      </c>
      <c r="AA559">
        <v>0.62340812613705276</v>
      </c>
      <c r="AB559">
        <v>67</v>
      </c>
      <c r="AC559">
        <v>0.29295400660571058</v>
      </c>
      <c r="AD559">
        <v>0.20635571123005109</v>
      </c>
      <c r="AE559">
        <v>-0.35135830025011044</v>
      </c>
      <c r="AF559">
        <v>6.1411993815480639E-3</v>
      </c>
      <c r="AG559">
        <v>0.20699228049232496</v>
      </c>
      <c r="AH559">
        <v>-0.35358603535200156</v>
      </c>
      <c r="AI559">
        <v>1.3934237464875714E-5</v>
      </c>
    </row>
    <row r="560" spans="23:35" x14ac:dyDescent="0.25">
      <c r="W560">
        <v>558</v>
      </c>
      <c r="X560">
        <v>71.169929597099085</v>
      </c>
      <c r="Y560">
        <v>2.7300704029009211</v>
      </c>
      <c r="Z560">
        <v>71.112067511833146</v>
      </c>
      <c r="AA560">
        <v>0.67919951485748942</v>
      </c>
      <c r="AB560">
        <v>67</v>
      </c>
      <c r="AC560">
        <v>0.43434378704136062</v>
      </c>
      <c r="AD560">
        <v>0.75923415751054557</v>
      </c>
      <c r="AE560">
        <v>-0.35018621157957053</v>
      </c>
      <c r="AF560">
        <v>2.0754478636598076E-2</v>
      </c>
      <c r="AG560">
        <v>0.7672377119974203</v>
      </c>
      <c r="AH560">
        <v>-0.35256907384353287</v>
      </c>
      <c r="AI560">
        <v>6.566387625529718E-4</v>
      </c>
    </row>
    <row r="561" spans="23:35" x14ac:dyDescent="0.25">
      <c r="W561">
        <v>559</v>
      </c>
      <c r="X561">
        <v>74.460707149502269</v>
      </c>
      <c r="Y561">
        <v>-6.0707149502263746E-2</v>
      </c>
      <c r="Z561">
        <v>74.460964185475191</v>
      </c>
      <c r="AA561">
        <v>0.71376591873862949</v>
      </c>
      <c r="AB561">
        <v>67</v>
      </c>
      <c r="AC561">
        <v>0.54051528578164909</v>
      </c>
      <c r="AD561">
        <v>-1.6882693376054549E-2</v>
      </c>
      <c r="AE561">
        <v>-0.34994397089092938</v>
      </c>
      <c r="AF561">
        <v>4.2161798917866849E-3</v>
      </c>
      <c r="AG561">
        <v>-1.691839655022442E-2</v>
      </c>
      <c r="AH561">
        <v>-0.35199168588723584</v>
      </c>
      <c r="AI561">
        <v>6.3785045054323283E-8</v>
      </c>
    </row>
    <row r="562" spans="23:35" x14ac:dyDescent="0.25">
      <c r="W562">
        <v>560</v>
      </c>
      <c r="X562">
        <v>72.583185826850354</v>
      </c>
      <c r="Y562">
        <v>1.3168141731496519</v>
      </c>
      <c r="Z562">
        <v>72.580569952247799</v>
      </c>
      <c r="AA562">
        <v>0.67919951485748942</v>
      </c>
      <c r="AB562">
        <v>67</v>
      </c>
      <c r="AC562">
        <v>0.43434378704136062</v>
      </c>
      <c r="AD562">
        <v>0.36620678290453046</v>
      </c>
      <c r="AE562">
        <v>-0.34933659467050077</v>
      </c>
      <c r="AF562">
        <v>1.9825792257856245E-3</v>
      </c>
      <c r="AG562">
        <v>0.36657034056038812</v>
      </c>
      <c r="AH562">
        <v>-0.35077975911865855</v>
      </c>
      <c r="AI562">
        <v>1.4049260786943336E-5</v>
      </c>
    </row>
    <row r="563" spans="23:35" x14ac:dyDescent="0.25">
      <c r="W563">
        <v>561</v>
      </c>
      <c r="X563">
        <v>71.98234591166046</v>
      </c>
      <c r="Y563">
        <v>1.9176540883395461</v>
      </c>
      <c r="Z563">
        <v>71.977953054801546</v>
      </c>
      <c r="AA563">
        <v>0.67919951485748942</v>
      </c>
      <c r="AB563">
        <v>67.099999999999994</v>
      </c>
      <c r="AC563">
        <v>0.43434378704136062</v>
      </c>
      <c r="AD563">
        <v>0.53330071071063412</v>
      </c>
      <c r="AE563">
        <v>-0.34897955047759888</v>
      </c>
      <c r="AF563">
        <v>2.2855096593179629E-3</v>
      </c>
      <c r="AG563">
        <v>0.53391118931405035</v>
      </c>
      <c r="AH563">
        <v>-0.34965748023949844</v>
      </c>
      <c r="AI563">
        <v>3.4368551249340893E-5</v>
      </c>
    </row>
    <row r="564" spans="23:35" x14ac:dyDescent="0.25">
      <c r="W564">
        <v>562</v>
      </c>
      <c r="X564">
        <v>71.493893822829548</v>
      </c>
      <c r="Y564">
        <v>0.80610617717044875</v>
      </c>
      <c r="Z564">
        <v>71.491220797564566</v>
      </c>
      <c r="AA564">
        <v>0.54578532443905392</v>
      </c>
      <c r="AB564">
        <v>67.099999999999994</v>
      </c>
      <c r="AC564">
        <v>9.896716322379942E-2</v>
      </c>
      <c r="AD564">
        <v>0.22417859394311876</v>
      </c>
      <c r="AE564">
        <v>-0.34583081773203006</v>
      </c>
      <c r="AF564">
        <v>3.3050123654694329E-3</v>
      </c>
      <c r="AG564">
        <v>0.22454997126458329</v>
      </c>
      <c r="AH564">
        <v>-0.34665627222514483</v>
      </c>
      <c r="AI564">
        <v>8.8000111251350832E-6</v>
      </c>
    </row>
    <row r="565" spans="23:35" x14ac:dyDescent="0.25">
      <c r="W565">
        <v>563</v>
      </c>
      <c r="X565">
        <v>71.380803183218518</v>
      </c>
      <c r="Y565">
        <v>1.3191968167814849</v>
      </c>
      <c r="Z565">
        <v>71.376147088034841</v>
      </c>
      <c r="AA565">
        <v>0.57246816252274102</v>
      </c>
      <c r="AB565">
        <v>67.099999999999994</v>
      </c>
      <c r="AC565">
        <v>0.16337348484333708</v>
      </c>
      <c r="AD565">
        <v>0.3668693974761329</v>
      </c>
      <c r="AE565">
        <v>-0.34124248344761615</v>
      </c>
      <c r="AF565">
        <v>3.5170789304444471E-3</v>
      </c>
      <c r="AG565">
        <v>0.36751625858734538</v>
      </c>
      <c r="AH565">
        <v>-0.3423571016993176</v>
      </c>
      <c r="AI565">
        <v>2.5090641637568874E-5</v>
      </c>
    </row>
    <row r="566" spans="23:35" x14ac:dyDescent="0.25">
      <c r="W566">
        <v>564</v>
      </c>
      <c r="X566">
        <v>71.497832907389878</v>
      </c>
      <c r="Y566">
        <v>0.20216709261012511</v>
      </c>
      <c r="Z566">
        <v>71.497008071048327</v>
      </c>
      <c r="AA566">
        <v>0.50394178289872649</v>
      </c>
      <c r="AB566">
        <v>67.2</v>
      </c>
      <c r="AC566">
        <v>-4.5602855597810616E-3</v>
      </c>
      <c r="AD566">
        <v>5.622278534323031E-2</v>
      </c>
      <c r="AE566">
        <v>-0.34104613312877335</v>
      </c>
      <c r="AF566">
        <v>4.0633947655501785E-3</v>
      </c>
      <c r="AG566">
        <v>5.6337362326177441E-2</v>
      </c>
      <c r="AH566">
        <v>-0.34193302429402861</v>
      </c>
      <c r="AI566">
        <v>6.8154845939202176E-7</v>
      </c>
    </row>
    <row r="567" spans="23:35" x14ac:dyDescent="0.25">
      <c r="W567">
        <v>565</v>
      </c>
      <c r="X567">
        <v>71.568448552946577</v>
      </c>
      <c r="Y567">
        <v>1.4315514470534225</v>
      </c>
      <c r="Z567">
        <v>71.564650584917914</v>
      </c>
      <c r="AA567">
        <v>0.60946027895694366</v>
      </c>
      <c r="AB567">
        <v>67.2</v>
      </c>
      <c r="AC567">
        <v>0.22222871718700732</v>
      </c>
      <c r="AD567">
        <v>0.398115285115617</v>
      </c>
      <c r="AE567">
        <v>-0.34029542445459598</v>
      </c>
      <c r="AF567">
        <v>2.6460233227961097E-3</v>
      </c>
      <c r="AG567">
        <v>0.39864304385810989</v>
      </c>
      <c r="AH567">
        <v>-0.34143932018305734</v>
      </c>
      <c r="AI567">
        <v>2.2190093070634847E-5</v>
      </c>
    </row>
    <row r="568" spans="23:35" x14ac:dyDescent="0.25">
      <c r="W568">
        <v>566</v>
      </c>
      <c r="X568">
        <v>63.319010250701588</v>
      </c>
      <c r="Y568">
        <v>8.4809897492984092</v>
      </c>
      <c r="Z568">
        <v>63.048375380194607</v>
      </c>
      <c r="AA568">
        <v>0.51061249241964823</v>
      </c>
      <c r="AB568">
        <v>67.2</v>
      </c>
      <c r="AC568">
        <v>1.0640830227304372E-2</v>
      </c>
      <c r="AD568">
        <v>2.3585681527927376</v>
      </c>
      <c r="AE568">
        <v>-0.34004307330296474</v>
      </c>
      <c r="AF568">
        <v>3.0923957809447511E-2</v>
      </c>
      <c r="AG568">
        <v>2.3959044910391984</v>
      </c>
      <c r="AH568">
        <v>-0.3407565494126148</v>
      </c>
      <c r="AI568">
        <v>9.6410118659543426E-3</v>
      </c>
    </row>
    <row r="569" spans="23:35" x14ac:dyDescent="0.25">
      <c r="W569">
        <v>567</v>
      </c>
      <c r="X569">
        <v>80.358094664228986</v>
      </c>
      <c r="Y569">
        <v>8.6419053357710141</v>
      </c>
      <c r="Z569">
        <v>80.299414451015593</v>
      </c>
      <c r="AA569">
        <v>1</v>
      </c>
      <c r="AB569">
        <v>67.2</v>
      </c>
      <c r="AC569">
        <v>2.6570161854420777</v>
      </c>
      <c r="AD569">
        <v>2.4033188704284534</v>
      </c>
      <c r="AE569">
        <v>-0.34000131254252547</v>
      </c>
      <c r="AF569">
        <v>6.7443981652750163E-3</v>
      </c>
      <c r="AG569">
        <v>2.4114645667190162</v>
      </c>
      <c r="AH569">
        <v>-0.34070833686784741</v>
      </c>
      <c r="AI569">
        <v>2.0782143886697575E-3</v>
      </c>
    </row>
    <row r="570" spans="23:35" x14ac:dyDescent="0.25">
      <c r="W570">
        <v>568</v>
      </c>
      <c r="X570">
        <v>80.172410669252741</v>
      </c>
      <c r="Y570">
        <v>5.8275893307472586</v>
      </c>
      <c r="Z570">
        <v>80.13427624681978</v>
      </c>
      <c r="AA570">
        <v>0.99029714978775019</v>
      </c>
      <c r="AB570">
        <v>67.2</v>
      </c>
      <c r="AC570">
        <v>2.190305027167327</v>
      </c>
      <c r="AD570">
        <v>1.6206559622586816</v>
      </c>
      <c r="AE570">
        <v>-0.3395373040897936</v>
      </c>
      <c r="AF570">
        <v>6.5012305450422095E-3</v>
      </c>
      <c r="AG570">
        <v>1.6259499182326036</v>
      </c>
      <c r="AH570">
        <v>-0.34062366590244603</v>
      </c>
      <c r="AI570">
        <v>9.1051889302852323E-4</v>
      </c>
    </row>
    <row r="571" spans="23:35" x14ac:dyDescent="0.25">
      <c r="W571">
        <v>569</v>
      </c>
      <c r="X571">
        <v>77.557776971272389</v>
      </c>
      <c r="Y571">
        <v>8.4422230287276108</v>
      </c>
      <c r="Z571">
        <v>77.435055444895298</v>
      </c>
      <c r="AA571">
        <v>0.99029714978775019</v>
      </c>
      <c r="AB571">
        <v>67.2</v>
      </c>
      <c r="AC571">
        <v>2.190305027167327</v>
      </c>
      <c r="AD571">
        <v>2.3477871053879742</v>
      </c>
      <c r="AE571">
        <v>-0.33948877716675185</v>
      </c>
      <c r="AF571">
        <v>1.4328350357381593E-2</v>
      </c>
      <c r="AG571">
        <v>2.3647900008226799</v>
      </c>
      <c r="AH571">
        <v>-0.3405780076378363</v>
      </c>
      <c r="AI571">
        <v>4.2785389185845697E-3</v>
      </c>
    </row>
    <row r="572" spans="23:35" x14ac:dyDescent="0.25">
      <c r="W572">
        <v>570</v>
      </c>
      <c r="X572">
        <v>77.359320058550765</v>
      </c>
      <c r="Y572">
        <v>7.6406799414492355</v>
      </c>
      <c r="Z572">
        <v>77.248888798435004</v>
      </c>
      <c r="AA572">
        <v>0.98544572468162528</v>
      </c>
      <c r="AB572">
        <v>67.3</v>
      </c>
      <c r="AC572">
        <v>2.1134016615055304</v>
      </c>
      <c r="AD572">
        <v>2.1248775093821144</v>
      </c>
      <c r="AE572">
        <v>-0.33937196276551085</v>
      </c>
      <c r="AF572">
        <v>1.4247152084911573E-2</v>
      </c>
      <c r="AG572">
        <v>2.1401779218802774</v>
      </c>
      <c r="AH572">
        <v>-0.33994190473435693</v>
      </c>
      <c r="AI572">
        <v>3.484224883168875E-3</v>
      </c>
    </row>
    <row r="573" spans="23:35" x14ac:dyDescent="0.25">
      <c r="W573">
        <v>571</v>
      </c>
      <c r="X573">
        <v>82.780342523516538</v>
      </c>
      <c r="Y573">
        <v>-1.7803425235165378</v>
      </c>
      <c r="Z573">
        <v>82.806701426051632</v>
      </c>
      <c r="AA573">
        <v>0.93571861734384476</v>
      </c>
      <c r="AB573">
        <v>67.3</v>
      </c>
      <c r="AC573">
        <v>1.4576525936309466</v>
      </c>
      <c r="AD573">
        <v>-0.49511428514297279</v>
      </c>
      <c r="AE573">
        <v>-0.33858208567231612</v>
      </c>
      <c r="AF573">
        <v>1.45895177559547E-2</v>
      </c>
      <c r="AG573">
        <v>-0.498766031320105</v>
      </c>
      <c r="AH573">
        <v>-0.33915287907925268</v>
      </c>
      <c r="AI573">
        <v>1.9384914694880887E-4</v>
      </c>
    </row>
    <row r="574" spans="23:35" x14ac:dyDescent="0.25">
      <c r="W574">
        <v>572</v>
      </c>
      <c r="X574">
        <v>82.767289688401007</v>
      </c>
      <c r="Y574">
        <v>-2.7672896884010072</v>
      </c>
      <c r="Z574">
        <v>82.810116790983997</v>
      </c>
      <c r="AA574">
        <v>0.92722862340812617</v>
      </c>
      <c r="AB574">
        <v>67.3</v>
      </c>
      <c r="AC574">
        <v>1.4191611772342045</v>
      </c>
      <c r="AD574">
        <v>-0.76958486232745271</v>
      </c>
      <c r="AE574">
        <v>-0.33416669213076483</v>
      </c>
      <c r="AF574">
        <v>1.5240328345209792E-2</v>
      </c>
      <c r="AG574">
        <v>-0.77551711926024136</v>
      </c>
      <c r="AH574">
        <v>-0.33903620914241106</v>
      </c>
      <c r="AI574">
        <v>4.8988398981045082E-4</v>
      </c>
    </row>
    <row r="575" spans="23:35" x14ac:dyDescent="0.25">
      <c r="W575">
        <v>573</v>
      </c>
      <c r="X575">
        <v>83.32710914914523</v>
      </c>
      <c r="Y575">
        <v>-3.4271091491452239</v>
      </c>
      <c r="Z575">
        <v>83.40030986344091</v>
      </c>
      <c r="AA575">
        <v>0.92177077016373554</v>
      </c>
      <c r="AB575">
        <v>67.3</v>
      </c>
      <c r="AC575">
        <v>1.3946242806491955</v>
      </c>
      <c r="AD575">
        <v>-0.95308103585282777</v>
      </c>
      <c r="AE575">
        <v>-0.33325357226874164</v>
      </c>
      <c r="AF575">
        <v>2.0912638352458494E-2</v>
      </c>
      <c r="AG575">
        <v>-0.96320583727740727</v>
      </c>
      <c r="AH575">
        <v>-0.33438921569475033</v>
      </c>
      <c r="AI575">
        <v>1.0429704245091213E-3</v>
      </c>
    </row>
    <row r="576" spans="23:35" x14ac:dyDescent="0.25">
      <c r="W576">
        <v>574</v>
      </c>
      <c r="X576">
        <v>81.787607853294006</v>
      </c>
      <c r="Y576">
        <v>-1.9876078532940085</v>
      </c>
      <c r="Z576">
        <v>81.830555378635395</v>
      </c>
      <c r="AA576">
        <v>0.91813220133414186</v>
      </c>
      <c r="AB576">
        <v>67.3</v>
      </c>
      <c r="AC576">
        <v>1.3748000243745633</v>
      </c>
      <c r="AD576">
        <v>-0.55275489319012516</v>
      </c>
      <c r="AE576">
        <v>-0.33314770114807341</v>
      </c>
      <c r="AF576">
        <v>2.1150629917938393E-2</v>
      </c>
      <c r="AG576">
        <v>-0.55869484340411346</v>
      </c>
      <c r="AH576">
        <v>-0.33414898960855144</v>
      </c>
      <c r="AI576">
        <v>3.5497941189152084E-4</v>
      </c>
    </row>
    <row r="577" spans="23:35" x14ac:dyDescent="0.25">
      <c r="W577">
        <v>575</v>
      </c>
      <c r="X577">
        <v>80.968771508459241</v>
      </c>
      <c r="Y577">
        <v>-1.3687715084592469</v>
      </c>
      <c r="Z577">
        <v>80.989484325459628</v>
      </c>
      <c r="AA577">
        <v>0.91206791995148573</v>
      </c>
      <c r="AB577">
        <v>67.3</v>
      </c>
      <c r="AC577">
        <v>1.3404190152831756</v>
      </c>
      <c r="AD577">
        <v>-0.3806561478946629</v>
      </c>
      <c r="AE577">
        <v>-0.33250726818336585</v>
      </c>
      <c r="AF577">
        <v>1.4906837465431366E-2</v>
      </c>
      <c r="AG577">
        <v>-0.38352545695072709</v>
      </c>
      <c r="AH577">
        <v>-0.33312604603791407</v>
      </c>
      <c r="AI577">
        <v>1.1715019145573564E-4</v>
      </c>
    </row>
    <row r="578" spans="23:35" x14ac:dyDescent="0.25">
      <c r="W578">
        <v>576</v>
      </c>
      <c r="X578">
        <v>81.074424923475362</v>
      </c>
      <c r="Y578">
        <v>-1.8744249234753596</v>
      </c>
      <c r="Z578">
        <v>81.113915909041964</v>
      </c>
      <c r="AA578">
        <v>0.89630078835657978</v>
      </c>
      <c r="AB578">
        <v>67.3</v>
      </c>
      <c r="AC578">
        <v>1.2457497672431228</v>
      </c>
      <c r="AD578">
        <v>-0.52127865496779691</v>
      </c>
      <c r="AE578">
        <v>-0.33154247547515453</v>
      </c>
      <c r="AF578">
        <v>2.0633605363760486E-2</v>
      </c>
      <c r="AG578">
        <v>-0.52674126588624326</v>
      </c>
      <c r="AH578">
        <v>-0.3323050449779148</v>
      </c>
      <c r="AI578">
        <v>3.076599800034381E-4</v>
      </c>
    </row>
    <row r="579" spans="23:35" x14ac:dyDescent="0.25">
      <c r="W579">
        <v>577</v>
      </c>
      <c r="X579">
        <v>80.503418039874987</v>
      </c>
      <c r="Y579">
        <v>-1.4034180398749925</v>
      </c>
      <c r="Z579">
        <v>80.520417640276406</v>
      </c>
      <c r="AA579">
        <v>0.89326864766525171</v>
      </c>
      <c r="AB579">
        <v>67.3</v>
      </c>
      <c r="AC579">
        <v>1.2294035019788656</v>
      </c>
      <c r="AD579">
        <v>-0.39029136831320788</v>
      </c>
      <c r="AE579">
        <v>-0.3310682816210273</v>
      </c>
      <c r="AF579">
        <v>1.1968029626912471E-2</v>
      </c>
      <c r="AG579">
        <v>-0.39264805251702878</v>
      </c>
      <c r="AH579">
        <v>-0.33206758942688619</v>
      </c>
      <c r="AI579">
        <v>9.8289008162706453E-5</v>
      </c>
    </row>
    <row r="580" spans="23:35" x14ac:dyDescent="0.25">
      <c r="W580">
        <v>578</v>
      </c>
      <c r="X580">
        <v>79.580415833468436</v>
      </c>
      <c r="Y580">
        <v>-1.0804158334684359</v>
      </c>
      <c r="Z580">
        <v>79.600549335713652</v>
      </c>
      <c r="AA580">
        <v>0.87265009096422075</v>
      </c>
      <c r="AB580">
        <v>67.3</v>
      </c>
      <c r="AC580">
        <v>1.128888636463274</v>
      </c>
      <c r="AD580">
        <v>-0.30046426795911152</v>
      </c>
      <c r="AE580">
        <v>-0.32787275285561507</v>
      </c>
      <c r="AF580">
        <v>1.8294047883055119E-2</v>
      </c>
      <c r="AG580">
        <v>-0.30325091492920242</v>
      </c>
      <c r="AH580">
        <v>-0.32933603801089512</v>
      </c>
      <c r="AI580">
        <v>9.0194286232891512E-5</v>
      </c>
    </row>
    <row r="581" spans="23:35" x14ac:dyDescent="0.25">
      <c r="W581">
        <v>579</v>
      </c>
      <c r="X581">
        <v>77.508294512329698</v>
      </c>
      <c r="Y581">
        <v>0.89170548767030766</v>
      </c>
      <c r="Z581">
        <v>77.499717914977708</v>
      </c>
      <c r="AA581">
        <v>0.87022437841115829</v>
      </c>
      <c r="AB581">
        <v>67.3</v>
      </c>
      <c r="AC581">
        <v>1.1231576917613038</v>
      </c>
      <c r="AD581">
        <v>0.24798381168467845</v>
      </c>
      <c r="AE581">
        <v>-0.3262432371108272</v>
      </c>
      <c r="AF581">
        <v>9.5265667224543951E-3</v>
      </c>
      <c r="AG581">
        <v>0.24917353612136273</v>
      </c>
      <c r="AH581">
        <v>-0.32852071905209129</v>
      </c>
      <c r="AI581">
        <v>3.1429958840078679E-5</v>
      </c>
    </row>
    <row r="582" spans="23:35" x14ac:dyDescent="0.25">
      <c r="W582">
        <v>580</v>
      </c>
      <c r="X582">
        <v>78.932907651356615</v>
      </c>
      <c r="Y582">
        <v>-0.63290765135661786</v>
      </c>
      <c r="Z582">
        <v>78.939884280477301</v>
      </c>
      <c r="AA582">
        <v>0.86901152213462707</v>
      </c>
      <c r="AB582">
        <v>67.400000000000006</v>
      </c>
      <c r="AC582">
        <v>1.1118051137279645</v>
      </c>
      <c r="AD582">
        <v>-0.17601198377489569</v>
      </c>
      <c r="AE582">
        <v>-0.32558854239605806</v>
      </c>
      <c r="AF582">
        <v>1.0902954383384813E-2</v>
      </c>
      <c r="AG582">
        <v>-0.17697942731169247</v>
      </c>
      <c r="AH582">
        <v>-0.32791291425726521</v>
      </c>
      <c r="AI582">
        <v>1.8171771213686834E-5</v>
      </c>
    </row>
    <row r="583" spans="23:35" x14ac:dyDescent="0.25">
      <c r="W583">
        <v>581</v>
      </c>
      <c r="X583">
        <v>77.741568957615542</v>
      </c>
      <c r="Y583">
        <v>0.25843104238445846</v>
      </c>
      <c r="Z583">
        <v>77.733393206659656</v>
      </c>
      <c r="AA583">
        <v>0.86294724075197093</v>
      </c>
      <c r="AB583">
        <v>67.400000000000006</v>
      </c>
      <c r="AC583">
        <v>1.0491313979639725</v>
      </c>
      <c r="AD583">
        <v>7.1869822305991718E-2</v>
      </c>
      <c r="AE583">
        <v>-0.32486830003707001</v>
      </c>
      <c r="AF583">
        <v>3.0665951356491358E-2</v>
      </c>
      <c r="AG583">
        <v>7.2997811012540631E-2</v>
      </c>
      <c r="AH583">
        <v>-0.32614164092214343</v>
      </c>
      <c r="AI583">
        <v>8.8725621013752153E-6</v>
      </c>
    </row>
    <row r="584" spans="23:35" x14ac:dyDescent="0.25">
      <c r="W584">
        <v>582</v>
      </c>
      <c r="X584">
        <v>66.726524619535823</v>
      </c>
      <c r="Y584">
        <v>-4.6265246195358216</v>
      </c>
      <c r="Z584">
        <v>66.743916655919108</v>
      </c>
      <c r="AA584">
        <v>0.20133414190418436</v>
      </c>
      <c r="AB584">
        <v>67.400000000000006</v>
      </c>
      <c r="AC584">
        <v>-0.84444052159937644</v>
      </c>
      <c r="AD584">
        <v>-1.2866391716428405</v>
      </c>
      <c r="AE584">
        <v>-0.3231006087278247</v>
      </c>
      <c r="AF584">
        <v>3.7451224196961542E-3</v>
      </c>
      <c r="AG584">
        <v>-1.2890552708090761</v>
      </c>
      <c r="AH584">
        <v>-0.32555306527942718</v>
      </c>
      <c r="AI584">
        <v>3.2876458968226217E-4</v>
      </c>
    </row>
    <row r="585" spans="23:35" x14ac:dyDescent="0.25">
      <c r="W585">
        <v>583</v>
      </c>
      <c r="X585">
        <v>65.687973582158449</v>
      </c>
      <c r="Y585">
        <v>-3.7879735821584504</v>
      </c>
      <c r="Z585">
        <v>65.754418644546632</v>
      </c>
      <c r="AA585">
        <v>0.19466343238326259</v>
      </c>
      <c r="AB585">
        <v>67.400000000000006</v>
      </c>
      <c r="AC585">
        <v>-0.86414620345364646</v>
      </c>
      <c r="AD585">
        <v>-1.053437643317306</v>
      </c>
      <c r="AE585">
        <v>-0.32300815872015692</v>
      </c>
      <c r="AF585">
        <v>1.723867294026022E-2</v>
      </c>
      <c r="AG585">
        <v>-1.0626366835951053</v>
      </c>
      <c r="AH585">
        <v>-0.32344949317188881</v>
      </c>
      <c r="AI585">
        <v>1.0424897163202928E-3</v>
      </c>
    </row>
    <row r="586" spans="23:35" x14ac:dyDescent="0.25">
      <c r="W586">
        <v>584</v>
      </c>
      <c r="X586">
        <v>66.09002308477865</v>
      </c>
      <c r="Y586">
        <v>-4.4900230847786489</v>
      </c>
      <c r="Z586">
        <v>66.102272645050235</v>
      </c>
      <c r="AA586">
        <v>0.18920557913887204</v>
      </c>
      <c r="AB586">
        <v>67.400000000000006</v>
      </c>
      <c r="AC586">
        <v>-0.88869659543514345</v>
      </c>
      <c r="AD586">
        <v>-1.2486780159048287</v>
      </c>
      <c r="AE586">
        <v>-0.32058809309372654</v>
      </c>
      <c r="AF586">
        <v>2.7207504381250177E-3</v>
      </c>
      <c r="AG586">
        <v>-1.2503801606561413</v>
      </c>
      <c r="AH586">
        <v>-0.32279159852218631</v>
      </c>
      <c r="AI586">
        <v>2.2449282888139599E-4</v>
      </c>
    </row>
    <row r="587" spans="23:35" x14ac:dyDescent="0.25">
      <c r="W587">
        <v>585</v>
      </c>
      <c r="X587">
        <v>65.310534701718169</v>
      </c>
      <c r="Y587">
        <v>-4.1105347017181657</v>
      </c>
      <c r="Z587">
        <v>65.318983467168081</v>
      </c>
      <c r="AA587">
        <v>0.18071558520315342</v>
      </c>
      <c r="AB587">
        <v>67.400000000000006</v>
      </c>
      <c r="AC587">
        <v>-0.91841998904288702</v>
      </c>
      <c r="AD587">
        <v>-1.1431420771642695</v>
      </c>
      <c r="AE587">
        <v>-0.3195558695260341</v>
      </c>
      <c r="AF587">
        <v>2.0511773152893692E-3</v>
      </c>
      <c r="AG587">
        <v>-1.1443162773914202</v>
      </c>
      <c r="AH587">
        <v>-0.32106015906073404</v>
      </c>
      <c r="AI587">
        <v>1.4165551423617434E-4</v>
      </c>
    </row>
    <row r="588" spans="23:35" x14ac:dyDescent="0.25">
      <c r="W588">
        <v>586</v>
      </c>
      <c r="X588">
        <v>64.542551147022706</v>
      </c>
      <c r="Y588">
        <v>4.4574488529772935</v>
      </c>
      <c r="Z588">
        <v>64.53305531849594</v>
      </c>
      <c r="AA588">
        <v>0.42086112795633718</v>
      </c>
      <c r="AB588">
        <v>67.5</v>
      </c>
      <c r="AC588">
        <v>-0.21444491222324932</v>
      </c>
      <c r="AD588">
        <v>1.2396191032072015</v>
      </c>
      <c r="AE588">
        <v>-0.31852778010984167</v>
      </c>
      <c r="AF588">
        <v>2.1257994454416404E-3</v>
      </c>
      <c r="AG588">
        <v>1.2409387984369507</v>
      </c>
      <c r="AH588">
        <v>-0.31923937910407557</v>
      </c>
      <c r="AI588">
        <v>1.7266074896208632E-4</v>
      </c>
    </row>
    <row r="589" spans="23:35" x14ac:dyDescent="0.25">
      <c r="W589">
        <v>587</v>
      </c>
      <c r="X589">
        <v>64.151666608548567</v>
      </c>
      <c r="Y589">
        <v>1.8483333914514333</v>
      </c>
      <c r="Z589">
        <v>64.147672523215249</v>
      </c>
      <c r="AA589">
        <v>0.31109763493026077</v>
      </c>
      <c r="AB589">
        <v>67.5</v>
      </c>
      <c r="AC589">
        <v>-0.50738317096904828</v>
      </c>
      <c r="AD589">
        <v>0.51402258482642038</v>
      </c>
      <c r="AE589">
        <v>-0.3184924303153725</v>
      </c>
      <c r="AF589">
        <v>2.1562522736278391E-3</v>
      </c>
      <c r="AG589">
        <v>0.51457766383929604</v>
      </c>
      <c r="AH589">
        <v>-0.31913210498290134</v>
      </c>
      <c r="AI589">
        <v>3.0115168040243381E-5</v>
      </c>
    </row>
    <row r="590" spans="23:35" x14ac:dyDescent="0.25">
      <c r="W590">
        <v>588</v>
      </c>
      <c r="X590">
        <v>63.30217557925841</v>
      </c>
      <c r="Y590">
        <v>-0.30217557925841021</v>
      </c>
      <c r="Z590">
        <v>63.302855596644136</v>
      </c>
      <c r="AA590">
        <v>0.22195269860521527</v>
      </c>
      <c r="AB590">
        <v>67.5</v>
      </c>
      <c r="AC590">
        <v>-0.78098898173722842</v>
      </c>
      <c r="AD590">
        <v>-8.4035203302720934E-2</v>
      </c>
      <c r="AE590">
        <v>-0.31784233308076248</v>
      </c>
      <c r="AF590">
        <v>2.2453518880268739E-3</v>
      </c>
      <c r="AG590">
        <v>-8.4129706778899735E-2</v>
      </c>
      <c r="AH590">
        <v>-0.31861857578558306</v>
      </c>
      <c r="AI590">
        <v>8.3831223089816746E-7</v>
      </c>
    </row>
    <row r="591" spans="23:35" x14ac:dyDescent="0.25">
      <c r="W591">
        <v>589</v>
      </c>
      <c r="X591">
        <v>66.558352238208514</v>
      </c>
      <c r="Y591">
        <v>-6.658352238208515</v>
      </c>
      <c r="Z591">
        <v>66.590558364418087</v>
      </c>
      <c r="AA591">
        <v>0.17404487568223165</v>
      </c>
      <c r="AB591">
        <v>67.5</v>
      </c>
      <c r="AC591">
        <v>-0.94897780985887348</v>
      </c>
      <c r="AD591">
        <v>-1.8516916071516274</v>
      </c>
      <c r="AE591">
        <v>-0.31768684096155791</v>
      </c>
      <c r="AF591">
        <v>4.8136679265592692E-3</v>
      </c>
      <c r="AG591">
        <v>-1.8561644760737943</v>
      </c>
      <c r="AH591">
        <v>-0.31845345498054739</v>
      </c>
      <c r="AI591">
        <v>8.7710388909751215E-4</v>
      </c>
    </row>
    <row r="592" spans="23:35" x14ac:dyDescent="0.25">
      <c r="W592">
        <v>590</v>
      </c>
      <c r="X592">
        <v>61.286219671075706</v>
      </c>
      <c r="Y592">
        <v>-1.8862196710757075</v>
      </c>
      <c r="Z592">
        <v>61.290813873418251</v>
      </c>
      <c r="AA592">
        <v>0.16312916919345058</v>
      </c>
      <c r="AB592">
        <v>67.5</v>
      </c>
      <c r="AC592">
        <v>-0.99032898964496086</v>
      </c>
      <c r="AD592">
        <v>-0.52455878109490495</v>
      </c>
      <c r="AE592">
        <v>-0.31660700062252278</v>
      </c>
      <c r="AF592">
        <v>2.4297485898160313E-3</v>
      </c>
      <c r="AG592">
        <v>-0.52519721774048678</v>
      </c>
      <c r="AH592">
        <v>-0.31696193800623867</v>
      </c>
      <c r="AI592">
        <v>3.5359741522938225E-5</v>
      </c>
    </row>
    <row r="593" spans="23:35" x14ac:dyDescent="0.25">
      <c r="W593">
        <v>591</v>
      </c>
      <c r="X593">
        <v>60.394782817100022</v>
      </c>
      <c r="Y593">
        <v>-1.4947828171000239</v>
      </c>
      <c r="Z593">
        <v>60.39919753736541</v>
      </c>
      <c r="AA593">
        <v>0.14918132201334142</v>
      </c>
      <c r="AB593">
        <v>67.5</v>
      </c>
      <c r="AC593">
        <v>-1.0491313979639725</v>
      </c>
      <c r="AD593">
        <v>-0.41569996568449802</v>
      </c>
      <c r="AE593">
        <v>-0.31594506528906913</v>
      </c>
      <c r="AF593">
        <v>2.9447221966118261E-3</v>
      </c>
      <c r="AG593">
        <v>-0.41631338122925499</v>
      </c>
      <c r="AH593">
        <v>-0.3165000833098352</v>
      </c>
      <c r="AI593">
        <v>2.6940908250635037E-5</v>
      </c>
    </row>
    <row r="594" spans="23:35" x14ac:dyDescent="0.25">
      <c r="W594">
        <v>592</v>
      </c>
      <c r="X594">
        <v>63.561208960196218</v>
      </c>
      <c r="Y594">
        <v>-5.2612089601962211</v>
      </c>
      <c r="Z594">
        <v>63.655899777345063</v>
      </c>
      <c r="AA594">
        <v>0.13765918738629473</v>
      </c>
      <c r="AB594">
        <v>67.5</v>
      </c>
      <c r="AC594">
        <v>-1.0950400512086547</v>
      </c>
      <c r="AD594">
        <v>-1.4631452537403586</v>
      </c>
      <c r="AE594">
        <v>-0.31479554789036318</v>
      </c>
      <c r="AF594">
        <v>1.7679721631344826E-2</v>
      </c>
      <c r="AG594">
        <v>-1.4762533227605081</v>
      </c>
      <c r="AH594">
        <v>-0.31579952259060518</v>
      </c>
      <c r="AI594">
        <v>2.0643840199981089E-3</v>
      </c>
    </row>
    <row r="595" spans="23:35" x14ac:dyDescent="0.25">
      <c r="W595">
        <v>593</v>
      </c>
      <c r="X595">
        <v>62.791741119074103</v>
      </c>
      <c r="Y595">
        <v>-4.8917411190741049</v>
      </c>
      <c r="Z595">
        <v>62.864659507031277</v>
      </c>
      <c r="AA595">
        <v>0.12734990903577925</v>
      </c>
      <c r="AB595">
        <v>67.599999999999994</v>
      </c>
      <c r="AC595">
        <v>-1.1463081367501964</v>
      </c>
      <c r="AD595">
        <v>-1.360396033506506</v>
      </c>
      <c r="AE595">
        <v>-0.31267973180483433</v>
      </c>
      <c r="AF595">
        <v>1.4687490220406619E-2</v>
      </c>
      <c r="AG595">
        <v>-1.3704978501844876</v>
      </c>
      <c r="AH595">
        <v>-0.31414428801516664</v>
      </c>
      <c r="AI595">
        <v>1.4735901504001401E-3</v>
      </c>
    </row>
    <row r="596" spans="23:35" x14ac:dyDescent="0.25">
      <c r="W596">
        <v>594</v>
      </c>
      <c r="X596">
        <v>62.943684372371145</v>
      </c>
      <c r="Y596">
        <v>-5.3436843723711434</v>
      </c>
      <c r="Z596">
        <v>63.061440467232444</v>
      </c>
      <c r="AA596">
        <v>0.12431776834445118</v>
      </c>
      <c r="AB596">
        <v>67.599999999999994</v>
      </c>
      <c r="AC596">
        <v>-1.1700898139672218</v>
      </c>
      <c r="AD596">
        <v>-1.4860817135515874</v>
      </c>
      <c r="AE596">
        <v>-0.30947580606542185</v>
      </c>
      <c r="AF596">
        <v>2.1561361982761353E-2</v>
      </c>
      <c r="AG596">
        <v>-1.5023665065073819</v>
      </c>
      <c r="AH596">
        <v>-0.31127727088297735</v>
      </c>
      <c r="AI596">
        <v>2.6178260273613612E-3</v>
      </c>
    </row>
    <row r="597" spans="23:35" x14ac:dyDescent="0.25">
      <c r="W597">
        <v>595</v>
      </c>
      <c r="X597">
        <v>80.821113705580885</v>
      </c>
      <c r="Y597">
        <v>7.1788862944191152</v>
      </c>
      <c r="Z597">
        <v>80.779815578178869</v>
      </c>
      <c r="AA597">
        <v>0.99575500303214071</v>
      </c>
      <c r="AB597">
        <v>67.599999999999994</v>
      </c>
      <c r="AC597">
        <v>2.428517260365656</v>
      </c>
      <c r="AD597">
        <v>1.9964524291445922</v>
      </c>
      <c r="AE597">
        <v>-0.30828888817898997</v>
      </c>
      <c r="AF597">
        <v>5.7198161417050522E-3</v>
      </c>
      <c r="AG597">
        <v>2.0021867105954105</v>
      </c>
      <c r="AH597">
        <v>-0.31053203253865014</v>
      </c>
      <c r="AI597">
        <v>1.2137488543695666E-3</v>
      </c>
    </row>
    <row r="598" spans="23:35" x14ac:dyDescent="0.25">
      <c r="W598">
        <v>596</v>
      </c>
      <c r="X598">
        <v>80.716260937566886</v>
      </c>
      <c r="Y598">
        <v>5.2837390624331135</v>
      </c>
      <c r="Z598">
        <v>80.684462324876137</v>
      </c>
      <c r="AA598">
        <v>0.99029714978775019</v>
      </c>
      <c r="AB598">
        <v>67.599999999999994</v>
      </c>
      <c r="AC598">
        <v>2.190305027167327</v>
      </c>
      <c r="AD598">
        <v>1.4694108881988244</v>
      </c>
      <c r="AE598">
        <v>-0.30801007234761396</v>
      </c>
      <c r="AF598">
        <v>5.9822006040082774E-3</v>
      </c>
      <c r="AG598">
        <v>1.4738258618985216</v>
      </c>
      <c r="AH598">
        <v>-0.31016724542618201</v>
      </c>
      <c r="AI598">
        <v>6.8802711854213663E-4</v>
      </c>
    </row>
    <row r="599" spans="23:35" x14ac:dyDescent="0.25">
      <c r="W599">
        <v>597</v>
      </c>
      <c r="X599">
        <v>80.477776946886365</v>
      </c>
      <c r="Y599">
        <v>3.5222230531136347</v>
      </c>
      <c r="Z599">
        <v>80.461510365828332</v>
      </c>
      <c r="AA599">
        <v>0.9824135839902971</v>
      </c>
      <c r="AB599">
        <v>67.599999999999994</v>
      </c>
      <c r="AC599">
        <v>2.0350728680272758</v>
      </c>
      <c r="AD599">
        <v>0.97953226753911038</v>
      </c>
      <c r="AE599">
        <v>-0.30793860628808223</v>
      </c>
      <c r="AF599">
        <v>4.5970407546060419E-3</v>
      </c>
      <c r="AG599">
        <v>0.98179153486517157</v>
      </c>
      <c r="AH599">
        <v>-0.3091049548626586</v>
      </c>
      <c r="AI599">
        <v>2.3429573983296356E-4</v>
      </c>
    </row>
    <row r="600" spans="23:35" x14ac:dyDescent="0.25">
      <c r="W600">
        <v>598</v>
      </c>
      <c r="X600">
        <v>80.758838530319963</v>
      </c>
      <c r="Y600">
        <v>4.241161469680037</v>
      </c>
      <c r="Z600">
        <v>80.737610347088832</v>
      </c>
      <c r="AA600">
        <v>0.98544572468162528</v>
      </c>
      <c r="AB600">
        <v>67.599999999999994</v>
      </c>
      <c r="AC600">
        <v>2.1134016615055304</v>
      </c>
      <c r="AD600">
        <v>1.1794694568598532</v>
      </c>
      <c r="AE600">
        <v>-0.30417619692146802</v>
      </c>
      <c r="AF600">
        <v>4.9803478705035941E-3</v>
      </c>
      <c r="AG600">
        <v>1.1824175574653653</v>
      </c>
      <c r="AH600">
        <v>-0.30852975880176026</v>
      </c>
      <c r="AI600">
        <v>3.6831224611498118E-4</v>
      </c>
    </row>
    <row r="601" spans="23:35" x14ac:dyDescent="0.25">
      <c r="W601">
        <v>599</v>
      </c>
      <c r="X601">
        <v>80.369909363280527</v>
      </c>
      <c r="Y601">
        <v>2.6300906367194727</v>
      </c>
      <c r="Z601">
        <v>80.356959560801073</v>
      </c>
      <c r="AA601">
        <v>0.97877501516070342</v>
      </c>
      <c r="AB601">
        <v>67.7</v>
      </c>
      <c r="AC601">
        <v>1.9368862628682144</v>
      </c>
      <c r="AD601">
        <v>0.73142972672948781</v>
      </c>
      <c r="AE601">
        <v>-0.30343968294150214</v>
      </c>
      <c r="AF601">
        <v>4.8995854499199101E-3</v>
      </c>
      <c r="AG601">
        <v>0.73322818944917145</v>
      </c>
      <c r="AH601">
        <v>-0.30421125913823127</v>
      </c>
      <c r="AI601">
        <v>1.3932117702957788E-4</v>
      </c>
    </row>
    <row r="602" spans="23:35" x14ac:dyDescent="0.25">
      <c r="W602">
        <v>600</v>
      </c>
      <c r="X602">
        <v>78.776314321087128</v>
      </c>
      <c r="Y602">
        <v>1.2236856789128723</v>
      </c>
      <c r="Z602">
        <v>78.771163117639517</v>
      </c>
      <c r="AA602">
        <v>0.92722862340812617</v>
      </c>
      <c r="AB602">
        <v>67.7</v>
      </c>
      <c r="AC602">
        <v>1.4191611772342045</v>
      </c>
      <c r="AD602">
        <v>0.34030769481253259</v>
      </c>
      <c r="AE602">
        <v>-0.30203312032254059</v>
      </c>
      <c r="AF602">
        <v>4.1919342766784384E-3</v>
      </c>
      <c r="AG602">
        <v>0.34102321891779036</v>
      </c>
      <c r="AH602">
        <v>-0.30325091492920242</v>
      </c>
      <c r="AI602">
        <v>2.5766363134035744E-5</v>
      </c>
    </row>
    <row r="603" spans="23:35" x14ac:dyDescent="0.25">
      <c r="W603">
        <v>601</v>
      </c>
      <c r="X603">
        <v>80.094563830782846</v>
      </c>
      <c r="Y603">
        <v>-0.19456383078284034</v>
      </c>
      <c r="Z603">
        <v>80.095973456649233</v>
      </c>
      <c r="AA603">
        <v>0.92177077016373554</v>
      </c>
      <c r="AB603">
        <v>67.7</v>
      </c>
      <c r="AC603">
        <v>1.3946242806491955</v>
      </c>
      <c r="AD603">
        <v>-5.4108313833031628E-2</v>
      </c>
      <c r="AE603">
        <v>-0.30145120765723493</v>
      </c>
      <c r="AF603">
        <v>7.192942812235298E-3</v>
      </c>
      <c r="AG603">
        <v>-5.4303968973709989E-2</v>
      </c>
      <c r="AH603">
        <v>-0.30303822435016903</v>
      </c>
      <c r="AI603">
        <v>1.1244788618211803E-6</v>
      </c>
    </row>
    <row r="604" spans="23:35" x14ac:dyDescent="0.25">
      <c r="W604">
        <v>602</v>
      </c>
      <c r="X604">
        <v>81.599015479560023</v>
      </c>
      <c r="Y604">
        <v>-2.1990154795600176</v>
      </c>
      <c r="Z604">
        <v>81.610466059792259</v>
      </c>
      <c r="AA604">
        <v>0.90661006670709521</v>
      </c>
      <c r="AB604">
        <v>67.7</v>
      </c>
      <c r="AC604">
        <v>1.2933897637306977</v>
      </c>
      <c r="AD604">
        <v>-0.61154747628572048</v>
      </c>
      <c r="AE604">
        <v>-0.30046426795911152</v>
      </c>
      <c r="AF604">
        <v>5.1801655951716425E-3</v>
      </c>
      <c r="AG604">
        <v>-0.61313761544588541</v>
      </c>
      <c r="AH604">
        <v>-0.30214526488004373</v>
      </c>
      <c r="AI604">
        <v>1.0302948469890473E-4</v>
      </c>
    </row>
    <row r="605" spans="23:35" x14ac:dyDescent="0.25">
      <c r="W605">
        <v>603</v>
      </c>
      <c r="X605">
        <v>78.582326686678357</v>
      </c>
      <c r="Y605">
        <v>1.1176733133216459</v>
      </c>
      <c r="Z605">
        <v>78.577791388889764</v>
      </c>
      <c r="AA605">
        <v>0.9151000606428138</v>
      </c>
      <c r="AB605">
        <v>67.7</v>
      </c>
      <c r="AC605">
        <v>1.3555018111021329</v>
      </c>
      <c r="AD605">
        <v>0.31082559464770554</v>
      </c>
      <c r="AE605">
        <v>-0.2994692687811355</v>
      </c>
      <c r="AF605">
        <v>4.0414034821034004E-3</v>
      </c>
      <c r="AG605">
        <v>0.31145559066345074</v>
      </c>
      <c r="AH605">
        <v>-0.29980103103961719</v>
      </c>
      <c r="AI605">
        <v>2.0717129829010656E-5</v>
      </c>
    </row>
    <row r="606" spans="23:35" x14ac:dyDescent="0.25">
      <c r="W606">
        <v>604</v>
      </c>
      <c r="X606">
        <v>77.100310260402097</v>
      </c>
      <c r="Y606">
        <v>2.1996897395979005</v>
      </c>
      <c r="Z606">
        <v>77.078070404398446</v>
      </c>
      <c r="AA606">
        <v>0.9017586416009703</v>
      </c>
      <c r="AB606">
        <v>67.7</v>
      </c>
      <c r="AC606">
        <v>1.262435852359769</v>
      </c>
      <c r="AD606">
        <v>0.61173498839209728</v>
      </c>
      <c r="AE606">
        <v>-0.29636680357939749</v>
      </c>
      <c r="AF606">
        <v>1.0009253239920326E-2</v>
      </c>
      <c r="AG606">
        <v>0.61481966952757827</v>
      </c>
      <c r="AH606">
        <v>-0.29769442285614045</v>
      </c>
      <c r="AI606">
        <v>2.0114648478459151E-4</v>
      </c>
    </row>
    <row r="607" spans="23:35" x14ac:dyDescent="0.25">
      <c r="W607">
        <v>605</v>
      </c>
      <c r="X607">
        <v>77.501621776940596</v>
      </c>
      <c r="Y607">
        <v>1.6983782230594073</v>
      </c>
      <c r="Z607">
        <v>77.462430343418845</v>
      </c>
      <c r="AA607">
        <v>0.89630078835657978</v>
      </c>
      <c r="AB607">
        <v>67.7</v>
      </c>
      <c r="AC607">
        <v>1.2457497672431228</v>
      </c>
      <c r="AD607">
        <v>0.47231996579597496</v>
      </c>
      <c r="AE607">
        <v>-0.29447382354738133</v>
      </c>
      <c r="AF607">
        <v>2.2555316486629767E-2</v>
      </c>
      <c r="AG607">
        <v>0.47773846518780005</v>
      </c>
      <c r="AH607">
        <v>-0.29725602016442992</v>
      </c>
      <c r="AI607">
        <v>2.7719382769517099E-4</v>
      </c>
    </row>
    <row r="608" spans="23:35" x14ac:dyDescent="0.25">
      <c r="W608">
        <v>606</v>
      </c>
      <c r="X608">
        <v>77.968829890655869</v>
      </c>
      <c r="Y608">
        <v>1.1311701093441258</v>
      </c>
      <c r="Z608">
        <v>77.965393966186369</v>
      </c>
      <c r="AA608">
        <v>0.89326864766525171</v>
      </c>
      <c r="AB608">
        <v>67.7</v>
      </c>
      <c r="AC608">
        <v>1.2294035019788656</v>
      </c>
      <c r="AD608">
        <v>0.31457906142509368</v>
      </c>
      <c r="AE608">
        <v>-0.29355149779689899</v>
      </c>
      <c r="AF608">
        <v>3.0282973711646182E-3</v>
      </c>
      <c r="AG608">
        <v>0.31505646546255067</v>
      </c>
      <c r="AH608">
        <v>-0.29693079125117705</v>
      </c>
      <c r="AI608">
        <v>1.5868609746152672E-5</v>
      </c>
    </row>
    <row r="609" spans="23:35" x14ac:dyDescent="0.25">
      <c r="W609">
        <v>607</v>
      </c>
      <c r="X609">
        <v>76.471835482363588</v>
      </c>
      <c r="Y609">
        <v>2.5281645176364123</v>
      </c>
      <c r="Z609">
        <v>76.464268829965789</v>
      </c>
      <c r="AA609">
        <v>0.89023650697392354</v>
      </c>
      <c r="AB609">
        <v>67.8</v>
      </c>
      <c r="AC609">
        <v>1.2070560687293583</v>
      </c>
      <c r="AD609">
        <v>0.70308401408115517</v>
      </c>
      <c r="AE609">
        <v>-0.28798356851393631</v>
      </c>
      <c r="AF609">
        <v>2.9840120621672296E-3</v>
      </c>
      <c r="AG609">
        <v>0.70413537320773678</v>
      </c>
      <c r="AH609">
        <v>-0.29047617755895305</v>
      </c>
      <c r="AI609">
        <v>7.8101104423392611E-5</v>
      </c>
    </row>
    <row r="610" spans="23:35" x14ac:dyDescent="0.25">
      <c r="W610">
        <v>608</v>
      </c>
      <c r="X610">
        <v>76.333442968279343</v>
      </c>
      <c r="Y610">
        <v>2.3665570317206601</v>
      </c>
      <c r="Z610">
        <v>76.28093093175822</v>
      </c>
      <c r="AA610">
        <v>0.87871437234687688</v>
      </c>
      <c r="AB610">
        <v>67.8</v>
      </c>
      <c r="AC610">
        <v>1.1521925343545227</v>
      </c>
      <c r="AD610">
        <v>0.65814087881026007</v>
      </c>
      <c r="AE610">
        <v>-0.28768831620276553</v>
      </c>
      <c r="AF610">
        <v>2.1707539156492366E-2</v>
      </c>
      <c r="AG610">
        <v>0.66540263054870308</v>
      </c>
      <c r="AH610">
        <v>-0.28861262193054066</v>
      </c>
      <c r="AI610">
        <v>5.1707949065852026E-4</v>
      </c>
    </row>
    <row r="611" spans="23:35" x14ac:dyDescent="0.25">
      <c r="W611">
        <v>609</v>
      </c>
      <c r="X611">
        <v>75.414843974549967</v>
      </c>
      <c r="Y611">
        <v>2.7851560254500356</v>
      </c>
      <c r="Z611">
        <v>75.407387136390398</v>
      </c>
      <c r="AA611">
        <v>0.86658580958156461</v>
      </c>
      <c r="AB611">
        <v>67.8</v>
      </c>
      <c r="AC611">
        <v>1.1033838166983498</v>
      </c>
      <c r="AD611">
        <v>0.77455350099069198</v>
      </c>
      <c r="AE611">
        <v>-0.2867700600407696</v>
      </c>
      <c r="AF611">
        <v>2.6702011785231274E-3</v>
      </c>
      <c r="AG611">
        <v>0.77558968340026235</v>
      </c>
      <c r="AH611">
        <v>-0.28834254103048124</v>
      </c>
      <c r="AI611">
        <v>8.4764818063470267E-5</v>
      </c>
    </row>
    <row r="612" spans="23:35" x14ac:dyDescent="0.25">
      <c r="W612">
        <v>610</v>
      </c>
      <c r="X612">
        <v>68.831653530212932</v>
      </c>
      <c r="Y612">
        <v>2.8683464697870704</v>
      </c>
      <c r="Z612">
        <v>68.823572055298911</v>
      </c>
      <c r="AA612">
        <v>0.50394178289872649</v>
      </c>
      <c r="AB612">
        <v>67.8</v>
      </c>
      <c r="AC612">
        <v>-4.5602855597810616E-3</v>
      </c>
      <c r="AD612">
        <v>0.79768881165961936</v>
      </c>
      <c r="AE612">
        <v>-0.28611366362713436</v>
      </c>
      <c r="AF612">
        <v>2.8095523577786937E-3</v>
      </c>
      <c r="AG612">
        <v>0.79881175267637272</v>
      </c>
      <c r="AH612">
        <v>-0.28708503895050974</v>
      </c>
      <c r="AI612">
        <v>9.4622476642499927E-5</v>
      </c>
    </row>
    <row r="613" spans="23:35" x14ac:dyDescent="0.25">
      <c r="W613">
        <v>611</v>
      </c>
      <c r="X613">
        <v>69.070331464394471</v>
      </c>
      <c r="Y613">
        <v>2.3296685356055349</v>
      </c>
      <c r="Z613">
        <v>69.064349192857719</v>
      </c>
      <c r="AA613">
        <v>0.4887810794420861</v>
      </c>
      <c r="AB613">
        <v>67.8</v>
      </c>
      <c r="AC613">
        <v>-4.7140240828996732E-2</v>
      </c>
      <c r="AD613">
        <v>0.64788216671256527</v>
      </c>
      <c r="AE613">
        <v>-0.28602102966264581</v>
      </c>
      <c r="AF613">
        <v>2.5612867807381983E-3</v>
      </c>
      <c r="AG613">
        <v>0.64871346997292378</v>
      </c>
      <c r="AH613">
        <v>-0.28653359563588643</v>
      </c>
      <c r="AI613">
        <v>5.6875367819497191E-5</v>
      </c>
    </row>
    <row r="614" spans="23:35" x14ac:dyDescent="0.25">
      <c r="W614">
        <v>612</v>
      </c>
      <c r="X614">
        <v>69.151720780768528</v>
      </c>
      <c r="Y614">
        <v>2.148279219231469</v>
      </c>
      <c r="Z614">
        <v>69.145281134697868</v>
      </c>
      <c r="AA614">
        <v>0.48089751364463312</v>
      </c>
      <c r="AB614">
        <v>67.8</v>
      </c>
      <c r="AC614">
        <v>-5.1706087511076533E-2</v>
      </c>
      <c r="AD614">
        <v>0.59743769295381444</v>
      </c>
      <c r="AE614">
        <v>-0.28471300822857781</v>
      </c>
      <c r="AF614">
        <v>2.9886247223973976E-3</v>
      </c>
      <c r="AG614">
        <v>0.59833245757042508</v>
      </c>
      <c r="AH614">
        <v>-0.28650963612972413</v>
      </c>
      <c r="AI614">
        <v>5.6481054374836356E-5</v>
      </c>
    </row>
    <row r="615" spans="23:35" x14ac:dyDescent="0.25">
      <c r="W615">
        <v>613</v>
      </c>
      <c r="X615">
        <v>68.68357315675992</v>
      </c>
      <c r="Y615">
        <v>2.4164268432400746</v>
      </c>
      <c r="Z615">
        <v>68.677229004996946</v>
      </c>
      <c r="AA615">
        <v>0.47422680412371132</v>
      </c>
      <c r="AB615">
        <v>67.8</v>
      </c>
      <c r="AC615">
        <v>-7.6077819866612773E-2</v>
      </c>
      <c r="AD615">
        <v>0.6720097022273851</v>
      </c>
      <c r="AE615">
        <v>-0.28191056096389616</v>
      </c>
      <c r="AF615">
        <v>2.6185519704721143E-3</v>
      </c>
      <c r="AG615">
        <v>0.67289128011378707</v>
      </c>
      <c r="AH615">
        <v>-0.28506417902857184</v>
      </c>
      <c r="AI615">
        <v>6.2565671748958238E-5</v>
      </c>
    </row>
    <row r="616" spans="23:35" x14ac:dyDescent="0.25">
      <c r="W616">
        <v>614</v>
      </c>
      <c r="X616">
        <v>68.756906454536491</v>
      </c>
      <c r="Y616">
        <v>8.243093545463509</v>
      </c>
      <c r="Z616">
        <v>68.732709645205105</v>
      </c>
      <c r="AA616">
        <v>0.83747725894481506</v>
      </c>
      <c r="AB616">
        <v>67.8</v>
      </c>
      <c r="AC616">
        <v>0.95855995741850497</v>
      </c>
      <c r="AD616">
        <v>2.2924090809601485</v>
      </c>
      <c r="AE616">
        <v>-0.27965083042399747</v>
      </c>
      <c r="AF616">
        <v>2.9268125701377044E-3</v>
      </c>
      <c r="AG616">
        <v>2.2957711888144985</v>
      </c>
      <c r="AH616">
        <v>-0.28414607958222099</v>
      </c>
      <c r="AI616">
        <v>8.1427570194858145E-4</v>
      </c>
    </row>
    <row r="617" spans="23:35" x14ac:dyDescent="0.25">
      <c r="W617">
        <v>615</v>
      </c>
      <c r="X617">
        <v>68.459306095821461</v>
      </c>
      <c r="Y617">
        <v>7.5406939041785392</v>
      </c>
      <c r="Z617">
        <v>68.437446069459909</v>
      </c>
      <c r="AA617">
        <v>0.80836870830806551</v>
      </c>
      <c r="AB617">
        <v>67.8</v>
      </c>
      <c r="AC617">
        <v>0.83794453378675593</v>
      </c>
      <c r="AD617">
        <v>2.0970713346075112</v>
      </c>
      <c r="AE617">
        <v>-0.27936747561821701</v>
      </c>
      <c r="AF617">
        <v>2.8905613847299682E-3</v>
      </c>
      <c r="AG617">
        <v>2.100108777843503</v>
      </c>
      <c r="AH617">
        <v>-0.27991116905418378</v>
      </c>
      <c r="AI617">
        <v>6.7292916109005488E-4</v>
      </c>
    </row>
    <row r="618" spans="23:35" x14ac:dyDescent="0.25">
      <c r="W618">
        <v>616</v>
      </c>
      <c r="X618">
        <v>71.543169840567288</v>
      </c>
      <c r="Y618">
        <v>7.4568301594327124</v>
      </c>
      <c r="Z618">
        <v>71.512167910037135</v>
      </c>
      <c r="AA618">
        <v>0.89023650697392354</v>
      </c>
      <c r="AB618">
        <v>67.8</v>
      </c>
      <c r="AC618">
        <v>1.2070560687293583</v>
      </c>
      <c r="AD618">
        <v>2.0737487787056117</v>
      </c>
      <c r="AE618">
        <v>-0.27834217071115847</v>
      </c>
      <c r="AF618">
        <v>4.1403079232659526E-3</v>
      </c>
      <c r="AG618">
        <v>2.0780551348088401</v>
      </c>
      <c r="AH618">
        <v>-0.27987217570266443</v>
      </c>
      <c r="AI618">
        <v>9.4491995020779169E-4</v>
      </c>
    </row>
    <row r="619" spans="23:35" x14ac:dyDescent="0.25">
      <c r="W619">
        <v>617</v>
      </c>
      <c r="X619">
        <v>67.949456634375323</v>
      </c>
      <c r="Y619">
        <v>7.0505433656246765</v>
      </c>
      <c r="Z619">
        <v>67.930560813872589</v>
      </c>
      <c r="AA619">
        <v>0.76046088538508183</v>
      </c>
      <c r="AB619">
        <v>67.900000000000006</v>
      </c>
      <c r="AC619">
        <v>0.67020216077934069</v>
      </c>
      <c r="AD619">
        <v>1.9607601864419346</v>
      </c>
      <c r="AE619">
        <v>-0.27821187796514424</v>
      </c>
      <c r="AF619">
        <v>2.6728881888983241E-3</v>
      </c>
      <c r="AG619">
        <v>1.963385897662121</v>
      </c>
      <c r="AH619">
        <v>-0.27933298789180283</v>
      </c>
      <c r="AI619">
        <v>5.4375204118129134E-4</v>
      </c>
    </row>
    <row r="620" spans="23:35" x14ac:dyDescent="0.25">
      <c r="W620">
        <v>618</v>
      </c>
      <c r="X620">
        <v>69.932005174774829</v>
      </c>
      <c r="Y620">
        <v>-0.23200517477482663</v>
      </c>
      <c r="Z620">
        <v>69.935866449236272</v>
      </c>
      <c r="AA620">
        <v>0.45057610673135234</v>
      </c>
      <c r="AB620">
        <v>67.900000000000006</v>
      </c>
      <c r="AC620">
        <v>-0.12956927093944987</v>
      </c>
      <c r="AD620">
        <v>-6.4520773244925375E-2</v>
      </c>
      <c r="AE620">
        <v>-0.27777709184514243</v>
      </c>
      <c r="AF620">
        <v>1.6370596470796587E-2</v>
      </c>
      <c r="AG620">
        <v>-6.5055469012904099E-2</v>
      </c>
      <c r="AH620">
        <v>-0.2787301380018809</v>
      </c>
      <c r="AI620">
        <v>3.7072086037614841E-6</v>
      </c>
    </row>
    <row r="621" spans="23:35" x14ac:dyDescent="0.25">
      <c r="W621">
        <v>619</v>
      </c>
      <c r="X621">
        <v>69.943421713498026</v>
      </c>
      <c r="Y621">
        <v>-0.743421713498023</v>
      </c>
      <c r="Z621">
        <v>69.946651160947354</v>
      </c>
      <c r="AA621">
        <v>0.42874469375379015</v>
      </c>
      <c r="AB621">
        <v>67.900000000000006</v>
      </c>
      <c r="AC621">
        <v>-0.1880739545732803</v>
      </c>
      <c r="AD621">
        <v>-0.20674600835310467</v>
      </c>
      <c r="AE621">
        <v>-0.27693566156341537</v>
      </c>
      <c r="AF621">
        <v>4.3252426544540578E-3</v>
      </c>
      <c r="AG621">
        <v>-0.20719457733297092</v>
      </c>
      <c r="AH621">
        <v>-0.27809792371166742</v>
      </c>
      <c r="AI621">
        <v>9.8151321041643183E-6</v>
      </c>
    </row>
    <row r="622" spans="23:35" x14ac:dyDescent="0.25">
      <c r="W622">
        <v>620</v>
      </c>
      <c r="X622">
        <v>60.823518821625925</v>
      </c>
      <c r="Y622">
        <v>-2.7235188216259232</v>
      </c>
      <c r="Z622">
        <v>60.834898190963123</v>
      </c>
      <c r="AA622">
        <v>0.13523347483323225</v>
      </c>
      <c r="AB622">
        <v>67.900000000000006</v>
      </c>
      <c r="AC622">
        <v>-1.1174634002413726</v>
      </c>
      <c r="AD622">
        <v>-0.75741215896999536</v>
      </c>
      <c r="AE622">
        <v>-0.27573788523975018</v>
      </c>
      <c r="AF622">
        <v>4.1608018078341724E-3</v>
      </c>
      <c r="AG622">
        <v>-0.7589928142189305</v>
      </c>
      <c r="AH622">
        <v>-0.27791106217407591</v>
      </c>
      <c r="AI622">
        <v>1.2668043324843892E-4</v>
      </c>
    </row>
    <row r="623" spans="23:35" x14ac:dyDescent="0.25">
      <c r="W623">
        <v>621</v>
      </c>
      <c r="X623">
        <v>60.909436664228565</v>
      </c>
      <c r="Y623">
        <v>-2.1094366642285678</v>
      </c>
      <c r="Z623">
        <v>60.915002367669189</v>
      </c>
      <c r="AA623">
        <v>0.14675560946027896</v>
      </c>
      <c r="AB623">
        <v>67.900000000000006</v>
      </c>
      <c r="AC623">
        <v>-1.0570712344634026</v>
      </c>
      <c r="AD623">
        <v>-0.58663555594963734</v>
      </c>
      <c r="AE623">
        <v>-0.27476997497567351</v>
      </c>
      <c r="AF623">
        <v>2.6315353238869957E-3</v>
      </c>
      <c r="AG623">
        <v>-0.58740895880638355</v>
      </c>
      <c r="AH623">
        <v>-0.27532921838131508</v>
      </c>
      <c r="AI623">
        <v>4.7916060260918908E-5</v>
      </c>
    </row>
    <row r="624" spans="23:35" x14ac:dyDescent="0.25">
      <c r="W624">
        <v>622</v>
      </c>
      <c r="X624">
        <v>60.328008981383483</v>
      </c>
      <c r="Y624">
        <v>-1.9280089813834849</v>
      </c>
      <c r="Z624">
        <v>60.33294524378833</v>
      </c>
      <c r="AA624">
        <v>0.1406913280776228</v>
      </c>
      <c r="AB624">
        <v>67.900000000000006</v>
      </c>
      <c r="AC624">
        <v>-1.0895196306228982</v>
      </c>
      <c r="AD624">
        <v>-0.5361804124531141</v>
      </c>
      <c r="AE624">
        <v>-0.27439982697742049</v>
      </c>
      <c r="AF624">
        <v>2.5537518047703297E-3</v>
      </c>
      <c r="AG624">
        <v>-0.53686636239047725</v>
      </c>
      <c r="AH624">
        <v>-0.27471796991549446</v>
      </c>
      <c r="AI624">
        <v>3.8838993992666913E-5</v>
      </c>
    </row>
    <row r="625" spans="23:35" x14ac:dyDescent="0.25">
      <c r="W625">
        <v>623</v>
      </c>
      <c r="X625">
        <v>64.335595635047824</v>
      </c>
      <c r="Y625">
        <v>-6.2355956350478223</v>
      </c>
      <c r="Z625">
        <v>64.368181380106137</v>
      </c>
      <c r="AA625">
        <v>0.13523347483323225</v>
      </c>
      <c r="AB625">
        <v>68</v>
      </c>
      <c r="AC625">
        <v>-1.1174634002413726</v>
      </c>
      <c r="AD625">
        <v>-1.7341227513845121</v>
      </c>
      <c r="AE625">
        <v>-0.2735104134292905</v>
      </c>
      <c r="AF625">
        <v>5.198596384230229E-3</v>
      </c>
      <c r="AG625">
        <v>-1.7386479045139271</v>
      </c>
      <c r="AH625">
        <v>-0.27464443227695667</v>
      </c>
      <c r="AI625">
        <v>8.31417943222862E-4</v>
      </c>
    </row>
    <row r="626" spans="23:35" x14ac:dyDescent="0.25">
      <c r="W626">
        <v>624</v>
      </c>
      <c r="X626">
        <v>59.063421682016561</v>
      </c>
      <c r="Y626">
        <v>-1.2634216820165634</v>
      </c>
      <c r="Z626">
        <v>59.067980870898808</v>
      </c>
      <c r="AA626">
        <v>0.12553062462098241</v>
      </c>
      <c r="AB626">
        <v>68</v>
      </c>
      <c r="AC626">
        <v>-1.1521925343545227</v>
      </c>
      <c r="AD626">
        <v>-0.35135830025011044</v>
      </c>
      <c r="AE626">
        <v>-0.26781730718082791</v>
      </c>
      <c r="AF626">
        <v>3.5956290720794925E-3</v>
      </c>
      <c r="AG626">
        <v>-0.35199168588723584</v>
      </c>
      <c r="AH626">
        <v>-0.26919248524487588</v>
      </c>
      <c r="AI626">
        <v>2.3531546454211585E-5</v>
      </c>
    </row>
    <row r="627" spans="23:35" x14ac:dyDescent="0.25">
      <c r="W627">
        <v>625</v>
      </c>
      <c r="X627">
        <v>57.973687617001609</v>
      </c>
      <c r="Y627">
        <v>-0.67368761700161173</v>
      </c>
      <c r="Z627">
        <v>57.980850389724303</v>
      </c>
      <c r="AA627">
        <v>0.11643420254699818</v>
      </c>
      <c r="AB627">
        <v>68</v>
      </c>
      <c r="AC627">
        <v>-1.207056068729359</v>
      </c>
      <c r="AD627">
        <v>-0.18735291579880495</v>
      </c>
      <c r="AE627">
        <v>-0.26659076208038912</v>
      </c>
      <c r="AF627">
        <v>1.052033285255834E-2</v>
      </c>
      <c r="AG627">
        <v>-0.18834626802110582</v>
      </c>
      <c r="AH627">
        <v>-0.26910562581431735</v>
      </c>
      <c r="AI627">
        <v>1.9851029924595605E-5</v>
      </c>
    </row>
    <row r="628" spans="23:35" x14ac:dyDescent="0.25">
      <c r="W628">
        <v>626</v>
      </c>
      <c r="X628">
        <v>62.433483429043207</v>
      </c>
      <c r="Y628">
        <v>-5.6334834290432099</v>
      </c>
      <c r="Z628">
        <v>62.51919735447305</v>
      </c>
      <c r="AA628">
        <v>0.10794420861127957</v>
      </c>
      <c r="AB628">
        <v>68</v>
      </c>
      <c r="AC628">
        <v>-1.2523823790942721</v>
      </c>
      <c r="AD628">
        <v>-1.5666749987672259</v>
      </c>
      <c r="AE628">
        <v>-0.26583215715949565</v>
      </c>
      <c r="AF628">
        <v>1.498705502141948E-2</v>
      </c>
      <c r="AG628">
        <v>-1.5785485511020705</v>
      </c>
      <c r="AH628">
        <v>-0.26879350642066624</v>
      </c>
      <c r="AI628">
        <v>1.9954307047187181E-3</v>
      </c>
    </row>
    <row r="629" spans="23:35" x14ac:dyDescent="0.25">
      <c r="W629">
        <v>627</v>
      </c>
      <c r="X629">
        <v>62.759379630178351</v>
      </c>
      <c r="Y629">
        <v>-6.3593796301783527</v>
      </c>
      <c r="Z629">
        <v>62.803657417526985</v>
      </c>
      <c r="AA629">
        <v>9.8241358399029713E-2</v>
      </c>
      <c r="AB629">
        <v>68</v>
      </c>
      <c r="AC629">
        <v>-1.2969062889401866</v>
      </c>
      <c r="AD629">
        <v>-1.7685471519993663</v>
      </c>
      <c r="AE629">
        <v>-0.26439063307300109</v>
      </c>
      <c r="AF629">
        <v>6.9144528605552535E-3</v>
      </c>
      <c r="AG629">
        <v>-1.7746933113825774</v>
      </c>
      <c r="AH629">
        <v>-0.26858783424559107</v>
      </c>
      <c r="AI629">
        <v>1.1541551207015612E-3</v>
      </c>
    </row>
    <row r="630" spans="23:35" x14ac:dyDescent="0.25">
      <c r="W630">
        <v>628</v>
      </c>
      <c r="X630">
        <v>61.52806238857751</v>
      </c>
      <c r="Y630">
        <v>-3.1280623885775114</v>
      </c>
      <c r="Z630">
        <v>61.535235512961492</v>
      </c>
      <c r="AA630">
        <v>0.1406913280776228</v>
      </c>
      <c r="AB630">
        <v>68</v>
      </c>
      <c r="AC630">
        <v>-1.0895196306228982</v>
      </c>
      <c r="AD630">
        <v>-0.86991595883700068</v>
      </c>
      <c r="AE630">
        <v>-0.26358530718669571</v>
      </c>
      <c r="AF630">
        <v>2.2879060773354247E-3</v>
      </c>
      <c r="AG630">
        <v>-0.87091281269900622</v>
      </c>
      <c r="AH630">
        <v>-0.26385288809310714</v>
      </c>
      <c r="AI630">
        <v>9.1543753193262846E-5</v>
      </c>
    </row>
    <row r="631" spans="23:35" x14ac:dyDescent="0.25">
      <c r="W631">
        <v>629</v>
      </c>
      <c r="X631">
        <v>60.957447143866069</v>
      </c>
      <c r="Y631">
        <v>-2.857447143866068</v>
      </c>
      <c r="Z631">
        <v>60.964043693061804</v>
      </c>
      <c r="AA631">
        <v>0.13523347483323225</v>
      </c>
      <c r="AB631">
        <v>68</v>
      </c>
      <c r="AC631">
        <v>-1.1174634002413726</v>
      </c>
      <c r="AD631">
        <v>-0.79465770281924952</v>
      </c>
      <c r="AE631">
        <v>-0.26048516860261117</v>
      </c>
      <c r="AF631">
        <v>2.3032292460177773E-3</v>
      </c>
      <c r="AG631">
        <v>-0.79557442612233831</v>
      </c>
      <c r="AH631">
        <v>-0.26095438556288114</v>
      </c>
      <c r="AI631">
        <v>7.6903592388442559E-5</v>
      </c>
    </row>
    <row r="632" spans="23:35" x14ac:dyDescent="0.25">
      <c r="W632">
        <v>630</v>
      </c>
      <c r="X632">
        <v>60.462894573203847</v>
      </c>
      <c r="Y632">
        <v>-2.862894573203846</v>
      </c>
      <c r="Z632">
        <v>60.469528824112089</v>
      </c>
      <c r="AA632">
        <v>0.12431776834445118</v>
      </c>
      <c r="AB632">
        <v>68</v>
      </c>
      <c r="AC632">
        <v>-1.1700898139672218</v>
      </c>
      <c r="AD632">
        <v>-0.79617263606766364</v>
      </c>
      <c r="AE632">
        <v>-0.26032127610804362</v>
      </c>
      <c r="AF632">
        <v>2.311965244081989E-3</v>
      </c>
      <c r="AG632">
        <v>-0.79709459676327554</v>
      </c>
      <c r="AH632">
        <v>-0.26071722230990113</v>
      </c>
      <c r="AI632">
        <v>7.7491250038729312E-5</v>
      </c>
    </row>
    <row r="633" spans="23:35" x14ac:dyDescent="0.25">
      <c r="W633">
        <v>631</v>
      </c>
      <c r="X633">
        <v>59.737320032725421</v>
      </c>
      <c r="Y633">
        <v>-2.6373200327254196</v>
      </c>
      <c r="Z633">
        <v>59.743527676953427</v>
      </c>
      <c r="AA633">
        <v>0.11279563371740449</v>
      </c>
      <c r="AB633">
        <v>68</v>
      </c>
      <c r="AC633">
        <v>-1.2197514087080794</v>
      </c>
      <c r="AD633">
        <v>-0.7334402259386118</v>
      </c>
      <c r="AE633">
        <v>-0.25948378490449836</v>
      </c>
      <c r="AF633">
        <v>2.3482425707598404E-3</v>
      </c>
      <c r="AG633">
        <v>-0.73430289333132159</v>
      </c>
      <c r="AH633">
        <v>-0.26054491697731719</v>
      </c>
      <c r="AI633">
        <v>6.679760064674525E-5</v>
      </c>
    </row>
    <row r="634" spans="23:35" x14ac:dyDescent="0.25">
      <c r="W634">
        <v>632</v>
      </c>
      <c r="X634">
        <v>59.586504167583385</v>
      </c>
      <c r="Y634">
        <v>-2.8865041675833822</v>
      </c>
      <c r="Z634">
        <v>59.59345434423112</v>
      </c>
      <c r="AA634">
        <v>0.10491206791995149</v>
      </c>
      <c r="AB634">
        <v>68</v>
      </c>
      <c r="AC634">
        <v>-1.2726185683477402</v>
      </c>
      <c r="AD634">
        <v>-0.80273847791513608</v>
      </c>
      <c r="AE634">
        <v>-0.25760760013143996</v>
      </c>
      <c r="AF634">
        <v>2.4020343232954455E-3</v>
      </c>
      <c r="AG634">
        <v>-0.80370432094321764</v>
      </c>
      <c r="AH634">
        <v>-0.2602346195657641</v>
      </c>
      <c r="AI634">
        <v>8.1858288380915842E-5</v>
      </c>
    </row>
    <row r="635" spans="23:35" x14ac:dyDescent="0.25">
      <c r="W635">
        <v>633</v>
      </c>
      <c r="X635">
        <v>58.803311902560615</v>
      </c>
      <c r="Y635">
        <v>-2.5033119025606183</v>
      </c>
      <c r="Z635">
        <v>58.839792972987432</v>
      </c>
      <c r="AA635">
        <v>9.7028502122498486E-2</v>
      </c>
      <c r="AB635">
        <v>68</v>
      </c>
      <c r="AC635">
        <v>-1.3039878652542525</v>
      </c>
      <c r="AD635">
        <v>-0.69617248745936755</v>
      </c>
      <c r="AE635">
        <v>-0.25754611242968584</v>
      </c>
      <c r="AF635">
        <v>1.4363796897943183E-2</v>
      </c>
      <c r="AG635">
        <v>-0.70122684301760574</v>
      </c>
      <c r="AH635">
        <v>-0.25985532721758181</v>
      </c>
      <c r="AI635">
        <v>3.7715170272473723E-4</v>
      </c>
    </row>
    <row r="636" spans="23:35" x14ac:dyDescent="0.25">
      <c r="W636">
        <v>634</v>
      </c>
      <c r="X636">
        <v>67.556440847682609</v>
      </c>
      <c r="Y636">
        <v>-1.5564408476826088</v>
      </c>
      <c r="Z636">
        <v>67.563107063504205</v>
      </c>
      <c r="AA636">
        <v>0.31109763493026077</v>
      </c>
      <c r="AB636">
        <v>68</v>
      </c>
      <c r="AC636">
        <v>-0.50738317096904828</v>
      </c>
      <c r="AD636">
        <v>-0.43284709963876739</v>
      </c>
      <c r="AE636">
        <v>-0.25725087168064326</v>
      </c>
      <c r="AF636">
        <v>4.2647211936042567E-3</v>
      </c>
      <c r="AG636">
        <v>-0.43377304847852194</v>
      </c>
      <c r="AH636">
        <v>-0.25791118110765732</v>
      </c>
      <c r="AI636">
        <v>4.2414883476545167E-5</v>
      </c>
    </row>
    <row r="637" spans="23:35" x14ac:dyDescent="0.25">
      <c r="W637">
        <v>635</v>
      </c>
      <c r="X637">
        <v>67.66365915077553</v>
      </c>
      <c r="Y637">
        <v>-1.7636591507755242</v>
      </c>
      <c r="Z637">
        <v>67.670818031754948</v>
      </c>
      <c r="AA637">
        <v>0.30563978168587025</v>
      </c>
      <c r="AB637">
        <v>68.099999999999994</v>
      </c>
      <c r="AC637">
        <v>-0.52126361871264315</v>
      </c>
      <c r="AD637">
        <v>-0.49047462953775517</v>
      </c>
      <c r="AE637">
        <v>-0.25689483868854746</v>
      </c>
      <c r="AF637">
        <v>4.0426971326456363E-3</v>
      </c>
      <c r="AG637">
        <v>-0.49146906589859535</v>
      </c>
      <c r="AH637">
        <v>-0.25778981527301958</v>
      </c>
      <c r="AI637">
        <v>5.1602323884684844E-5</v>
      </c>
    </row>
    <row r="638" spans="23:35" x14ac:dyDescent="0.25">
      <c r="W638">
        <v>636</v>
      </c>
      <c r="X638">
        <v>71.331929153292222</v>
      </c>
      <c r="Y638">
        <v>-5.531929153292225</v>
      </c>
      <c r="Z638">
        <v>71.359088331514357</v>
      </c>
      <c r="AA638">
        <v>0.30078835657974529</v>
      </c>
      <c r="AB638">
        <v>68.099999999999994</v>
      </c>
      <c r="AC638">
        <v>-0.53349185558387491</v>
      </c>
      <c r="AD638">
        <v>-1.5384326959645349</v>
      </c>
      <c r="AE638">
        <v>-0.25486555144864753</v>
      </c>
      <c r="AF638">
        <v>4.8855453632864259E-3</v>
      </c>
      <c r="AG638">
        <v>-1.5422045636905448</v>
      </c>
      <c r="AH638">
        <v>-0.25763214018209746</v>
      </c>
      <c r="AI638">
        <v>6.1456862157623993E-4</v>
      </c>
    </row>
    <row r="639" spans="23:35" x14ac:dyDescent="0.25">
      <c r="W639">
        <v>637</v>
      </c>
      <c r="X639">
        <v>67.401790908295169</v>
      </c>
      <c r="Y639">
        <v>-1.8017909082951746</v>
      </c>
      <c r="Z639">
        <v>67.40853603402131</v>
      </c>
      <c r="AA639">
        <v>0.29411764705882354</v>
      </c>
      <c r="AB639">
        <v>68.099999999999994</v>
      </c>
      <c r="AC639">
        <v>-0.55287102664223609</v>
      </c>
      <c r="AD639">
        <v>-0.50107909335087353</v>
      </c>
      <c r="AE639">
        <v>-0.25318337270976915</v>
      </c>
      <c r="AF639">
        <v>3.7296053820593655E-3</v>
      </c>
      <c r="AG639">
        <v>-0.50201612888831604</v>
      </c>
      <c r="AH639">
        <v>-0.2551753338576585</v>
      </c>
      <c r="AI639">
        <v>4.9655504419528612E-5</v>
      </c>
    </row>
    <row r="640" spans="23:35" x14ac:dyDescent="0.25">
      <c r="W640">
        <v>638</v>
      </c>
      <c r="X640">
        <v>67.154868122767951</v>
      </c>
      <c r="Y640">
        <v>-1.2548681227679452</v>
      </c>
      <c r="Z640">
        <v>67.159748286926927</v>
      </c>
      <c r="AA640">
        <v>0.30563978168587025</v>
      </c>
      <c r="AB640">
        <v>68.099999999999994</v>
      </c>
      <c r="AC640">
        <v>-0.52126361871264315</v>
      </c>
      <c r="AD640">
        <v>-0.34897955047759888</v>
      </c>
      <c r="AE640">
        <v>-0.25146798252551189</v>
      </c>
      <c r="AF640">
        <v>3.8739200597592846E-3</v>
      </c>
      <c r="AG640">
        <v>-0.34965748023949844</v>
      </c>
      <c r="AH640">
        <v>-0.25443928915247022</v>
      </c>
      <c r="AI640">
        <v>2.502467178265173E-5</v>
      </c>
    </row>
    <row r="641" spans="23:35" x14ac:dyDescent="0.25">
      <c r="W641">
        <v>639</v>
      </c>
      <c r="X641">
        <v>67.773262018828305</v>
      </c>
      <c r="Y641">
        <v>-1.6732620188283107</v>
      </c>
      <c r="Z641">
        <v>67.779493310122433</v>
      </c>
      <c r="AA641">
        <v>0.31412977562158884</v>
      </c>
      <c r="AB641">
        <v>68.099999999999994</v>
      </c>
      <c r="AC641">
        <v>-0.4918835074548818</v>
      </c>
      <c r="AD641">
        <v>-0.4653351348776964</v>
      </c>
      <c r="AE641">
        <v>-0.25070679457255324</v>
      </c>
      <c r="AF641">
        <v>3.7102209675771609E-3</v>
      </c>
      <c r="AG641">
        <v>-0.46620079254697061</v>
      </c>
      <c r="AH641">
        <v>-0.25174297406387913</v>
      </c>
      <c r="AI641">
        <v>4.2599697436940397E-5</v>
      </c>
    </row>
    <row r="642" spans="23:35" x14ac:dyDescent="0.25">
      <c r="W642">
        <v>640</v>
      </c>
      <c r="X642">
        <v>66.547250257545073</v>
      </c>
      <c r="Y642">
        <v>-0.24725025754507612</v>
      </c>
      <c r="Z642">
        <v>66.548592534606442</v>
      </c>
      <c r="AA642">
        <v>0.31898120072771374</v>
      </c>
      <c r="AB642">
        <v>68.099999999999994</v>
      </c>
      <c r="AC642">
        <v>-0.47479897905845492</v>
      </c>
      <c r="AD642">
        <v>-6.8760439577687321E-2</v>
      </c>
      <c r="AE642">
        <v>-0.25019288262771888</v>
      </c>
      <c r="AF642">
        <v>5.3995067208803971E-3</v>
      </c>
      <c r="AG642">
        <v>-6.8946830962208897E-2</v>
      </c>
      <c r="AH642">
        <v>-0.25061415170702783</v>
      </c>
      <c r="AI642">
        <v>1.3582522508210119E-6</v>
      </c>
    </row>
    <row r="643" spans="23:35" x14ac:dyDescent="0.25">
      <c r="W643">
        <v>641</v>
      </c>
      <c r="X643">
        <v>66.151314272435826</v>
      </c>
      <c r="Y643">
        <v>-0.45131427243582323</v>
      </c>
      <c r="Z643">
        <v>66.153478766908989</v>
      </c>
      <c r="AA643">
        <v>0.29654335961188599</v>
      </c>
      <c r="AB643">
        <v>68.099999999999994</v>
      </c>
      <c r="AC643">
        <v>-0.54051528578164909</v>
      </c>
      <c r="AD643">
        <v>-0.12551076010391538</v>
      </c>
      <c r="AE643">
        <v>-0.24818602956046804</v>
      </c>
      <c r="AF643">
        <v>4.7730889097964968E-3</v>
      </c>
      <c r="AG643">
        <v>-0.12581137368304479</v>
      </c>
      <c r="AH643">
        <v>-0.2484709717588886</v>
      </c>
      <c r="AI643">
        <v>3.9954308705752331E-6</v>
      </c>
    </row>
    <row r="644" spans="23:35" x14ac:dyDescent="0.25">
      <c r="W644">
        <v>642</v>
      </c>
      <c r="X644">
        <v>71.420899155136951</v>
      </c>
      <c r="Y644">
        <v>-6.2208991551369479</v>
      </c>
      <c r="Z644">
        <v>71.443518745606852</v>
      </c>
      <c r="AA644">
        <v>0.28077622801697999</v>
      </c>
      <c r="AB644">
        <v>68.099999999999994</v>
      </c>
      <c r="AC644">
        <v>-0.59046081866695443</v>
      </c>
      <c r="AD644">
        <v>-1.7300356518241318</v>
      </c>
      <c r="AE644">
        <v>-0.24449595723357537</v>
      </c>
      <c r="AF644">
        <v>3.6228914161294447E-3</v>
      </c>
      <c r="AG644">
        <v>-1.733178058511591</v>
      </c>
      <c r="AH644">
        <v>-0.24530258765372495</v>
      </c>
      <c r="AI644">
        <v>5.7486297790912725E-4</v>
      </c>
    </row>
    <row r="645" spans="23:35" x14ac:dyDescent="0.25">
      <c r="W645">
        <v>643</v>
      </c>
      <c r="X645">
        <v>67.188356146222844</v>
      </c>
      <c r="Y645">
        <v>-2.1883561462228442</v>
      </c>
      <c r="Z645">
        <v>67.193598289288843</v>
      </c>
      <c r="AA645">
        <v>0.27289266221952696</v>
      </c>
      <c r="AB645">
        <v>68.2</v>
      </c>
      <c r="AC645">
        <v>-0.62335641379693996</v>
      </c>
      <c r="AD645">
        <v>-0.60858310952167161</v>
      </c>
      <c r="AE645">
        <v>-0.24222772077155594</v>
      </c>
      <c r="AF645">
        <v>2.3897461497839959E-3</v>
      </c>
      <c r="AG645">
        <v>-0.6093115950249729</v>
      </c>
      <c r="AH645">
        <v>-0.24314671221614731</v>
      </c>
      <c r="AI645">
        <v>4.6807575951233701E-5</v>
      </c>
    </row>
    <row r="646" spans="23:35" x14ac:dyDescent="0.25">
      <c r="W646">
        <v>644</v>
      </c>
      <c r="X646">
        <v>66.825699169645304</v>
      </c>
      <c r="Y646">
        <v>-1.7256991696453099</v>
      </c>
      <c r="Z646">
        <v>66.830363744203595</v>
      </c>
      <c r="AA646">
        <v>0.27713765918738631</v>
      </c>
      <c r="AB646">
        <v>68.2</v>
      </c>
      <c r="AC646">
        <v>-0.60317578841021124</v>
      </c>
      <c r="AD646">
        <v>-0.47991793683785622</v>
      </c>
      <c r="AE646">
        <v>-0.24060457260304913</v>
      </c>
      <c r="AF646">
        <v>2.6957190786727567E-3</v>
      </c>
      <c r="AG646">
        <v>-0.48056610957060858</v>
      </c>
      <c r="AH646">
        <v>-0.24109897697914559</v>
      </c>
      <c r="AI646">
        <v>3.2854860586387845E-5</v>
      </c>
    </row>
    <row r="647" spans="23:35" x14ac:dyDescent="0.25">
      <c r="W647">
        <v>645</v>
      </c>
      <c r="X647">
        <v>65.919771003603486</v>
      </c>
      <c r="Y647">
        <v>-0.61977100360348913</v>
      </c>
      <c r="Z647">
        <v>65.931183725918515</v>
      </c>
      <c r="AA647">
        <v>0.28380836870830806</v>
      </c>
      <c r="AB647">
        <v>68.2</v>
      </c>
      <c r="AC647">
        <v>-0.57963781842623852</v>
      </c>
      <c r="AD647">
        <v>-0.17235867443944355</v>
      </c>
      <c r="AE647">
        <v>-0.23991032095584516</v>
      </c>
      <c r="AF647">
        <v>1.808145845081607E-2</v>
      </c>
      <c r="AG647">
        <v>-0.17393837762214023</v>
      </c>
      <c r="AH647">
        <v>-0.24083153510978253</v>
      </c>
      <c r="AI647">
        <v>2.9322110485601738E-5</v>
      </c>
    </row>
    <row r="648" spans="23:35" x14ac:dyDescent="0.25">
      <c r="W648">
        <v>646</v>
      </c>
      <c r="X648">
        <v>66.300868723595556</v>
      </c>
      <c r="Y648">
        <v>-1.0008687235955591</v>
      </c>
      <c r="Z648">
        <v>66.303660790245758</v>
      </c>
      <c r="AA648">
        <v>0.28380836870830806</v>
      </c>
      <c r="AB648">
        <v>68.2</v>
      </c>
      <c r="AC648">
        <v>-0.57963781842623852</v>
      </c>
      <c r="AD648">
        <v>-0.27834217071115847</v>
      </c>
      <c r="AE648">
        <v>-0.23970707336400063</v>
      </c>
      <c r="AF648">
        <v>2.7818827609308789E-3</v>
      </c>
      <c r="AG648">
        <v>-0.2787301380018809</v>
      </c>
      <c r="AH648">
        <v>-0.23990269888066798</v>
      </c>
      <c r="AI648">
        <v>1.1406776227190325E-5</v>
      </c>
    </row>
    <row r="649" spans="23:35" x14ac:dyDescent="0.25">
      <c r="W649">
        <v>647</v>
      </c>
      <c r="X649">
        <v>65.728378868020158</v>
      </c>
      <c r="Y649">
        <v>-0.32837886802015248</v>
      </c>
      <c r="Z649">
        <v>65.732973484778938</v>
      </c>
      <c r="AA649">
        <v>0.28684050939963612</v>
      </c>
      <c r="AB649">
        <v>68.3</v>
      </c>
      <c r="AC649">
        <v>-0.57067028430202504</v>
      </c>
      <c r="AD649">
        <v>-9.1322353057499236E-2</v>
      </c>
      <c r="AE649">
        <v>-0.23723583228823691</v>
      </c>
      <c r="AF649">
        <v>1.3798746653462111E-2</v>
      </c>
      <c r="AG649">
        <v>-9.1959016562363147E-2</v>
      </c>
      <c r="AH649">
        <v>-0.23752967568907229</v>
      </c>
      <c r="AI649">
        <v>6.2274338962374259E-6</v>
      </c>
    </row>
    <row r="650" spans="23:35" x14ac:dyDescent="0.25">
      <c r="W650">
        <v>648</v>
      </c>
      <c r="X650">
        <v>64.533892342912139</v>
      </c>
      <c r="Y650">
        <v>-1.433892342912138</v>
      </c>
      <c r="Z650">
        <v>64.541325955041117</v>
      </c>
      <c r="AA650">
        <v>0.22255912674348088</v>
      </c>
      <c r="AB650">
        <v>68.3</v>
      </c>
      <c r="AC650">
        <v>-0.76459654801725674</v>
      </c>
      <c r="AD650">
        <v>-0.39876628960737781</v>
      </c>
      <c r="AE650">
        <v>-0.23666355982684206</v>
      </c>
      <c r="AF650">
        <v>5.1574816251494992E-3</v>
      </c>
      <c r="AG650">
        <v>-0.39979859932248785</v>
      </c>
      <c r="AH650">
        <v>-0.23737866348438633</v>
      </c>
      <c r="AI650">
        <v>4.3612630973821459E-5</v>
      </c>
    </row>
    <row r="651" spans="23:35" x14ac:dyDescent="0.25">
      <c r="W651">
        <v>649</v>
      </c>
      <c r="X651">
        <v>64.327744506972181</v>
      </c>
      <c r="Y651">
        <v>-1.6277445069721779</v>
      </c>
      <c r="Z651">
        <v>64.335790152638026</v>
      </c>
      <c r="AA651">
        <v>0.21164342025469982</v>
      </c>
      <c r="AB651">
        <v>68.3</v>
      </c>
      <c r="AC651">
        <v>-0.80808466725232064</v>
      </c>
      <c r="AD651">
        <v>-0.45267668851332937</v>
      </c>
      <c r="AE651">
        <v>-0.2366610023050876</v>
      </c>
      <c r="AF651">
        <v>4.9185072137000498E-3</v>
      </c>
      <c r="AG651">
        <v>-0.45379405883138146</v>
      </c>
      <c r="AH651">
        <v>-0.23736527818292694</v>
      </c>
      <c r="AI651">
        <v>5.3572100407860725E-5</v>
      </c>
    </row>
    <row r="652" spans="23:35" x14ac:dyDescent="0.25">
      <c r="W652">
        <v>650</v>
      </c>
      <c r="X652">
        <v>69.080286468596853</v>
      </c>
      <c r="Y652">
        <v>5.419713531403147</v>
      </c>
      <c r="Z652">
        <v>69.044193832484552</v>
      </c>
      <c r="AA652">
        <v>0.72407519708914492</v>
      </c>
      <c r="AB652">
        <v>68.3</v>
      </c>
      <c r="AC652">
        <v>0.56531175535073552</v>
      </c>
      <c r="AD652">
        <v>1.5072254666366955</v>
      </c>
      <c r="AE652">
        <v>-0.23538429594632718</v>
      </c>
      <c r="AF652">
        <v>6.6154542526094765E-3</v>
      </c>
      <c r="AG652">
        <v>1.5122358303221499</v>
      </c>
      <c r="AH652">
        <v>-0.2370629638717533</v>
      </c>
      <c r="AI652">
        <v>8.0154464677998727E-4</v>
      </c>
    </row>
    <row r="653" spans="23:35" x14ac:dyDescent="0.25">
      <c r="W653">
        <v>651</v>
      </c>
      <c r="X653">
        <v>73.007694097385979</v>
      </c>
      <c r="Y653">
        <v>1.292305902614018</v>
      </c>
      <c r="Z653">
        <v>73.002283667798196</v>
      </c>
      <c r="AA653">
        <v>0.7052759248029109</v>
      </c>
      <c r="AB653">
        <v>68.3</v>
      </c>
      <c r="AC653">
        <v>0.52824151828033117</v>
      </c>
      <c r="AD653">
        <v>0.35939101869845341</v>
      </c>
      <c r="AE653">
        <v>-0.23325044782652965</v>
      </c>
      <c r="AF653">
        <v>4.1691927993291363E-3</v>
      </c>
      <c r="AG653">
        <v>0.36014255471417717</v>
      </c>
      <c r="AH653">
        <v>-0.23574546436591023</v>
      </c>
      <c r="AI653">
        <v>2.8579965647086695E-5</v>
      </c>
    </row>
    <row r="654" spans="23:35" x14ac:dyDescent="0.25">
      <c r="W654">
        <v>652</v>
      </c>
      <c r="X654">
        <v>70.756491896843741</v>
      </c>
      <c r="Y654">
        <v>3.3435081031562532</v>
      </c>
      <c r="Z654">
        <v>70.74446038924421</v>
      </c>
      <c r="AA654">
        <v>0.69254093389933291</v>
      </c>
      <c r="AB654">
        <v>68.3</v>
      </c>
      <c r="AC654">
        <v>0.48161589062349974</v>
      </c>
      <c r="AD654">
        <v>0.92983153662709661</v>
      </c>
      <c r="AE654">
        <v>-0.23105972392811194</v>
      </c>
      <c r="AF654">
        <v>3.5855656601311171E-3</v>
      </c>
      <c r="AG654">
        <v>0.93150301889335529</v>
      </c>
      <c r="AH654">
        <v>-0.2336982652340811</v>
      </c>
      <c r="AI654">
        <v>1.6433595848140025E-4</v>
      </c>
    </row>
    <row r="655" spans="23:35" x14ac:dyDescent="0.25">
      <c r="W655">
        <v>653</v>
      </c>
      <c r="X655">
        <v>70.43090235234672</v>
      </c>
      <c r="Y655">
        <v>3.4690976476532853</v>
      </c>
      <c r="Z655">
        <v>70.421710192615691</v>
      </c>
      <c r="AA655">
        <v>0.67919951485748942</v>
      </c>
      <c r="AB655">
        <v>68.3</v>
      </c>
      <c r="AC655">
        <v>0.43434378704136062</v>
      </c>
      <c r="AD655">
        <v>0.96475806156470201</v>
      </c>
      <c r="AE655">
        <v>-0.22859410448331161</v>
      </c>
      <c r="AF655">
        <v>2.6427239362028011E-3</v>
      </c>
      <c r="AG655">
        <v>0.96603538845071513</v>
      </c>
      <c r="AH655">
        <v>-0.23254720167250728</v>
      </c>
      <c r="AI655">
        <v>1.3014680444600366E-4</v>
      </c>
    </row>
    <row r="656" spans="23:35" x14ac:dyDescent="0.25">
      <c r="W656">
        <v>654</v>
      </c>
      <c r="X656">
        <v>70.238351500778435</v>
      </c>
      <c r="Y656">
        <v>3.361648499221559</v>
      </c>
      <c r="Z656">
        <v>70.229795229238434</v>
      </c>
      <c r="AA656">
        <v>0.65433596118859916</v>
      </c>
      <c r="AB656">
        <v>68.400000000000006</v>
      </c>
      <c r="AC656">
        <v>0.3716850598056044</v>
      </c>
      <c r="AD656">
        <v>0.93487639126121713</v>
      </c>
      <c r="AE656">
        <v>-0.22827535476731253</v>
      </c>
      <c r="AF656">
        <v>2.5387987146156541E-3</v>
      </c>
      <c r="AG656">
        <v>0.93606538719705012</v>
      </c>
      <c r="AH656">
        <v>-0.23167569708722335</v>
      </c>
      <c r="AI656">
        <v>1.1737916896576062E-4</v>
      </c>
    </row>
    <row r="657" spans="23:35" x14ac:dyDescent="0.25">
      <c r="W657">
        <v>655</v>
      </c>
      <c r="X657">
        <v>69.972485344624474</v>
      </c>
      <c r="Y657">
        <v>3.427514655375532</v>
      </c>
      <c r="Z657">
        <v>69.962664838922876</v>
      </c>
      <c r="AA657">
        <v>0.63735597331716187</v>
      </c>
      <c r="AB657">
        <v>68.400000000000006</v>
      </c>
      <c r="AC657">
        <v>0.33286538375086522</v>
      </c>
      <c r="AD657">
        <v>0.95319380736993076</v>
      </c>
      <c r="AE657">
        <v>-0.22766866375905745</v>
      </c>
      <c r="AF657">
        <v>2.8570113885902559E-3</v>
      </c>
      <c r="AG657">
        <v>0.95455837478715422</v>
      </c>
      <c r="AH657">
        <v>-0.2301368082869544</v>
      </c>
      <c r="AI657">
        <v>1.3740606901501077E-4</v>
      </c>
    </row>
    <row r="658" spans="23:35" x14ac:dyDescent="0.25">
      <c r="W658">
        <v>656</v>
      </c>
      <c r="X658">
        <v>69.502259488737934</v>
      </c>
      <c r="Y658">
        <v>3.6977405112620687</v>
      </c>
      <c r="Z658">
        <v>69.493414229854196</v>
      </c>
      <c r="AA658">
        <v>0.62340812613705276</v>
      </c>
      <c r="AB658">
        <v>68.400000000000006</v>
      </c>
      <c r="AC658">
        <v>0.29295400660571058</v>
      </c>
      <c r="AD658">
        <v>1.0283437741303398</v>
      </c>
      <c r="AE658">
        <v>-0.22605560673509167</v>
      </c>
      <c r="AF658">
        <v>2.386362931349272E-3</v>
      </c>
      <c r="AG658">
        <v>1.0295729752900569</v>
      </c>
      <c r="AH658">
        <v>-0.22885274775019068</v>
      </c>
      <c r="AI658">
        <v>1.3345498017498287E-4</v>
      </c>
    </row>
    <row r="659" spans="23:35" x14ac:dyDescent="0.25">
      <c r="W659">
        <v>657</v>
      </c>
      <c r="X659">
        <v>71.598640023893552</v>
      </c>
      <c r="Y659">
        <v>1.4013599761064484</v>
      </c>
      <c r="Z659">
        <v>71.593543168371824</v>
      </c>
      <c r="AA659">
        <v>0.60946027895694366</v>
      </c>
      <c r="AB659">
        <v>68.400000000000006</v>
      </c>
      <c r="AC659">
        <v>0.22222871718700732</v>
      </c>
      <c r="AD659">
        <v>0.3897190195892507</v>
      </c>
      <c r="AE659">
        <v>-0.22221324884027507</v>
      </c>
      <c r="AF659">
        <v>3.6238975893936225E-3</v>
      </c>
      <c r="AG659">
        <v>0.39042709557544736</v>
      </c>
      <c r="AH659">
        <v>-0.22678367458949542</v>
      </c>
      <c r="AI659">
        <v>2.9179571667463777E-5</v>
      </c>
    </row>
    <row r="660" spans="23:35" x14ac:dyDescent="0.25">
      <c r="W660">
        <v>658</v>
      </c>
      <c r="X660">
        <v>68.888427747348544</v>
      </c>
      <c r="Y660">
        <v>3.9115722526514531</v>
      </c>
      <c r="Z660">
        <v>68.879929096831816</v>
      </c>
      <c r="AA660">
        <v>0.58156458459672533</v>
      </c>
      <c r="AB660">
        <v>68.400000000000006</v>
      </c>
      <c r="AC660">
        <v>0.18343432307636306</v>
      </c>
      <c r="AD660">
        <v>1.0878105050433133</v>
      </c>
      <c r="AE660">
        <v>-0.22140785084623973</v>
      </c>
      <c r="AF660">
        <v>2.1679838775020676E-3</v>
      </c>
      <c r="AG660">
        <v>1.0889916036610754</v>
      </c>
      <c r="AH660">
        <v>-0.22297340975456509</v>
      </c>
      <c r="AI660">
        <v>1.3561073671884639E-4</v>
      </c>
    </row>
    <row r="661" spans="23:35" x14ac:dyDescent="0.25">
      <c r="W661">
        <v>659</v>
      </c>
      <c r="X661">
        <v>68.626356595121777</v>
      </c>
      <c r="Y661">
        <v>3.8736434048782229</v>
      </c>
      <c r="Z661">
        <v>68.616374067625443</v>
      </c>
      <c r="AA661">
        <v>0.55852031534263191</v>
      </c>
      <c r="AB661">
        <v>68.400000000000006</v>
      </c>
      <c r="AC661">
        <v>0.12956927093944998</v>
      </c>
      <c r="AD661">
        <v>1.0772624705479923</v>
      </c>
      <c r="AE661">
        <v>-0.22056728886941765</v>
      </c>
      <c r="AF661">
        <v>2.5704142649578946E-3</v>
      </c>
      <c r="AG661">
        <v>1.0786496507530914</v>
      </c>
      <c r="AH661">
        <v>-0.22116595607911477</v>
      </c>
      <c r="AI661">
        <v>1.5780766362773197E-4</v>
      </c>
    </row>
    <row r="662" spans="23:35" x14ac:dyDescent="0.25">
      <c r="W662">
        <v>660</v>
      </c>
      <c r="X662">
        <v>68.067309304590836</v>
      </c>
      <c r="Y662">
        <v>4.1326906954091669</v>
      </c>
      <c r="Z662">
        <v>68.057149754629066</v>
      </c>
      <c r="AA662">
        <v>0.53911461491813217</v>
      </c>
      <c r="AB662">
        <v>68.400000000000006</v>
      </c>
      <c r="AC662">
        <v>7.9127168877726875E-2</v>
      </c>
      <c r="AD662">
        <v>1.149303671819822</v>
      </c>
      <c r="AE662">
        <v>-0.2204713918346608</v>
      </c>
      <c r="AF662">
        <v>2.4523092460608611E-3</v>
      </c>
      <c r="AG662">
        <v>1.1507154930282464</v>
      </c>
      <c r="AH662">
        <v>-0.22089993790099516</v>
      </c>
      <c r="AI662">
        <v>1.7132624159555508E-4</v>
      </c>
    </row>
    <row r="663" spans="23:35" x14ac:dyDescent="0.25">
      <c r="W663">
        <v>661</v>
      </c>
      <c r="X663">
        <v>67.891725097371477</v>
      </c>
      <c r="Y663">
        <v>4.0082749026285285</v>
      </c>
      <c r="Z663">
        <v>67.881095953285239</v>
      </c>
      <c r="AA663">
        <v>0.51607034566403887</v>
      </c>
      <c r="AB663">
        <v>68.5</v>
      </c>
      <c r="AC663">
        <v>2.7365033500434649E-2</v>
      </c>
      <c r="AD663">
        <v>1.114703567913182</v>
      </c>
      <c r="AE663">
        <v>-0.217571149091838</v>
      </c>
      <c r="AF663">
        <v>2.6447867285914108E-3</v>
      </c>
      <c r="AG663">
        <v>1.116180574937554</v>
      </c>
      <c r="AH663">
        <v>-0.21873814819509227</v>
      </c>
      <c r="AI663">
        <v>1.7388259551519668E-4</v>
      </c>
    </row>
    <row r="664" spans="23:35" x14ac:dyDescent="0.25">
      <c r="W664">
        <v>662</v>
      </c>
      <c r="X664">
        <v>66.280862049762106</v>
      </c>
      <c r="Y664">
        <v>5.3191379502378879</v>
      </c>
      <c r="Z664">
        <v>66.251371774637903</v>
      </c>
      <c r="AA664">
        <v>0.49787750151607035</v>
      </c>
      <c r="AB664">
        <v>68.5</v>
      </c>
      <c r="AC664">
        <v>-2.1282865457297767E-2</v>
      </c>
      <c r="AD664">
        <v>1.4792553393641534</v>
      </c>
      <c r="AE664">
        <v>-0.21580433364297549</v>
      </c>
      <c r="AF664">
        <v>5.5136146842974989E-3</v>
      </c>
      <c r="AG664">
        <v>1.4833503026839843</v>
      </c>
      <c r="AH664">
        <v>-0.21599580331459622</v>
      </c>
      <c r="AI664">
        <v>6.4205379699642932E-4</v>
      </c>
    </row>
    <row r="665" spans="23:35" x14ac:dyDescent="0.25">
      <c r="W665">
        <v>663</v>
      </c>
      <c r="X665">
        <v>67.056598490633576</v>
      </c>
      <c r="Y665">
        <v>4.2434015093664215</v>
      </c>
      <c r="Z665">
        <v>67.045335701041409</v>
      </c>
      <c r="AA665">
        <v>0.48089751364463312</v>
      </c>
      <c r="AB665">
        <v>68.5</v>
      </c>
      <c r="AC665">
        <v>-5.1706087511076533E-2</v>
      </c>
      <c r="AD665">
        <v>1.180092413191776</v>
      </c>
      <c r="AE665">
        <v>-0.21418595618383662</v>
      </c>
      <c r="AF665">
        <v>2.6471629253867687E-3</v>
      </c>
      <c r="AG665">
        <v>1.1816574695398494</v>
      </c>
      <c r="AH665">
        <v>-0.21532584412512956</v>
      </c>
      <c r="AI665">
        <v>1.9505696052950973E-4</v>
      </c>
    </row>
    <row r="666" spans="23:35" x14ac:dyDescent="0.25">
      <c r="W666">
        <v>664</v>
      </c>
      <c r="X666">
        <v>66.673044433084925</v>
      </c>
      <c r="Y666">
        <v>4.3269555669150748</v>
      </c>
      <c r="Z666">
        <v>66.66306493022519</v>
      </c>
      <c r="AA666">
        <v>0.46937537901758641</v>
      </c>
      <c r="AB666">
        <v>68.5</v>
      </c>
      <c r="AC666">
        <v>-9.743972564826138E-2</v>
      </c>
      <c r="AD666">
        <v>1.2033288449050874</v>
      </c>
      <c r="AE666">
        <v>-0.21374866218581443</v>
      </c>
      <c r="AF666">
        <v>2.3010496350955425E-3</v>
      </c>
      <c r="AG666">
        <v>1.2047156984784795</v>
      </c>
      <c r="AH666">
        <v>-0.21504143609642187</v>
      </c>
      <c r="AI666">
        <v>1.7617407897796623E-4</v>
      </c>
    </row>
    <row r="667" spans="23:35" x14ac:dyDescent="0.25">
      <c r="W667">
        <v>665</v>
      </c>
      <c r="X667">
        <v>70.430831208955453</v>
      </c>
      <c r="Y667">
        <v>-2.4308312089554533</v>
      </c>
      <c r="Z667">
        <v>71.252250094315414</v>
      </c>
      <c r="AA667">
        <v>0.38447543966040026</v>
      </c>
      <c r="AB667">
        <v>68.5</v>
      </c>
      <c r="AC667">
        <v>-0.31204933220437475</v>
      </c>
      <c r="AD667">
        <v>-0.67601556466110424</v>
      </c>
      <c r="AE667">
        <v>-0.21282550122920929</v>
      </c>
      <c r="AF667">
        <v>0.25256940934392408</v>
      </c>
      <c r="AG667">
        <v>-0.78193609487208071</v>
      </c>
      <c r="AH667">
        <v>-0.21469636615060905</v>
      </c>
      <c r="AI667">
        <v>1.0874237176512713E-2</v>
      </c>
    </row>
    <row r="668" spans="23:35" x14ac:dyDescent="0.25">
      <c r="W668">
        <v>666</v>
      </c>
      <c r="X668">
        <v>68.877077425830862</v>
      </c>
      <c r="Y668">
        <v>-1.2770774258308677</v>
      </c>
      <c r="Z668">
        <v>69.006199733944626</v>
      </c>
      <c r="AA668">
        <v>0.36264402668283807</v>
      </c>
      <c r="AB668">
        <v>68.5</v>
      </c>
      <c r="AC668">
        <v>-0.36030729595554811</v>
      </c>
      <c r="AD668">
        <v>-0.3551559705003049</v>
      </c>
      <c r="AE668">
        <v>-0.21017018431711293</v>
      </c>
      <c r="AF668">
        <v>9.1823590203327976E-2</v>
      </c>
      <c r="AG668">
        <v>-0.37267821918824917</v>
      </c>
      <c r="AH668">
        <v>-0.2103643955081671</v>
      </c>
      <c r="AI668">
        <v>7.3909195439048904E-4</v>
      </c>
    </row>
    <row r="669" spans="23:35" x14ac:dyDescent="0.25">
      <c r="W669">
        <v>667</v>
      </c>
      <c r="X669">
        <v>73.291105046146001</v>
      </c>
      <c r="Y669">
        <v>-5.9911050461460036</v>
      </c>
      <c r="Z669">
        <v>74.156494452441251</v>
      </c>
      <c r="AA669">
        <v>0.35112189205579136</v>
      </c>
      <c r="AB669">
        <v>68.599999999999994</v>
      </c>
      <c r="AC669">
        <v>-0.39787592189543292</v>
      </c>
      <c r="AD669">
        <v>-1.6661297772520915</v>
      </c>
      <c r="AE669">
        <v>-0.20918959741199886</v>
      </c>
      <c r="AF669">
        <v>0.12621455647603272</v>
      </c>
      <c r="AG669">
        <v>-1.782405130078095</v>
      </c>
      <c r="AH669">
        <v>-0.21000108530763542</v>
      </c>
      <c r="AI669">
        <v>2.4152599838616551E-2</v>
      </c>
    </row>
    <row r="670" spans="23:35" x14ac:dyDescent="0.25">
      <c r="W670">
        <v>668</v>
      </c>
      <c r="X670">
        <v>62.777627348708975</v>
      </c>
      <c r="Y670">
        <v>4.0223726512910218</v>
      </c>
      <c r="Z670">
        <v>62.428289729243545</v>
      </c>
      <c r="AA670">
        <v>0.33232261976955729</v>
      </c>
      <c r="AB670">
        <v>68.599999999999994</v>
      </c>
      <c r="AC670">
        <v>-0.44438857281516719</v>
      </c>
      <c r="AD670">
        <v>1.1186241599672149</v>
      </c>
      <c r="AE670">
        <v>-0.20894839194537476</v>
      </c>
      <c r="AF670">
        <v>7.9908685120842704E-2</v>
      </c>
      <c r="AG670">
        <v>1.1661884325709231</v>
      </c>
      <c r="AH670">
        <v>-0.20946603689665469</v>
      </c>
      <c r="AI670">
        <v>6.2165139276731231E-3</v>
      </c>
    </row>
    <row r="671" spans="23:35" x14ac:dyDescent="0.25">
      <c r="W671">
        <v>669</v>
      </c>
      <c r="X671">
        <v>64.634761490382431</v>
      </c>
      <c r="Y671">
        <v>1.7652385096175749</v>
      </c>
      <c r="Z671">
        <v>64.384878069686209</v>
      </c>
      <c r="AA671">
        <v>0.32201334141904187</v>
      </c>
      <c r="AB671">
        <v>68.599999999999994</v>
      </c>
      <c r="AC671">
        <v>-0.46970075330452549</v>
      </c>
      <c r="AD671">
        <v>0.49091385014487837</v>
      </c>
      <c r="AE671">
        <v>-0.20674600835310467</v>
      </c>
      <c r="AF671">
        <v>0.1240041195211001</v>
      </c>
      <c r="AG671">
        <v>0.52451058030154041</v>
      </c>
      <c r="AH671">
        <v>-0.20769156118988907</v>
      </c>
      <c r="AI671">
        <v>2.0496936442897526E-3</v>
      </c>
    </row>
    <row r="672" spans="23:35" x14ac:dyDescent="0.25">
      <c r="W672">
        <v>670</v>
      </c>
      <c r="X672">
        <v>69.850066954532025</v>
      </c>
      <c r="Y672">
        <v>-3.850066954532025</v>
      </c>
      <c r="Z672">
        <v>70.397309331137166</v>
      </c>
      <c r="AA672">
        <v>0.31109763493026077</v>
      </c>
      <c r="AB672">
        <v>68.7</v>
      </c>
      <c r="AC672">
        <v>-0.50738317096904828</v>
      </c>
      <c r="AD672">
        <v>-1.0707058460753542</v>
      </c>
      <c r="AE672">
        <v>-0.20657339789112952</v>
      </c>
      <c r="AF672">
        <v>0.12444937014781715</v>
      </c>
      <c r="AG672">
        <v>-1.1442727127963219</v>
      </c>
      <c r="AH672">
        <v>-0.20740506040012352</v>
      </c>
      <c r="AI672">
        <v>9.7952814747004156E-3</v>
      </c>
    </row>
    <row r="673" spans="23:35" x14ac:dyDescent="0.25">
      <c r="W673">
        <v>671</v>
      </c>
      <c r="X673">
        <v>61.26083247558843</v>
      </c>
      <c r="Y673">
        <v>4.2391675244115703</v>
      </c>
      <c r="Z673">
        <v>60.660925959924057</v>
      </c>
      <c r="AA673">
        <v>0.28987265009096425</v>
      </c>
      <c r="AB673">
        <v>68.7</v>
      </c>
      <c r="AC673">
        <v>-0.56174840893422073</v>
      </c>
      <c r="AD673">
        <v>1.1789149395278395</v>
      </c>
      <c r="AE673">
        <v>-0.20583784656198825</v>
      </c>
      <c r="AF673">
        <v>0.12397134466141752</v>
      </c>
      <c r="AG673">
        <v>1.2595729200556354</v>
      </c>
      <c r="AH673">
        <v>-0.20719457733297092</v>
      </c>
      <c r="AI673">
        <v>1.1816695066029077E-2</v>
      </c>
    </row>
    <row r="674" spans="23:35" x14ac:dyDescent="0.25">
      <c r="W674">
        <v>672</v>
      </c>
      <c r="X674">
        <v>63.357999840429315</v>
      </c>
      <c r="Y674">
        <v>1.8420001595706879</v>
      </c>
      <c r="Z674">
        <v>62.953843540205476</v>
      </c>
      <c r="AA674">
        <v>0.28077622801697999</v>
      </c>
      <c r="AB674">
        <v>68.7</v>
      </c>
      <c r="AC674">
        <v>-0.59046081866695443</v>
      </c>
      <c r="AD674">
        <v>0.51226130937865633</v>
      </c>
      <c r="AE674">
        <v>-0.20578730531504558</v>
      </c>
      <c r="AF674">
        <v>0.17993239004410602</v>
      </c>
      <c r="AG674">
        <v>0.56567466165088032</v>
      </c>
      <c r="AH674">
        <v>-0.20664549727805018</v>
      </c>
      <c r="AI674">
        <v>3.6952135376277766E-3</v>
      </c>
    </row>
    <row r="675" spans="23:35" x14ac:dyDescent="0.25">
      <c r="W675">
        <v>673</v>
      </c>
      <c r="X675">
        <v>65.210239552965163</v>
      </c>
      <c r="Y675">
        <v>-0.4102395529651659</v>
      </c>
      <c r="Z675">
        <v>65.292000819658782</v>
      </c>
      <c r="AA675">
        <v>0.26440266828380837</v>
      </c>
      <c r="AB675">
        <v>68.7</v>
      </c>
      <c r="AC675">
        <v>-0.63633155866502356</v>
      </c>
      <c r="AD675">
        <v>-0.11408785687066923</v>
      </c>
      <c r="AE675">
        <v>-0.20554338855934681</v>
      </c>
      <c r="AF675">
        <v>0.16618115951579762</v>
      </c>
      <c r="AG675">
        <v>-0.12494059505914423</v>
      </c>
      <c r="AH675">
        <v>-0.2061012254330824</v>
      </c>
      <c r="AI675">
        <v>1.6374333068145102E-4</v>
      </c>
    </row>
    <row r="676" spans="23:35" x14ac:dyDescent="0.25">
      <c r="W676">
        <v>674</v>
      </c>
      <c r="X676">
        <v>61.954715625386434</v>
      </c>
      <c r="Y676">
        <v>2.4452843746135713</v>
      </c>
      <c r="Z676">
        <v>61.469999433807203</v>
      </c>
      <c r="AA676">
        <v>0.25227410551849605</v>
      </c>
      <c r="AB676">
        <v>68.7</v>
      </c>
      <c r="AC676">
        <v>-0.67401274003943057</v>
      </c>
      <c r="AD676">
        <v>0.68003499838711423</v>
      </c>
      <c r="AE676">
        <v>-0.20370213891110889</v>
      </c>
      <c r="AF676">
        <v>0.16543211532858643</v>
      </c>
      <c r="AG676">
        <v>0.74438982860941139</v>
      </c>
      <c r="AH676">
        <v>-0.20558385031389373</v>
      </c>
      <c r="AI676">
        <v>5.7810325426122982E-3</v>
      </c>
    </row>
    <row r="677" spans="23:35" x14ac:dyDescent="0.25">
      <c r="W677">
        <v>675</v>
      </c>
      <c r="X677">
        <v>63.74436957341608</v>
      </c>
      <c r="Y677">
        <v>0.25563042658392021</v>
      </c>
      <c r="Z677">
        <v>63.693735117157814</v>
      </c>
      <c r="AA677">
        <v>0.24075197089144937</v>
      </c>
      <c r="AB677">
        <v>68.8</v>
      </c>
      <c r="AC677">
        <v>-0.7126762947196924</v>
      </c>
      <c r="AD677">
        <v>7.1090969432610507E-2</v>
      </c>
      <c r="AE677">
        <v>-0.20358023677766088</v>
      </c>
      <c r="AF677">
        <v>0.1653289655293565</v>
      </c>
      <c r="AG677">
        <v>7.7813825244520157E-2</v>
      </c>
      <c r="AH677">
        <v>-0.20443975191762306</v>
      </c>
      <c r="AI677">
        <v>6.3123858191707367E-5</v>
      </c>
    </row>
    <row r="678" spans="23:35" x14ac:dyDescent="0.25">
      <c r="W678">
        <v>676</v>
      </c>
      <c r="X678">
        <v>70.922356054409576</v>
      </c>
      <c r="Y678">
        <v>-2.0223560544095704</v>
      </c>
      <c r="Z678">
        <v>70.980315231766653</v>
      </c>
      <c r="AA678">
        <v>0.41479684657368104</v>
      </c>
      <c r="AB678">
        <v>68.8</v>
      </c>
      <c r="AC678">
        <v>-0.22378708008709278</v>
      </c>
      <c r="AD678">
        <v>-0.5624183880109721</v>
      </c>
      <c r="AE678">
        <v>-0.20211084292528742</v>
      </c>
      <c r="AF678">
        <v>2.7860766710754742E-2</v>
      </c>
      <c r="AG678">
        <v>-0.57042069836592901</v>
      </c>
      <c r="AH678">
        <v>-0.20248667870541415</v>
      </c>
      <c r="AI678">
        <v>4.9079659855659128E-4</v>
      </c>
    </row>
    <row r="679" spans="23:35" x14ac:dyDescent="0.25">
      <c r="W679">
        <v>677</v>
      </c>
      <c r="X679">
        <v>71.616010973097076</v>
      </c>
      <c r="Y679">
        <v>-2.9160109730970731</v>
      </c>
      <c r="Z679">
        <v>71.640936358751517</v>
      </c>
      <c r="AA679">
        <v>0.40873256519102485</v>
      </c>
      <c r="AB679">
        <v>68.8</v>
      </c>
      <c r="AC679">
        <v>-0.23783731322627524</v>
      </c>
      <c r="AD679">
        <v>-0.81094433758864859</v>
      </c>
      <c r="AE679">
        <v>-0.20128060287014188</v>
      </c>
      <c r="AF679">
        <v>8.4753230311402344E-3</v>
      </c>
      <c r="AG679">
        <v>-0.81440284476639158</v>
      </c>
      <c r="AH679">
        <v>-0.2015206466753606</v>
      </c>
      <c r="AI679">
        <v>2.9838548688914643E-4</v>
      </c>
    </row>
    <row r="680" spans="23:35" x14ac:dyDescent="0.25">
      <c r="W680">
        <v>678</v>
      </c>
      <c r="X680">
        <v>71.133246325513099</v>
      </c>
      <c r="Y680">
        <v>-2.6332463255130989</v>
      </c>
      <c r="Z680">
        <v>71.176650077820653</v>
      </c>
      <c r="AA680">
        <v>0.40388114008489995</v>
      </c>
      <c r="AB680">
        <v>68.8</v>
      </c>
      <c r="AC680">
        <v>-0.25193465741015014</v>
      </c>
      <c r="AD680">
        <v>-0.73230732560754175</v>
      </c>
      <c r="AE680">
        <v>-0.19993049882303263</v>
      </c>
      <c r="AF680">
        <v>1.6215699118541094E-2</v>
      </c>
      <c r="AG680">
        <v>-0.7383179628381118</v>
      </c>
      <c r="AH680">
        <v>-0.20029435954556174</v>
      </c>
      <c r="AI680">
        <v>4.7289972122147657E-4</v>
      </c>
    </row>
    <row r="681" spans="23:35" x14ac:dyDescent="0.25">
      <c r="W681">
        <v>679</v>
      </c>
      <c r="X681">
        <v>70.733092592851463</v>
      </c>
      <c r="Y681">
        <v>-2.433092592851466</v>
      </c>
      <c r="Z681">
        <v>70.75546175394787</v>
      </c>
      <c r="AA681">
        <v>0.39599757428744692</v>
      </c>
      <c r="AB681">
        <v>68.900000000000006</v>
      </c>
      <c r="AC681">
        <v>-0.27396491687072577</v>
      </c>
      <c r="AD681">
        <v>-0.67664445683006547</v>
      </c>
      <c r="AE681">
        <v>-0.19960772757550474</v>
      </c>
      <c r="AF681">
        <v>9.1099611144192238E-3</v>
      </c>
      <c r="AG681">
        <v>-0.67974777870180614</v>
      </c>
      <c r="AH681">
        <v>-0.20019868822505826</v>
      </c>
      <c r="AI681">
        <v>2.2358005248862624E-4</v>
      </c>
    </row>
    <row r="682" spans="23:35" x14ac:dyDescent="0.25">
      <c r="W682">
        <v>680</v>
      </c>
      <c r="X682">
        <v>70.245627995094907</v>
      </c>
      <c r="Y682">
        <v>-2.1456279950949124</v>
      </c>
      <c r="Z682">
        <v>70.280465066348626</v>
      </c>
      <c r="AA682">
        <v>0.38932686476652517</v>
      </c>
      <c r="AB682">
        <v>68.900000000000006</v>
      </c>
      <c r="AC682">
        <v>-0.29295400660571042</v>
      </c>
      <c r="AD682">
        <v>-0.59670038598856134</v>
      </c>
      <c r="AE682">
        <v>-0.19877679716477842</v>
      </c>
      <c r="AF682">
        <v>1.597689951164958E-2</v>
      </c>
      <c r="AG682">
        <v>-0.60152498624841499</v>
      </c>
      <c r="AH682">
        <v>-0.19981777935733991</v>
      </c>
      <c r="AI682">
        <v>3.0920104466464936E-4</v>
      </c>
    </row>
    <row r="683" spans="23:35" x14ac:dyDescent="0.25">
      <c r="W683">
        <v>681</v>
      </c>
      <c r="X683">
        <v>69.785999539011385</v>
      </c>
      <c r="Y683">
        <v>-1.8859995390113795</v>
      </c>
      <c r="Z683">
        <v>69.802792795806752</v>
      </c>
      <c r="AA683">
        <v>0.37719830200121285</v>
      </c>
      <c r="AB683">
        <v>68.900000000000006</v>
      </c>
      <c r="AC683">
        <v>-0.32163939638952632</v>
      </c>
      <c r="AD683">
        <v>-0.52449756224054001</v>
      </c>
      <c r="AE683">
        <v>-0.19848449486075267</v>
      </c>
      <c r="AF683">
        <v>8.8255835487601724E-3</v>
      </c>
      <c r="AG683">
        <v>-0.52682749442007837</v>
      </c>
      <c r="AH683">
        <v>-0.19871013874527257</v>
      </c>
      <c r="AI683">
        <v>1.3006984123353868E-4</v>
      </c>
    </row>
    <row r="684" spans="23:35" x14ac:dyDescent="0.25">
      <c r="W684">
        <v>682</v>
      </c>
      <c r="X684">
        <v>69.62471459344944</v>
      </c>
      <c r="Y684">
        <v>-1.924714593449437</v>
      </c>
      <c r="Z684">
        <v>69.653919494929269</v>
      </c>
      <c r="AA684">
        <v>0.36749545178896303</v>
      </c>
      <c r="AB684">
        <v>68.900000000000006</v>
      </c>
      <c r="AC684">
        <v>-0.35059197017921911</v>
      </c>
      <c r="AD684">
        <v>-0.53526424126391614</v>
      </c>
      <c r="AE684">
        <v>-0.19585889485694591</v>
      </c>
      <c r="AF684">
        <v>1.4946829465400588E-2</v>
      </c>
      <c r="AG684">
        <v>-0.53930990219916664</v>
      </c>
      <c r="AH684">
        <v>-0.19797696471475082</v>
      </c>
      <c r="AI684">
        <v>2.3228041545473213E-4</v>
      </c>
    </row>
    <row r="685" spans="23:35" x14ac:dyDescent="0.25">
      <c r="W685">
        <v>683</v>
      </c>
      <c r="X685">
        <v>71.17313544071726</v>
      </c>
      <c r="Y685">
        <v>-3.6731354407172603</v>
      </c>
      <c r="Z685">
        <v>71.244735325308497</v>
      </c>
      <c r="AA685">
        <v>0.35900545785324439</v>
      </c>
      <c r="AB685">
        <v>68.900000000000006</v>
      </c>
      <c r="AC685">
        <v>-0.37168505980560429</v>
      </c>
      <c r="AD685">
        <v>-1.0215010897857437</v>
      </c>
      <c r="AE685">
        <v>-0.19429460015763522</v>
      </c>
      <c r="AF685">
        <v>1.9120145583408465E-2</v>
      </c>
      <c r="AG685">
        <v>-1.0314090239936167</v>
      </c>
      <c r="AH685">
        <v>-0.196188002775815</v>
      </c>
      <c r="AI685">
        <v>1.091399203341872E-3</v>
      </c>
    </row>
    <row r="686" spans="23:35" x14ac:dyDescent="0.25">
      <c r="W686">
        <v>684</v>
      </c>
      <c r="X686">
        <v>68.937803233397176</v>
      </c>
      <c r="Y686">
        <v>-1.6378032333971788</v>
      </c>
      <c r="Z686">
        <v>68.952714801359463</v>
      </c>
      <c r="AA686">
        <v>0.35112189205579136</v>
      </c>
      <c r="AB686">
        <v>68.900000000000006</v>
      </c>
      <c r="AC686">
        <v>-0.39787592189543292</v>
      </c>
      <c r="AD686">
        <v>-0.45547402614784593</v>
      </c>
      <c r="AE686">
        <v>-0.19422034057347912</v>
      </c>
      <c r="AF686">
        <v>9.0224689402061201E-3</v>
      </c>
      <c r="AG686">
        <v>-0.45754278583808483</v>
      </c>
      <c r="AH686">
        <v>-0.19577988237706995</v>
      </c>
      <c r="AI686">
        <v>1.0031627824927535E-4</v>
      </c>
    </row>
    <row r="687" spans="23:35" x14ac:dyDescent="0.25">
      <c r="W687">
        <v>685</v>
      </c>
      <c r="X687">
        <v>71.838954889151793</v>
      </c>
      <c r="Y687">
        <v>-4.6389548891517904</v>
      </c>
      <c r="Z687">
        <v>71.882747294913855</v>
      </c>
      <c r="AA687">
        <v>0.34505761067313523</v>
      </c>
      <c r="AB687">
        <v>69</v>
      </c>
      <c r="AC687">
        <v>-0.40776731506460179</v>
      </c>
      <c r="AD687">
        <v>-1.2900960368099368</v>
      </c>
      <c r="AE687">
        <v>-0.1937975287767558</v>
      </c>
      <c r="AF687">
        <v>9.351861846064239E-3</v>
      </c>
      <c r="AG687">
        <v>-1.2961710798474064</v>
      </c>
      <c r="AH687">
        <v>-0.19501331367430347</v>
      </c>
      <c r="AI687">
        <v>8.3473708484713052E-4</v>
      </c>
    </row>
    <row r="688" spans="23:35" x14ac:dyDescent="0.25">
      <c r="W688">
        <v>686</v>
      </c>
      <c r="X688">
        <v>66.62948987337893</v>
      </c>
      <c r="Y688">
        <v>-1.3294898733789324</v>
      </c>
      <c r="Z688">
        <v>66.653087775233331</v>
      </c>
      <c r="AA688">
        <v>0.28380836870830806</v>
      </c>
      <c r="AB688">
        <v>69</v>
      </c>
      <c r="AC688">
        <v>-0.57963781842623852</v>
      </c>
      <c r="AD688">
        <v>-0.3697319024670912</v>
      </c>
      <c r="AE688">
        <v>-0.1914524235922575</v>
      </c>
      <c r="AF688">
        <v>1.7440037731717775E-2</v>
      </c>
      <c r="AG688">
        <v>-0.37299876493496614</v>
      </c>
      <c r="AH688">
        <v>-0.1930751177101101</v>
      </c>
      <c r="AI688">
        <v>1.299719226602853E-4</v>
      </c>
    </row>
    <row r="689" spans="23:35" x14ac:dyDescent="0.25">
      <c r="W689">
        <v>687</v>
      </c>
      <c r="X689">
        <v>67.323399143858808</v>
      </c>
      <c r="Y689">
        <v>-0.42339914385880206</v>
      </c>
      <c r="Z689">
        <v>67.336759532469912</v>
      </c>
      <c r="AA689">
        <v>0.33474833232261975</v>
      </c>
      <c r="AB689">
        <v>69</v>
      </c>
      <c r="AC689">
        <v>-0.43267393579163727</v>
      </c>
      <c r="AD689">
        <v>-0.11774754670676167</v>
      </c>
      <c r="AE689">
        <v>-0.1887066857677229</v>
      </c>
      <c r="AF689">
        <v>3.058980426952837E-2</v>
      </c>
      <c r="AG689">
        <v>-0.11959088388885611</v>
      </c>
      <c r="AH689">
        <v>-0.18915627648940722</v>
      </c>
      <c r="AI689">
        <v>2.3752627915497744E-5</v>
      </c>
    </row>
    <row r="690" spans="23:35" x14ac:dyDescent="0.25">
      <c r="W690">
        <v>688</v>
      </c>
      <c r="X690">
        <v>66.056470610494799</v>
      </c>
      <c r="Y690">
        <v>0.64352938950520411</v>
      </c>
      <c r="Z690">
        <v>66.043245999491958</v>
      </c>
      <c r="AA690">
        <v>0.328077622801698</v>
      </c>
      <c r="AB690">
        <v>69</v>
      </c>
      <c r="AC690">
        <v>-0.44774677320100181</v>
      </c>
      <c r="AD690">
        <v>0.17896589529526177</v>
      </c>
      <c r="AE690">
        <v>-0.18815616567660995</v>
      </c>
      <c r="AF690">
        <v>2.0136323482790056E-2</v>
      </c>
      <c r="AG690">
        <v>0.18079542978579907</v>
      </c>
      <c r="AH690">
        <v>-0.18852159050734707</v>
      </c>
      <c r="AI690">
        <v>3.5353776801658857E-5</v>
      </c>
    </row>
    <row r="691" spans="23:35" x14ac:dyDescent="0.25">
      <c r="W691">
        <v>689</v>
      </c>
      <c r="X691">
        <v>67.607549198087696</v>
      </c>
      <c r="Y691">
        <v>-1.1075491980876961</v>
      </c>
      <c r="Z691">
        <v>67.615437196811698</v>
      </c>
      <c r="AA691">
        <v>0.32383262583383871</v>
      </c>
      <c r="AB691">
        <v>69</v>
      </c>
      <c r="AC691">
        <v>-0.46123068213767926</v>
      </c>
      <c r="AD691">
        <v>-0.30801007234761396</v>
      </c>
      <c r="AE691">
        <v>-0.18765080205013163</v>
      </c>
      <c r="AF691">
        <v>7.0716654837688613E-3</v>
      </c>
      <c r="AG691">
        <v>-0.3091049548626586</v>
      </c>
      <c r="AH691">
        <v>-0.18842578243852012</v>
      </c>
      <c r="AI691">
        <v>3.5814767585418417E-5</v>
      </c>
    </row>
    <row r="692" spans="23:35" x14ac:dyDescent="0.25">
      <c r="W692">
        <v>690</v>
      </c>
      <c r="X692">
        <v>67.386057146311842</v>
      </c>
      <c r="Y692">
        <v>-1.0860571463118447</v>
      </c>
      <c r="Z692">
        <v>67.393297522609089</v>
      </c>
      <c r="AA692">
        <v>0.31898120072771374</v>
      </c>
      <c r="AB692">
        <v>69</v>
      </c>
      <c r="AC692">
        <v>-0.47479897905845492</v>
      </c>
      <c r="AD692">
        <v>-0.30203312032254059</v>
      </c>
      <c r="AE692">
        <v>-0.18756791681340232</v>
      </c>
      <c r="AF692">
        <v>6.6225123056775238E-3</v>
      </c>
      <c r="AG692">
        <v>-0.30303822435016903</v>
      </c>
      <c r="AH692">
        <v>-0.18834626802110582</v>
      </c>
      <c r="AI692">
        <v>3.2221791607913628E-5</v>
      </c>
    </row>
    <row r="693" spans="23:35" x14ac:dyDescent="0.25">
      <c r="W693">
        <v>691</v>
      </c>
      <c r="X693">
        <v>68.670174436845471</v>
      </c>
      <c r="Y693">
        <v>-0.77017443684546549</v>
      </c>
      <c r="Z693">
        <v>68.673849496633963</v>
      </c>
      <c r="AA693">
        <v>0.37719830200121285</v>
      </c>
      <c r="AB693">
        <v>69</v>
      </c>
      <c r="AC693">
        <v>-0.32163939638952632</v>
      </c>
      <c r="AD693">
        <v>-0.21418595618383662</v>
      </c>
      <c r="AE693">
        <v>-0.18735291579880495</v>
      </c>
      <c r="AF693">
        <v>4.7490627111256272E-3</v>
      </c>
      <c r="AG693">
        <v>-0.21469636615060905</v>
      </c>
      <c r="AH693">
        <v>-0.18788057981404235</v>
      </c>
      <c r="AI693">
        <v>1.1576335262760148E-5</v>
      </c>
    </row>
    <row r="694" spans="23:35" x14ac:dyDescent="0.25">
      <c r="W694">
        <v>692</v>
      </c>
      <c r="X694">
        <v>71.722429816188637</v>
      </c>
      <c r="Y694">
        <v>-2.2224298161886367</v>
      </c>
      <c r="Z694">
        <v>71.756092402738901</v>
      </c>
      <c r="AA694">
        <v>0.44269254093389931</v>
      </c>
      <c r="AB694">
        <v>69</v>
      </c>
      <c r="AC694">
        <v>-0.15567569037416348</v>
      </c>
      <c r="AD694">
        <v>-0.61805901683976927</v>
      </c>
      <c r="AE694">
        <v>-0.185623242667143</v>
      </c>
      <c r="AF694">
        <v>1.4920748152603445E-2</v>
      </c>
      <c r="AG694">
        <v>-0.62272221751252343</v>
      </c>
      <c r="AH694">
        <v>-0.18609387195089369</v>
      </c>
      <c r="AI694">
        <v>3.0913953454807084E-4</v>
      </c>
    </row>
    <row r="695" spans="23:35" x14ac:dyDescent="0.25">
      <c r="W695">
        <v>693</v>
      </c>
      <c r="X695">
        <v>69.638603454742579</v>
      </c>
      <c r="Y695">
        <v>6.3613965452574206</v>
      </c>
      <c r="Z695">
        <v>69.552653854227728</v>
      </c>
      <c r="AA695">
        <v>0.80836870830806551</v>
      </c>
      <c r="AB695">
        <v>69</v>
      </c>
      <c r="AC695">
        <v>0.83794453378675593</v>
      </c>
      <c r="AD695">
        <v>1.7691080572489888</v>
      </c>
      <c r="AE695">
        <v>-0.18180978056788374</v>
      </c>
      <c r="AF695">
        <v>1.3331004505040503E-2</v>
      </c>
      <c r="AG695">
        <v>1.7810192755581478</v>
      </c>
      <c r="AH695">
        <v>-0.18213935108247467</v>
      </c>
      <c r="AI695">
        <v>2.2556672410138224E-3</v>
      </c>
    </row>
    <row r="696" spans="23:35" x14ac:dyDescent="0.25">
      <c r="W696">
        <v>694</v>
      </c>
      <c r="X696">
        <v>69.363074776083423</v>
      </c>
      <c r="Y696">
        <v>7.6369252239165775</v>
      </c>
      <c r="Z696">
        <v>69.24679157438716</v>
      </c>
      <c r="AA696">
        <v>0.83747725894481506</v>
      </c>
      <c r="AB696">
        <v>69</v>
      </c>
      <c r="AC696">
        <v>0.95855995741850497</v>
      </c>
      <c r="AD696">
        <v>2.123833320265391</v>
      </c>
      <c r="AE696">
        <v>-0.17918584170189994</v>
      </c>
      <c r="AF696">
        <v>1.49980750307349E-2</v>
      </c>
      <c r="AG696">
        <v>2.1399414473612799</v>
      </c>
      <c r="AH696">
        <v>-0.1801943831006729</v>
      </c>
      <c r="AI696">
        <v>3.6698526124744079E-3</v>
      </c>
    </row>
    <row r="697" spans="23:35" x14ac:dyDescent="0.25">
      <c r="W697">
        <v>695</v>
      </c>
      <c r="X697">
        <v>69.628881567842171</v>
      </c>
      <c r="Y697">
        <v>6.3711184321578287</v>
      </c>
      <c r="Z697">
        <v>69.605084847238473</v>
      </c>
      <c r="AA697">
        <v>0.80836870830806551</v>
      </c>
      <c r="AB697">
        <v>69.099999999999994</v>
      </c>
      <c r="AC697">
        <v>0.83794453378675593</v>
      </c>
      <c r="AD697">
        <v>1.7718117196169634</v>
      </c>
      <c r="AE697">
        <v>-0.17826300341534612</v>
      </c>
      <c r="AF697">
        <v>3.7211941105139354E-3</v>
      </c>
      <c r="AG697">
        <v>1.7751175764525999</v>
      </c>
      <c r="AH697">
        <v>-0.17934334309615141</v>
      </c>
      <c r="AI697">
        <v>6.1944404304746818E-4</v>
      </c>
    </row>
    <row r="698" spans="23:35" x14ac:dyDescent="0.25">
      <c r="W698">
        <v>696</v>
      </c>
      <c r="X698">
        <v>69.407499660222669</v>
      </c>
      <c r="Y698">
        <v>4.592500339777331</v>
      </c>
      <c r="Z698">
        <v>69.356820195981925</v>
      </c>
      <c r="AA698">
        <v>0.68465736810187994</v>
      </c>
      <c r="AB698">
        <v>69.099999999999994</v>
      </c>
      <c r="AC698">
        <v>0.4663087141536239</v>
      </c>
      <c r="AD698">
        <v>1.2771769997699496</v>
      </c>
      <c r="AE698">
        <v>-0.17629111591655672</v>
      </c>
      <c r="AF698">
        <v>1.091481837444476E-2</v>
      </c>
      <c r="AG698">
        <v>1.2842046590953333</v>
      </c>
      <c r="AH698">
        <v>-0.17899809866607017</v>
      </c>
      <c r="AI698">
        <v>9.5785043195739466E-4</v>
      </c>
    </row>
    <row r="699" spans="23:35" x14ac:dyDescent="0.25">
      <c r="W699">
        <v>697</v>
      </c>
      <c r="X699">
        <v>69.122496901062945</v>
      </c>
      <c r="Y699">
        <v>0.17750309893705207</v>
      </c>
      <c r="Z699">
        <v>69.121745510803848</v>
      </c>
      <c r="AA699">
        <v>0.4329896907216495</v>
      </c>
      <c r="AB699">
        <v>69.099999999999994</v>
      </c>
      <c r="AC699">
        <v>-0.17879863688351211</v>
      </c>
      <c r="AD699">
        <v>4.936371444259588E-2</v>
      </c>
      <c r="AE699">
        <v>-0.17601198377489569</v>
      </c>
      <c r="AF699">
        <v>4.2152669617894715E-3</v>
      </c>
      <c r="AG699">
        <v>4.9468085138808758E-2</v>
      </c>
      <c r="AH699">
        <v>-0.17697942731169247</v>
      </c>
      <c r="AI699">
        <v>5.4520046711040957E-7</v>
      </c>
    </row>
    <row r="700" spans="23:35" x14ac:dyDescent="0.25">
      <c r="W700">
        <v>698</v>
      </c>
      <c r="X700">
        <v>67.800848894096418</v>
      </c>
      <c r="Y700">
        <v>-1.9008488940964128</v>
      </c>
      <c r="Z700">
        <v>67.81071435127258</v>
      </c>
      <c r="AA700">
        <v>0.30563978168587025</v>
      </c>
      <c r="AB700">
        <v>69.099999999999994</v>
      </c>
      <c r="AC700">
        <v>-0.52126361871264315</v>
      </c>
      <c r="AD700">
        <v>-0.52862717647524271</v>
      </c>
      <c r="AE700">
        <v>-0.17386188351154638</v>
      </c>
      <c r="AF700">
        <v>5.1632297468180988E-3</v>
      </c>
      <c r="AG700">
        <v>-0.52999719583868399</v>
      </c>
      <c r="AH700">
        <v>-0.17658873009430254</v>
      </c>
      <c r="AI700">
        <v>7.6729640588059299E-5</v>
      </c>
    </row>
    <row r="701" spans="23:35" x14ac:dyDescent="0.25">
      <c r="W701">
        <v>699</v>
      </c>
      <c r="X701">
        <v>67.17980600328103</v>
      </c>
      <c r="Y701">
        <v>-2.479806003281027</v>
      </c>
      <c r="Z701">
        <v>67.193002378407542</v>
      </c>
      <c r="AA701">
        <v>0.26197695573074592</v>
      </c>
      <c r="AB701">
        <v>69.099999999999994</v>
      </c>
      <c r="AC701">
        <v>-0.64941472986293491</v>
      </c>
      <c r="AD701">
        <v>-0.68963548327914381</v>
      </c>
      <c r="AE701">
        <v>-0.17323777444910937</v>
      </c>
      <c r="AF701">
        <v>5.2933664407275533E-3</v>
      </c>
      <c r="AG701">
        <v>-0.69146800832855526</v>
      </c>
      <c r="AH701">
        <v>-0.17469820264092001</v>
      </c>
      <c r="AI701">
        <v>1.3391447651171789E-4</v>
      </c>
    </row>
    <row r="702" spans="23:35" x14ac:dyDescent="0.25">
      <c r="W702">
        <v>700</v>
      </c>
      <c r="X702">
        <v>71.003909237291666</v>
      </c>
      <c r="Y702">
        <v>-4.2039092372916684</v>
      </c>
      <c r="Z702">
        <v>71.023335798811971</v>
      </c>
      <c r="AA702">
        <v>0.33232261976955729</v>
      </c>
      <c r="AB702">
        <v>69.099999999999994</v>
      </c>
      <c r="AC702">
        <v>-0.44438857281516719</v>
      </c>
      <c r="AD702">
        <v>-1.1691095894942656</v>
      </c>
      <c r="AE702">
        <v>-0.17253091267459214</v>
      </c>
      <c r="AF702">
        <v>4.5998145650106344E-3</v>
      </c>
      <c r="AG702">
        <v>-1.1718077449906563</v>
      </c>
      <c r="AH702">
        <v>-0.17393837762214023</v>
      </c>
      <c r="AI702">
        <v>3.3396559944097383E-4</v>
      </c>
    </row>
    <row r="703" spans="23:35" x14ac:dyDescent="0.25">
      <c r="W703">
        <v>701</v>
      </c>
      <c r="X703">
        <v>70.688712002644479</v>
      </c>
      <c r="Y703">
        <v>-3.4887120026444762</v>
      </c>
      <c r="Z703">
        <v>70.705684378225385</v>
      </c>
      <c r="AA703">
        <v>0.34505761067313523</v>
      </c>
      <c r="AB703">
        <v>69.099999999999994</v>
      </c>
      <c r="AC703">
        <v>-0.40776731506460179</v>
      </c>
      <c r="AD703">
        <v>-0.97021282502832029</v>
      </c>
      <c r="AE703">
        <v>-0.17235867443944355</v>
      </c>
      <c r="AF703">
        <v>4.8413872299320707E-3</v>
      </c>
      <c r="AG703">
        <v>-0.97256997538873158</v>
      </c>
      <c r="AH703">
        <v>-0.17361674885912015</v>
      </c>
      <c r="AI703">
        <v>2.4219525460246431E-4</v>
      </c>
    </row>
    <row r="704" spans="23:35" x14ac:dyDescent="0.25">
      <c r="W704">
        <v>702</v>
      </c>
      <c r="X704">
        <v>81.462221155946381</v>
      </c>
      <c r="Y704">
        <v>-0.26222115594637785</v>
      </c>
      <c r="Z704">
        <v>81.463630481649773</v>
      </c>
      <c r="AA704">
        <v>0.94178289872650089</v>
      </c>
      <c r="AB704">
        <v>69.2</v>
      </c>
      <c r="AC704">
        <v>1.5519290565282795</v>
      </c>
      <c r="AD704">
        <v>-7.2923855078917826E-2</v>
      </c>
      <c r="AE704">
        <v>-0.17158733637551291</v>
      </c>
      <c r="AF704">
        <v>5.3458374561835744E-3</v>
      </c>
      <c r="AG704">
        <v>-7.3119559620875935E-2</v>
      </c>
      <c r="AH704">
        <v>-0.17279688466531981</v>
      </c>
      <c r="AI704">
        <v>1.5123669510429198E-6</v>
      </c>
    </row>
    <row r="705" spans="23:35" x14ac:dyDescent="0.25">
      <c r="W705">
        <v>703</v>
      </c>
      <c r="X705">
        <v>81.35887350216484</v>
      </c>
      <c r="Y705">
        <v>-0.35887350216484037</v>
      </c>
      <c r="Z705">
        <v>81.360842422701069</v>
      </c>
      <c r="AA705">
        <v>0.93571861734384476</v>
      </c>
      <c r="AB705">
        <v>69.2</v>
      </c>
      <c r="AC705">
        <v>1.4576525936309466</v>
      </c>
      <c r="AD705">
        <v>-9.9802928444431727E-2</v>
      </c>
      <c r="AE705">
        <v>-0.17120756470809687</v>
      </c>
      <c r="AF705">
        <v>5.4564552623612029E-3</v>
      </c>
      <c r="AG705">
        <v>-0.10007633292612432</v>
      </c>
      <c r="AH705">
        <v>-0.17217392816806079</v>
      </c>
      <c r="AI705">
        <v>2.8919845028018E-6</v>
      </c>
    </row>
    <row r="706" spans="23:35" x14ac:dyDescent="0.25">
      <c r="W706">
        <v>704</v>
      </c>
      <c r="X706">
        <v>82.115182011383666</v>
      </c>
      <c r="Y706">
        <v>2.8848179886163337</v>
      </c>
      <c r="Z706">
        <v>82.058526159336054</v>
      </c>
      <c r="AA706">
        <v>0.98544572468162528</v>
      </c>
      <c r="AB706">
        <v>69.2</v>
      </c>
      <c r="AC706">
        <v>2.1134016615055304</v>
      </c>
      <c r="AD706">
        <v>0.80226955056949012</v>
      </c>
      <c r="AE706">
        <v>-0.17101531423456626</v>
      </c>
      <c r="AF706">
        <v>1.9261042292601921E-2</v>
      </c>
      <c r="AG706">
        <v>0.81010925870292483</v>
      </c>
      <c r="AH706">
        <v>-0.17183320090680237</v>
      </c>
      <c r="AI706">
        <v>6.7835955766829621E-4</v>
      </c>
    </row>
    <row r="707" spans="23:35" x14ac:dyDescent="0.25">
      <c r="W707">
        <v>705</v>
      </c>
      <c r="X707">
        <v>85.013700017496959</v>
      </c>
      <c r="Y707">
        <v>-1.0137000174969586</v>
      </c>
      <c r="Z707">
        <v>85.029840813297994</v>
      </c>
      <c r="AA707">
        <v>0.9824135839902971</v>
      </c>
      <c r="AB707">
        <v>69.2</v>
      </c>
      <c r="AC707">
        <v>2.0350728680272758</v>
      </c>
      <c r="AD707">
        <v>-0.28191056096389616</v>
      </c>
      <c r="AE707">
        <v>-0.16970975249994463</v>
      </c>
      <c r="AF707">
        <v>1.5673097815329284E-2</v>
      </c>
      <c r="AG707">
        <v>-0.28414607958222099</v>
      </c>
      <c r="AH707">
        <v>-0.17161494087345178</v>
      </c>
      <c r="AI707">
        <v>6.7662061421105835E-5</v>
      </c>
    </row>
    <row r="708" spans="23:35" x14ac:dyDescent="0.25">
      <c r="W708">
        <v>706</v>
      </c>
      <c r="X708">
        <v>83.201397960607352</v>
      </c>
      <c r="Y708">
        <v>2.7986020393926481</v>
      </c>
      <c r="Z708">
        <v>83.119704928869353</v>
      </c>
      <c r="AA708">
        <v>0.99029714978775019</v>
      </c>
      <c r="AB708">
        <v>69.2</v>
      </c>
      <c r="AC708">
        <v>2.190305027167327</v>
      </c>
      <c r="AD708">
        <v>0.77829284524230791</v>
      </c>
      <c r="AE708">
        <v>-0.16766168221021729</v>
      </c>
      <c r="AF708">
        <v>2.8362730109430009E-2</v>
      </c>
      <c r="AG708">
        <v>0.78957057582757295</v>
      </c>
      <c r="AH708">
        <v>-0.1680207681379069</v>
      </c>
      <c r="AI708">
        <v>9.5779414403491766E-4</v>
      </c>
    </row>
    <row r="709" spans="23:35" x14ac:dyDescent="0.25">
      <c r="W709">
        <v>707</v>
      </c>
      <c r="X709">
        <v>82.315240967051196</v>
      </c>
      <c r="Y709">
        <v>-0.11524096705119291</v>
      </c>
      <c r="Z709">
        <v>82.316682303501281</v>
      </c>
      <c r="AA709">
        <v>0.96846573681018799</v>
      </c>
      <c r="AB709">
        <v>69.2</v>
      </c>
      <c r="AC709">
        <v>1.8460302671294702</v>
      </c>
      <c r="AD709">
        <v>-3.2048579566608462E-2</v>
      </c>
      <c r="AE709">
        <v>-0.16693222882872133</v>
      </c>
      <c r="AF709">
        <v>1.2352656802635181E-2</v>
      </c>
      <c r="AG709">
        <v>-3.2248375039751573E-2</v>
      </c>
      <c r="AH709">
        <v>-0.16771046130257192</v>
      </c>
      <c r="AI709">
        <v>6.8457422984556248E-7</v>
      </c>
    </row>
    <row r="710" spans="23:35" x14ac:dyDescent="0.25">
      <c r="W710">
        <v>708</v>
      </c>
      <c r="X710">
        <v>81.228017209039123</v>
      </c>
      <c r="Y710">
        <v>0.87198279096087106</v>
      </c>
      <c r="Z710">
        <v>81.218181143297969</v>
      </c>
      <c r="AA710">
        <v>0.96725288053365677</v>
      </c>
      <c r="AB710">
        <v>69.3</v>
      </c>
      <c r="AC710">
        <v>1.8295749434197284</v>
      </c>
      <c r="AD710">
        <v>0.24249891832657533</v>
      </c>
      <c r="AE710">
        <v>-0.16638009734049286</v>
      </c>
      <c r="AF710">
        <v>1.1154292819206863E-2</v>
      </c>
      <c r="AG710">
        <v>0.24386279073766257</v>
      </c>
      <c r="AH710">
        <v>-0.1674429440519257</v>
      </c>
      <c r="AI710">
        <v>3.5306200796860825E-5</v>
      </c>
    </row>
    <row r="711" spans="23:35" x14ac:dyDescent="0.25">
      <c r="W711">
        <v>709</v>
      </c>
      <c r="X711">
        <v>81.837604225371265</v>
      </c>
      <c r="Y711">
        <v>-3.7604225371268285E-2</v>
      </c>
      <c r="Z711">
        <v>81.837964930357458</v>
      </c>
      <c r="AA711">
        <v>0.95815645845967257</v>
      </c>
      <c r="AB711">
        <v>69.3</v>
      </c>
      <c r="AC711">
        <v>1.7064083338107217</v>
      </c>
      <c r="AD711">
        <v>-1.0457756817646326E-2</v>
      </c>
      <c r="AE711">
        <v>-0.16557616996595526</v>
      </c>
      <c r="AF711">
        <v>9.5010048168400821E-3</v>
      </c>
      <c r="AG711">
        <v>-1.0507793247511613E-2</v>
      </c>
      <c r="AH711">
        <v>-0.16731600897796303</v>
      </c>
      <c r="AI711">
        <v>5.5742306630239935E-8</v>
      </c>
    </row>
    <row r="712" spans="23:35" x14ac:dyDescent="0.25">
      <c r="W712">
        <v>710</v>
      </c>
      <c r="X712">
        <v>80.7240653460277</v>
      </c>
      <c r="Y712">
        <v>1.0759346539722969</v>
      </c>
      <c r="Z712">
        <v>80.712655201378439</v>
      </c>
      <c r="AA712">
        <v>0.95815645845967257</v>
      </c>
      <c r="AB712">
        <v>69.3</v>
      </c>
      <c r="AC712">
        <v>1.7064083338107217</v>
      </c>
      <c r="AD712">
        <v>0.29921804935032054</v>
      </c>
      <c r="AE712">
        <v>-0.1654630656423815</v>
      </c>
      <c r="AF712">
        <v>1.0493584614300843E-2</v>
      </c>
      <c r="AG712">
        <v>0.30080044904152231</v>
      </c>
      <c r="AH712">
        <v>-0.16570372716203502</v>
      </c>
      <c r="AI712">
        <v>5.0502004242639469E-5</v>
      </c>
    </row>
    <row r="713" spans="23:35" x14ac:dyDescent="0.25">
      <c r="W713">
        <v>711</v>
      </c>
      <c r="X713">
        <v>78.90880790535239</v>
      </c>
      <c r="Y713">
        <v>2.791192094647613</v>
      </c>
      <c r="Z713">
        <v>78.89590924616617</v>
      </c>
      <c r="AA713">
        <v>0.95573074590661011</v>
      </c>
      <c r="AB713">
        <v>69.3</v>
      </c>
      <c r="AC713">
        <v>1.6624525291871317</v>
      </c>
      <c r="AD713">
        <v>0.77623213532445434</v>
      </c>
      <c r="AE713">
        <v>-0.162337522249725</v>
      </c>
      <c r="AF713">
        <v>4.5999435533902516E-3</v>
      </c>
      <c r="AG713">
        <v>0.77802363028429167</v>
      </c>
      <c r="AH713">
        <v>-0.16262029784462714</v>
      </c>
      <c r="AI713">
        <v>1.4722678069052406E-4</v>
      </c>
    </row>
    <row r="714" spans="23:35" x14ac:dyDescent="0.25">
      <c r="W714">
        <v>712</v>
      </c>
      <c r="X714">
        <v>79.154595889459216</v>
      </c>
      <c r="Y714">
        <v>2.3454041105407839</v>
      </c>
      <c r="Z714">
        <v>79.068447550047679</v>
      </c>
      <c r="AA714">
        <v>0.94966646452395387</v>
      </c>
      <c r="AB714">
        <v>69.3</v>
      </c>
      <c r="AC714">
        <v>1.6214924498394727</v>
      </c>
      <c r="AD714">
        <v>0.65225823920000481</v>
      </c>
      <c r="AE714">
        <v>-0.16184910078312767</v>
      </c>
      <c r="AF714">
        <v>3.5429356834651655E-2</v>
      </c>
      <c r="AG714">
        <v>0.66412916682642342</v>
      </c>
      <c r="AH714">
        <v>-0.16241664462029351</v>
      </c>
      <c r="AI714">
        <v>8.526695127049524E-4</v>
      </c>
    </row>
    <row r="715" spans="23:35" x14ac:dyDescent="0.25">
      <c r="W715">
        <v>713</v>
      </c>
      <c r="X715">
        <v>79.238176243126418</v>
      </c>
      <c r="Y715">
        <v>1.7618237568735822</v>
      </c>
      <c r="Z715">
        <v>79.161756274076453</v>
      </c>
      <c r="AA715">
        <v>0.93571861734384476</v>
      </c>
      <c r="AB715">
        <v>69.3</v>
      </c>
      <c r="AC715">
        <v>1.4576525936309466</v>
      </c>
      <c r="AD715">
        <v>0.48996420543244268</v>
      </c>
      <c r="AE715">
        <v>-0.16103506341984361</v>
      </c>
      <c r="AF715">
        <v>4.1572272475227788E-2</v>
      </c>
      <c r="AG715">
        <v>0.50047762816732655</v>
      </c>
      <c r="AH715">
        <v>-0.16116132406562719</v>
      </c>
      <c r="AI715">
        <v>5.7182104178499454E-4</v>
      </c>
    </row>
    <row r="716" spans="23:35" x14ac:dyDescent="0.25">
      <c r="W716">
        <v>714</v>
      </c>
      <c r="X716">
        <v>78.487087215682735</v>
      </c>
      <c r="Y716">
        <v>5.5129127843172654</v>
      </c>
      <c r="Z716">
        <v>78.458423507891908</v>
      </c>
      <c r="AA716">
        <v>0.9824135839902971</v>
      </c>
      <c r="AB716">
        <v>69.3</v>
      </c>
      <c r="AC716">
        <v>2.0350728680272758</v>
      </c>
      <c r="AD716">
        <v>1.5331442327577722</v>
      </c>
      <c r="AE716">
        <v>-0.16089503762485194</v>
      </c>
      <c r="AF716">
        <v>5.1724825655012213E-3</v>
      </c>
      <c r="AG716">
        <v>1.5371247622528588</v>
      </c>
      <c r="AH716">
        <v>-0.16110952059533049</v>
      </c>
      <c r="AI716">
        <v>6.4657049527149825E-4</v>
      </c>
    </row>
    <row r="717" spans="23:35" x14ac:dyDescent="0.25">
      <c r="W717">
        <v>715</v>
      </c>
      <c r="X717">
        <v>78.508231823466915</v>
      </c>
      <c r="Y717">
        <v>5.4917681765330855</v>
      </c>
      <c r="Z717">
        <v>78.481547856457709</v>
      </c>
      <c r="AA717">
        <v>0.9824135839902971</v>
      </c>
      <c r="AB717">
        <v>69.400000000000006</v>
      </c>
      <c r="AC717">
        <v>2.0350728680272758</v>
      </c>
      <c r="AD717">
        <v>1.5272639051076669</v>
      </c>
      <c r="AE717">
        <v>-0.15998587548905019</v>
      </c>
      <c r="AF717">
        <v>4.8354078852393245E-3</v>
      </c>
      <c r="AG717">
        <v>1.5309698222167498</v>
      </c>
      <c r="AH717">
        <v>-0.16015430536466521</v>
      </c>
      <c r="AI717">
        <v>5.9940154536237218E-4</v>
      </c>
    </row>
    <row r="718" spans="23:35" x14ac:dyDescent="0.25">
      <c r="W718">
        <v>716</v>
      </c>
      <c r="X718">
        <v>76.742423653332395</v>
      </c>
      <c r="Y718">
        <v>3.2575763466676051</v>
      </c>
      <c r="Z718">
        <v>76.703833195751372</v>
      </c>
      <c r="AA718">
        <v>0.92722862340812617</v>
      </c>
      <c r="AB718">
        <v>69.400000000000006</v>
      </c>
      <c r="AC718">
        <v>1.4191611772342045</v>
      </c>
      <c r="AD718">
        <v>0.90593386546384203</v>
      </c>
      <c r="AE718">
        <v>-0.15857950784399899</v>
      </c>
      <c r="AF718">
        <v>1.1707677394021879E-2</v>
      </c>
      <c r="AG718">
        <v>0.91128408123744653</v>
      </c>
      <c r="AH718">
        <v>-0.16012540731108391</v>
      </c>
      <c r="AI718">
        <v>5.1777287156036598E-4</v>
      </c>
    </row>
    <row r="719" spans="23:35" x14ac:dyDescent="0.25">
      <c r="W719">
        <v>717</v>
      </c>
      <c r="X719">
        <v>77.69152267883436</v>
      </c>
      <c r="Y719">
        <v>3.3084773211656398</v>
      </c>
      <c r="Z719">
        <v>77.645190122794162</v>
      </c>
      <c r="AA719">
        <v>0.93571861734384476</v>
      </c>
      <c r="AB719">
        <v>69.400000000000006</v>
      </c>
      <c r="AC719">
        <v>1.4576525936309466</v>
      </c>
      <c r="AD719">
        <v>0.92008945590151603</v>
      </c>
      <c r="AE719">
        <v>-0.15787920075361189</v>
      </c>
      <c r="AF719">
        <v>1.3810784436698798E-2</v>
      </c>
      <c r="AG719">
        <v>0.92650961208380045</v>
      </c>
      <c r="AH719">
        <v>-0.15849551549974875</v>
      </c>
      <c r="AI719">
        <v>6.3270949991045165E-4</v>
      </c>
    </row>
    <row r="720" spans="23:35" x14ac:dyDescent="0.25">
      <c r="W720">
        <v>718</v>
      </c>
      <c r="X720">
        <v>79.426225860172607</v>
      </c>
      <c r="Y720">
        <v>0.2737741398273954</v>
      </c>
      <c r="Z720">
        <v>79.424295265927967</v>
      </c>
      <c r="AA720">
        <v>0.9151000606428138</v>
      </c>
      <c r="AB720">
        <v>69.400000000000006</v>
      </c>
      <c r="AC720">
        <v>1.3555018111021329</v>
      </c>
      <c r="AD720">
        <v>7.6136746575897876E-2</v>
      </c>
      <c r="AE720">
        <v>-0.15697039852649577</v>
      </c>
      <c r="AF720">
        <v>7.0023978773630768E-3</v>
      </c>
      <c r="AG720">
        <v>7.6404724663229742E-2</v>
      </c>
      <c r="AH720">
        <v>-0.15749707020362619</v>
      </c>
      <c r="AI720">
        <v>2.1666332968966053E-6</v>
      </c>
    </row>
    <row r="721" spans="23:35" x14ac:dyDescent="0.25">
      <c r="W721">
        <v>719</v>
      </c>
      <c r="X721">
        <v>77.422646483896315</v>
      </c>
      <c r="Y721">
        <v>1.8773535161036818</v>
      </c>
      <c r="Z721">
        <v>77.371953674622631</v>
      </c>
      <c r="AA721">
        <v>0.9017586416009703</v>
      </c>
      <c r="AB721">
        <v>69.400000000000006</v>
      </c>
      <c r="AC721">
        <v>1.262435852359769</v>
      </c>
      <c r="AD721">
        <v>0.52209309827097805</v>
      </c>
      <c r="AE721">
        <v>-0.15607365595211517</v>
      </c>
      <c r="AF721">
        <v>2.6292319124523848E-2</v>
      </c>
      <c r="AG721">
        <v>0.52909499610973687</v>
      </c>
      <c r="AH721">
        <v>-0.15639731260051548</v>
      </c>
      <c r="AI721">
        <v>3.9784509364710187E-4</v>
      </c>
    </row>
    <row r="722" spans="23:35" x14ac:dyDescent="0.25">
      <c r="W722">
        <v>720</v>
      </c>
      <c r="X722">
        <v>77.52260060291313</v>
      </c>
      <c r="Y722">
        <v>1.7773993970868673</v>
      </c>
      <c r="Z722">
        <v>77.514769833710929</v>
      </c>
      <c r="AA722">
        <v>0.9017586416009703</v>
      </c>
      <c r="AB722">
        <v>69.400000000000006</v>
      </c>
      <c r="AC722">
        <v>1.262435852359769</v>
      </c>
      <c r="AD722">
        <v>0.49429579998123352</v>
      </c>
      <c r="AE722">
        <v>-0.15487950279536911</v>
      </c>
      <c r="AF722">
        <v>4.3864199418508663E-3</v>
      </c>
      <c r="AG722">
        <v>0.49538347401549532</v>
      </c>
      <c r="AH722">
        <v>-0.1553032300070058</v>
      </c>
      <c r="AI722">
        <v>5.6904789808661583E-5</v>
      </c>
    </row>
    <row r="723" spans="23:35" x14ac:dyDescent="0.25">
      <c r="W723">
        <v>721</v>
      </c>
      <c r="X723">
        <v>77.572535725135211</v>
      </c>
      <c r="Y723">
        <v>1.3274642748647949</v>
      </c>
      <c r="Z723">
        <v>77.567159173614755</v>
      </c>
      <c r="AA723">
        <v>0.88599151000606424</v>
      </c>
      <c r="AB723">
        <v>69.400000000000006</v>
      </c>
      <c r="AC723">
        <v>1.1852957183684145</v>
      </c>
      <c r="AD723">
        <v>0.36916858234915512</v>
      </c>
      <c r="AE723">
        <v>-0.15421777781977308</v>
      </c>
      <c r="AF723">
        <v>4.0339036845365786E-3</v>
      </c>
      <c r="AG723">
        <v>0.36991543792011716</v>
      </c>
      <c r="AH723">
        <v>-0.15473610874154492</v>
      </c>
      <c r="AI723">
        <v>2.9169721422889073E-5</v>
      </c>
    </row>
    <row r="724" spans="23:35" x14ac:dyDescent="0.25">
      <c r="W724">
        <v>722</v>
      </c>
      <c r="X724">
        <v>81.553847420569653</v>
      </c>
      <c r="Y724">
        <v>0.94615257943034692</v>
      </c>
      <c r="Z724">
        <v>81.547946247728248</v>
      </c>
      <c r="AA724">
        <v>0.97210430563978167</v>
      </c>
      <c r="AB724">
        <v>69.400000000000006</v>
      </c>
      <c r="AC724">
        <v>1.898648757670367</v>
      </c>
      <c r="AD724">
        <v>0.26312557938319919</v>
      </c>
      <c r="AE724">
        <v>-0.15332321739729307</v>
      </c>
      <c r="AF724">
        <v>6.1983609930953533E-3</v>
      </c>
      <c r="AG724">
        <v>0.26394486368527231</v>
      </c>
      <c r="AH724">
        <v>-0.15443666955143454</v>
      </c>
      <c r="AI724">
        <v>2.2869148082403877E-5</v>
      </c>
    </row>
    <row r="725" spans="23:35" x14ac:dyDescent="0.25">
      <c r="W725">
        <v>723</v>
      </c>
      <c r="X725">
        <v>79.625703093078442</v>
      </c>
      <c r="Y725">
        <v>2.6742969069215548</v>
      </c>
      <c r="Z725">
        <v>79.615029292052867</v>
      </c>
      <c r="AA725">
        <v>0.97028502122498483</v>
      </c>
      <c r="AB725">
        <v>69.5</v>
      </c>
      <c r="AC725">
        <v>1.8630011940066851</v>
      </c>
      <c r="AD725">
        <v>0.74372351603173359</v>
      </c>
      <c r="AE725">
        <v>-0.15250234847328392</v>
      </c>
      <c r="AF725">
        <v>3.9753882580452976E-3</v>
      </c>
      <c r="AG725">
        <v>0.74520623314777124</v>
      </c>
      <c r="AH725">
        <v>-0.15287020108891058</v>
      </c>
      <c r="AI725">
        <v>1.1665647180434179E-4</v>
      </c>
    </row>
    <row r="726" spans="23:35" x14ac:dyDescent="0.25">
      <c r="W726">
        <v>724</v>
      </c>
      <c r="X726">
        <v>82.61699740971531</v>
      </c>
      <c r="Y726">
        <v>-0.61699740971531014</v>
      </c>
      <c r="Z726">
        <v>82.621223179136095</v>
      </c>
      <c r="AA726">
        <v>0.96604002425712554</v>
      </c>
      <c r="AB726">
        <v>69.5</v>
      </c>
      <c r="AC726">
        <v>1.7539324289023792</v>
      </c>
      <c r="AD726">
        <v>-0.17158733637551291</v>
      </c>
      <c r="AE726">
        <v>-0.1453969984490433</v>
      </c>
      <c r="AF726">
        <v>6.8023370065828882E-3</v>
      </c>
      <c r="AG726">
        <v>-0.17217392816806079</v>
      </c>
      <c r="AH726">
        <v>-0.14614147349613868</v>
      </c>
      <c r="AI726">
        <v>1.0685716072256087E-5</v>
      </c>
    </row>
    <row r="727" spans="23:35" x14ac:dyDescent="0.25">
      <c r="W727">
        <v>725</v>
      </c>
      <c r="X727">
        <v>82.641001915867704</v>
      </c>
      <c r="Y727">
        <v>-0.6410019158677045</v>
      </c>
      <c r="Z727">
        <v>82.646299358220503</v>
      </c>
      <c r="AA727">
        <v>0.96604002425712554</v>
      </c>
      <c r="AB727">
        <v>69.5</v>
      </c>
      <c r="AC727">
        <v>1.7539324289023792</v>
      </c>
      <c r="AD727">
        <v>-0.17826300341534612</v>
      </c>
      <c r="AE727">
        <v>-0.14108593962234026</v>
      </c>
      <c r="AF727">
        <v>8.1965768423169806E-3</v>
      </c>
      <c r="AG727">
        <v>-0.17899809866607017</v>
      </c>
      <c r="AH727">
        <v>-0.14197784413260156</v>
      </c>
      <c r="AI727">
        <v>1.3936385359211004E-5</v>
      </c>
    </row>
    <row r="728" spans="23:35" x14ac:dyDescent="0.25">
      <c r="W728">
        <v>726</v>
      </c>
      <c r="X728">
        <v>82.53247650273309</v>
      </c>
      <c r="Y728">
        <v>-0.73247650273309262</v>
      </c>
      <c r="Z728">
        <v>82.537790756111463</v>
      </c>
      <c r="AA728">
        <v>0.95815645845967257</v>
      </c>
      <c r="AB728">
        <v>69.5</v>
      </c>
      <c r="AC728">
        <v>1.7064083338107217</v>
      </c>
      <c r="AD728">
        <v>-0.20370213891110889</v>
      </c>
      <c r="AE728">
        <v>-0.14064720384921811</v>
      </c>
      <c r="AF728">
        <v>7.2029275703936989E-3</v>
      </c>
      <c r="AG728">
        <v>-0.20443975191762306</v>
      </c>
      <c r="AH728">
        <v>-0.14187828350052506</v>
      </c>
      <c r="AI728">
        <v>1.5959734028171928E-5</v>
      </c>
    </row>
    <row r="729" spans="23:35" x14ac:dyDescent="0.25">
      <c r="W729">
        <v>727</v>
      </c>
      <c r="X729">
        <v>79.724764432404157</v>
      </c>
      <c r="Y729">
        <v>1.875235567595837</v>
      </c>
      <c r="Z729">
        <v>79.698924793454793</v>
      </c>
      <c r="AA729">
        <v>0.95148574893875071</v>
      </c>
      <c r="AB729">
        <v>69.5</v>
      </c>
      <c r="AC729">
        <v>1.6445597025796697</v>
      </c>
      <c r="AD729">
        <v>0.52150409556639743</v>
      </c>
      <c r="AE729">
        <v>-0.13753649425672329</v>
      </c>
      <c r="AF729">
        <v>1.3592118218365548E-2</v>
      </c>
      <c r="AG729">
        <v>0.52508481199481016</v>
      </c>
      <c r="AH729">
        <v>-0.13771363345724955</v>
      </c>
      <c r="AI729">
        <v>1.9995668197036212E-4</v>
      </c>
    </row>
    <row r="730" spans="23:35" x14ac:dyDescent="0.25">
      <c r="W730">
        <v>728</v>
      </c>
      <c r="X730">
        <v>78.906093791678614</v>
      </c>
      <c r="Y730">
        <v>2.5939062083213855</v>
      </c>
      <c r="Z730">
        <v>78.894096321164852</v>
      </c>
      <c r="AA730">
        <v>0.94966646452395387</v>
      </c>
      <c r="AB730">
        <v>69.5</v>
      </c>
      <c r="AC730">
        <v>1.6214924498394727</v>
      </c>
      <c r="AD730">
        <v>0.72136681627097698</v>
      </c>
      <c r="AE730">
        <v>-0.13721659946698872</v>
      </c>
      <c r="AF730">
        <v>4.6039577791006864E-3</v>
      </c>
      <c r="AG730">
        <v>0.72303314344121616</v>
      </c>
      <c r="AH730">
        <v>-0.13732410218517035</v>
      </c>
      <c r="AI730">
        <v>1.2726185016191554E-4</v>
      </c>
    </row>
    <row r="731" spans="23:35" x14ac:dyDescent="0.25">
      <c r="W731">
        <v>729</v>
      </c>
      <c r="X731">
        <v>81.114901170455781</v>
      </c>
      <c r="Y731">
        <v>0.18509882954421641</v>
      </c>
      <c r="Z731">
        <v>81.113757022801778</v>
      </c>
      <c r="AA731">
        <v>0.94481503941782896</v>
      </c>
      <c r="AB731">
        <v>69.5</v>
      </c>
      <c r="AC731">
        <v>1.5725296242490356</v>
      </c>
      <c r="AD731">
        <v>5.1476091516124693E-2</v>
      </c>
      <c r="AE731">
        <v>-0.13221360511520322</v>
      </c>
      <c r="AF731">
        <v>6.1433062938402172E-3</v>
      </c>
      <c r="AG731">
        <v>5.1634940483861254E-2</v>
      </c>
      <c r="AH731">
        <v>-0.13246467928915875</v>
      </c>
      <c r="AI731">
        <v>8.6738550935612706E-7</v>
      </c>
    </row>
    <row r="732" spans="23:35" x14ac:dyDescent="0.25">
      <c r="W732">
        <v>730</v>
      </c>
      <c r="X732">
        <v>78.620190664554386</v>
      </c>
      <c r="Y732">
        <v>2.5798093354456171</v>
      </c>
      <c r="Z732">
        <v>78.610128110947301</v>
      </c>
      <c r="AA732">
        <v>0.94178289872650089</v>
      </c>
      <c r="AB732">
        <v>69.5</v>
      </c>
      <c r="AC732">
        <v>1.5519290565282795</v>
      </c>
      <c r="AD732">
        <v>0.71744646777373866</v>
      </c>
      <c r="AE732">
        <v>-0.13152800839503787</v>
      </c>
      <c r="AF732">
        <v>3.8853480164839239E-3</v>
      </c>
      <c r="AG732">
        <v>0.71884430701936641</v>
      </c>
      <c r="AH732">
        <v>-0.13183557759857961</v>
      </c>
      <c r="AI732">
        <v>1.0608077193466405E-4</v>
      </c>
    </row>
    <row r="733" spans="23:35" x14ac:dyDescent="0.25">
      <c r="W733">
        <v>731</v>
      </c>
      <c r="X733">
        <v>80.245658114301818</v>
      </c>
      <c r="Y733">
        <v>7.7543418856981816</v>
      </c>
      <c r="Z733">
        <v>80.206285856314466</v>
      </c>
      <c r="AA733">
        <v>0.99575500303214071</v>
      </c>
      <c r="AB733">
        <v>69.599999999999994</v>
      </c>
      <c r="AC733">
        <v>2.428517260365656</v>
      </c>
      <c r="AD733">
        <v>2.1564869617944633</v>
      </c>
      <c r="AE733">
        <v>-0.13079608492825259</v>
      </c>
      <c r="AF733">
        <v>5.0517965197956838E-3</v>
      </c>
      <c r="AG733">
        <v>2.1619547538317905</v>
      </c>
      <c r="AH733">
        <v>-0.13106858732814447</v>
      </c>
      <c r="AI733">
        <v>1.2490648227117757E-3</v>
      </c>
    </row>
    <row r="734" spans="23:35" x14ac:dyDescent="0.25">
      <c r="W734">
        <v>732</v>
      </c>
      <c r="X734">
        <v>79.776891287573079</v>
      </c>
      <c r="Y734">
        <v>9.2231087124269209</v>
      </c>
      <c r="Z734">
        <v>79.731345633929024</v>
      </c>
      <c r="AA734">
        <v>1</v>
      </c>
      <c r="AB734">
        <v>69.599999999999994</v>
      </c>
      <c r="AC734">
        <v>2.6570161854420777</v>
      </c>
      <c r="AD734">
        <v>2.5649518655148609</v>
      </c>
      <c r="AE734">
        <v>-0.12931103561168059</v>
      </c>
      <c r="AF734">
        <v>4.9139445538917779E-3</v>
      </c>
      <c r="AG734">
        <v>2.5712772024760531</v>
      </c>
      <c r="AH734">
        <v>-0.12972628088268975</v>
      </c>
      <c r="AI734">
        <v>1.718358632988909E-3</v>
      </c>
    </row>
    <row r="735" spans="23:35" x14ac:dyDescent="0.25">
      <c r="W735">
        <v>733</v>
      </c>
      <c r="X735">
        <v>79.03230521719577</v>
      </c>
      <c r="Y735">
        <v>0.86769478280423584</v>
      </c>
      <c r="Z735">
        <v>79.028208677789053</v>
      </c>
      <c r="AA735">
        <v>0.92177077016373554</v>
      </c>
      <c r="AB735">
        <v>69.599999999999994</v>
      </c>
      <c r="AC735">
        <v>1.3946242806491955</v>
      </c>
      <c r="AD735">
        <v>0.24130642077898759</v>
      </c>
      <c r="AE735">
        <v>-0.12691503531781032</v>
      </c>
      <c r="AF735">
        <v>4.6989908047418297E-3</v>
      </c>
      <c r="AG735">
        <v>0.24187537502527445</v>
      </c>
      <c r="AH735">
        <v>-0.12779860322647116</v>
      </c>
      <c r="AI735">
        <v>1.453716973487741E-5</v>
      </c>
    </row>
    <row r="736" spans="23:35" x14ac:dyDescent="0.25">
      <c r="W736">
        <v>734</v>
      </c>
      <c r="X736">
        <v>78.44962596763466</v>
      </c>
      <c r="Y736">
        <v>1.5503740323653403</v>
      </c>
      <c r="Z736">
        <v>78.444121169139862</v>
      </c>
      <c r="AA736">
        <v>0.92722862340812617</v>
      </c>
      <c r="AB736">
        <v>69.599999999999994</v>
      </c>
      <c r="AC736">
        <v>1.4191611772342045</v>
      </c>
      <c r="AD736">
        <v>0.43115991479134225</v>
      </c>
      <c r="AE736">
        <v>-0.12636286551027021</v>
      </c>
      <c r="AF736">
        <v>3.5380637525355349E-3</v>
      </c>
      <c r="AG736">
        <v>0.43192468036578485</v>
      </c>
      <c r="AH736">
        <v>-0.12719377734309936</v>
      </c>
      <c r="AI736">
        <v>3.486321069404978E-5</v>
      </c>
    </row>
    <row r="737" spans="23:35" x14ac:dyDescent="0.25">
      <c r="W737">
        <v>735</v>
      </c>
      <c r="X737">
        <v>76.685951619915372</v>
      </c>
      <c r="Y737">
        <v>3.1140483800846255</v>
      </c>
      <c r="Z737">
        <v>76.674760680220501</v>
      </c>
      <c r="AA737">
        <v>0.91813220133414186</v>
      </c>
      <c r="AB737">
        <v>69.599999999999994</v>
      </c>
      <c r="AC737">
        <v>1.3748000243745633</v>
      </c>
      <c r="AD737">
        <v>0.86601865497255237</v>
      </c>
      <c r="AE737">
        <v>-0.12551076010391538</v>
      </c>
      <c r="AF737">
        <v>3.5808264743254618E-3</v>
      </c>
      <c r="AG737">
        <v>0.86757336283853048</v>
      </c>
      <c r="AH737">
        <v>-0.12581137368304479</v>
      </c>
      <c r="AI737">
        <v>1.4236394619213713E-4</v>
      </c>
    </row>
    <row r="738" spans="23:35" x14ac:dyDescent="0.25">
      <c r="W738">
        <v>736</v>
      </c>
      <c r="X738">
        <v>76.489461326895494</v>
      </c>
      <c r="Y738">
        <v>2.9105386731045115</v>
      </c>
      <c r="Z738">
        <v>76.478653861581449</v>
      </c>
      <c r="AA738">
        <v>0.90661006670709521</v>
      </c>
      <c r="AB738">
        <v>69.599999999999994</v>
      </c>
      <c r="AC738">
        <v>1.2933897637306977</v>
      </c>
      <c r="AD738">
        <v>0.80942248779675952</v>
      </c>
      <c r="AE738">
        <v>-0.12322331801646859</v>
      </c>
      <c r="AF738">
        <v>3.6994812671865621E-3</v>
      </c>
      <c r="AG738">
        <v>0.8109238765184158</v>
      </c>
      <c r="AH738">
        <v>-0.12494059505914423</v>
      </c>
      <c r="AI738">
        <v>1.2851595587443185E-4</v>
      </c>
    </row>
    <row r="739" spans="23:35" x14ac:dyDescent="0.25">
      <c r="W739">
        <v>737</v>
      </c>
      <c r="X739">
        <v>72.900401314165137</v>
      </c>
      <c r="Y739">
        <v>2.8995986858348601</v>
      </c>
      <c r="Z739">
        <v>72.895501597849403</v>
      </c>
      <c r="AA739">
        <v>0.79624014554275313</v>
      </c>
      <c r="AB739">
        <v>69.599999999999994</v>
      </c>
      <c r="AC739">
        <v>0.81442193874053515</v>
      </c>
      <c r="AD739">
        <v>0.80638007101182085</v>
      </c>
      <c r="AE739">
        <v>-0.12281188816534318</v>
      </c>
      <c r="AF739">
        <v>1.6869406132606387E-3</v>
      </c>
      <c r="AG739">
        <v>0.80706109040826524</v>
      </c>
      <c r="AH739">
        <v>-0.12449740393192799</v>
      </c>
      <c r="AI739">
        <v>5.7928496984166072E-5</v>
      </c>
    </row>
    <row r="740" spans="23:35" x14ac:dyDescent="0.25">
      <c r="W740">
        <v>738</v>
      </c>
      <c r="X740">
        <v>72.553381327122693</v>
      </c>
      <c r="Y740">
        <v>3.046618672877301</v>
      </c>
      <c r="Z740">
        <v>72.547606053933734</v>
      </c>
      <c r="AA740">
        <v>0.78835657974530016</v>
      </c>
      <c r="AB740">
        <v>69.599999999999994</v>
      </c>
      <c r="AC740">
        <v>0.78719041678006285</v>
      </c>
      <c r="AD740">
        <v>0.84726641441189243</v>
      </c>
      <c r="AE740">
        <v>-0.12241762217166732</v>
      </c>
      <c r="AF740">
        <v>1.8920471246529893E-3</v>
      </c>
      <c r="AG740">
        <v>0.84806908760488453</v>
      </c>
      <c r="AH740">
        <v>-0.12425299414353798</v>
      </c>
      <c r="AI740">
        <v>7.1756838931113904E-5</v>
      </c>
    </row>
    <row r="741" spans="23:35" x14ac:dyDescent="0.25">
      <c r="W741">
        <v>739</v>
      </c>
      <c r="X741">
        <v>72.631203614811454</v>
      </c>
      <c r="Y741">
        <v>2.6687963851885428</v>
      </c>
      <c r="Z741">
        <v>72.625952810526499</v>
      </c>
      <c r="AA741">
        <v>0.77258944815039421</v>
      </c>
      <c r="AB741">
        <v>69.599999999999994</v>
      </c>
      <c r="AC741">
        <v>0.72844171022016913</v>
      </c>
      <c r="AD741">
        <v>0.74219381775750803</v>
      </c>
      <c r="AE741">
        <v>-0.12142175349559423</v>
      </c>
      <c r="AF741">
        <v>1.9636169120829765E-3</v>
      </c>
      <c r="AG741">
        <v>0.74292358483707577</v>
      </c>
      <c r="AH741">
        <v>-0.12346332783037514</v>
      </c>
      <c r="AI741">
        <v>5.7153796039793463E-5</v>
      </c>
    </row>
    <row r="742" spans="23:35" x14ac:dyDescent="0.25">
      <c r="W742">
        <v>740</v>
      </c>
      <c r="X742">
        <v>72.420010119232899</v>
      </c>
      <c r="Y742">
        <v>2.7799898807671042</v>
      </c>
      <c r="Z742">
        <v>72.414762821364135</v>
      </c>
      <c r="AA742">
        <v>0.76652516676773808</v>
      </c>
      <c r="AB742">
        <v>69.7</v>
      </c>
      <c r="AC742">
        <v>0.71660092108895201</v>
      </c>
      <c r="AD742">
        <v>0.77311679316742288</v>
      </c>
      <c r="AE742">
        <v>-0.1208793221231696</v>
      </c>
      <c r="AF742">
        <v>1.8839680545041661E-3</v>
      </c>
      <c r="AG742">
        <v>0.77384608747510486</v>
      </c>
      <c r="AH742">
        <v>-0.12160261987589634</v>
      </c>
      <c r="AI742">
        <v>5.9490563745219385E-5</v>
      </c>
    </row>
    <row r="743" spans="23:35" x14ac:dyDescent="0.25">
      <c r="W743">
        <v>741</v>
      </c>
      <c r="X743">
        <v>71.083178231597032</v>
      </c>
      <c r="Y743">
        <v>3.9168217684029685</v>
      </c>
      <c r="Z743">
        <v>71.058582180651399</v>
      </c>
      <c r="AA743">
        <v>0.76046088538508183</v>
      </c>
      <c r="AB743">
        <v>69.7</v>
      </c>
      <c r="AC743">
        <v>0.67020216077934069</v>
      </c>
      <c r="AD743">
        <v>1.0892703984089589</v>
      </c>
      <c r="AE743">
        <v>-0.12084917702486786</v>
      </c>
      <c r="AF743">
        <v>6.2404068974585116E-3</v>
      </c>
      <c r="AG743">
        <v>1.0926851340045647</v>
      </c>
      <c r="AH743">
        <v>-0.12107802809718018</v>
      </c>
      <c r="AI743">
        <v>3.9460995958524718E-4</v>
      </c>
    </row>
    <row r="744" spans="23:35" x14ac:dyDescent="0.25">
      <c r="W744">
        <v>742</v>
      </c>
      <c r="X744">
        <v>70.971707656635971</v>
      </c>
      <c r="Y744">
        <v>3.728292343364032</v>
      </c>
      <c r="Z744">
        <v>70.920329774269732</v>
      </c>
      <c r="AA744">
        <v>0.7362037598544573</v>
      </c>
      <c r="AB744">
        <v>69.7</v>
      </c>
      <c r="AC744">
        <v>0.61415241452626612</v>
      </c>
      <c r="AD744">
        <v>1.0368402563022612</v>
      </c>
      <c r="AE744">
        <v>-0.11977755287319404</v>
      </c>
      <c r="AF744">
        <v>1.3593218269807373E-2</v>
      </c>
      <c r="AG744">
        <v>1.0439599214159914</v>
      </c>
      <c r="AH744">
        <v>-0.12106044236598147</v>
      </c>
      <c r="AI744">
        <v>7.9046071737786576E-4</v>
      </c>
    </row>
    <row r="745" spans="23:35" x14ac:dyDescent="0.25">
      <c r="W745">
        <v>743</v>
      </c>
      <c r="X745">
        <v>72.103289755999072</v>
      </c>
      <c r="Y745">
        <v>2.3967102440009285</v>
      </c>
      <c r="Z745">
        <v>72.098994718342567</v>
      </c>
      <c r="AA745">
        <v>0.72407519708914492</v>
      </c>
      <c r="AB745">
        <v>69.7</v>
      </c>
      <c r="AC745">
        <v>0.56531175535073552</v>
      </c>
      <c r="AD745">
        <v>0.66652650457929519</v>
      </c>
      <c r="AE745">
        <v>-0.11971725198519315</v>
      </c>
      <c r="AF745">
        <v>1.7888497327857356E-3</v>
      </c>
      <c r="AG745">
        <v>0.66712346348092766</v>
      </c>
      <c r="AH745">
        <v>-0.12077309935380103</v>
      </c>
      <c r="AI745">
        <v>4.1976891408631858E-5</v>
      </c>
    </row>
    <row r="746" spans="23:35" x14ac:dyDescent="0.25">
      <c r="W746">
        <v>744</v>
      </c>
      <c r="X746">
        <v>71.663666879991268</v>
      </c>
      <c r="Y746">
        <v>2.5363331200087345</v>
      </c>
      <c r="Z746">
        <v>71.658761699546488</v>
      </c>
      <c r="AA746">
        <v>0.7010309278350515</v>
      </c>
      <c r="AB746">
        <v>69.8</v>
      </c>
      <c r="AC746">
        <v>0.5039283835636299</v>
      </c>
      <c r="AD746">
        <v>0.70535570712379569</v>
      </c>
      <c r="AE746">
        <v>-0.11962417554700684</v>
      </c>
      <c r="AF746">
        <v>1.9302323768314671E-3</v>
      </c>
      <c r="AG746">
        <v>0.70603744442779914</v>
      </c>
      <c r="AH746">
        <v>-0.12029468133653046</v>
      </c>
      <c r="AI746">
        <v>5.074001169905071E-5</v>
      </c>
    </row>
    <row r="747" spans="23:35" x14ac:dyDescent="0.25">
      <c r="W747">
        <v>745</v>
      </c>
      <c r="X747">
        <v>73.689355730874951</v>
      </c>
      <c r="Y747">
        <v>0.31064426912504928</v>
      </c>
      <c r="Z747">
        <v>73.688246431051439</v>
      </c>
      <c r="AA747">
        <v>0.68465736810187994</v>
      </c>
      <c r="AB747">
        <v>69.8</v>
      </c>
      <c r="AC747">
        <v>0.4663087141536239</v>
      </c>
      <c r="AD747">
        <v>8.6390350851034609E-2</v>
      </c>
      <c r="AE747">
        <v>-0.11786525424991595</v>
      </c>
      <c r="AF747">
        <v>3.5582586183660015E-3</v>
      </c>
      <c r="AG747">
        <v>8.6544461853535801E-2</v>
      </c>
      <c r="AH747">
        <v>-0.11993634817590412</v>
      </c>
      <c r="AI747">
        <v>1.4077014581221071E-6</v>
      </c>
    </row>
    <row r="748" spans="23:35" x14ac:dyDescent="0.25">
      <c r="W748">
        <v>746</v>
      </c>
      <c r="X748">
        <v>70.866109002956719</v>
      </c>
      <c r="Y748">
        <v>2.6338909970432809</v>
      </c>
      <c r="Z748">
        <v>70.860027143714632</v>
      </c>
      <c r="AA748">
        <v>0.64463311097634934</v>
      </c>
      <c r="AB748">
        <v>69.8</v>
      </c>
      <c r="AC748">
        <v>0.35220887014201224</v>
      </c>
      <c r="AD748">
        <v>0.7324866091328196</v>
      </c>
      <c r="AE748">
        <v>-0.11774754670676167</v>
      </c>
      <c r="AF748">
        <v>2.3037582479717694E-3</v>
      </c>
      <c r="AG748">
        <v>0.73333180579374346</v>
      </c>
      <c r="AH748">
        <v>-0.11959088388885611</v>
      </c>
      <c r="AI748">
        <v>6.5356081971670909E-5</v>
      </c>
    </row>
    <row r="749" spans="23:35" x14ac:dyDescent="0.25">
      <c r="W749">
        <v>747</v>
      </c>
      <c r="X749">
        <v>69.369290194696049</v>
      </c>
      <c r="Y749">
        <v>3.9307098053039482</v>
      </c>
      <c r="Z749">
        <v>69.358738215909426</v>
      </c>
      <c r="AA749">
        <v>0.63007883565797451</v>
      </c>
      <c r="AB749">
        <v>69.8</v>
      </c>
      <c r="AC749">
        <v>0.3152427890443939</v>
      </c>
      <c r="AD749">
        <v>1.0931326695008643</v>
      </c>
      <c r="AE749">
        <v>-0.11659611792495846</v>
      </c>
      <c r="AF749">
        <v>2.6773097968826537E-3</v>
      </c>
      <c r="AG749">
        <v>1.0945989418102215</v>
      </c>
      <c r="AH749">
        <v>-0.11911566938042409</v>
      </c>
      <c r="AI749">
        <v>1.692853494282364E-4</v>
      </c>
    </row>
    <row r="750" spans="23:35" x14ac:dyDescent="0.25">
      <c r="W750">
        <v>748</v>
      </c>
      <c r="X750">
        <v>70.380851146735196</v>
      </c>
      <c r="Y750">
        <v>2.719148853264798</v>
      </c>
      <c r="Z750">
        <v>70.362885416375235</v>
      </c>
      <c r="AA750">
        <v>0.61491813220133418</v>
      </c>
      <c r="AB750">
        <v>69.900000000000006</v>
      </c>
      <c r="AC750">
        <v>0.27870266916975811</v>
      </c>
      <c r="AD750">
        <v>0.75619686824215138</v>
      </c>
      <c r="AE750">
        <v>-0.11408785687066923</v>
      </c>
      <c r="AF750">
        <v>6.5637479948589547E-3</v>
      </c>
      <c r="AG750">
        <v>0.75869089544323653</v>
      </c>
      <c r="AH750">
        <v>-0.117204335962814</v>
      </c>
      <c r="AI750">
        <v>2.0016495279292023E-4</v>
      </c>
    </row>
    <row r="751" spans="23:35" x14ac:dyDescent="0.25">
      <c r="W751">
        <v>749</v>
      </c>
      <c r="X751">
        <v>74.339092305469435</v>
      </c>
      <c r="Y751">
        <v>-0.33909230546943547</v>
      </c>
      <c r="Z751">
        <v>74.340647961112978</v>
      </c>
      <c r="AA751">
        <v>0.68465736810187994</v>
      </c>
      <c r="AB751">
        <v>69.900000000000006</v>
      </c>
      <c r="AC751">
        <v>0.4663087141536239</v>
      </c>
      <c r="AD751">
        <v>-9.4301766206407511E-2</v>
      </c>
      <c r="AE751">
        <v>-0.11378994190914249</v>
      </c>
      <c r="AF751">
        <v>4.5667546004548787E-3</v>
      </c>
      <c r="AG751">
        <v>-9.4517833044181501E-2</v>
      </c>
      <c r="AH751">
        <v>-0.11670034529535306</v>
      </c>
      <c r="AI751">
        <v>2.1570958600651524E-6</v>
      </c>
    </row>
    <row r="752" spans="23:35" x14ac:dyDescent="0.25">
      <c r="W752">
        <v>750</v>
      </c>
      <c r="X752">
        <v>74.502881458605003</v>
      </c>
      <c r="Y752">
        <v>-0.60288145860499753</v>
      </c>
      <c r="Z752">
        <v>74.505466641724453</v>
      </c>
      <c r="AA752">
        <v>0.67919951485748942</v>
      </c>
      <c r="AB752">
        <v>69.900000000000006</v>
      </c>
      <c r="AC752">
        <v>0.43434378704136062</v>
      </c>
      <c r="AD752">
        <v>-0.16766168221021729</v>
      </c>
      <c r="AE752">
        <v>-0.11292679182758833</v>
      </c>
      <c r="AF752">
        <v>4.2697366647369318E-3</v>
      </c>
      <c r="AG752">
        <v>-0.1680207681379069</v>
      </c>
      <c r="AH752">
        <v>-0.11523390625493084</v>
      </c>
      <c r="AI752">
        <v>6.3713536915332974E-6</v>
      </c>
    </row>
    <row r="753" spans="23:35" x14ac:dyDescent="0.25">
      <c r="W753">
        <v>751</v>
      </c>
      <c r="X753">
        <v>74.095295211931102</v>
      </c>
      <c r="Y753">
        <v>-0.39529521193109929</v>
      </c>
      <c r="Z753">
        <v>74.097127417078383</v>
      </c>
      <c r="AA753">
        <v>0.66040024257125529</v>
      </c>
      <c r="AB753">
        <v>69.900000000000006</v>
      </c>
      <c r="AC753">
        <v>0.39787592189543292</v>
      </c>
      <c r="AD753">
        <v>-0.10993182698862168</v>
      </c>
      <c r="AE753">
        <v>-0.11107372755177466</v>
      </c>
      <c r="AF753">
        <v>4.6136455668549115E-3</v>
      </c>
      <c r="AG753">
        <v>-0.11018630111112306</v>
      </c>
      <c r="AH753">
        <v>-0.11130204972594822</v>
      </c>
      <c r="AI753">
        <v>2.9617892508381344E-6</v>
      </c>
    </row>
    <row r="754" spans="23:35" x14ac:dyDescent="0.25">
      <c r="W754">
        <v>752</v>
      </c>
      <c r="X754">
        <v>74.278555531976082</v>
      </c>
      <c r="Y754">
        <v>-0.67855553197608742</v>
      </c>
      <c r="Z754">
        <v>74.281792679457467</v>
      </c>
      <c r="AA754">
        <v>0.65433596118859916</v>
      </c>
      <c r="AB754">
        <v>69.900000000000006</v>
      </c>
      <c r="AC754">
        <v>0.3716850598056044</v>
      </c>
      <c r="AD754">
        <v>-0.1887066857677229</v>
      </c>
      <c r="AE754">
        <v>-0.10993182698862168</v>
      </c>
      <c r="AF754">
        <v>4.7479938974446263E-3</v>
      </c>
      <c r="AG754">
        <v>-0.18915627648940722</v>
      </c>
      <c r="AH754">
        <v>-0.11018630111112306</v>
      </c>
      <c r="AI754">
        <v>8.9839019272604842E-6</v>
      </c>
    </row>
    <row r="755" spans="23:35" x14ac:dyDescent="0.25">
      <c r="W755">
        <v>753</v>
      </c>
      <c r="X755">
        <v>74.643545842295865</v>
      </c>
      <c r="Y755">
        <v>-1.243545842295859</v>
      </c>
      <c r="Z755">
        <v>74.649489300783827</v>
      </c>
      <c r="AA755">
        <v>0.63735597331716187</v>
      </c>
      <c r="AB755">
        <v>69.900000000000006</v>
      </c>
      <c r="AC755">
        <v>0.33286538375086522</v>
      </c>
      <c r="AD755">
        <v>-0.34583081773203006</v>
      </c>
      <c r="AE755">
        <v>-0.10885731792754216</v>
      </c>
      <c r="AF755">
        <v>4.7567101889008246E-3</v>
      </c>
      <c r="AG755">
        <v>-0.34665627222514483</v>
      </c>
      <c r="AH755">
        <v>-0.10990506396678719</v>
      </c>
      <c r="AI755">
        <v>3.0228873137754937E-5</v>
      </c>
    </row>
    <row r="756" spans="23:35" x14ac:dyDescent="0.25">
      <c r="W756">
        <v>754</v>
      </c>
      <c r="X756">
        <v>73.232099637969881</v>
      </c>
      <c r="Y756">
        <v>6.7900362030115957E-2</v>
      </c>
      <c r="Z756">
        <v>73.231468317189652</v>
      </c>
      <c r="AA756">
        <v>0.63007883565797451</v>
      </c>
      <c r="AB756">
        <v>69.900000000000006</v>
      </c>
      <c r="AC756">
        <v>0.3152427890443939</v>
      </c>
      <c r="AD756">
        <v>1.888312993899998E-2</v>
      </c>
      <c r="AE756">
        <v>-0.10766079450322708</v>
      </c>
      <c r="AF756">
        <v>9.2121009486735034E-3</v>
      </c>
      <c r="AG756">
        <v>1.8970712167542095E-2</v>
      </c>
      <c r="AH756">
        <v>-0.10831217717756166</v>
      </c>
      <c r="AI756">
        <v>1.7611310063895343E-7</v>
      </c>
    </row>
    <row r="757" spans="23:35" x14ac:dyDescent="0.25">
      <c r="W757">
        <v>755</v>
      </c>
      <c r="X757">
        <v>73.036766829540895</v>
      </c>
      <c r="Y757">
        <v>6.3233170459099597E-2</v>
      </c>
      <c r="Z757">
        <v>73.03622209570824</v>
      </c>
      <c r="AA757">
        <v>0.61491813220133418</v>
      </c>
      <c r="AB757">
        <v>70</v>
      </c>
      <c r="AC757">
        <v>0.27870266916975811</v>
      </c>
      <c r="AD757">
        <v>1.7585181264637709E-2</v>
      </c>
      <c r="AE757">
        <v>-0.10417542718280506</v>
      </c>
      <c r="AF757">
        <v>8.5411058689421095E-3</v>
      </c>
      <c r="AG757">
        <v>1.7660764229763874E-2</v>
      </c>
      <c r="AH757">
        <v>-0.10437016760238535</v>
      </c>
      <c r="AI757">
        <v>1.4141802788170642E-7</v>
      </c>
    </row>
    <row r="758" spans="23:35" x14ac:dyDescent="0.25">
      <c r="W758">
        <v>756</v>
      </c>
      <c r="X758">
        <v>76.501583412256693</v>
      </c>
      <c r="Y758">
        <v>-3.5015834122566929</v>
      </c>
      <c r="Z758">
        <v>76.518574858619175</v>
      </c>
      <c r="AA758">
        <v>0.60946027895694366</v>
      </c>
      <c r="AB758">
        <v>70</v>
      </c>
      <c r="AC758">
        <v>0.22222871718700732</v>
      </c>
      <c r="AD758">
        <v>-0.97379237148343012</v>
      </c>
      <c r="AE758">
        <v>-0.10183239456757787</v>
      </c>
      <c r="AF758">
        <v>4.829070588298485E-3</v>
      </c>
      <c r="AG758">
        <v>-0.97615217773450702</v>
      </c>
      <c r="AH758">
        <v>-0.10265286158873253</v>
      </c>
      <c r="AI758">
        <v>2.4335895211054616E-4</v>
      </c>
    </row>
    <row r="759" spans="23:35" x14ac:dyDescent="0.25">
      <c r="W759">
        <v>757</v>
      </c>
      <c r="X759">
        <v>74.705992024596512</v>
      </c>
      <c r="Y759">
        <v>-1.9059920245965145</v>
      </c>
      <c r="Z759">
        <v>74.714638347928741</v>
      </c>
      <c r="AA759">
        <v>0.58156458459672533</v>
      </c>
      <c r="AB759">
        <v>70</v>
      </c>
      <c r="AC759">
        <v>0.18343432307636306</v>
      </c>
      <c r="AD759">
        <v>-0.53005748404096054</v>
      </c>
      <c r="AE759">
        <v>-0.10011766941150133</v>
      </c>
      <c r="AF759">
        <v>4.5159041871186793E-3</v>
      </c>
      <c r="AG759">
        <v>-0.53125839738810154</v>
      </c>
      <c r="AH759">
        <v>-0.10075906837585046</v>
      </c>
      <c r="AI759">
        <v>6.7385802963486737E-5</v>
      </c>
    </row>
    <row r="760" spans="23:35" x14ac:dyDescent="0.25">
      <c r="W760">
        <v>758</v>
      </c>
      <c r="X760">
        <v>74.454779503150064</v>
      </c>
      <c r="Y760">
        <v>-2.0547795031500584</v>
      </c>
      <c r="Z760">
        <v>74.464353419411239</v>
      </c>
      <c r="AA760">
        <v>0.55124317768344455</v>
      </c>
      <c r="AB760">
        <v>70</v>
      </c>
      <c r="AC760">
        <v>0.11578501997911882</v>
      </c>
      <c r="AD760">
        <v>-0.57143536785219273</v>
      </c>
      <c r="AE760">
        <v>-9.9802928444431727E-2</v>
      </c>
      <c r="AF760">
        <v>4.637731200067708E-3</v>
      </c>
      <c r="AG760">
        <v>-0.57276507658476883</v>
      </c>
      <c r="AH760">
        <v>-0.10020185241549144</v>
      </c>
      <c r="AI760">
        <v>8.044959426626291E-5</v>
      </c>
    </row>
    <row r="761" spans="23:35" x14ac:dyDescent="0.25">
      <c r="W761">
        <v>759</v>
      </c>
      <c r="X761">
        <v>74.182102281471984</v>
      </c>
      <c r="Y761">
        <v>-1.6821022814719839</v>
      </c>
      <c r="Z761">
        <v>74.190408921851514</v>
      </c>
      <c r="AA761">
        <v>0.55852031534263191</v>
      </c>
      <c r="AB761">
        <v>70</v>
      </c>
      <c r="AC761">
        <v>0.12956927093944998</v>
      </c>
      <c r="AD761">
        <v>-0.46779361703013811</v>
      </c>
      <c r="AE761">
        <v>-9.9442719864015289E-2</v>
      </c>
      <c r="AF761">
        <v>4.913982807447136E-3</v>
      </c>
      <c r="AG761">
        <v>-0.46894723531655086</v>
      </c>
      <c r="AH761">
        <v>-0.10007633292612432</v>
      </c>
      <c r="AI761">
        <v>5.7156729126202434E-5</v>
      </c>
    </row>
    <row r="762" spans="23:35" x14ac:dyDescent="0.25">
      <c r="W762">
        <v>760</v>
      </c>
      <c r="X762">
        <v>73.898942605426697</v>
      </c>
      <c r="Y762">
        <v>-1.5989426054267</v>
      </c>
      <c r="Z762">
        <v>73.906075224708417</v>
      </c>
      <c r="AA762">
        <v>0.54578532443905392</v>
      </c>
      <c r="AB762">
        <v>70</v>
      </c>
      <c r="AC762">
        <v>9.896716322379942E-2</v>
      </c>
      <c r="AD762">
        <v>-0.44466686304093617</v>
      </c>
      <c r="AE762">
        <v>-9.8537097163385462E-2</v>
      </c>
      <c r="AF762">
        <v>4.4410244128013313E-3</v>
      </c>
      <c r="AG762">
        <v>-0.4456575522181272</v>
      </c>
      <c r="AH762">
        <v>-0.10001631629427141</v>
      </c>
      <c r="AI762">
        <v>4.6629967052896254E-5</v>
      </c>
    </row>
    <row r="763" spans="23:35" x14ac:dyDescent="0.25">
      <c r="W763">
        <v>761</v>
      </c>
      <c r="X763">
        <v>73.633536653869115</v>
      </c>
      <c r="Y763">
        <v>-1.5335366538691204</v>
      </c>
      <c r="Z763">
        <v>73.640837141719601</v>
      </c>
      <c r="AA763">
        <v>0.5312310491206792</v>
      </c>
      <c r="AB763">
        <v>71</v>
      </c>
      <c r="AC763">
        <v>6.3887210036911155E-2</v>
      </c>
      <c r="AD763">
        <v>-0.4264774300965592</v>
      </c>
      <c r="AE763">
        <v>-9.6140662763184087E-2</v>
      </c>
      <c r="AF763">
        <v>4.7380009559860976E-3</v>
      </c>
      <c r="AG763">
        <v>-0.42749135975805513</v>
      </c>
      <c r="AH763">
        <v>-9.8746209195641949E-2</v>
      </c>
      <c r="AI763">
        <v>4.5788751676869229E-5</v>
      </c>
    </row>
    <row r="764" spans="23:35" x14ac:dyDescent="0.25">
      <c r="W764">
        <v>762</v>
      </c>
      <c r="X764">
        <v>73.326654355275565</v>
      </c>
      <c r="Y764">
        <v>-1.4266543552755593</v>
      </c>
      <c r="Z764">
        <v>73.333792735901795</v>
      </c>
      <c r="AA764">
        <v>0.51607034566403887</v>
      </c>
      <c r="AB764">
        <v>71</v>
      </c>
      <c r="AC764">
        <v>2.7365033500434649E-2</v>
      </c>
      <c r="AD764">
        <v>-0.39675340106080764</v>
      </c>
      <c r="AE764">
        <v>-9.609887024588612E-2</v>
      </c>
      <c r="AF764">
        <v>4.9786698226922726E-3</v>
      </c>
      <c r="AG764">
        <v>-0.39774475641614687</v>
      </c>
      <c r="AH764">
        <v>-9.6902167508654088E-2</v>
      </c>
      <c r="AI764">
        <v>4.1661630196918074E-5</v>
      </c>
    </row>
    <row r="765" spans="23:35" x14ac:dyDescent="0.25">
      <c r="W765">
        <v>763</v>
      </c>
      <c r="X765">
        <v>72.975960313986405</v>
      </c>
      <c r="Y765">
        <v>-1.2759603139864026</v>
      </c>
      <c r="Z765">
        <v>72.98177252025674</v>
      </c>
      <c r="AA765">
        <v>0.50394178289872649</v>
      </c>
      <c r="AB765">
        <v>71</v>
      </c>
      <c r="AC765">
        <v>-4.5602855597810616E-3</v>
      </c>
      <c r="AD765">
        <v>-0.35484530105047085</v>
      </c>
      <c r="AE765">
        <v>-9.6006533289577173E-2</v>
      </c>
      <c r="AF765">
        <v>4.5345068477337675E-3</v>
      </c>
      <c r="AG765">
        <v>-0.35565257174487952</v>
      </c>
      <c r="AH765">
        <v>-9.6391880367691349E-2</v>
      </c>
      <c r="AI765">
        <v>3.0325094144285363E-5</v>
      </c>
    </row>
    <row r="766" spans="23:35" x14ac:dyDescent="0.25">
      <c r="W766">
        <v>764</v>
      </c>
      <c r="X766">
        <v>77.110885444566307</v>
      </c>
      <c r="Y766">
        <v>-7.2108854445663013</v>
      </c>
      <c r="Z766">
        <v>77.133370340163737</v>
      </c>
      <c r="AA766">
        <v>0.45724681625227409</v>
      </c>
      <c r="AB766">
        <v>71</v>
      </c>
      <c r="AC766">
        <v>-0.11731546960548965</v>
      </c>
      <c r="AD766">
        <v>-2.0053514113016959</v>
      </c>
      <c r="AE766">
        <v>-9.4301766206407511E-2</v>
      </c>
      <c r="AF766">
        <v>3.1084950085560692E-3</v>
      </c>
      <c r="AG766">
        <v>-2.0084755090492501</v>
      </c>
      <c r="AH766">
        <v>-9.4560039156767473E-2</v>
      </c>
      <c r="AI766">
        <v>6.6203623321809627E-4</v>
      </c>
    </row>
    <row r="767" spans="23:35" x14ac:dyDescent="0.25">
      <c r="W767">
        <v>765</v>
      </c>
      <c r="X767">
        <v>76.884466398798622</v>
      </c>
      <c r="Y767">
        <v>-7.3844663987986223</v>
      </c>
      <c r="Z767">
        <v>76.908094772089555</v>
      </c>
      <c r="AA767">
        <v>0.44269254093389931</v>
      </c>
      <c r="AB767">
        <v>71</v>
      </c>
      <c r="AC767">
        <v>-0.15567569037416348</v>
      </c>
      <c r="AD767">
        <v>-2.0536243750342122</v>
      </c>
      <c r="AE767">
        <v>-9.4292280283725244E-2</v>
      </c>
      <c r="AF767">
        <v>3.1895344238790074E-3</v>
      </c>
      <c r="AG767">
        <v>-2.0569072831551796</v>
      </c>
      <c r="AH767">
        <v>-9.4517833044181501E-2</v>
      </c>
      <c r="AI767">
        <v>7.1250929725527135E-4</v>
      </c>
    </row>
    <row r="768" spans="23:35" x14ac:dyDescent="0.25">
      <c r="W768">
        <v>766</v>
      </c>
      <c r="X768">
        <v>72.130735432138692</v>
      </c>
      <c r="Y768">
        <v>-3.0307354321386981</v>
      </c>
      <c r="Z768">
        <v>72.167913292770365</v>
      </c>
      <c r="AA768">
        <v>0.42510612492419647</v>
      </c>
      <c r="AB768">
        <v>71</v>
      </c>
      <c r="AC768">
        <v>-0.198915705174462</v>
      </c>
      <c r="AD768">
        <v>-0.84284927597916315</v>
      </c>
      <c r="AE768">
        <v>-9.2679449866181332E-2</v>
      </c>
      <c r="AF768">
        <v>1.2118289235644435E-2</v>
      </c>
      <c r="AG768">
        <v>-0.84800311097298864</v>
      </c>
      <c r="AH768">
        <v>-9.2764702919865605E-2</v>
      </c>
      <c r="AI768">
        <v>4.6427752306097054E-4</v>
      </c>
    </row>
    <row r="769" spans="23:35" x14ac:dyDescent="0.25">
      <c r="W769">
        <v>767</v>
      </c>
      <c r="X769">
        <v>73.1956899737377</v>
      </c>
      <c r="Y769">
        <v>-4.6956899737377</v>
      </c>
      <c r="Z769">
        <v>73.2288740660305</v>
      </c>
      <c r="AA769">
        <v>0.40388114008489995</v>
      </c>
      <c r="AB769">
        <v>71</v>
      </c>
      <c r="AC769">
        <v>-0.25193465741015014</v>
      </c>
      <c r="AD769">
        <v>-1.305874096636197</v>
      </c>
      <c r="AE769">
        <v>-9.1322353057499236E-2</v>
      </c>
      <c r="AF769">
        <v>7.0173347459532333E-3</v>
      </c>
      <c r="AG769">
        <v>-1.3104802307873942</v>
      </c>
      <c r="AH769">
        <v>-9.1959016562363147E-2</v>
      </c>
      <c r="AI769">
        <v>6.3876023752376004E-4</v>
      </c>
    </row>
    <row r="770" spans="23:35" x14ac:dyDescent="0.25">
      <c r="W770">
        <v>768</v>
      </c>
      <c r="X770">
        <v>72.691251091045075</v>
      </c>
      <c r="Y770">
        <v>-4.8912510910450777</v>
      </c>
      <c r="Z770">
        <v>72.708171906048861</v>
      </c>
      <c r="AA770">
        <v>0.37355973317161917</v>
      </c>
      <c r="AB770">
        <v>71</v>
      </c>
      <c r="AC770">
        <v>-0.337689309602062</v>
      </c>
      <c r="AD770">
        <v>-1.3602597564283105</v>
      </c>
      <c r="AE770">
        <v>-9.0823243496100742E-2</v>
      </c>
      <c r="AF770">
        <v>3.4474780687543116E-3</v>
      </c>
      <c r="AG770">
        <v>-1.3626105692984638</v>
      </c>
      <c r="AH770">
        <v>-9.158980302676141E-2</v>
      </c>
      <c r="AI770">
        <v>3.3805800574375478E-4</v>
      </c>
    </row>
    <row r="771" spans="23:35" x14ac:dyDescent="0.25">
      <c r="W771">
        <v>769</v>
      </c>
      <c r="X771">
        <v>73.114067829926398</v>
      </c>
      <c r="Y771">
        <v>-5.314067829926401</v>
      </c>
      <c r="Z771">
        <v>73.130591289787603</v>
      </c>
      <c r="AA771">
        <v>0.37355973317161917</v>
      </c>
      <c r="AB771">
        <v>71</v>
      </c>
      <c r="AC771">
        <v>-0.337689309602062</v>
      </c>
      <c r="AD771">
        <v>-1.4778453359741022</v>
      </c>
      <c r="AE771">
        <v>-8.8864519501880027E-2</v>
      </c>
      <c r="AF771">
        <v>3.0997424043470896E-3</v>
      </c>
      <c r="AG771">
        <v>-1.4801411445939252</v>
      </c>
      <c r="AH771">
        <v>-8.9672503812348175E-2</v>
      </c>
      <c r="AI771">
        <v>3.5853087226422431E-4</v>
      </c>
    </row>
    <row r="772" spans="23:35" x14ac:dyDescent="0.25">
      <c r="W772">
        <v>770</v>
      </c>
      <c r="X772">
        <v>72.632671199910291</v>
      </c>
      <c r="Y772">
        <v>-6.0326711999102969</v>
      </c>
      <c r="Z772">
        <v>72.657366484360537</v>
      </c>
      <c r="AA772">
        <v>0.32686476652516677</v>
      </c>
      <c r="AB772">
        <v>71</v>
      </c>
      <c r="AC772">
        <v>-0.45616451589519369</v>
      </c>
      <c r="AD772">
        <v>-1.6776893486465339</v>
      </c>
      <c r="AE772">
        <v>-8.6462800002057374E-2</v>
      </c>
      <c r="AF772">
        <v>4.0769011605966358E-3</v>
      </c>
      <c r="AG772">
        <v>-1.6811197280319459</v>
      </c>
      <c r="AH772">
        <v>-8.7892202092477292E-2</v>
      </c>
      <c r="AI772">
        <v>6.0890293266091045E-4</v>
      </c>
    </row>
    <row r="773" spans="23:35" x14ac:dyDescent="0.25">
      <c r="W773">
        <v>771</v>
      </c>
      <c r="X773">
        <v>71.915339045287311</v>
      </c>
      <c r="Y773">
        <v>-6.615339045287314</v>
      </c>
      <c r="Z773">
        <v>71.94732672915822</v>
      </c>
      <c r="AA773">
        <v>0.28380836870830806</v>
      </c>
      <c r="AB773">
        <v>71</v>
      </c>
      <c r="AC773">
        <v>-0.57963781842623852</v>
      </c>
      <c r="AD773">
        <v>-1.8397296133310044</v>
      </c>
      <c r="AE773">
        <v>-8.5959477206010798E-2</v>
      </c>
      <c r="AF773">
        <v>4.8121124738160961E-3</v>
      </c>
      <c r="AG773">
        <v>-1.8441721461622138</v>
      </c>
      <c r="AH773">
        <v>-8.607273015118834E-2</v>
      </c>
      <c r="AI773">
        <v>8.6552577122849938E-4</v>
      </c>
    </row>
    <row r="774" spans="23:35" x14ac:dyDescent="0.25">
      <c r="W774">
        <v>772</v>
      </c>
      <c r="X774">
        <v>71.349846984187522</v>
      </c>
      <c r="Y774">
        <v>-6.349846984187522</v>
      </c>
      <c r="Z774">
        <v>71.381294987258144</v>
      </c>
      <c r="AA774">
        <v>0.27289266221952696</v>
      </c>
      <c r="AB774">
        <v>71</v>
      </c>
      <c r="AC774">
        <v>-0.62335641379693996</v>
      </c>
      <c r="AD774">
        <v>-1.7658961176377601</v>
      </c>
      <c r="AE774">
        <v>-8.5021504391976685E-2</v>
      </c>
      <c r="AF774">
        <v>4.9281537890694879E-3</v>
      </c>
      <c r="AG774">
        <v>-1.7702635707155301</v>
      </c>
      <c r="AH774">
        <v>-8.5298246106403713E-2</v>
      </c>
      <c r="AI774">
        <v>8.1686836420764104E-4</v>
      </c>
    </row>
    <row r="775" spans="23:35" x14ac:dyDescent="0.25">
      <c r="W775">
        <v>773</v>
      </c>
      <c r="X775">
        <v>70.94308957908234</v>
      </c>
      <c r="Y775">
        <v>-6.3430895790823456</v>
      </c>
      <c r="Z775">
        <v>70.977602167323482</v>
      </c>
      <c r="AA775">
        <v>0.25773195876288657</v>
      </c>
      <c r="AB775">
        <v>71</v>
      </c>
      <c r="AC775">
        <v>-0.66071795340131467</v>
      </c>
      <c r="AD775">
        <v>-1.7640168793710345</v>
      </c>
      <c r="AE775">
        <v>-8.494132095985997E-2</v>
      </c>
      <c r="AF775">
        <v>5.4115304366233368E-3</v>
      </c>
      <c r="AG775">
        <v>-1.7688093546525816</v>
      </c>
      <c r="AH775">
        <v>-8.5111537295019371E-2</v>
      </c>
      <c r="AI775">
        <v>8.9595281278771982E-4</v>
      </c>
    </row>
    <row r="776" spans="23:35" x14ac:dyDescent="0.25">
      <c r="W776">
        <v>774</v>
      </c>
      <c r="X776">
        <v>70.260006394790821</v>
      </c>
      <c r="Y776">
        <v>-5.5600063947908183</v>
      </c>
      <c r="Z776">
        <v>70.284916203103577</v>
      </c>
      <c r="AA776">
        <v>0.26197695573074592</v>
      </c>
      <c r="AB776">
        <v>71</v>
      </c>
      <c r="AC776">
        <v>-0.64941472986293491</v>
      </c>
      <c r="AD776">
        <v>-1.5462409930589078</v>
      </c>
      <c r="AE776">
        <v>-8.4035203302720934E-2</v>
      </c>
      <c r="AF776">
        <v>4.4601937445201004E-3</v>
      </c>
      <c r="AG776">
        <v>-1.5497008382575828</v>
      </c>
      <c r="AH776">
        <v>-8.4129706778899735E-2</v>
      </c>
      <c r="AI776">
        <v>5.6628783136183978E-4</v>
      </c>
    </row>
    <row r="777" spans="23:35" x14ac:dyDescent="0.25">
      <c r="W777">
        <v>775</v>
      </c>
      <c r="X777">
        <v>70.071062605162666</v>
      </c>
      <c r="Y777">
        <v>-5.6710626051626605</v>
      </c>
      <c r="Z777">
        <v>70.09405009958526</v>
      </c>
      <c r="AA777">
        <v>0.25227410551849605</v>
      </c>
      <c r="AB777">
        <v>71.099999999999994</v>
      </c>
      <c r="AC777">
        <v>-0.67401274003943057</v>
      </c>
      <c r="AD777">
        <v>-1.5771257893734589</v>
      </c>
      <c r="AE777">
        <v>-8.1971448437009736E-2</v>
      </c>
      <c r="AF777">
        <v>4.037107861812419E-3</v>
      </c>
      <c r="AG777">
        <v>-1.5803189745190624</v>
      </c>
      <c r="AH777">
        <v>-8.3830285772046667E-2</v>
      </c>
      <c r="AI777">
        <v>5.3279863493285468E-4</v>
      </c>
    </row>
    <row r="778" spans="23:35" x14ac:dyDescent="0.25">
      <c r="W778">
        <v>776</v>
      </c>
      <c r="X778">
        <v>69.679282586048302</v>
      </c>
      <c r="Y778">
        <v>-4.9792825860482992</v>
      </c>
      <c r="Z778">
        <v>69.696461639416512</v>
      </c>
      <c r="AA778">
        <v>0.26197695573074592</v>
      </c>
      <c r="AB778">
        <v>71.099999999999994</v>
      </c>
      <c r="AC778">
        <v>-0.64941472986293491</v>
      </c>
      <c r="AD778">
        <v>-1.3847413660864882</v>
      </c>
      <c r="AE778">
        <v>-8.0859451356801046E-2</v>
      </c>
      <c r="AF778">
        <v>3.4382438229265148E-3</v>
      </c>
      <c r="AG778">
        <v>-1.3871280616079238</v>
      </c>
      <c r="AH778">
        <v>-8.0976569211174035E-2</v>
      </c>
      <c r="AI778">
        <v>3.4939120526284915E-4</v>
      </c>
    </row>
    <row r="779" spans="23:35" x14ac:dyDescent="0.25">
      <c r="W779">
        <v>777</v>
      </c>
      <c r="X779">
        <v>68.88680420326034</v>
      </c>
      <c r="Y779">
        <v>-4.4868042032603341</v>
      </c>
      <c r="Z779">
        <v>68.903601554431745</v>
      </c>
      <c r="AA779">
        <v>0.25227410551849605</v>
      </c>
      <c r="AB779">
        <v>71.099999999999994</v>
      </c>
      <c r="AC779">
        <v>-0.67401274003943057</v>
      </c>
      <c r="AD779">
        <v>-1.2477828430935023</v>
      </c>
      <c r="AE779">
        <v>-7.7402345498928576E-2</v>
      </c>
      <c r="AF779">
        <v>3.7297596087012791E-3</v>
      </c>
      <c r="AG779">
        <v>-1.2501163376808324</v>
      </c>
      <c r="AH779">
        <v>-7.7690658044504285E-2</v>
      </c>
      <c r="AI779">
        <v>3.0792925039801761E-4</v>
      </c>
    </row>
    <row r="780" spans="23:35" x14ac:dyDescent="0.25">
      <c r="W780">
        <v>778</v>
      </c>
      <c r="X780">
        <v>68.670779380030496</v>
      </c>
      <c r="Y780">
        <v>-4.770779380030497</v>
      </c>
      <c r="Z780">
        <v>68.687878763675258</v>
      </c>
      <c r="AA780">
        <v>0.23771983020012127</v>
      </c>
      <c r="AB780">
        <v>71.099999999999994</v>
      </c>
      <c r="AC780">
        <v>-0.71660092108895201</v>
      </c>
      <c r="AD780">
        <v>-1.3267565039411882</v>
      </c>
      <c r="AE780">
        <v>-7.5655760019594231E-2</v>
      </c>
      <c r="AF780">
        <v>3.5713902729715965E-3</v>
      </c>
      <c r="AG780">
        <v>-1.3291320514802278</v>
      </c>
      <c r="AH780">
        <v>-7.5798931814058557E-2</v>
      </c>
      <c r="AI780">
        <v>3.3325278215488657E-4</v>
      </c>
    </row>
    <row r="781" spans="23:35" x14ac:dyDescent="0.25">
      <c r="W781">
        <v>779</v>
      </c>
      <c r="X781">
        <v>64.822845577099969</v>
      </c>
      <c r="Y781">
        <v>-1.9228455770999702</v>
      </c>
      <c r="Z781">
        <v>64.82825205787573</v>
      </c>
      <c r="AA781">
        <v>0.21710127349909036</v>
      </c>
      <c r="AB781">
        <v>71.099999999999994</v>
      </c>
      <c r="AC781">
        <v>-0.78926429572475043</v>
      </c>
      <c r="AD781">
        <v>-0.53474446673650733</v>
      </c>
      <c r="AE781">
        <v>-7.4723383723984377E-2</v>
      </c>
      <c r="AF781">
        <v>2.8038247145573468E-3</v>
      </c>
      <c r="AG781">
        <v>-0.5354957117515512</v>
      </c>
      <c r="AH781">
        <v>-7.5091554362231389E-2</v>
      </c>
      <c r="AI781">
        <v>4.2435434097259843E-5</v>
      </c>
    </row>
    <row r="782" spans="23:35" x14ac:dyDescent="0.25">
      <c r="W782">
        <v>780</v>
      </c>
      <c r="X782">
        <v>63.887989079341004</v>
      </c>
      <c r="Y782">
        <v>-1.2879890793410027</v>
      </c>
      <c r="Z782">
        <v>63.893330792899008</v>
      </c>
      <c r="AA782">
        <v>0.20921770770163736</v>
      </c>
      <c r="AB782">
        <v>71.099999999999994</v>
      </c>
      <c r="AC782">
        <v>-0.81230589119800856</v>
      </c>
      <c r="AD782">
        <v>-0.35819050765034011</v>
      </c>
      <c r="AE782">
        <v>-7.2923855078917826E-2</v>
      </c>
      <c r="AF782">
        <v>4.1301990081230059E-3</v>
      </c>
      <c r="AG782">
        <v>-0.35893250593320331</v>
      </c>
      <c r="AH782">
        <v>-7.3119559620875935E-2</v>
      </c>
      <c r="AI782">
        <v>2.8121623939126318E-5</v>
      </c>
    </row>
    <row r="783" spans="23:35" x14ac:dyDescent="0.25">
      <c r="W783">
        <v>781</v>
      </c>
      <c r="X783">
        <v>63.698022245003123</v>
      </c>
      <c r="Y783">
        <v>-1.5980222450031221</v>
      </c>
      <c r="Z783">
        <v>63.704868319537781</v>
      </c>
      <c r="AA783">
        <v>0.20133414190418436</v>
      </c>
      <c r="AB783">
        <v>71.099999999999994</v>
      </c>
      <c r="AC783">
        <v>-0.84444052159937644</v>
      </c>
      <c r="AD783">
        <v>-0.44441091027500795</v>
      </c>
      <c r="AE783">
        <v>-7.0937759798654326E-2</v>
      </c>
      <c r="AF783">
        <v>4.265816984055211E-3</v>
      </c>
      <c r="AG783">
        <v>-0.44536184153736091</v>
      </c>
      <c r="AH783">
        <v>-7.1105334008832302E-2</v>
      </c>
      <c r="AI783">
        <v>4.472302899816565E-5</v>
      </c>
    </row>
    <row r="784" spans="23:35" x14ac:dyDescent="0.25">
      <c r="W784">
        <v>782</v>
      </c>
      <c r="X784">
        <v>63.722017186700114</v>
      </c>
      <c r="Y784">
        <v>-2.5220171867001113</v>
      </c>
      <c r="Z784">
        <v>63.728800844387102</v>
      </c>
      <c r="AA784">
        <v>0.18071558520315342</v>
      </c>
      <c r="AB784">
        <v>71.099999999999994</v>
      </c>
      <c r="AC784">
        <v>-0.91841998904288702</v>
      </c>
      <c r="AD784">
        <v>-0.70137443779352482</v>
      </c>
      <c r="AE784">
        <v>-6.8760439577687321E-2</v>
      </c>
      <c r="AF784">
        <v>2.6825590880546076E-3</v>
      </c>
      <c r="AG784">
        <v>-0.70231707391198317</v>
      </c>
      <c r="AH784">
        <v>-6.8946830962208897E-2</v>
      </c>
      <c r="AI784">
        <v>6.9827860419827842E-5</v>
      </c>
    </row>
    <row r="785" spans="23:35" x14ac:dyDescent="0.25">
      <c r="W785">
        <v>783</v>
      </c>
      <c r="X785">
        <v>61.318322001985351</v>
      </c>
      <c r="Y785">
        <v>1.6816779980146492</v>
      </c>
      <c r="Z785">
        <v>61.297770103649746</v>
      </c>
      <c r="AA785">
        <v>0.22195269860521527</v>
      </c>
      <c r="AB785">
        <v>71.2</v>
      </c>
      <c r="AC785">
        <v>-0.78098898173722842</v>
      </c>
      <c r="AD785">
        <v>0.46767562355534242</v>
      </c>
      <c r="AE785">
        <v>-6.6360239568467386E-2</v>
      </c>
      <c r="AF785">
        <v>1.2073515087279441E-2</v>
      </c>
      <c r="AG785">
        <v>0.47052469272819525</v>
      </c>
      <c r="AH785">
        <v>-6.6552819564052526E-2</v>
      </c>
      <c r="AI785">
        <v>1.4240339368445907E-4</v>
      </c>
    </row>
    <row r="786" spans="23:35" x14ac:dyDescent="0.25">
      <c r="W786">
        <v>784</v>
      </c>
      <c r="X786">
        <v>61.407828897909177</v>
      </c>
      <c r="Y786">
        <v>-2.3078288979091752</v>
      </c>
      <c r="Z786">
        <v>61.414336772873156</v>
      </c>
      <c r="AA786">
        <v>0.15342631898120074</v>
      </c>
      <c r="AB786">
        <v>71.2</v>
      </c>
      <c r="AC786">
        <v>-1.0334469496720613</v>
      </c>
      <c r="AD786">
        <v>-0.64180855084203237</v>
      </c>
      <c r="AE786">
        <v>-6.4831496613242875E-2</v>
      </c>
      <c r="AF786">
        <v>2.8119826985687126E-3</v>
      </c>
      <c r="AG786">
        <v>-0.64271283568494231</v>
      </c>
      <c r="AH786">
        <v>-6.5109966989123844E-2</v>
      </c>
      <c r="AI786">
        <v>6.1307829198675842E-5</v>
      </c>
    </row>
    <row r="787" spans="23:35" x14ac:dyDescent="0.25">
      <c r="W787">
        <v>785</v>
      </c>
      <c r="X787">
        <v>59.946341278942697</v>
      </c>
      <c r="Y787">
        <v>-2.0463412789426982</v>
      </c>
      <c r="Z787">
        <v>59.952784769073752</v>
      </c>
      <c r="AA787">
        <v>0.12734990903577925</v>
      </c>
      <c r="AB787">
        <v>71.2</v>
      </c>
      <c r="AC787">
        <v>-1.1463081367501964</v>
      </c>
      <c r="AD787">
        <v>-0.56908869282133911</v>
      </c>
      <c r="AE787">
        <v>-6.4520773244925375E-2</v>
      </c>
      <c r="AF787">
        <v>3.1389019580286004E-3</v>
      </c>
      <c r="AG787">
        <v>-0.56998395779132482</v>
      </c>
      <c r="AH787">
        <v>-6.5055469012904099E-2</v>
      </c>
      <c r="AI787">
        <v>5.3841204491793685E-5</v>
      </c>
    </row>
    <row r="788" spans="23:35" x14ac:dyDescent="0.25">
      <c r="W788">
        <v>786</v>
      </c>
      <c r="X788">
        <v>57.828813623843232</v>
      </c>
      <c r="Y788">
        <v>-1.0288136238432344</v>
      </c>
      <c r="Z788">
        <v>57.831835841062642</v>
      </c>
      <c r="AA788">
        <v>0.10794420861127957</v>
      </c>
      <c r="AB788">
        <v>71.2</v>
      </c>
      <c r="AC788">
        <v>-1.2523823790942721</v>
      </c>
      <c r="AD788">
        <v>-0.28611366362713436</v>
      </c>
      <c r="AE788">
        <v>-6.3353991994132247E-2</v>
      </c>
      <c r="AF788">
        <v>2.9289709652810534E-3</v>
      </c>
      <c r="AG788">
        <v>-0.28653359563588643</v>
      </c>
      <c r="AH788">
        <v>-6.3716603247631218E-2</v>
      </c>
      <c r="AI788">
        <v>1.2693648479876826E-5</v>
      </c>
    </row>
    <row r="789" spans="23:35" x14ac:dyDescent="0.25">
      <c r="W789">
        <v>787</v>
      </c>
      <c r="X789">
        <v>55.513563323798152</v>
      </c>
      <c r="Y789">
        <v>-0.21356332379815512</v>
      </c>
      <c r="Z789">
        <v>55.51671829706514</v>
      </c>
      <c r="AA789">
        <v>8.6719223771983017E-2</v>
      </c>
      <c r="AB789">
        <v>71.2</v>
      </c>
      <c r="AC789">
        <v>-1.3946242806491973</v>
      </c>
      <c r="AD789">
        <v>-5.9392083825659733E-2</v>
      </c>
      <c r="AE789">
        <v>-5.993648697818052E-2</v>
      </c>
      <c r="AF789">
        <v>1.4557946005067384E-2</v>
      </c>
      <c r="AG789">
        <v>-5.9829175399221113E-2</v>
      </c>
      <c r="AH789">
        <v>-6.0220669490788928E-2</v>
      </c>
      <c r="AI789">
        <v>2.7831809664728609E-6</v>
      </c>
    </row>
    <row r="790" spans="23:35" x14ac:dyDescent="0.25">
      <c r="W790">
        <v>788</v>
      </c>
      <c r="X790">
        <v>54.306280089221609</v>
      </c>
      <c r="Y790">
        <v>-0.20628008922160745</v>
      </c>
      <c r="Z790">
        <v>54.30906997259455</v>
      </c>
      <c r="AA790">
        <v>7.1558520315342627E-2</v>
      </c>
      <c r="AB790">
        <v>71.2</v>
      </c>
      <c r="AC790">
        <v>-1.4754749432056431</v>
      </c>
      <c r="AD790">
        <v>-5.7366612078923421E-2</v>
      </c>
      <c r="AE790">
        <v>-5.9392083825659733E-2</v>
      </c>
      <c r="AF790">
        <v>1.3344256653966578E-2</v>
      </c>
      <c r="AG790">
        <v>-5.775324328785561E-2</v>
      </c>
      <c r="AH790">
        <v>-5.9829175399221113E-2</v>
      </c>
      <c r="AI790">
        <v>2.3742579096755956E-6</v>
      </c>
    </row>
    <row r="791" spans="23:35" x14ac:dyDescent="0.25">
      <c r="W791">
        <v>789</v>
      </c>
      <c r="X791">
        <v>52.91297057617674</v>
      </c>
      <c r="Y791">
        <v>8.7029423823260288E-2</v>
      </c>
      <c r="Z791">
        <v>52.912550691654069</v>
      </c>
      <c r="AA791">
        <v>5.8823529411764705E-2</v>
      </c>
      <c r="AB791">
        <v>71.2</v>
      </c>
      <c r="AC791">
        <v>-1.5725296242490356</v>
      </c>
      <c r="AD791">
        <v>2.4202933083656168E-2</v>
      </c>
      <c r="AE791">
        <v>-5.7366612078923421E-2</v>
      </c>
      <c r="AF791">
        <v>4.8014619053511395E-3</v>
      </c>
      <c r="AG791">
        <v>2.426124789574402E-2</v>
      </c>
      <c r="AH791">
        <v>-5.775324328785561E-2</v>
      </c>
      <c r="AI791">
        <v>1.4946394051161056E-7</v>
      </c>
    </row>
    <row r="792" spans="23:35" x14ac:dyDescent="0.25">
      <c r="W792">
        <v>790</v>
      </c>
      <c r="X792">
        <v>51.511726121491385</v>
      </c>
      <c r="Y792">
        <v>0.88827387850861328</v>
      </c>
      <c r="Z792">
        <v>51.50699752760211</v>
      </c>
      <c r="AA792">
        <v>5.2759248029108551E-2</v>
      </c>
      <c r="AB792">
        <v>71.2</v>
      </c>
      <c r="AC792">
        <v>-1.6271784104016083</v>
      </c>
      <c r="AD792">
        <v>0.24702947919273388</v>
      </c>
      <c r="AE792">
        <v>-5.5153829769836599E-2</v>
      </c>
      <c r="AF792">
        <v>5.2951632671028896E-3</v>
      </c>
      <c r="AG792">
        <v>0.24768611881907873</v>
      </c>
      <c r="AH792">
        <v>-5.5213864352770897E-2</v>
      </c>
      <c r="AI792">
        <v>1.7188376598567183E-5</v>
      </c>
    </row>
    <row r="793" spans="23:35" x14ac:dyDescent="0.25">
      <c r="W793">
        <v>791</v>
      </c>
      <c r="X793">
        <v>51.367530489732026</v>
      </c>
      <c r="Y793">
        <v>0.73246951026797547</v>
      </c>
      <c r="Z793">
        <v>51.363139094105613</v>
      </c>
      <c r="AA793">
        <v>4.9120679199514856E-2</v>
      </c>
      <c r="AB793">
        <v>71.3</v>
      </c>
      <c r="AC793">
        <v>-1.6746834237964712</v>
      </c>
      <c r="AD793">
        <v>0.2037001943025169</v>
      </c>
      <c r="AE793">
        <v>-5.448476553375748E-2</v>
      </c>
      <c r="AF793">
        <v>5.959599147257297E-3</v>
      </c>
      <c r="AG793">
        <v>0.20430990664299428</v>
      </c>
      <c r="AH793">
        <v>-5.480020482843953E-2</v>
      </c>
      <c r="AI793">
        <v>1.3171591806555731E-5</v>
      </c>
    </row>
    <row r="794" spans="23:35" x14ac:dyDescent="0.25">
      <c r="W794">
        <v>792</v>
      </c>
      <c r="X794">
        <v>73.533634834341441</v>
      </c>
      <c r="Y794">
        <v>-7.4336348343414471</v>
      </c>
      <c r="Z794">
        <v>73.608812844802316</v>
      </c>
      <c r="AA794">
        <v>0.31412977562158884</v>
      </c>
      <c r="AB794">
        <v>71.3</v>
      </c>
      <c r="AC794">
        <v>-0.4918835074548818</v>
      </c>
      <c r="AD794">
        <v>-2.0672981453867285</v>
      </c>
      <c r="AE794">
        <v>-5.4108313833031628E-2</v>
      </c>
      <c r="AF794">
        <v>1.001197020284092E-2</v>
      </c>
      <c r="AG794">
        <v>-2.0777253725740179</v>
      </c>
      <c r="AH794">
        <v>-5.4303968973709989E-2</v>
      </c>
      <c r="AI794">
        <v>2.2978003464127505E-3</v>
      </c>
    </row>
    <row r="795" spans="23:35" x14ac:dyDescent="0.25">
      <c r="W795">
        <v>793</v>
      </c>
      <c r="X795">
        <v>73.384673420993664</v>
      </c>
      <c r="Y795">
        <v>-7.584673420993667</v>
      </c>
      <c r="Z795">
        <v>73.464324034669346</v>
      </c>
      <c r="AA795">
        <v>0.30078835657974529</v>
      </c>
      <c r="AB795">
        <v>71.3</v>
      </c>
      <c r="AC795">
        <v>-0.53349185558387491</v>
      </c>
      <c r="AD795">
        <v>-2.1093020636617412</v>
      </c>
      <c r="AE795">
        <v>-5.3515124552756199E-2</v>
      </c>
      <c r="AF795">
        <v>1.0392385984123271E-2</v>
      </c>
      <c r="AG795">
        <v>-2.1203485789562539</v>
      </c>
      <c r="AH795">
        <v>-5.3592127938842396E-2</v>
      </c>
      <c r="AI795">
        <v>2.4849243197312379E-3</v>
      </c>
    </row>
    <row r="796" spans="23:35" x14ac:dyDescent="0.25">
      <c r="W796">
        <v>794</v>
      </c>
      <c r="X796">
        <v>73.276527457766477</v>
      </c>
      <c r="Y796">
        <v>-7.5765274577664741</v>
      </c>
      <c r="Z796">
        <v>73.353184547734827</v>
      </c>
      <c r="AA796">
        <v>0.29654335961188599</v>
      </c>
      <c r="AB796">
        <v>71.400000000000006</v>
      </c>
      <c r="AC796">
        <v>-0.54051528578164909</v>
      </c>
      <c r="AD796">
        <v>-2.1070366665784506</v>
      </c>
      <c r="AE796">
        <v>-5.3140260866137053E-2</v>
      </c>
      <c r="AF796">
        <v>1.0016365016446987E-2</v>
      </c>
      <c r="AG796">
        <v>-2.117669030994382</v>
      </c>
      <c r="AH796">
        <v>-5.324525681330413E-2</v>
      </c>
      <c r="AI796">
        <v>2.3880570472047226E-3</v>
      </c>
    </row>
    <row r="797" spans="23:35" x14ac:dyDescent="0.25">
      <c r="W797">
        <v>795</v>
      </c>
      <c r="X797">
        <v>73.285727777346125</v>
      </c>
      <c r="Y797">
        <v>-7.7857277773461249</v>
      </c>
      <c r="Z797">
        <v>73.362904035523314</v>
      </c>
      <c r="AA797">
        <v>0.28987265009096425</v>
      </c>
      <c r="AB797">
        <v>71.400000000000006</v>
      </c>
      <c r="AC797">
        <v>-0.56174840893422073</v>
      </c>
      <c r="AD797">
        <v>-2.1652153964083558</v>
      </c>
      <c r="AE797">
        <v>-5.1259277201458633E-2</v>
      </c>
      <c r="AF797">
        <v>9.8152359266394009E-3</v>
      </c>
      <c r="AG797">
        <v>-2.1759203146301718</v>
      </c>
      <c r="AH797">
        <v>-5.1499606620470553E-2</v>
      </c>
      <c r="AI797">
        <v>2.4701133121066256E-3</v>
      </c>
    </row>
    <row r="798" spans="23:35" x14ac:dyDescent="0.25">
      <c r="W798">
        <v>796</v>
      </c>
      <c r="X798">
        <v>73.152793057707186</v>
      </c>
      <c r="Y798">
        <v>-7.8527930577071885</v>
      </c>
      <c r="Z798">
        <v>73.226431494944123</v>
      </c>
      <c r="AA798">
        <v>0.28380836870830806</v>
      </c>
      <c r="AB798">
        <v>71.400000000000006</v>
      </c>
      <c r="AC798">
        <v>-0.57963781842623852</v>
      </c>
      <c r="AD798">
        <v>-2.1838662896523675</v>
      </c>
      <c r="AE798">
        <v>-4.9761845839195559E-2</v>
      </c>
      <c r="AF798">
        <v>9.2902382722802618E-3</v>
      </c>
      <c r="AG798">
        <v>-2.1940818428003759</v>
      </c>
      <c r="AH798">
        <v>-4.988504861864989E-2</v>
      </c>
      <c r="AI798">
        <v>2.3759235180359499E-3</v>
      </c>
    </row>
    <row r="799" spans="23:35" x14ac:dyDescent="0.25">
      <c r="W799">
        <v>797</v>
      </c>
      <c r="X799">
        <v>73.810375428345324</v>
      </c>
      <c r="Y799">
        <v>-8.6103754283453213</v>
      </c>
      <c r="Z799">
        <v>73.902187257904714</v>
      </c>
      <c r="AA799">
        <v>0.28077622801697999</v>
      </c>
      <c r="AB799">
        <v>71.400000000000006</v>
      </c>
      <c r="AC799">
        <v>-0.59046081866695443</v>
      </c>
      <c r="AD799">
        <v>-2.3945503849435021</v>
      </c>
      <c r="AE799">
        <v>-4.9676126802664186E-2</v>
      </c>
      <c r="AF799">
        <v>1.055043138447621E-2</v>
      </c>
      <c r="AG799">
        <v>-2.4072829946546728</v>
      </c>
      <c r="AH799">
        <v>-4.9884098600324125E-2</v>
      </c>
      <c r="AI799">
        <v>3.252200024815387E-3</v>
      </c>
    </row>
    <row r="800" spans="23:35" x14ac:dyDescent="0.25">
      <c r="W800">
        <v>798</v>
      </c>
      <c r="X800">
        <v>73.496172764166303</v>
      </c>
      <c r="Y800">
        <v>-8.3961727641663089</v>
      </c>
      <c r="Z800">
        <v>73.587826086880838</v>
      </c>
      <c r="AA800">
        <v>0.27713765918738631</v>
      </c>
      <c r="AB800">
        <v>71.400000000000006</v>
      </c>
      <c r="AC800">
        <v>-0.60317578841021124</v>
      </c>
      <c r="AD800">
        <v>-2.3349805001882742</v>
      </c>
      <c r="AE800">
        <v>-4.9262232158050152E-2</v>
      </c>
      <c r="AF800">
        <v>1.0798209314891744E-2</v>
      </c>
      <c r="AG800">
        <v>-2.347690329960991</v>
      </c>
      <c r="AH800">
        <v>-4.9390506154422177E-2</v>
      </c>
      <c r="AI800">
        <v>3.1666121158601119E-3</v>
      </c>
    </row>
    <row r="801" spans="23:35" x14ac:dyDescent="0.25">
      <c r="W801">
        <v>799</v>
      </c>
      <c r="X801">
        <v>70.817428868496023</v>
      </c>
      <c r="Y801">
        <v>-5.8174288684960231</v>
      </c>
      <c r="Z801">
        <v>70.894460404437041</v>
      </c>
      <c r="AA801">
        <v>0.27289266221952696</v>
      </c>
      <c r="AB801">
        <v>71.400000000000006</v>
      </c>
      <c r="AC801">
        <v>-0.62335641379693996</v>
      </c>
      <c r="AD801">
        <v>-1.6178303318320679</v>
      </c>
      <c r="AE801">
        <v>-4.7708906023178559E-2</v>
      </c>
      <c r="AF801">
        <v>1.3068462701527431E-2</v>
      </c>
      <c r="AG801">
        <v>-1.6285063637070087</v>
      </c>
      <c r="AH801">
        <v>-4.7802209911054147E-2</v>
      </c>
      <c r="AI801">
        <v>1.8482588512479402E-3</v>
      </c>
    </row>
    <row r="802" spans="23:35" x14ac:dyDescent="0.25">
      <c r="W802">
        <v>800</v>
      </c>
      <c r="X802">
        <v>69.931251304511235</v>
      </c>
      <c r="Y802">
        <v>-4.9312513045112354</v>
      </c>
      <c r="Z802">
        <v>69.969611265220962</v>
      </c>
      <c r="AA802">
        <v>0.27289266221952696</v>
      </c>
      <c r="AB802">
        <v>71.400000000000006</v>
      </c>
      <c r="AC802">
        <v>-0.62335641379693996</v>
      </c>
      <c r="AD802">
        <v>-1.3713838389204507</v>
      </c>
      <c r="AE802">
        <v>-4.7495560154984462E-2</v>
      </c>
      <c r="AF802">
        <v>7.7189056975521652E-3</v>
      </c>
      <c r="AG802">
        <v>-1.3767074695376171</v>
      </c>
      <c r="AH802">
        <v>-4.7578332963686111E-2</v>
      </c>
      <c r="AI802">
        <v>7.759804052808099E-4</v>
      </c>
    </row>
    <row r="803" spans="23:35" x14ac:dyDescent="0.25">
      <c r="W803">
        <v>801</v>
      </c>
      <c r="X803">
        <v>64.602026656030731</v>
      </c>
      <c r="Y803">
        <v>0.29797334396927511</v>
      </c>
      <c r="Z803">
        <v>64.59021654000496</v>
      </c>
      <c r="AA803">
        <v>0.26622195269860521</v>
      </c>
      <c r="AB803">
        <v>71.400000000000006</v>
      </c>
      <c r="AC803">
        <v>-0.62890421763218984</v>
      </c>
      <c r="AD803">
        <v>8.2866559239176851E-2</v>
      </c>
      <c r="AE803">
        <v>-4.3079771084381616E-2</v>
      </c>
      <c r="AF803">
        <v>3.8123778545030969E-2</v>
      </c>
      <c r="AG803">
        <v>8.4492801913452584E-2</v>
      </c>
      <c r="AH803">
        <v>-4.3121764402256194E-2</v>
      </c>
      <c r="AI803">
        <v>1.4892327317401868E-5</v>
      </c>
    </row>
    <row r="804" spans="23:35" x14ac:dyDescent="0.25">
      <c r="W804">
        <v>802</v>
      </c>
      <c r="X804">
        <v>63.981169833943071</v>
      </c>
      <c r="Y804">
        <v>0.8188301660569266</v>
      </c>
      <c r="Z804">
        <v>63.955656624296346</v>
      </c>
      <c r="AA804">
        <v>0.26440266828380837</v>
      </c>
      <c r="AB804">
        <v>71.400000000000006</v>
      </c>
      <c r="AC804">
        <v>-0.63633155866502356</v>
      </c>
      <c r="AD804">
        <v>0.22771714260916545</v>
      </c>
      <c r="AE804">
        <v>-4.2665526111970005E-2</v>
      </c>
      <c r="AF804">
        <v>3.021662795123204E-2</v>
      </c>
      <c r="AG804">
        <v>0.2312375498100708</v>
      </c>
      <c r="AH804">
        <v>-4.275580994652154E-2</v>
      </c>
      <c r="AI804">
        <v>8.7686832177931329E-5</v>
      </c>
    </row>
    <row r="805" spans="23:35" x14ac:dyDescent="0.25">
      <c r="W805">
        <v>803</v>
      </c>
      <c r="X805">
        <v>61.121214617628105</v>
      </c>
      <c r="Y805">
        <v>3.5787853823718976</v>
      </c>
      <c r="Z805">
        <v>60.977798676558656</v>
      </c>
      <c r="AA805">
        <v>0.26197695573074592</v>
      </c>
      <c r="AB805">
        <v>71.400000000000006</v>
      </c>
      <c r="AC805">
        <v>-0.64941472986293491</v>
      </c>
      <c r="AD805">
        <v>0.99526228400886874</v>
      </c>
      <c r="AE805">
        <v>-4.1161692804604029E-2</v>
      </c>
      <c r="AF805">
        <v>3.8529872139439501E-2</v>
      </c>
      <c r="AG805">
        <v>1.0150084289163475</v>
      </c>
      <c r="AH805">
        <v>-4.1224526583330631E-2</v>
      </c>
      <c r="AI805">
        <v>2.1729386702188953E-3</v>
      </c>
    </row>
    <row r="806" spans="23:35" x14ac:dyDescent="0.25">
      <c r="W806">
        <v>804</v>
      </c>
      <c r="X806">
        <v>64.328705199431937</v>
      </c>
      <c r="Y806">
        <v>0.27129480056805733</v>
      </c>
      <c r="Z806">
        <v>64.321293811744169</v>
      </c>
      <c r="AA806">
        <v>0.25773195876288657</v>
      </c>
      <c r="AB806">
        <v>71.400000000000006</v>
      </c>
      <c r="AC806">
        <v>-0.66071795340131467</v>
      </c>
      <c r="AD806">
        <v>7.5447240894379125E-2</v>
      </c>
      <c r="AE806">
        <v>-3.7676282812817034E-2</v>
      </c>
      <c r="AF806">
        <v>2.6592117434308539E-2</v>
      </c>
      <c r="AG806">
        <v>7.6470852694808369E-2</v>
      </c>
      <c r="AH806">
        <v>-3.7784054295082574E-2</v>
      </c>
      <c r="AI806">
        <v>8.4080701410393151E-6</v>
      </c>
    </row>
    <row r="807" spans="23:35" x14ac:dyDescent="0.25">
      <c r="W807">
        <v>805</v>
      </c>
      <c r="X807">
        <v>63.122576791760309</v>
      </c>
      <c r="Y807">
        <v>1.1774232082396878</v>
      </c>
      <c r="Z807">
        <v>63.093993950044478</v>
      </c>
      <c r="AA807">
        <v>0.2498483929654336</v>
      </c>
      <c r="AB807">
        <v>71.400000000000006</v>
      </c>
      <c r="AC807">
        <v>-0.68742774275107121</v>
      </c>
      <c r="AD807">
        <v>0.32744207497042543</v>
      </c>
      <c r="AE807">
        <v>-3.6104828958335271E-2</v>
      </c>
      <c r="AF807">
        <v>2.3700413208443301E-2</v>
      </c>
      <c r="AG807">
        <v>0.33139269506843533</v>
      </c>
      <c r="AH807">
        <v>-3.6243240209500802E-2</v>
      </c>
      <c r="AI807">
        <v>1.4031531428504063E-4</v>
      </c>
    </row>
    <row r="808" spans="23:35" x14ac:dyDescent="0.25">
      <c r="W808">
        <v>806</v>
      </c>
      <c r="X808">
        <v>61.321935694405866</v>
      </c>
      <c r="Y808">
        <v>2.7780643055941283</v>
      </c>
      <c r="Z808">
        <v>61.237510575715021</v>
      </c>
      <c r="AA808">
        <v>0.24257125530624621</v>
      </c>
      <c r="AB808">
        <v>71.400000000000006</v>
      </c>
      <c r="AC808">
        <v>-0.70291235686137066</v>
      </c>
      <c r="AD808">
        <v>0.77258128959849515</v>
      </c>
      <c r="AE808">
        <v>-3.2763054448653496E-2</v>
      </c>
      <c r="AF808">
        <v>2.9493600211965988E-2</v>
      </c>
      <c r="AG808">
        <v>0.78423276743727799</v>
      </c>
      <c r="AH808">
        <v>-3.3190548710559709E-2</v>
      </c>
      <c r="AI808">
        <v>9.8370698065840582E-4</v>
      </c>
    </row>
    <row r="809" spans="23:35" x14ac:dyDescent="0.25">
      <c r="W809">
        <v>807</v>
      </c>
      <c r="X809">
        <v>75.622583983001221</v>
      </c>
      <c r="Y809">
        <v>-1.2225839830012148</v>
      </c>
      <c r="Z809">
        <v>75.639584670499872</v>
      </c>
      <c r="AA809">
        <v>0.71376591873862949</v>
      </c>
      <c r="AB809">
        <v>71.5</v>
      </c>
      <c r="AC809">
        <v>0.54051528578164909</v>
      </c>
      <c r="AD809">
        <v>-0.34000131254252547</v>
      </c>
      <c r="AE809">
        <v>-3.2048579566608462E-2</v>
      </c>
      <c r="AF809">
        <v>1.3714825540556263E-2</v>
      </c>
      <c r="AG809">
        <v>-0.3423571016993176</v>
      </c>
      <c r="AH809">
        <v>-3.2248375039751573E-2</v>
      </c>
      <c r="AI809">
        <v>8.5781347442001192E-5</v>
      </c>
    </row>
    <row r="810" spans="23:35" x14ac:dyDescent="0.25">
      <c r="W810">
        <v>808</v>
      </c>
      <c r="X810">
        <v>73.648645573657234</v>
      </c>
      <c r="Y810">
        <v>0.45135442634276046</v>
      </c>
      <c r="Z810">
        <v>73.644587258263698</v>
      </c>
      <c r="AA810">
        <v>0.69254093389933291</v>
      </c>
      <c r="AB810">
        <v>71.5</v>
      </c>
      <c r="AC810">
        <v>0.48161589062349974</v>
      </c>
      <c r="AD810">
        <v>0.12552192692865069</v>
      </c>
      <c r="AE810">
        <v>-3.0089078736284636E-2</v>
      </c>
      <c r="AF810">
        <v>8.9112908392967906E-3</v>
      </c>
      <c r="AG810">
        <v>0.1260849740419058</v>
      </c>
      <c r="AH810">
        <v>-3.0203758205264192E-2</v>
      </c>
      <c r="AI810">
        <v>7.5231748446831939E-6</v>
      </c>
    </row>
    <row r="811" spans="23:35" x14ac:dyDescent="0.25">
      <c r="W811">
        <v>809</v>
      </c>
      <c r="X811">
        <v>76.53957068036587</v>
      </c>
      <c r="Y811">
        <v>-2.7395706803658726</v>
      </c>
      <c r="Z811">
        <v>76.573154139593498</v>
      </c>
      <c r="AA811">
        <v>0.66767738023044265</v>
      </c>
      <c r="AB811">
        <v>71.5</v>
      </c>
      <c r="AC811">
        <v>0.4143837514429769</v>
      </c>
      <c r="AD811">
        <v>-0.76187619016639008</v>
      </c>
      <c r="AE811">
        <v>-3.0049938326275404E-2</v>
      </c>
      <c r="AF811">
        <v>1.2110202872660252E-2</v>
      </c>
      <c r="AG811">
        <v>-0.76653175559471098</v>
      </c>
      <c r="AH811">
        <v>-3.015231294136865E-2</v>
      </c>
      <c r="AI811">
        <v>3.7909636508186675E-4</v>
      </c>
    </row>
    <row r="812" spans="23:35" x14ac:dyDescent="0.25">
      <c r="W812">
        <v>810</v>
      </c>
      <c r="X812">
        <v>75.583279653933005</v>
      </c>
      <c r="Y812">
        <v>-1.9832796539330104</v>
      </c>
      <c r="Z812">
        <v>75.590327801402893</v>
      </c>
      <c r="AA812">
        <v>0.65433596118859916</v>
      </c>
      <c r="AB812">
        <v>71.5</v>
      </c>
      <c r="AC812">
        <v>0.3716850598056044</v>
      </c>
      <c r="AD812">
        <v>-0.55155121844536648</v>
      </c>
      <c r="AE812">
        <v>-2.9788217221415347E-2</v>
      </c>
      <c r="AF812">
        <v>3.5411993265244252E-3</v>
      </c>
      <c r="AG812">
        <v>-0.55253039621355571</v>
      </c>
      <c r="AH812">
        <v>-2.983411631973493E-2</v>
      </c>
      <c r="AI812">
        <v>5.7101796809696126E-5</v>
      </c>
    </row>
    <row r="813" spans="23:35" x14ac:dyDescent="0.25">
      <c r="W813">
        <v>811</v>
      </c>
      <c r="X813">
        <v>78.932077983672912</v>
      </c>
      <c r="Y813">
        <v>-6.1320779836729145</v>
      </c>
      <c r="Z813">
        <v>78.951713214302913</v>
      </c>
      <c r="AA813">
        <v>0.58156458459672533</v>
      </c>
      <c r="AB813">
        <v>71.599999999999994</v>
      </c>
      <c r="AC813">
        <v>0.18343432307636306</v>
      </c>
      <c r="AD813">
        <v>-1.7053344326856295</v>
      </c>
      <c r="AE813">
        <v>-2.9018007096405483E-2</v>
      </c>
      <c r="AF813">
        <v>3.1918312746345876E-3</v>
      </c>
      <c r="AG813">
        <v>-1.7080625350452927</v>
      </c>
      <c r="AH813">
        <v>-2.9170369981215728E-2</v>
      </c>
      <c r="AI813">
        <v>4.9167969135987958E-4</v>
      </c>
    </row>
    <row r="814" spans="23:35" x14ac:dyDescent="0.25">
      <c r="W814">
        <v>812</v>
      </c>
      <c r="X814">
        <v>76.605397202164497</v>
      </c>
      <c r="Y814">
        <v>-4.0053972021645023</v>
      </c>
      <c r="Z814">
        <v>76.619590737340971</v>
      </c>
      <c r="AA814">
        <v>0.56458459672528805</v>
      </c>
      <c r="AB814">
        <v>71.599999999999994</v>
      </c>
      <c r="AC814">
        <v>0.14798710972583889</v>
      </c>
      <c r="AD814">
        <v>-1.1139032777503162</v>
      </c>
      <c r="AE814">
        <v>-2.8275769096832812E-2</v>
      </c>
      <c r="AF814">
        <v>3.5310896317419706E-3</v>
      </c>
      <c r="AG814">
        <v>-1.1158751475839455</v>
      </c>
      <c r="AH814">
        <v>-2.8346699088615521E-2</v>
      </c>
      <c r="AI814">
        <v>2.3223228631275348E-4</v>
      </c>
    </row>
    <row r="815" spans="23:35" x14ac:dyDescent="0.25">
      <c r="W815">
        <v>813</v>
      </c>
      <c r="X815">
        <v>75.818693749904227</v>
      </c>
      <c r="Y815">
        <v>-3.9186937499042216</v>
      </c>
      <c r="Z815">
        <v>75.872581902504194</v>
      </c>
      <c r="AA815">
        <v>0.51607034566403887</v>
      </c>
      <c r="AB815">
        <v>71.599999999999994</v>
      </c>
      <c r="AC815">
        <v>2.7365033500434649E-2</v>
      </c>
      <c r="AD815">
        <v>-1.0897909975467939</v>
      </c>
      <c r="AE815">
        <v>-2.6980734120749691E-2</v>
      </c>
      <c r="AF815">
        <v>1.3565019909595962E-2</v>
      </c>
      <c r="AG815">
        <v>-1.097258575690133</v>
      </c>
      <c r="AH815">
        <v>-2.7221090122299386E-2</v>
      </c>
      <c r="AI815">
        <v>8.7139755633257484E-4</v>
      </c>
    </row>
    <row r="816" spans="23:35" x14ac:dyDescent="0.25">
      <c r="W816">
        <v>814</v>
      </c>
      <c r="X816">
        <v>75.093578394449452</v>
      </c>
      <c r="Y816">
        <v>2.9064216055505483</v>
      </c>
      <c r="Z816">
        <v>75.077768859275665</v>
      </c>
      <c r="AA816">
        <v>0.86294724075197093</v>
      </c>
      <c r="AB816">
        <v>71.599999999999994</v>
      </c>
      <c r="AC816">
        <v>1.0491313979639725</v>
      </c>
      <c r="AD816">
        <v>0.80827752892960869</v>
      </c>
      <c r="AE816">
        <v>-2.5989257658330978E-2</v>
      </c>
      <c r="AF816">
        <v>5.4100905823165806E-3</v>
      </c>
      <c r="AG816">
        <v>0.8104728680175548</v>
      </c>
      <c r="AH816">
        <v>-2.6017996876954358E-2</v>
      </c>
      <c r="AI816">
        <v>1.8805455110570778E-4</v>
      </c>
    </row>
    <row r="817" spans="23:35" x14ac:dyDescent="0.25">
      <c r="W817">
        <v>815</v>
      </c>
      <c r="X817">
        <v>75.434552052415981</v>
      </c>
      <c r="Y817">
        <v>-0.43455205241598094</v>
      </c>
      <c r="Z817">
        <v>75.436199425898565</v>
      </c>
      <c r="AA817">
        <v>0.76046088538508183</v>
      </c>
      <c r="AB817">
        <v>71.599999999999994</v>
      </c>
      <c r="AC817">
        <v>0.67020216077934069</v>
      </c>
      <c r="AD817">
        <v>-0.12084917702486786</v>
      </c>
      <c r="AE817">
        <v>-2.4605313205047965E-2</v>
      </c>
      <c r="AF817">
        <v>3.7766521108763022E-3</v>
      </c>
      <c r="AG817">
        <v>-0.12107802809718018</v>
      </c>
      <c r="AH817">
        <v>-2.4679675800073325E-2</v>
      </c>
      <c r="AI817">
        <v>2.9250099192915767E-6</v>
      </c>
    </row>
    <row r="818" spans="23:35" x14ac:dyDescent="0.25">
      <c r="W818">
        <v>816</v>
      </c>
      <c r="X818">
        <v>74.838222563967847</v>
      </c>
      <c r="Y818">
        <v>1.1617774360321533</v>
      </c>
      <c r="Z818">
        <v>74.832294444417386</v>
      </c>
      <c r="AA818">
        <v>0.80836870830806551</v>
      </c>
      <c r="AB818">
        <v>71.599999999999994</v>
      </c>
      <c r="AC818">
        <v>0.83794453378675593</v>
      </c>
      <c r="AD818">
        <v>0.32309097667348513</v>
      </c>
      <c r="AE818">
        <v>-2.1729737716661077E-2</v>
      </c>
      <c r="AF818">
        <v>5.0767246264471089E-3</v>
      </c>
      <c r="AG818">
        <v>0.32391423455207319</v>
      </c>
      <c r="AH818">
        <v>-2.1792949975999985E-2</v>
      </c>
      <c r="AI818">
        <v>2.8177371790378193E-5</v>
      </c>
    </row>
    <row r="819" spans="23:35" x14ac:dyDescent="0.25">
      <c r="W819">
        <v>817</v>
      </c>
      <c r="X819">
        <v>77.587601593255044</v>
      </c>
      <c r="Y819">
        <v>-6.5876015932550445</v>
      </c>
      <c r="Z819">
        <v>77.613100041279495</v>
      </c>
      <c r="AA819">
        <v>0.46937537901758641</v>
      </c>
      <c r="AB819">
        <v>71.599999999999994</v>
      </c>
      <c r="AC819">
        <v>-9.743972564826138E-2</v>
      </c>
      <c r="AD819">
        <v>-1.8320158118836745</v>
      </c>
      <c r="AE819">
        <v>-2.066740740223515E-2</v>
      </c>
      <c r="AF819">
        <v>3.8557481159034717E-3</v>
      </c>
      <c r="AG819">
        <v>-1.8355579541450546</v>
      </c>
      <c r="AH819">
        <v>-2.072881593993902E-2</v>
      </c>
      <c r="AI819">
        <v>6.8638695802961211E-4</v>
      </c>
    </row>
    <row r="820" spans="23:35" x14ac:dyDescent="0.25">
      <c r="W820">
        <v>818</v>
      </c>
      <c r="X820">
        <v>77.228679350061228</v>
      </c>
      <c r="Y820">
        <v>0.77132064993877236</v>
      </c>
      <c r="Z820">
        <v>77.226651845994127</v>
      </c>
      <c r="AA820">
        <v>0.86294724075197093</v>
      </c>
      <c r="AB820">
        <v>71.599999999999994</v>
      </c>
      <c r="AC820">
        <v>1.0491313979639725</v>
      </c>
      <c r="AD820">
        <v>0.21450471870779927</v>
      </c>
      <c r="AE820">
        <v>-1.9535989111088423E-2</v>
      </c>
      <c r="AF820">
        <v>2.6217222561319797E-3</v>
      </c>
      <c r="AG820">
        <v>0.21478645870955623</v>
      </c>
      <c r="AH820">
        <v>-1.9724224139025741E-2</v>
      </c>
      <c r="AI820">
        <v>6.3824433664439698E-6</v>
      </c>
    </row>
    <row r="821" spans="23:35" x14ac:dyDescent="0.25">
      <c r="W821">
        <v>819</v>
      </c>
      <c r="X821">
        <v>73.494556664205163</v>
      </c>
      <c r="Y821">
        <v>-0.49455666420516309</v>
      </c>
      <c r="Z821">
        <v>73.495831406417551</v>
      </c>
      <c r="AA821">
        <v>0.60946027895694366</v>
      </c>
      <c r="AB821">
        <v>71.599999999999994</v>
      </c>
      <c r="AC821">
        <v>0.22222871718700732</v>
      </c>
      <c r="AD821">
        <v>-0.13753649425672329</v>
      </c>
      <c r="AE821">
        <v>-1.6882693376054549E-2</v>
      </c>
      <c r="AF821">
        <v>2.5709186547861274E-3</v>
      </c>
      <c r="AG821">
        <v>-0.13771363345724955</v>
      </c>
      <c r="AH821">
        <v>-1.691839655022442E-2</v>
      </c>
      <c r="AI821">
        <v>2.5728032873352115E-6</v>
      </c>
    </row>
    <row r="822" spans="23:35" x14ac:dyDescent="0.25">
      <c r="W822">
        <v>820</v>
      </c>
      <c r="X822">
        <v>72.633311668233119</v>
      </c>
      <c r="Y822">
        <v>-2.7333116682331138</v>
      </c>
      <c r="Z822">
        <v>72.639812833253103</v>
      </c>
      <c r="AA822">
        <v>0.45724681625227409</v>
      </c>
      <c r="AB822">
        <v>71.599999999999994</v>
      </c>
      <c r="AC822">
        <v>-0.11731546960548965</v>
      </c>
      <c r="AD822">
        <v>-0.76013555527345333</v>
      </c>
      <c r="AE822">
        <v>-1.0457756817646326E-2</v>
      </c>
      <c r="AF822">
        <v>2.3728500505886519E-3</v>
      </c>
      <c r="AG822">
        <v>-0.76103900725420792</v>
      </c>
      <c r="AH822">
        <v>-1.0507793247511613E-2</v>
      </c>
      <c r="AI822">
        <v>7.2504050270357778E-5</v>
      </c>
    </row>
    <row r="823" spans="23:35" x14ac:dyDescent="0.25">
      <c r="W823">
        <v>821</v>
      </c>
      <c r="X823">
        <v>72.161812071178915</v>
      </c>
      <c r="Y823">
        <v>-1.1618120711789146</v>
      </c>
      <c r="Z823">
        <v>72.164322478092004</v>
      </c>
      <c r="AA823">
        <v>0.46937537901758641</v>
      </c>
      <c r="AB823">
        <v>71.599999999999994</v>
      </c>
      <c r="AC823">
        <v>-9.743972564826138E-2</v>
      </c>
      <c r="AD823">
        <v>-0.3231006087278247</v>
      </c>
      <c r="AE823">
        <v>-9.9535386569762161E-3</v>
      </c>
      <c r="AF823">
        <v>2.15610963485432E-3</v>
      </c>
      <c r="AG823">
        <v>-0.32344949317188881</v>
      </c>
      <c r="AH823">
        <v>-9.9813567190465014E-3</v>
      </c>
      <c r="AI823">
        <v>1.1897825271538573E-5</v>
      </c>
    </row>
    <row r="824" spans="23:35" x14ac:dyDescent="0.25">
      <c r="W824">
        <v>822</v>
      </c>
      <c r="X824">
        <v>74.568290789866438</v>
      </c>
      <c r="Y824">
        <v>0.23170921013355894</v>
      </c>
      <c r="Z824">
        <v>74.566872239369474</v>
      </c>
      <c r="AA824">
        <v>0.74166161309884782</v>
      </c>
      <c r="AB824">
        <v>71.7</v>
      </c>
      <c r="AC824">
        <v>0.63261352584071384</v>
      </c>
      <c r="AD824">
        <v>6.4438465307068885E-2</v>
      </c>
      <c r="AE824">
        <v>-9.0187077845236673E-3</v>
      </c>
      <c r="AF824">
        <v>6.084863051581459E-3</v>
      </c>
      <c r="AG824">
        <v>6.4635414187768914E-2</v>
      </c>
      <c r="AH824">
        <v>-9.0321126090352217E-3</v>
      </c>
      <c r="AI824">
        <v>1.346136111472221E-6</v>
      </c>
    </row>
    <row r="825" spans="23:35" x14ac:dyDescent="0.25">
      <c r="W825">
        <v>823</v>
      </c>
      <c r="X825">
        <v>74.477790352305675</v>
      </c>
      <c r="Y825">
        <v>0.42220964769433067</v>
      </c>
      <c r="Z825">
        <v>74.476023621509512</v>
      </c>
      <c r="AA825">
        <v>0.74833232261976956</v>
      </c>
      <c r="AB825">
        <v>71.7</v>
      </c>
      <c r="AC825">
        <v>0.64941472986293525</v>
      </c>
      <c r="AD825">
        <v>0.11741674713568291</v>
      </c>
      <c r="AE825">
        <v>-8.6845544391156264E-3</v>
      </c>
      <c r="AF825">
        <v>4.1670500664618866E-3</v>
      </c>
      <c r="AG825">
        <v>0.11766215510502193</v>
      </c>
      <c r="AH825">
        <v>-8.7634046468547319E-3</v>
      </c>
      <c r="AI825">
        <v>3.0490336883143227E-6</v>
      </c>
    </row>
    <row r="826" spans="23:35" x14ac:dyDescent="0.25">
      <c r="W826">
        <v>824</v>
      </c>
      <c r="X826">
        <v>74.691357751060039</v>
      </c>
      <c r="Y826">
        <v>0.30864224893996095</v>
      </c>
      <c r="Z826">
        <v>74.689369267597627</v>
      </c>
      <c r="AA826">
        <v>0.76046088538508183</v>
      </c>
      <c r="AB826">
        <v>71.7</v>
      </c>
      <c r="AC826">
        <v>0.67020216077934069</v>
      </c>
      <c r="AD826">
        <v>8.58335878800396E-2</v>
      </c>
      <c r="AE826">
        <v>-7.1787735521076203E-3</v>
      </c>
      <c r="AF826">
        <v>6.4014382834217893E-3</v>
      </c>
      <c r="AG826">
        <v>8.6109643160189236E-2</v>
      </c>
      <c r="AH826">
        <v>-7.1924273651732167E-3</v>
      </c>
      <c r="AI826">
        <v>2.5142970550368745E-6</v>
      </c>
    </row>
    <row r="827" spans="23:35" x14ac:dyDescent="0.25">
      <c r="W827">
        <v>825</v>
      </c>
      <c r="X827">
        <v>74.809922494060061</v>
      </c>
      <c r="Y827">
        <v>0.19007750593993933</v>
      </c>
      <c r="Z827">
        <v>74.809157760472473</v>
      </c>
      <c r="AA827">
        <v>0.76046088538508183</v>
      </c>
      <c r="AB827">
        <v>71.7</v>
      </c>
      <c r="AC827">
        <v>0.67020216077934069</v>
      </c>
      <c r="AD827">
        <v>5.2860664300331206E-2</v>
      </c>
      <c r="AE827">
        <v>-5.1342356061593007E-3</v>
      </c>
      <c r="AF827">
        <v>4.0071505631261535E-3</v>
      </c>
      <c r="AG827">
        <v>5.2966893986273703E-2</v>
      </c>
      <c r="AH827">
        <v>-5.1411327437265938E-3</v>
      </c>
      <c r="AI827">
        <v>5.9406621174688972E-7</v>
      </c>
    </row>
    <row r="828" spans="23:35" x14ac:dyDescent="0.25">
      <c r="W828">
        <v>826</v>
      </c>
      <c r="X828">
        <v>74.799555128662433</v>
      </c>
      <c r="Y828">
        <v>0.10044487133757229</v>
      </c>
      <c r="Z828">
        <v>74.799154342227425</v>
      </c>
      <c r="AA828">
        <v>0.74833232261976956</v>
      </c>
      <c r="AB828">
        <v>71.7</v>
      </c>
      <c r="AC828">
        <v>0.64941472986293525</v>
      </c>
      <c r="AD828">
        <v>2.7933776793888965E-2</v>
      </c>
      <c r="AE828">
        <v>-3.151242440912313E-3</v>
      </c>
      <c r="AF828">
        <v>3.9742557473914954E-3</v>
      </c>
      <c r="AG828">
        <v>2.7989450782444584E-2</v>
      </c>
      <c r="AH828">
        <v>-3.1671201173950293E-3</v>
      </c>
      <c r="AI828">
        <v>1.6452064353830015E-7</v>
      </c>
    </row>
    <row r="829" spans="23:35" x14ac:dyDescent="0.25">
      <c r="W829">
        <v>827</v>
      </c>
      <c r="X829">
        <v>74.214157076445844</v>
      </c>
      <c r="Y829">
        <v>0.48584292355415926</v>
      </c>
      <c r="Z829">
        <v>74.212285825384171</v>
      </c>
      <c r="AA829">
        <v>0.7362037598544573</v>
      </c>
      <c r="AB829">
        <v>71.7</v>
      </c>
      <c r="AC829">
        <v>0.61415241452626612</v>
      </c>
      <c r="AD829">
        <v>0.13511319794359508</v>
      </c>
      <c r="AE829">
        <v>-2.5315213398536601E-3</v>
      </c>
      <c r="AF829">
        <v>3.8367780947747595E-3</v>
      </c>
      <c r="AG829">
        <v>0.13537314588423696</v>
      </c>
      <c r="AH829">
        <v>-2.5341619407907847E-3</v>
      </c>
      <c r="AI829">
        <v>3.714904213098541E-6</v>
      </c>
    </row>
    <row r="830" spans="23:35" x14ac:dyDescent="0.25">
      <c r="W830">
        <v>828</v>
      </c>
      <c r="X830">
        <v>74.133653378139641</v>
      </c>
      <c r="Y830">
        <v>0.36634662186035882</v>
      </c>
      <c r="Z830">
        <v>74.132060608036753</v>
      </c>
      <c r="AA830">
        <v>0.72407519708914492</v>
      </c>
      <c r="AB830">
        <v>71.7</v>
      </c>
      <c r="AC830">
        <v>0.56531175535073552</v>
      </c>
      <c r="AD830">
        <v>0.10188120735254103</v>
      </c>
      <c r="AE830">
        <v>3.3270477241193852E-4</v>
      </c>
      <c r="AF830">
        <v>4.3288925776145369E-3</v>
      </c>
      <c r="AG830">
        <v>0.10210244229007794</v>
      </c>
      <c r="AH830">
        <v>3.4345426111546235E-4</v>
      </c>
      <c r="AI830">
        <v>2.3855007865032002E-6</v>
      </c>
    </row>
    <row r="831" spans="23:35" x14ac:dyDescent="0.25">
      <c r="W831">
        <v>829</v>
      </c>
      <c r="X831">
        <v>73.197786619099517</v>
      </c>
      <c r="Y831">
        <v>1.2022133809004885</v>
      </c>
      <c r="Z831">
        <v>73.176294848951159</v>
      </c>
      <c r="AA831">
        <v>0.71376591873862949</v>
      </c>
      <c r="AB831">
        <v>71.7</v>
      </c>
      <c r="AC831">
        <v>0.54051528578164909</v>
      </c>
      <c r="AD831">
        <v>0.33433623632050075</v>
      </c>
      <c r="AE831">
        <v>5.8090085480072247E-3</v>
      </c>
      <c r="AF831">
        <v>1.7562866455161932E-2</v>
      </c>
      <c r="AG831">
        <v>0.33731143528824886</v>
      </c>
      <c r="AH831">
        <v>5.8270207973663488E-3</v>
      </c>
      <c r="AI831">
        <v>1.0705307781779165E-4</v>
      </c>
    </row>
    <row r="832" spans="23:35" x14ac:dyDescent="0.25">
      <c r="W832">
        <v>830</v>
      </c>
      <c r="X832">
        <v>75.967445528320127</v>
      </c>
      <c r="Y832">
        <v>-1.8674455283201326</v>
      </c>
      <c r="Z832">
        <v>75.976660323476594</v>
      </c>
      <c r="AA832">
        <v>0.69254093389933291</v>
      </c>
      <c r="AB832">
        <v>71.7</v>
      </c>
      <c r="AC832">
        <v>0.48161589062349974</v>
      </c>
      <c r="AD832">
        <v>-0.51933768113980283</v>
      </c>
      <c r="AE832">
        <v>6.0194641554889659E-3</v>
      </c>
      <c r="AF832">
        <v>4.9102093976180951E-3</v>
      </c>
      <c r="AG832">
        <v>-0.52061742430941571</v>
      </c>
      <c r="AH832">
        <v>6.029439245795909E-3</v>
      </c>
      <c r="AI832">
        <v>7.0391713997837387E-5</v>
      </c>
    </row>
    <row r="833" spans="23:35" x14ac:dyDescent="0.25">
      <c r="W833">
        <v>831</v>
      </c>
      <c r="X833">
        <v>67.187557420763952</v>
      </c>
      <c r="Y833">
        <v>6.712442579236054</v>
      </c>
      <c r="Z833">
        <v>66.967246282015751</v>
      </c>
      <c r="AA833">
        <v>0.67919951485748942</v>
      </c>
      <c r="AB833">
        <v>71.7</v>
      </c>
      <c r="AC833">
        <v>0.43434378704136062</v>
      </c>
      <c r="AD833">
        <v>1.8667341622651747</v>
      </c>
      <c r="AE833">
        <v>6.0937305752812769E-3</v>
      </c>
      <c r="AF833">
        <v>3.1778301625903227E-2</v>
      </c>
      <c r="AG833">
        <v>1.8971211674674815</v>
      </c>
      <c r="AH833">
        <v>6.1063818713268294E-3</v>
      </c>
      <c r="AI833">
        <v>6.2171652409870421E-3</v>
      </c>
    </row>
    <row r="834" spans="23:35" x14ac:dyDescent="0.25">
      <c r="W834">
        <v>832</v>
      </c>
      <c r="X834">
        <v>67.585951201320469</v>
      </c>
      <c r="Y834">
        <v>6.1140487986795335</v>
      </c>
      <c r="Z834">
        <v>67.370762656542695</v>
      </c>
      <c r="AA834">
        <v>0.66040024257125529</v>
      </c>
      <c r="AB834">
        <v>71.8</v>
      </c>
      <c r="AC834">
        <v>0.39787592189543292</v>
      </c>
      <c r="AD834">
        <v>1.7003205059149109</v>
      </c>
      <c r="AE834">
        <v>8.2409401003528757E-3</v>
      </c>
      <c r="AF834">
        <v>3.3999127082857211E-2</v>
      </c>
      <c r="AG834">
        <v>1.7299837869278185</v>
      </c>
      <c r="AH834">
        <v>8.4081673202769467E-3</v>
      </c>
      <c r="AI834">
        <v>5.5439679769700486E-3</v>
      </c>
    </row>
    <row r="835" spans="23:35" x14ac:dyDescent="0.25">
      <c r="W835">
        <v>833</v>
      </c>
      <c r="X835">
        <v>69.848315940547877</v>
      </c>
      <c r="Y835">
        <v>3.6516840594521227</v>
      </c>
      <c r="Z835">
        <v>69.716026249767879</v>
      </c>
      <c r="AA835">
        <v>0.64463311097634934</v>
      </c>
      <c r="AB835">
        <v>71.8</v>
      </c>
      <c r="AC835">
        <v>0.35220887014201224</v>
      </c>
      <c r="AD835">
        <v>1.0155354482532146</v>
      </c>
      <c r="AE835">
        <v>8.3971253521408096E-3</v>
      </c>
      <c r="AF835">
        <v>3.4960520212880285E-2</v>
      </c>
      <c r="AG835">
        <v>1.0337667206866887</v>
      </c>
      <c r="AH835">
        <v>8.4374550164360816E-3</v>
      </c>
      <c r="AI835">
        <v>2.037625180545061E-3</v>
      </c>
    </row>
    <row r="836" spans="23:35" x14ac:dyDescent="0.25">
      <c r="W836">
        <v>834</v>
      </c>
      <c r="X836">
        <v>69.414344558580709</v>
      </c>
      <c r="Y836">
        <v>3.7856554414192942</v>
      </c>
      <c r="Z836">
        <v>69.257017601355145</v>
      </c>
      <c r="AA836">
        <v>0.62340812613705276</v>
      </c>
      <c r="AB836">
        <v>71.8</v>
      </c>
      <c r="AC836">
        <v>0.29295400660571058</v>
      </c>
      <c r="AD836">
        <v>1.0527929670374512</v>
      </c>
      <c r="AE836">
        <v>8.8129964568708762E-3</v>
      </c>
      <c r="AF836">
        <v>3.9900496963829524E-2</v>
      </c>
      <c r="AG836">
        <v>1.074446641298513</v>
      </c>
      <c r="AH836">
        <v>8.8264646569742745E-3</v>
      </c>
      <c r="AI836">
        <v>2.5250975719029668E-3</v>
      </c>
    </row>
    <row r="837" spans="23:35" x14ac:dyDescent="0.25">
      <c r="W837">
        <v>835</v>
      </c>
      <c r="X837">
        <v>68.358701866725568</v>
      </c>
      <c r="Y837">
        <v>4.6412981332744323</v>
      </c>
      <c r="Z837">
        <v>68.127683351712761</v>
      </c>
      <c r="AA837">
        <v>0.60946027895694366</v>
      </c>
      <c r="AB837">
        <v>71.8</v>
      </c>
      <c r="AC837">
        <v>0.22222871718700732</v>
      </c>
      <c r="AD837">
        <v>1.2907476943552534</v>
      </c>
      <c r="AE837">
        <v>1.1430297059148923E-2</v>
      </c>
      <c r="AF837">
        <v>4.7414511758797767E-2</v>
      </c>
      <c r="AG837">
        <v>1.3224808054138639</v>
      </c>
      <c r="AH837">
        <v>1.2250845603556547E-2</v>
      </c>
      <c r="AI837">
        <v>4.5817614674314193E-3</v>
      </c>
    </row>
    <row r="838" spans="23:35" x14ac:dyDescent="0.25">
      <c r="W838">
        <v>836</v>
      </c>
      <c r="X838">
        <v>67.73889861275309</v>
      </c>
      <c r="Y838">
        <v>4.961101387246913</v>
      </c>
      <c r="Z838">
        <v>67.55542331502491</v>
      </c>
      <c r="AA838">
        <v>0.57246816252274102</v>
      </c>
      <c r="AB838">
        <v>71.8</v>
      </c>
      <c r="AC838">
        <v>0.16337348484333708</v>
      </c>
      <c r="AD838">
        <v>1.3796851641878727</v>
      </c>
      <c r="AE838">
        <v>1.6233825396436991E-2</v>
      </c>
      <c r="AF838">
        <v>3.5663827942156556E-2</v>
      </c>
      <c r="AG838">
        <v>1.4049658419750259</v>
      </c>
      <c r="AH838">
        <v>1.6520178275993801E-2</v>
      </c>
      <c r="AI838">
        <v>3.8421775395613119E-3</v>
      </c>
    </row>
    <row r="839" spans="23:35" x14ac:dyDescent="0.25">
      <c r="W839">
        <v>837</v>
      </c>
      <c r="X839">
        <v>56.43632657996104</v>
      </c>
      <c r="Y839">
        <v>-4.3363265799610389</v>
      </c>
      <c r="Z839">
        <v>56.534502518910294</v>
      </c>
      <c r="AA839">
        <v>4.9120679199514856E-2</v>
      </c>
      <c r="AB839">
        <v>71.8</v>
      </c>
      <c r="AC839">
        <v>-1.6746834237964712</v>
      </c>
      <c r="AD839">
        <v>-1.2059349290512738</v>
      </c>
      <c r="AE839">
        <v>1.7466260198354691E-2</v>
      </c>
      <c r="AF839">
        <v>2.2139109974702843E-2</v>
      </c>
      <c r="AG839">
        <v>-1.219509916180219</v>
      </c>
      <c r="AH839">
        <v>1.7512820698774866E-2</v>
      </c>
      <c r="AI839">
        <v>1.7721486655660874E-3</v>
      </c>
    </row>
    <row r="840" spans="23:35" x14ac:dyDescent="0.25">
      <c r="W840">
        <v>838</v>
      </c>
      <c r="X840">
        <v>57.36933698509926</v>
      </c>
      <c r="Y840">
        <v>-5.2693369850992582</v>
      </c>
      <c r="Z840">
        <v>57.501583501239651</v>
      </c>
      <c r="AA840">
        <v>4.9120679199514856E-2</v>
      </c>
      <c r="AB840">
        <v>71.8</v>
      </c>
      <c r="AC840">
        <v>-1.6746834237964712</v>
      </c>
      <c r="AD840">
        <v>-1.46540566216533</v>
      </c>
      <c r="AE840">
        <v>1.7585181264637709E-2</v>
      </c>
      <c r="AF840">
        <v>2.4482916187455146E-2</v>
      </c>
      <c r="AG840">
        <v>-1.483680625620351</v>
      </c>
      <c r="AH840">
        <v>1.7660764229763874E-2</v>
      </c>
      <c r="AI840">
        <v>2.9077396371462914E-3</v>
      </c>
    </row>
    <row r="841" spans="23:35" x14ac:dyDescent="0.25">
      <c r="W841">
        <v>839</v>
      </c>
      <c r="X841">
        <v>57.279431000257084</v>
      </c>
      <c r="Y841">
        <v>-5.0794310002570811</v>
      </c>
      <c r="Z841">
        <v>57.347824861127172</v>
      </c>
      <c r="AA841">
        <v>5.033353547604609E-2</v>
      </c>
      <c r="AB841">
        <v>71.8</v>
      </c>
      <c r="AC841">
        <v>-1.6504653896281696</v>
      </c>
      <c r="AD841">
        <v>-1.412592697981456</v>
      </c>
      <c r="AE841">
        <v>1.780022801209075E-2</v>
      </c>
      <c r="AF841">
        <v>1.3285972758426369E-2</v>
      </c>
      <c r="AG841">
        <v>-1.4220710844912798</v>
      </c>
      <c r="AH841">
        <v>1.7832911604489805E-2</v>
      </c>
      <c r="AI841">
        <v>1.4331480798036994E-3</v>
      </c>
    </row>
    <row r="842" spans="23:35" x14ac:dyDescent="0.25">
      <c r="W842">
        <v>840</v>
      </c>
      <c r="X842">
        <v>64.223782494156822</v>
      </c>
      <c r="Y842">
        <v>-11.923782494156825</v>
      </c>
      <c r="Z842">
        <v>64.377033703647413</v>
      </c>
      <c r="AA842">
        <v>5.1546391752577317E-2</v>
      </c>
      <c r="AB842">
        <v>71.8</v>
      </c>
      <c r="AC842">
        <v>-1.6387108222805178</v>
      </c>
      <c r="AD842">
        <v>-3.316010805681298</v>
      </c>
      <c r="AE842">
        <v>1.7851278473089368E-2</v>
      </c>
      <c r="AF842">
        <v>1.2689474356961071E-2</v>
      </c>
      <c r="AG842">
        <v>-3.3372523963301397</v>
      </c>
      <c r="AH842">
        <v>1.7962859118689598E-2</v>
      </c>
      <c r="AI842">
        <v>7.5338049412507681E-3</v>
      </c>
    </row>
    <row r="843" spans="23:35" x14ac:dyDescent="0.25">
      <c r="W843">
        <v>841</v>
      </c>
      <c r="X843">
        <v>54.761251915724642</v>
      </c>
      <c r="Y843">
        <v>-3.661251915724641</v>
      </c>
      <c r="Z843">
        <v>54.796211182700368</v>
      </c>
      <c r="AA843">
        <v>3.8811400848999394E-2</v>
      </c>
      <c r="AB843">
        <v>71.8</v>
      </c>
      <c r="AC843">
        <v>-1.7755718253255368</v>
      </c>
      <c r="AD843">
        <v>-1.0181962746145161</v>
      </c>
      <c r="AE843">
        <v>1.888312993899998E-2</v>
      </c>
      <c r="AF843">
        <v>9.4581357091692367E-3</v>
      </c>
      <c r="AG843">
        <v>-1.0230458218865293</v>
      </c>
      <c r="AH843">
        <v>1.8970712167542095E-2</v>
      </c>
      <c r="AI843">
        <v>5.2598005604539196E-4</v>
      </c>
    </row>
    <row r="844" spans="23:35" x14ac:dyDescent="0.25">
      <c r="W844">
        <v>842</v>
      </c>
      <c r="X844">
        <v>52.350188117690436</v>
      </c>
      <c r="Y844">
        <v>-2.9501881176904377</v>
      </c>
      <c r="Z844">
        <v>52.382345550196092</v>
      </c>
      <c r="AA844">
        <v>2.9108550636749546E-2</v>
      </c>
      <c r="AB844">
        <v>71.8</v>
      </c>
      <c r="AC844">
        <v>-1.8986487576703672</v>
      </c>
      <c r="AD844">
        <v>-0.82044902126050079</v>
      </c>
      <c r="AE844">
        <v>1.9003124522269089E-2</v>
      </c>
      <c r="AF844">
        <v>1.0782597778966993E-2</v>
      </c>
      <c r="AG844">
        <v>-0.82490840252367492</v>
      </c>
      <c r="AH844">
        <v>1.9056417219724751E-2</v>
      </c>
      <c r="AI844">
        <v>3.903817540046039E-4</v>
      </c>
    </row>
    <row r="845" spans="23:35" x14ac:dyDescent="0.25">
      <c r="W845">
        <v>843</v>
      </c>
      <c r="X845">
        <v>47.701765168193624</v>
      </c>
      <c r="Y845">
        <v>9.8234831806372824E-2</v>
      </c>
      <c r="Z845">
        <v>47.700284764367261</v>
      </c>
      <c r="AA845">
        <v>1.9405700424499697E-2</v>
      </c>
      <c r="AB845">
        <v>71.900000000000006</v>
      </c>
      <c r="AC845">
        <v>-2.0994271873972417</v>
      </c>
      <c r="AD845">
        <v>2.7319163522468461E-2</v>
      </c>
      <c r="AE845">
        <v>1.9271711007681425E-2</v>
      </c>
      <c r="AF845">
        <v>1.4846315279375901E-2</v>
      </c>
      <c r="AG845">
        <v>2.7524244347139976E-2</v>
      </c>
      <c r="AH845">
        <v>1.9305920719934762E-2</v>
      </c>
      <c r="AI845">
        <v>6.0088574520415781E-7</v>
      </c>
    </row>
    <row r="846" spans="23:35" x14ac:dyDescent="0.25">
      <c r="W846">
        <v>844</v>
      </c>
      <c r="X846">
        <v>45.918917968847893</v>
      </c>
      <c r="Y846">
        <v>0.28108203115210983</v>
      </c>
      <c r="Z846">
        <v>45.911485169109795</v>
      </c>
      <c r="AA846">
        <v>1.3341419041843541E-2</v>
      </c>
      <c r="AB846">
        <v>71.900000000000006</v>
      </c>
      <c r="AC846">
        <v>-2.2435160869312201</v>
      </c>
      <c r="AD846">
        <v>7.8169075378555331E-2</v>
      </c>
      <c r="AE846">
        <v>1.9465340143251124E-2</v>
      </c>
      <c r="AF846">
        <v>2.5762279585994703E-2</v>
      </c>
      <c r="AG846">
        <v>7.9195864639831012E-2</v>
      </c>
      <c r="AH846">
        <v>1.9566647322315757E-2</v>
      </c>
      <c r="AI846">
        <v>8.7291258929626727E-6</v>
      </c>
    </row>
    <row r="847" spans="23:35" x14ac:dyDescent="0.25">
      <c r="W847">
        <v>845</v>
      </c>
      <c r="X847">
        <v>43.366464881360962</v>
      </c>
      <c r="Y847">
        <v>1.9335351186390355</v>
      </c>
      <c r="Z847">
        <v>43.324470906321089</v>
      </c>
      <c r="AA847">
        <v>7.2771376591873865E-3</v>
      </c>
      <c r="AB847">
        <v>71.900000000000006</v>
      </c>
      <c r="AC847">
        <v>-2.5264513477970261</v>
      </c>
      <c r="AD847">
        <v>0.5377172344189679</v>
      </c>
      <c r="AE847">
        <v>1.9729991638473034E-2</v>
      </c>
      <c r="AF847">
        <v>2.1257077495966979E-2</v>
      </c>
      <c r="AG847">
        <v>0.54352514304390398</v>
      </c>
      <c r="AH847">
        <v>1.9793522003019218E-2</v>
      </c>
      <c r="AI847">
        <v>3.376918647553352E-4</v>
      </c>
    </row>
    <row r="848" spans="23:35" x14ac:dyDescent="0.25">
      <c r="W848">
        <v>846</v>
      </c>
      <c r="X848">
        <v>42.606255245476483</v>
      </c>
      <c r="Y848">
        <v>1.8937447545235173</v>
      </c>
      <c r="Z848">
        <v>42.563025662559141</v>
      </c>
      <c r="AA848">
        <v>2.4257125530624622E-3</v>
      </c>
      <c r="AB848">
        <v>71.900000000000006</v>
      </c>
      <c r="AC848">
        <v>-2.9644605992605717</v>
      </c>
      <c r="AD848">
        <v>0.52665151115257069</v>
      </c>
      <c r="AE848">
        <v>2.2766945873805351E-2</v>
      </c>
      <c r="AF848">
        <v>2.2318097912674514E-2</v>
      </c>
      <c r="AG848">
        <v>0.53262867858607732</v>
      </c>
      <c r="AH848">
        <v>2.3002732570924778E-2</v>
      </c>
      <c r="AI848">
        <v>3.4084356172369725E-4</v>
      </c>
    </row>
    <row r="849" spans="23:35" x14ac:dyDescent="0.25">
      <c r="W849">
        <v>847</v>
      </c>
      <c r="X849">
        <v>42.160481527230239</v>
      </c>
      <c r="Y849">
        <v>2.6395184727697583</v>
      </c>
      <c r="Z849">
        <v>42.063237578067131</v>
      </c>
      <c r="AA849">
        <v>4.8514251061249243E-3</v>
      </c>
      <c r="AB849">
        <v>71.900000000000006</v>
      </c>
      <c r="AC849">
        <v>-2.6570161854420777</v>
      </c>
      <c r="AD849">
        <v>0.73405161338602976</v>
      </c>
      <c r="AE849">
        <v>2.3351570587946936E-2</v>
      </c>
      <c r="AF849">
        <v>3.5532477493762621E-2</v>
      </c>
      <c r="AG849">
        <v>0.74745111426459898</v>
      </c>
      <c r="AH849">
        <v>2.3422436364106937E-2</v>
      </c>
      <c r="AI849">
        <v>1.0833028063081459E-3</v>
      </c>
    </row>
    <row r="850" spans="23:35" x14ac:dyDescent="0.25">
      <c r="W850">
        <v>848</v>
      </c>
      <c r="X850">
        <v>42.429577037385215</v>
      </c>
      <c r="Y850">
        <v>3.070422962614785</v>
      </c>
      <c r="Z850">
        <v>42.32865019876553</v>
      </c>
      <c r="AA850">
        <v>8.4899939357186167E-3</v>
      </c>
      <c r="AB850">
        <v>71.900000000000006</v>
      </c>
      <c r="AC850">
        <v>-2.4004805754973497</v>
      </c>
      <c r="AD850">
        <v>0.85388640115097858</v>
      </c>
      <c r="AE850">
        <v>2.4202933083656168E-2</v>
      </c>
      <c r="AF850">
        <v>3.1824568384224608E-2</v>
      </c>
      <c r="AG850">
        <v>0.86780683864311525</v>
      </c>
      <c r="AH850">
        <v>2.426124789574402E-2</v>
      </c>
      <c r="AI850">
        <v>1.3028697476529631E-3</v>
      </c>
    </row>
    <row r="851" spans="23:35" x14ac:dyDescent="0.25">
      <c r="W851">
        <v>849</v>
      </c>
      <c r="X851">
        <v>61.254477353000169</v>
      </c>
      <c r="Y851">
        <v>-3.1544773530001677</v>
      </c>
      <c r="Z851">
        <v>61.299633717309057</v>
      </c>
      <c r="AA851">
        <v>0.13523347483323225</v>
      </c>
      <c r="AB851">
        <v>71.900000000000006</v>
      </c>
      <c r="AC851">
        <v>-1.1174634002413726</v>
      </c>
      <c r="AD851">
        <v>-0.87726197571546527</v>
      </c>
      <c r="AE851">
        <v>2.6107422619480812E-2</v>
      </c>
      <c r="AF851">
        <v>1.4112979265284558E-2</v>
      </c>
      <c r="AG851">
        <v>-0.88351866963692771</v>
      </c>
      <c r="AH851">
        <v>2.6194123323146204E-2</v>
      </c>
      <c r="AI851">
        <v>5.8812469482371406E-4</v>
      </c>
    </row>
    <row r="852" spans="23:35" x14ac:dyDescent="0.25">
      <c r="W852">
        <v>850</v>
      </c>
      <c r="X852">
        <v>63.720890343241372</v>
      </c>
      <c r="Y852">
        <v>-2.6208903432413706</v>
      </c>
      <c r="Z852">
        <v>63.731638030353707</v>
      </c>
      <c r="AA852">
        <v>0.17889630078835658</v>
      </c>
      <c r="AB852">
        <v>71.900000000000006</v>
      </c>
      <c r="AC852">
        <v>-0.9277300733017374</v>
      </c>
      <c r="AD852">
        <v>-0.7288711197938299</v>
      </c>
      <c r="AE852">
        <v>2.7319163522468461E-2</v>
      </c>
      <c r="AF852">
        <v>4.0840294099613664E-3</v>
      </c>
      <c r="AG852">
        <v>-0.73036405980618335</v>
      </c>
      <c r="AH852">
        <v>2.7524244347139976E-2</v>
      </c>
      <c r="AI852">
        <v>1.151307546014011E-4</v>
      </c>
    </row>
    <row r="853" spans="23:35" x14ac:dyDescent="0.25">
      <c r="W853">
        <v>851</v>
      </c>
      <c r="X853">
        <v>61.55569755879025</v>
      </c>
      <c r="Y853">
        <v>5.44430244120975</v>
      </c>
      <c r="Z853">
        <v>61.481685102891973</v>
      </c>
      <c r="AA853">
        <v>0.33959975742874471</v>
      </c>
      <c r="AB853">
        <v>71.900000000000006</v>
      </c>
      <c r="AC853">
        <v>-0.42600652312983872</v>
      </c>
      <c r="AD853">
        <v>1.5140636566706529</v>
      </c>
      <c r="AE853">
        <v>2.7933776793888965E-2</v>
      </c>
      <c r="AF853">
        <v>1.3412147961520201E-2</v>
      </c>
      <c r="AG853">
        <v>1.5243203690666614</v>
      </c>
      <c r="AH853">
        <v>2.7989450782444584E-2</v>
      </c>
      <c r="AI853">
        <v>1.6624993237910415E-3</v>
      </c>
    </row>
    <row r="854" spans="23:35" x14ac:dyDescent="0.25">
      <c r="W854">
        <v>852</v>
      </c>
      <c r="X854">
        <v>62.879163786124892</v>
      </c>
      <c r="Y854">
        <v>-0.87916378612489154</v>
      </c>
      <c r="Z854">
        <v>62.884974353117826</v>
      </c>
      <c r="AA854">
        <v>0.19890842935112188</v>
      </c>
      <c r="AB854">
        <v>72</v>
      </c>
      <c r="AC854">
        <v>-0.85973834429501084</v>
      </c>
      <c r="AD854">
        <v>-0.24449595723357537</v>
      </c>
      <c r="AE854">
        <v>2.897424438009295E-2</v>
      </c>
      <c r="AF854">
        <v>6.5658026952605626E-3</v>
      </c>
      <c r="AG854">
        <v>-0.24530258765372495</v>
      </c>
      <c r="AH854">
        <v>2.9081901264690721E-2</v>
      </c>
      <c r="AI854">
        <v>2.0931453162702048E-5</v>
      </c>
    </row>
    <row r="855" spans="23:35" x14ac:dyDescent="0.25">
      <c r="W855">
        <v>853</v>
      </c>
      <c r="X855">
        <v>61.747151398161847</v>
      </c>
      <c r="Y855">
        <v>-2.0471513981618443</v>
      </c>
      <c r="Z855">
        <v>61.78575948839898</v>
      </c>
      <c r="AA855">
        <v>0.16919345057610674</v>
      </c>
      <c r="AB855">
        <v>72</v>
      </c>
      <c r="AC855">
        <v>-0.96823093621551704</v>
      </c>
      <c r="AD855">
        <v>-0.56931398744457595</v>
      </c>
      <c r="AE855">
        <v>3.07315455453827E-2</v>
      </c>
      <c r="AF855">
        <v>1.8510327030451846E-2</v>
      </c>
      <c r="AG855">
        <v>-0.57465737791624172</v>
      </c>
      <c r="AH855">
        <v>3.0978491661154208E-2</v>
      </c>
      <c r="AI855">
        <v>3.277877582613373E-4</v>
      </c>
    </row>
    <row r="856" spans="23:35" x14ac:dyDescent="0.25">
      <c r="W856">
        <v>854</v>
      </c>
      <c r="X856">
        <v>62.922513900839895</v>
      </c>
      <c r="Y856">
        <v>-3.7225139008398926</v>
      </c>
      <c r="Z856">
        <v>62.971871915219978</v>
      </c>
      <c r="AA856">
        <v>0.15767131594906003</v>
      </c>
      <c r="AB856">
        <v>72</v>
      </c>
      <c r="AC856">
        <v>-1.0205681915260707</v>
      </c>
      <c r="AD856">
        <v>-1.0352332680953358</v>
      </c>
      <c r="AE856">
        <v>3.1092005148172355E-2</v>
      </c>
      <c r="AF856">
        <v>1.3085814017416455E-2</v>
      </c>
      <c r="AG856">
        <v>-1.0420739133538597</v>
      </c>
      <c r="AH856">
        <v>3.1260550079240342E-2</v>
      </c>
      <c r="AI856">
        <v>7.5781779542892188E-4</v>
      </c>
    </row>
    <row r="857" spans="23:35" x14ac:dyDescent="0.25">
      <c r="W857">
        <v>855</v>
      </c>
      <c r="X857">
        <v>62.329836696113105</v>
      </c>
      <c r="Y857">
        <v>-3.7298366961131038</v>
      </c>
      <c r="Z857">
        <v>62.359561922276335</v>
      </c>
      <c r="AA857">
        <v>0.14432989690721648</v>
      </c>
      <c r="AB857">
        <v>72</v>
      </c>
      <c r="AC857">
        <v>-1.0704544602760233</v>
      </c>
      <c r="AD857">
        <v>-1.0372697416946872</v>
      </c>
      <c r="AE857">
        <v>3.1881841592288233E-2</v>
      </c>
      <c r="AF857">
        <v>7.9065664504945239E-3</v>
      </c>
      <c r="AG857">
        <v>-1.0413948404715365</v>
      </c>
      <c r="AH857">
        <v>3.192608256306962E-2</v>
      </c>
      <c r="AI857">
        <v>4.5489649703316017E-4</v>
      </c>
    </row>
    <row r="858" spans="23:35" x14ac:dyDescent="0.25">
      <c r="W858">
        <v>856</v>
      </c>
      <c r="X858">
        <v>77.35211234540624</v>
      </c>
      <c r="Y858">
        <v>-3.9521123454062348</v>
      </c>
      <c r="Z858">
        <v>77.376877985471296</v>
      </c>
      <c r="AA858">
        <v>0.63735597331716187</v>
      </c>
      <c r="AB858">
        <v>72</v>
      </c>
      <c r="AC858">
        <v>0.33286538375086522</v>
      </c>
      <c r="AD858">
        <v>-1.0990847282777656</v>
      </c>
      <c r="AE858">
        <v>3.5422821873573596E-2</v>
      </c>
      <c r="AF858">
        <v>6.2274075683328E-3</v>
      </c>
      <c r="AG858">
        <v>-1.1025230196463305</v>
      </c>
      <c r="AH858">
        <v>3.6249050438618979E-2</v>
      </c>
      <c r="AI858">
        <v>4.0090549224675433E-4</v>
      </c>
    </row>
    <row r="859" spans="23:35" x14ac:dyDescent="0.25">
      <c r="W859">
        <v>857</v>
      </c>
      <c r="X859">
        <v>76.939198855708113</v>
      </c>
      <c r="Y859">
        <v>-3.9391988557081135</v>
      </c>
      <c r="Z859">
        <v>76.963842642269327</v>
      </c>
      <c r="AA859">
        <v>0.60946027895694366</v>
      </c>
      <c r="AB859">
        <v>72</v>
      </c>
      <c r="AC859">
        <v>0.22222871718700732</v>
      </c>
      <c r="AD859">
        <v>-1.0954934793264359</v>
      </c>
      <c r="AE859">
        <v>3.6197905673581804E-2</v>
      </c>
      <c r="AF859">
        <v>6.217145529042495E-3</v>
      </c>
      <c r="AG859">
        <v>-1.0989148622377753</v>
      </c>
      <c r="AH859">
        <v>3.6512657036517973E-2</v>
      </c>
      <c r="AI859">
        <v>3.9762531552254454E-4</v>
      </c>
    </row>
    <row r="860" spans="23:35" x14ac:dyDescent="0.25">
      <c r="W860">
        <v>858</v>
      </c>
      <c r="X860">
        <v>75.117041726684178</v>
      </c>
      <c r="Y860">
        <v>-2.1170417266841781</v>
      </c>
      <c r="Z860">
        <v>75.141650019466567</v>
      </c>
      <c r="AA860">
        <v>0.60946027895694366</v>
      </c>
      <c r="AB860">
        <v>72</v>
      </c>
      <c r="AC860">
        <v>0.22222871718700732</v>
      </c>
      <c r="AD860">
        <v>-0.58875052821561447</v>
      </c>
      <c r="AE860">
        <v>3.6458872283874497E-2</v>
      </c>
      <c r="AF860">
        <v>1.1490342753819622E-2</v>
      </c>
      <c r="AG860">
        <v>-0.59216243217500686</v>
      </c>
      <c r="AH860">
        <v>3.7834137341650337E-2</v>
      </c>
      <c r="AI860">
        <v>2.1452611571790345E-4</v>
      </c>
    </row>
    <row r="861" spans="23:35" x14ac:dyDescent="0.25">
      <c r="W861">
        <v>859</v>
      </c>
      <c r="X861">
        <v>78.003600956088775</v>
      </c>
      <c r="Y861">
        <v>-5.2036009560887777</v>
      </c>
      <c r="Z861">
        <v>78.060533207451101</v>
      </c>
      <c r="AA861">
        <v>0.58156458459672533</v>
      </c>
      <c r="AB861">
        <v>72</v>
      </c>
      <c r="AC861">
        <v>0.18343432307636306</v>
      </c>
      <c r="AD861">
        <v>-1.4471244344904581</v>
      </c>
      <c r="AE861">
        <v>3.8060220890975993E-2</v>
      </c>
      <c r="AF861">
        <v>1.0822524850082053E-2</v>
      </c>
      <c r="AG861">
        <v>-1.455019344823719</v>
      </c>
      <c r="AH861">
        <v>3.8316484588924858E-2</v>
      </c>
      <c r="AI861">
        <v>1.2190971253504032E-3</v>
      </c>
    </row>
    <row r="862" spans="23:35" x14ac:dyDescent="0.25">
      <c r="W862">
        <v>860</v>
      </c>
      <c r="X862">
        <v>75.165917675074127</v>
      </c>
      <c r="Y862">
        <v>-2.765917675074121</v>
      </c>
      <c r="Z862">
        <v>75.19576515427093</v>
      </c>
      <c r="AA862">
        <v>0.55124317768344455</v>
      </c>
      <c r="AB862">
        <v>72</v>
      </c>
      <c r="AC862">
        <v>0.11578501997911882</v>
      </c>
      <c r="AD862">
        <v>-0.76920330462797926</v>
      </c>
      <c r="AE862">
        <v>3.8244320733970195E-2</v>
      </c>
      <c r="AF862">
        <v>1.0675960801357534E-2</v>
      </c>
      <c r="AG862">
        <v>-0.77334246860028066</v>
      </c>
      <c r="AH862">
        <v>3.8914081111811154E-2</v>
      </c>
      <c r="AI862">
        <v>3.3967104583236351E-4</v>
      </c>
    </row>
    <row r="863" spans="23:35" x14ac:dyDescent="0.25">
      <c r="W863">
        <v>861</v>
      </c>
      <c r="X863">
        <v>76.789650879899057</v>
      </c>
      <c r="Y863">
        <v>-4.5896508798990538</v>
      </c>
      <c r="Z863">
        <v>76.810235031607405</v>
      </c>
      <c r="AA863">
        <v>0.53911461491813217</v>
      </c>
      <c r="AB863">
        <v>72</v>
      </c>
      <c r="AC863">
        <v>7.9127168877726875E-2</v>
      </c>
      <c r="AD863">
        <v>-1.2763845633303088</v>
      </c>
      <c r="AE863">
        <v>3.9325294131810802E-2</v>
      </c>
      <c r="AF863">
        <v>4.4648811974294031E-3</v>
      </c>
      <c r="AG863">
        <v>-1.2792435935419131</v>
      </c>
      <c r="AH863">
        <v>3.9937585782585147E-2</v>
      </c>
      <c r="AI863">
        <v>3.8628355809669642E-4</v>
      </c>
    </row>
    <row r="864" spans="23:35" x14ac:dyDescent="0.25">
      <c r="W864">
        <v>862</v>
      </c>
      <c r="X864">
        <v>76.135654133519623</v>
      </c>
      <c r="Y864">
        <v>-5.0356541335196283</v>
      </c>
      <c r="Z864">
        <v>76.162950126539783</v>
      </c>
      <c r="AA864">
        <v>0.47422680412371132</v>
      </c>
      <c r="AB864">
        <v>72</v>
      </c>
      <c r="AC864">
        <v>-7.6077819866612773E-2</v>
      </c>
      <c r="AD864">
        <v>-1.4004183260309948</v>
      </c>
      <c r="AE864">
        <v>4.0991781315607788E-2</v>
      </c>
      <c r="AF864">
        <v>5.3913217270456885E-3</v>
      </c>
      <c r="AG864">
        <v>-1.4042087122029465</v>
      </c>
      <c r="AH864">
        <v>4.1100799057405657E-2</v>
      </c>
      <c r="AI864">
        <v>5.6253912113365023E-4</v>
      </c>
    </row>
    <row r="865" spans="23:35" x14ac:dyDescent="0.25">
      <c r="W865">
        <v>863</v>
      </c>
      <c r="X865">
        <v>79.120326095874901</v>
      </c>
      <c r="Y865">
        <v>-7.1203260958749013</v>
      </c>
      <c r="Z865">
        <v>79.157400991143476</v>
      </c>
      <c r="AA865">
        <v>0.52516676773802307</v>
      </c>
      <c r="AB865">
        <v>72</v>
      </c>
      <c r="AC865">
        <v>4.1053957112594373E-2</v>
      </c>
      <c r="AD865">
        <v>-1.9801668040712888</v>
      </c>
      <c r="AE865">
        <v>4.4513625649119662E-2</v>
      </c>
      <c r="AF865">
        <v>5.1799382645260437E-3</v>
      </c>
      <c r="AG865">
        <v>-1.9853153856280548</v>
      </c>
      <c r="AH865">
        <v>4.4700069221284694E-2</v>
      </c>
      <c r="AI865">
        <v>1.0801534685765774E-3</v>
      </c>
    </row>
    <row r="866" spans="23:35" x14ac:dyDescent="0.25">
      <c r="W866">
        <v>864</v>
      </c>
      <c r="X866">
        <v>74.90931517399504</v>
      </c>
      <c r="Y866">
        <v>1.09068482600496</v>
      </c>
      <c r="Z866">
        <v>74.902254342598368</v>
      </c>
      <c r="AA866">
        <v>0.80836870830806551</v>
      </c>
      <c r="AB866">
        <v>72</v>
      </c>
      <c r="AC866">
        <v>0.83794453378675593</v>
      </c>
      <c r="AD866">
        <v>0.30332008072081368</v>
      </c>
      <c r="AE866">
        <v>4.5256260551781689E-2</v>
      </c>
      <c r="AF866">
        <v>6.4321196345057492E-3</v>
      </c>
      <c r="AG866">
        <v>0.30430030748888248</v>
      </c>
      <c r="AH866">
        <v>4.5456591153585413E-2</v>
      </c>
      <c r="AI866">
        <v>3.1550609364896834E-5</v>
      </c>
    </row>
    <row r="867" spans="23:35" x14ac:dyDescent="0.25">
      <c r="W867">
        <v>865</v>
      </c>
      <c r="X867">
        <v>75.127666433599529</v>
      </c>
      <c r="Y867">
        <v>2.8723335664004708</v>
      </c>
      <c r="Z867">
        <v>75.113215976023298</v>
      </c>
      <c r="AA867">
        <v>0.86294724075197093</v>
      </c>
      <c r="AB867">
        <v>72</v>
      </c>
      <c r="AC867">
        <v>1.0491313979639725</v>
      </c>
      <c r="AD867">
        <v>0.79879762553305333</v>
      </c>
      <c r="AE867">
        <v>4.8296371958943783E-2</v>
      </c>
      <c r="AF867">
        <v>5.0057286780758742E-3</v>
      </c>
      <c r="AG867">
        <v>0.80080444497004943</v>
      </c>
      <c r="AH867">
        <v>4.8634307950197853E-2</v>
      </c>
      <c r="AI867">
        <v>1.6980328001919894E-4</v>
      </c>
    </row>
    <row r="868" spans="23:35" x14ac:dyDescent="0.25">
      <c r="W868">
        <v>866</v>
      </c>
      <c r="X868">
        <v>77.421415321200655</v>
      </c>
      <c r="Y868">
        <v>-5.8214153212006607</v>
      </c>
      <c r="Z868">
        <v>77.551413412128184</v>
      </c>
      <c r="AA868">
        <v>0.49787750151607035</v>
      </c>
      <c r="AB868">
        <v>72</v>
      </c>
      <c r="AC868">
        <v>-2.1282865457297767E-2</v>
      </c>
      <c r="AD868">
        <v>-1.6189389666341027</v>
      </c>
      <c r="AE868">
        <v>4.9004857230843087E-2</v>
      </c>
      <c r="AF868">
        <v>2.1843229822114594E-2</v>
      </c>
      <c r="AG868">
        <v>-1.6369154346861412</v>
      </c>
      <c r="AH868">
        <v>4.9200910057824718E-2</v>
      </c>
      <c r="AI868">
        <v>3.1492510043730068E-3</v>
      </c>
    </row>
    <row r="869" spans="23:35" x14ac:dyDescent="0.25">
      <c r="W869">
        <v>867</v>
      </c>
      <c r="X869">
        <v>77.624065301569757</v>
      </c>
      <c r="Y869">
        <v>-6.0240653015697632</v>
      </c>
      <c r="Z869">
        <v>77.654910004022909</v>
      </c>
      <c r="AA869">
        <v>0.49787750151607035</v>
      </c>
      <c r="AB869">
        <v>72.099999999999994</v>
      </c>
      <c r="AC869">
        <v>-2.1282865457297767E-2</v>
      </c>
      <c r="AD869">
        <v>-1.6752960433422992</v>
      </c>
      <c r="AE869">
        <v>4.936371444259588E-2</v>
      </c>
      <c r="AF869">
        <v>5.0941636510960847E-3</v>
      </c>
      <c r="AG869">
        <v>-1.6795795320060671</v>
      </c>
      <c r="AH869">
        <v>4.9468085138808758E-2</v>
      </c>
      <c r="AI869">
        <v>7.6021854585987835E-4</v>
      </c>
    </row>
    <row r="870" spans="23:35" x14ac:dyDescent="0.25">
      <c r="W870">
        <v>868</v>
      </c>
      <c r="X870">
        <v>77.381142367234844</v>
      </c>
      <c r="Y870">
        <v>-5.9811423672348383</v>
      </c>
      <c r="Z870">
        <v>77.405918769911622</v>
      </c>
      <c r="AA870">
        <v>0.4887810794420861</v>
      </c>
      <c r="AB870">
        <v>72.099999999999994</v>
      </c>
      <c r="AC870">
        <v>-4.7140240828996732E-2</v>
      </c>
      <c r="AD870">
        <v>-1.6633591504867049</v>
      </c>
      <c r="AE870">
        <v>5.0598646262832669E-2</v>
      </c>
      <c r="AF870">
        <v>4.1253309653310382E-3</v>
      </c>
      <c r="AG870">
        <v>-1.6668007559812019</v>
      </c>
      <c r="AH870">
        <v>5.1063305166924214E-2</v>
      </c>
      <c r="AI870">
        <v>6.0571438449877715E-4</v>
      </c>
    </row>
    <row r="871" spans="23:35" x14ac:dyDescent="0.25">
      <c r="W871">
        <v>869</v>
      </c>
      <c r="X871">
        <v>76.512308936184354</v>
      </c>
      <c r="Y871">
        <v>-5.3123089361843512</v>
      </c>
      <c r="Z871">
        <v>76.534685671932607</v>
      </c>
      <c r="AA871">
        <v>0.47907822922983628</v>
      </c>
      <c r="AB871">
        <v>72.099999999999994</v>
      </c>
      <c r="AC871">
        <v>-6.3887210036911155E-2</v>
      </c>
      <c r="AD871">
        <v>-1.4773561866074862</v>
      </c>
      <c r="AE871">
        <v>5.1476091516124693E-2</v>
      </c>
      <c r="AF871">
        <v>4.194574361895121E-3</v>
      </c>
      <c r="AG871">
        <v>-1.4804644084753242</v>
      </c>
      <c r="AH871">
        <v>5.1634940483861254E-2</v>
      </c>
      <c r="AI871">
        <v>4.8590990389758685E-4</v>
      </c>
    </row>
    <row r="872" spans="23:35" x14ac:dyDescent="0.25">
      <c r="W872">
        <v>870</v>
      </c>
      <c r="X872">
        <v>76.21121978139999</v>
      </c>
      <c r="Y872">
        <v>-4.6112197813999956</v>
      </c>
      <c r="Z872">
        <v>76.230011914848333</v>
      </c>
      <c r="AA872">
        <v>0.49787750151607035</v>
      </c>
      <c r="AB872">
        <v>72.099999999999994</v>
      </c>
      <c r="AC872">
        <v>-2.1282865457297767E-2</v>
      </c>
      <c r="AD872">
        <v>-1.2823828873083625</v>
      </c>
      <c r="AE872">
        <v>5.1781491654472454E-2</v>
      </c>
      <c r="AF872">
        <v>4.0587656779203819E-3</v>
      </c>
      <c r="AG872">
        <v>-1.2849932820614418</v>
      </c>
      <c r="AH872">
        <v>5.190624183340975E-2</v>
      </c>
      <c r="AI872">
        <v>3.5416723348009562E-4</v>
      </c>
    </row>
    <row r="873" spans="23:35" x14ac:dyDescent="0.25">
      <c r="W873">
        <v>871</v>
      </c>
      <c r="X873">
        <v>82.700400214156033</v>
      </c>
      <c r="Y873">
        <v>-1.0004002141560306</v>
      </c>
      <c r="Z873">
        <v>82.790544727404054</v>
      </c>
      <c r="AA873">
        <v>0.95573074590661011</v>
      </c>
      <c r="AB873">
        <v>72.099999999999994</v>
      </c>
      <c r="AC873">
        <v>1.6624525291871317</v>
      </c>
      <c r="AD873">
        <v>-0.27821187796514424</v>
      </c>
      <c r="AE873">
        <v>5.2860664300331206E-2</v>
      </c>
      <c r="AF873">
        <v>8.2660078933762052E-2</v>
      </c>
      <c r="AG873">
        <v>-0.29047617755895305</v>
      </c>
      <c r="AH873">
        <v>5.2966893986273703E-2</v>
      </c>
      <c r="AI873">
        <v>4.0015934449510662E-4</v>
      </c>
    </row>
    <row r="874" spans="23:35" x14ac:dyDescent="0.25">
      <c r="W874">
        <v>872</v>
      </c>
      <c r="X874">
        <v>82.301496847708918</v>
      </c>
      <c r="Y874">
        <v>-0.9014968477089127</v>
      </c>
      <c r="Z874">
        <v>82.374925533928419</v>
      </c>
      <c r="AA874">
        <v>0.94724075197089141</v>
      </c>
      <c r="AB874">
        <v>72.099999999999994</v>
      </c>
      <c r="AC874">
        <v>1.5992570753291051</v>
      </c>
      <c r="AD874">
        <v>-0.25070679457255324</v>
      </c>
      <c r="AE874">
        <v>5.469857251721745E-2</v>
      </c>
      <c r="AF874">
        <v>7.5317225433229107E-2</v>
      </c>
      <c r="AG874">
        <v>-0.26071722230990113</v>
      </c>
      <c r="AH874">
        <v>5.4758384049553507E-2</v>
      </c>
      <c r="AI874">
        <v>2.9139854940178769E-4</v>
      </c>
    </row>
    <row r="875" spans="23:35" x14ac:dyDescent="0.25">
      <c r="W875">
        <v>873</v>
      </c>
      <c r="X875">
        <v>76.968273265127166</v>
      </c>
      <c r="Y875">
        <v>4.1317267348728279</v>
      </c>
      <c r="Z875">
        <v>76.924966418051042</v>
      </c>
      <c r="AA875">
        <v>0.93935718617343844</v>
      </c>
      <c r="AB875">
        <v>72.099999999999994</v>
      </c>
      <c r="AC875">
        <v>1.5222105313262397</v>
      </c>
      <c r="AD875">
        <v>1.1490355938373265</v>
      </c>
      <c r="AE875">
        <v>5.4957027162680049E-2</v>
      </c>
      <c r="AF875">
        <v>1.0372814068696895E-2</v>
      </c>
      <c r="AG875">
        <v>1.1550417260941084</v>
      </c>
      <c r="AH875">
        <v>5.5427727607509761E-2</v>
      </c>
      <c r="AI875">
        <v>7.3598120213411405E-4</v>
      </c>
    </row>
    <row r="876" spans="23:35" x14ac:dyDescent="0.25">
      <c r="W876">
        <v>874</v>
      </c>
      <c r="X876">
        <v>84.595076158560289</v>
      </c>
      <c r="Y876">
        <v>3.4049238414397109</v>
      </c>
      <c r="Z876">
        <v>84.3386229229381</v>
      </c>
      <c r="AA876">
        <v>0.99575500303214071</v>
      </c>
      <c r="AB876">
        <v>72.099999999999994</v>
      </c>
      <c r="AC876">
        <v>2.428517260365656</v>
      </c>
      <c r="AD876">
        <v>0.94691128895289089</v>
      </c>
      <c r="AE876">
        <v>5.622278534323031E-2</v>
      </c>
      <c r="AF876">
        <v>7.0042836404052691E-2</v>
      </c>
      <c r="AG876">
        <v>0.98192388012533027</v>
      </c>
      <c r="AH876">
        <v>5.6337362326177441E-2</v>
      </c>
      <c r="AI876">
        <v>3.8221068474765369E-3</v>
      </c>
    </row>
    <row r="877" spans="23:35" x14ac:dyDescent="0.25">
      <c r="W877">
        <v>875</v>
      </c>
      <c r="X877">
        <v>77.362192529183773</v>
      </c>
      <c r="Y877">
        <v>8.6378074708162274</v>
      </c>
      <c r="Z877">
        <v>77.324762211802408</v>
      </c>
      <c r="AA877">
        <v>0.99029714978775019</v>
      </c>
      <c r="AB877">
        <v>72.099999999999994</v>
      </c>
      <c r="AC877">
        <v>2.190305027167327</v>
      </c>
      <c r="AD877">
        <v>2.4021792518152361</v>
      </c>
      <c r="AE877">
        <v>5.6539020420803977E-2</v>
      </c>
      <c r="AF877">
        <v>4.3146157252646911E-3</v>
      </c>
      <c r="AG877">
        <v>2.4073783220574709</v>
      </c>
      <c r="AH877">
        <v>5.6801726715678645E-2</v>
      </c>
      <c r="AI877">
        <v>1.3217675326994637E-3</v>
      </c>
    </row>
    <row r="878" spans="23:35" x14ac:dyDescent="0.25">
      <c r="W878">
        <v>876</v>
      </c>
      <c r="X878">
        <v>77.081315721505774</v>
      </c>
      <c r="Y878">
        <v>5.9186842784942257</v>
      </c>
      <c r="Z878">
        <v>77.052632458230775</v>
      </c>
      <c r="AA878">
        <v>0.97877501516070342</v>
      </c>
      <c r="AB878">
        <v>72.099999999999994</v>
      </c>
      <c r="AC878">
        <v>1.9368862628682144</v>
      </c>
      <c r="AD878">
        <v>1.645989519896113</v>
      </c>
      <c r="AE878">
        <v>5.8219125062445178E-2</v>
      </c>
      <c r="AF878">
        <v>4.8228502902412634E-3</v>
      </c>
      <c r="AG878">
        <v>1.64997311543179</v>
      </c>
      <c r="AH878">
        <v>5.8281796198830123E-2</v>
      </c>
      <c r="AI878">
        <v>6.9439009948498061E-4</v>
      </c>
    </row>
    <row r="879" spans="23:35" x14ac:dyDescent="0.25">
      <c r="W879">
        <v>877</v>
      </c>
      <c r="X879">
        <v>85.929651247791114</v>
      </c>
      <c r="Y879">
        <v>-5.9296512477911136</v>
      </c>
      <c r="Z879">
        <v>86.443819693611118</v>
      </c>
      <c r="AA879">
        <v>0.92722862340812617</v>
      </c>
      <c r="AB879">
        <v>72.2</v>
      </c>
      <c r="AC879">
        <v>1.4191611772342045</v>
      </c>
      <c r="AD879">
        <v>-1.6490394403984263</v>
      </c>
      <c r="AE879">
        <v>6.2363430391416945E-2</v>
      </c>
      <c r="AF879">
        <v>7.9792494245266271E-2</v>
      </c>
      <c r="AG879">
        <v>-1.719048608811051</v>
      </c>
      <c r="AH879">
        <v>6.2514965812746251E-2</v>
      </c>
      <c r="AI879">
        <v>1.3486491504478592E-2</v>
      </c>
    </row>
    <row r="880" spans="23:35" x14ac:dyDescent="0.25">
      <c r="W880">
        <v>878</v>
      </c>
      <c r="X880">
        <v>75.92955447297858</v>
      </c>
      <c r="Y880">
        <v>3.7704455270214225</v>
      </c>
      <c r="Z880">
        <v>75.908861697042099</v>
      </c>
      <c r="AA880">
        <v>0.9151000606428138</v>
      </c>
      <c r="AB880">
        <v>72.2</v>
      </c>
      <c r="AC880">
        <v>1.3555018111021329</v>
      </c>
      <c r="AD880">
        <v>1.0485630810493809</v>
      </c>
      <c r="AE880">
        <v>6.3432675020031401E-2</v>
      </c>
      <c r="AF880">
        <v>5.4581960041739652E-3</v>
      </c>
      <c r="AG880">
        <v>1.051436480506917</v>
      </c>
      <c r="AH880">
        <v>6.3549492544484013E-2</v>
      </c>
      <c r="AI880">
        <v>3.1932915062034013E-4</v>
      </c>
    </row>
    <row r="881" spans="23:35" x14ac:dyDescent="0.25">
      <c r="W881">
        <v>879</v>
      </c>
      <c r="X881">
        <v>82.850834380155746</v>
      </c>
      <c r="Y881">
        <v>-3.4508343801557402</v>
      </c>
      <c r="Z881">
        <v>83.0427057749461</v>
      </c>
      <c r="AA881">
        <v>0.90661006670709521</v>
      </c>
      <c r="AB881">
        <v>72.2</v>
      </c>
      <c r="AC881">
        <v>1.2933897637306977</v>
      </c>
      <c r="AD881">
        <v>-0.95967903631423424</v>
      </c>
      <c r="AE881">
        <v>6.4438465307068885E-2</v>
      </c>
      <c r="AF881">
        <v>5.2672767619611531E-2</v>
      </c>
      <c r="AG881">
        <v>-0.98599791595026287</v>
      </c>
      <c r="AH881">
        <v>6.4635414187768914E-2</v>
      </c>
      <c r="AI881">
        <v>2.8450146656888633E-3</v>
      </c>
    </row>
    <row r="882" spans="23:35" x14ac:dyDescent="0.25">
      <c r="W882">
        <v>880</v>
      </c>
      <c r="X882">
        <v>77.66748693634031</v>
      </c>
      <c r="Y882">
        <v>1.1325130636596867</v>
      </c>
      <c r="Z882">
        <v>77.660929727884053</v>
      </c>
      <c r="AA882">
        <v>0.88174651303820495</v>
      </c>
      <c r="AB882">
        <v>72.2</v>
      </c>
      <c r="AC882">
        <v>1.1700898139672218</v>
      </c>
      <c r="AD882">
        <v>0.31495253779671639</v>
      </c>
      <c r="AE882">
        <v>6.4709306604933944E-2</v>
      </c>
      <c r="AF882">
        <v>5.7566320680843414E-3</v>
      </c>
      <c r="AG882">
        <v>0.31586300353962027</v>
      </c>
      <c r="AH882">
        <v>6.481004448125903E-2</v>
      </c>
      <c r="AI882">
        <v>3.0403227588493797E-5</v>
      </c>
    </row>
    <row r="883" spans="23:35" x14ac:dyDescent="0.25">
      <c r="W883">
        <v>881</v>
      </c>
      <c r="X883">
        <v>81.268110022596488</v>
      </c>
      <c r="Y883">
        <v>-2.5681100225964855</v>
      </c>
      <c r="Z883">
        <v>81.355142836810217</v>
      </c>
      <c r="AA883">
        <v>0.87871437234687688</v>
      </c>
      <c r="AB883">
        <v>72.2</v>
      </c>
      <c r="AC883">
        <v>1.1521925343545227</v>
      </c>
      <c r="AD883">
        <v>-0.71419288210612208</v>
      </c>
      <c r="AE883">
        <v>6.6381997846636523E-2</v>
      </c>
      <c r="AF883">
        <v>3.2778957503577393E-2</v>
      </c>
      <c r="AG883">
        <v>-0.72619398839167515</v>
      </c>
      <c r="AH883">
        <v>6.6468513333966445E-2</v>
      </c>
      <c r="AI883">
        <v>9.4063492296407722E-4</v>
      </c>
    </row>
    <row r="884" spans="23:35" x14ac:dyDescent="0.25">
      <c r="W884">
        <v>882</v>
      </c>
      <c r="X884">
        <v>80.24774031669412</v>
      </c>
      <c r="Y884">
        <v>-1.6477403166941258</v>
      </c>
      <c r="Z884">
        <v>80.284919544111716</v>
      </c>
      <c r="AA884">
        <v>0.8750758035172832</v>
      </c>
      <c r="AB884">
        <v>72.2</v>
      </c>
      <c r="AC884">
        <v>1.1404631659072275</v>
      </c>
      <c r="AD884">
        <v>-0.45823753475811951</v>
      </c>
      <c r="AE884">
        <v>6.848013399912195E-2</v>
      </c>
      <c r="AF884">
        <v>2.2065877001381184E-2</v>
      </c>
      <c r="AG884">
        <v>-0.46337847907813451</v>
      </c>
      <c r="AH884">
        <v>6.8675988795714085E-2</v>
      </c>
      <c r="AI884">
        <v>2.5499385308062607E-4</v>
      </c>
    </row>
    <row r="885" spans="23:35" x14ac:dyDescent="0.25">
      <c r="W885">
        <v>883</v>
      </c>
      <c r="X885">
        <v>75.778604648675014</v>
      </c>
      <c r="Y885">
        <v>2.5213953513249834</v>
      </c>
      <c r="Z885">
        <v>75.763172375448235</v>
      </c>
      <c r="AA885">
        <v>0.86901152213462707</v>
      </c>
      <c r="AB885">
        <v>72.2</v>
      </c>
      <c r="AC885">
        <v>1.1118051137279645</v>
      </c>
      <c r="AD885">
        <v>0.70120150501617085</v>
      </c>
      <c r="AE885">
        <v>6.8666691248302325E-2</v>
      </c>
      <c r="AF885">
        <v>6.0832959549259307E-3</v>
      </c>
      <c r="AG885">
        <v>0.70334409362690486</v>
      </c>
      <c r="AH885">
        <v>6.8797795619932392E-2</v>
      </c>
      <c r="AI885">
        <v>1.5935696309049213E-4</v>
      </c>
    </row>
    <row r="886" spans="23:35" x14ac:dyDescent="0.25">
      <c r="W886">
        <v>884</v>
      </c>
      <c r="X886">
        <v>78.796143079952017</v>
      </c>
      <c r="Y886">
        <v>-0.79614307995201727</v>
      </c>
      <c r="Z886">
        <v>78.807441825863009</v>
      </c>
      <c r="AA886">
        <v>0.86294724075197093</v>
      </c>
      <c r="AB886">
        <v>72.2</v>
      </c>
      <c r="AC886">
        <v>1.0491313979639725</v>
      </c>
      <c r="AD886">
        <v>-0.22140785084623973</v>
      </c>
      <c r="AE886">
        <v>6.9750127337855947E-2</v>
      </c>
      <c r="AF886">
        <v>1.3993263104639221E-2</v>
      </c>
      <c r="AG886">
        <v>-0.22297340975456509</v>
      </c>
      <c r="AH886">
        <v>7.0023531517939372E-2</v>
      </c>
      <c r="AI886">
        <v>3.7135704484824056E-5</v>
      </c>
    </row>
    <row r="887" spans="23:35" x14ac:dyDescent="0.25">
      <c r="W887">
        <v>885</v>
      </c>
      <c r="X887">
        <v>78.961479637466354</v>
      </c>
      <c r="Y887">
        <v>-1.161479637466357</v>
      </c>
      <c r="Z887">
        <v>78.979853795053842</v>
      </c>
      <c r="AA887">
        <v>0.85203153426318978</v>
      </c>
      <c r="AB887">
        <v>72.2</v>
      </c>
      <c r="AC887">
        <v>1.0386467129748296</v>
      </c>
      <c r="AD887">
        <v>-0.32300815872015692</v>
      </c>
      <c r="AE887">
        <v>7.1090969432610507E-2</v>
      </c>
      <c r="AF887">
        <v>1.5573249553894344E-2</v>
      </c>
      <c r="AG887">
        <v>-0.32555306527942718</v>
      </c>
      <c r="AH887">
        <v>7.219687133884109E-2</v>
      </c>
      <c r="AI887">
        <v>8.8244127452423131E-5</v>
      </c>
    </row>
    <row r="888" spans="23:35" x14ac:dyDescent="0.25">
      <c r="W888">
        <v>886</v>
      </c>
      <c r="X888">
        <v>64.499283757891135</v>
      </c>
      <c r="Y888">
        <v>0.60071624210885943</v>
      </c>
      <c r="Z888">
        <v>64.496643329211267</v>
      </c>
      <c r="AA888">
        <v>0.27713765918738631</v>
      </c>
      <c r="AB888">
        <v>72.2</v>
      </c>
      <c r="AC888">
        <v>-0.60317578841021124</v>
      </c>
      <c r="AD888">
        <v>0.167059534250763</v>
      </c>
      <c r="AE888">
        <v>7.1869822305991718E-2</v>
      </c>
      <c r="AF888">
        <v>4.3762318504111577E-3</v>
      </c>
      <c r="AG888">
        <v>0.16742628405469343</v>
      </c>
      <c r="AH888">
        <v>7.2997811012540631E-2</v>
      </c>
      <c r="AI888">
        <v>6.4848321966260112E-6</v>
      </c>
    </row>
    <row r="889" spans="23:35" x14ac:dyDescent="0.25">
      <c r="W889">
        <v>887</v>
      </c>
      <c r="X889">
        <v>68.402615299634448</v>
      </c>
      <c r="Y889">
        <v>-3.702615299634445</v>
      </c>
      <c r="Z889">
        <v>68.417042595953276</v>
      </c>
      <c r="AA889">
        <v>0.26197695573074592</v>
      </c>
      <c r="AB889">
        <v>72.2</v>
      </c>
      <c r="AC889">
        <v>-0.64941472986293491</v>
      </c>
      <c r="AD889">
        <v>-1.0296994555951879</v>
      </c>
      <c r="AE889">
        <v>7.1887417384171495E-2</v>
      </c>
      <c r="AF889">
        <v>3.881391172254119E-3</v>
      </c>
      <c r="AG889">
        <v>-1.0317036248982261</v>
      </c>
      <c r="AH889">
        <v>7.3199419145212649E-2</v>
      </c>
      <c r="AI889">
        <v>2.1828941265785251E-4</v>
      </c>
    </row>
    <row r="890" spans="23:35" x14ac:dyDescent="0.25">
      <c r="W890">
        <v>888</v>
      </c>
      <c r="X890">
        <v>63.976885669834076</v>
      </c>
      <c r="Y890">
        <v>0.32311433016592161</v>
      </c>
      <c r="Z890">
        <v>63.972399538523341</v>
      </c>
      <c r="AA890">
        <v>0.2498483929654336</v>
      </c>
      <c r="AB890">
        <v>72.2</v>
      </c>
      <c r="AC890">
        <v>-0.68742774275107121</v>
      </c>
      <c r="AD890">
        <v>8.9858282036403156E-2</v>
      </c>
      <c r="AE890">
        <v>7.2397497909682071E-2</v>
      </c>
      <c r="AF890">
        <v>1.3693910229895394E-2</v>
      </c>
      <c r="AG890">
        <v>9.0479929585662963E-2</v>
      </c>
      <c r="AH890">
        <v>7.4558757074830243E-2</v>
      </c>
      <c r="AI890">
        <v>5.9822790711362676E-6</v>
      </c>
    </row>
    <row r="891" spans="23:35" x14ac:dyDescent="0.25">
      <c r="W891">
        <v>889</v>
      </c>
      <c r="X891">
        <v>64.517753730984666</v>
      </c>
      <c r="Y891">
        <v>-0.71775373098466844</v>
      </c>
      <c r="Z891">
        <v>64.519265143182096</v>
      </c>
      <c r="AA891">
        <v>0.23650697392359005</v>
      </c>
      <c r="AB891">
        <v>72.2</v>
      </c>
      <c r="AC891">
        <v>-0.72448350403832318</v>
      </c>
      <c r="AD891">
        <v>-0.19960772757550474</v>
      </c>
      <c r="AE891">
        <v>7.4061426599090263E-2</v>
      </c>
      <c r="AF891">
        <v>2.1013282956346231E-3</v>
      </c>
      <c r="AG891">
        <v>-0.19981777935733991</v>
      </c>
      <c r="AH891">
        <v>7.6404724663229742E-2</v>
      </c>
      <c r="AI891">
        <v>4.4250901166340519E-6</v>
      </c>
    </row>
    <row r="892" spans="23:35" x14ac:dyDescent="0.25">
      <c r="W892">
        <v>890</v>
      </c>
      <c r="X892">
        <v>63.235809991514181</v>
      </c>
      <c r="Y892">
        <v>6.4190008485816463E-2</v>
      </c>
      <c r="Z892">
        <v>63.235005035497267</v>
      </c>
      <c r="AA892">
        <v>0.22741055184960582</v>
      </c>
      <c r="AB892">
        <v>72.3</v>
      </c>
      <c r="AC892">
        <v>-0.75647701124006039</v>
      </c>
      <c r="AD892">
        <v>1.7851278473089368E-2</v>
      </c>
      <c r="AE892">
        <v>7.5447240894379125E-2</v>
      </c>
      <c r="AF892">
        <v>1.2384898169772066E-2</v>
      </c>
      <c r="AG892">
        <v>1.7962859118689598E-2</v>
      </c>
      <c r="AH892">
        <v>7.6470852694808369E-2</v>
      </c>
      <c r="AI892">
        <v>2.1296196456656345E-7</v>
      </c>
    </row>
    <row r="893" spans="23:35" x14ac:dyDescent="0.25">
      <c r="W893">
        <v>891</v>
      </c>
      <c r="X893">
        <v>63.747805678487204</v>
      </c>
      <c r="Y893">
        <v>-0.94780567848720665</v>
      </c>
      <c r="Z893">
        <v>63.749731001524665</v>
      </c>
      <c r="AA893">
        <v>0.21467556094602788</v>
      </c>
      <c r="AB893">
        <v>72.3</v>
      </c>
      <c r="AC893">
        <v>-0.79968509868701798</v>
      </c>
      <c r="AD893">
        <v>-0.26358530718669571</v>
      </c>
      <c r="AE893">
        <v>7.6136746575897876E-2</v>
      </c>
      <c r="AF893">
        <v>2.0272298517937872E-3</v>
      </c>
      <c r="AG893">
        <v>-0.26385288809310714</v>
      </c>
      <c r="AH893">
        <v>7.7813825244520157E-2</v>
      </c>
      <c r="AI893">
        <v>7.4431094393809759E-6</v>
      </c>
    </row>
    <row r="894" spans="23:35" x14ac:dyDescent="0.25">
      <c r="W894">
        <v>892</v>
      </c>
      <c r="X894">
        <v>63.204233943611221</v>
      </c>
      <c r="Y894">
        <v>-0.90423394361122433</v>
      </c>
      <c r="Z894">
        <v>63.20621266582728</v>
      </c>
      <c r="AA894">
        <v>0.20557913887204365</v>
      </c>
      <c r="AB894">
        <v>72.3</v>
      </c>
      <c r="AC894">
        <v>-0.82505741806651978</v>
      </c>
      <c r="AD894">
        <v>-0.25146798252551189</v>
      </c>
      <c r="AE894">
        <v>7.8169075378555331E-2</v>
      </c>
      <c r="AF894">
        <v>2.183507570217669E-3</v>
      </c>
      <c r="AG894">
        <v>-0.25174297406387913</v>
      </c>
      <c r="AH894">
        <v>7.9195864639831012E-2</v>
      </c>
      <c r="AI894">
        <v>7.2990298593618143E-6</v>
      </c>
    </row>
    <row r="895" spans="23:35" x14ac:dyDescent="0.25">
      <c r="W895">
        <v>893</v>
      </c>
      <c r="X895">
        <v>62.886692759778505</v>
      </c>
      <c r="Y895">
        <v>-0.98669275977850646</v>
      </c>
      <c r="Z895">
        <v>62.888982056476934</v>
      </c>
      <c r="AA895">
        <v>0.19466343238326259</v>
      </c>
      <c r="AB895">
        <v>72.3</v>
      </c>
      <c r="AC895">
        <v>-0.86414620345364646</v>
      </c>
      <c r="AD895">
        <v>-0.27439982697742049</v>
      </c>
      <c r="AE895">
        <v>7.9750613665407796E-2</v>
      </c>
      <c r="AF895">
        <v>2.3148010456153847E-3</v>
      </c>
      <c r="AG895">
        <v>-0.27471796991549446</v>
      </c>
      <c r="AH895">
        <v>8.0090610054618053E-2</v>
      </c>
      <c r="AI895">
        <v>9.2159620265459827E-6</v>
      </c>
    </row>
    <row r="896" spans="23:35" x14ac:dyDescent="0.25">
      <c r="W896">
        <v>894</v>
      </c>
      <c r="X896">
        <v>62.620915491494387</v>
      </c>
      <c r="Y896">
        <v>-1.220915491494388</v>
      </c>
      <c r="Z896">
        <v>62.623826968435885</v>
      </c>
      <c r="AA896">
        <v>0.18617343844754397</v>
      </c>
      <c r="AB896">
        <v>72.3</v>
      </c>
      <c r="AC896">
        <v>-0.90460220385671419</v>
      </c>
      <c r="AD896">
        <v>-0.3395373040897936</v>
      </c>
      <c r="AE896">
        <v>8.2866559239176851E-2</v>
      </c>
      <c r="AF896">
        <v>2.3789939399839173E-3</v>
      </c>
      <c r="AG896">
        <v>-0.33994190473435693</v>
      </c>
      <c r="AH896">
        <v>8.4492801913452584E-2</v>
      </c>
      <c r="AI896">
        <v>1.4503858584186129E-5</v>
      </c>
    </row>
    <row r="897" spans="23:35" x14ac:dyDescent="0.25">
      <c r="W897">
        <v>895</v>
      </c>
      <c r="X897">
        <v>61.797668579204476</v>
      </c>
      <c r="Y897">
        <v>7.2023314207955238</v>
      </c>
      <c r="Z897">
        <v>61.703063483555297</v>
      </c>
      <c r="AA897">
        <v>0.42086112795633718</v>
      </c>
      <c r="AB897">
        <v>72.3</v>
      </c>
      <c r="AC897">
        <v>-0.21444491222324932</v>
      </c>
      <c r="AD897">
        <v>2.0029725323453031</v>
      </c>
      <c r="AE897">
        <v>8.58335878800396E-2</v>
      </c>
      <c r="AF897">
        <v>1.2965042992490051E-2</v>
      </c>
      <c r="AG897">
        <v>2.0160844812297842</v>
      </c>
      <c r="AH897">
        <v>8.6109643160189236E-2</v>
      </c>
      <c r="AI897">
        <v>2.8099932691116858E-3</v>
      </c>
    </row>
    <row r="898" spans="23:35" x14ac:dyDescent="0.25">
      <c r="W898">
        <v>896</v>
      </c>
      <c r="X898">
        <v>61.588372721588577</v>
      </c>
      <c r="Y898">
        <v>2.411627278411423</v>
      </c>
      <c r="Z898">
        <v>61.55770453330058</v>
      </c>
      <c r="AA898">
        <v>0.24075197089144937</v>
      </c>
      <c r="AB898">
        <v>72.3</v>
      </c>
      <c r="AC898">
        <v>-0.7126762947196924</v>
      </c>
      <c r="AD898">
        <v>0.67067494047353926</v>
      </c>
      <c r="AE898">
        <v>8.6390350851034609E-2</v>
      </c>
      <c r="AF898">
        <v>1.2557116330172306E-2</v>
      </c>
      <c r="AG898">
        <v>0.67492588899703188</v>
      </c>
      <c r="AH898">
        <v>8.6544461853535801E-2</v>
      </c>
      <c r="AI898">
        <v>3.048853150659279E-4</v>
      </c>
    </row>
    <row r="899" spans="23:35" x14ac:dyDescent="0.25">
      <c r="W899">
        <v>897</v>
      </c>
      <c r="X899">
        <v>60.850701486513152</v>
      </c>
      <c r="Y899">
        <v>-0.95070148651315378</v>
      </c>
      <c r="Z899">
        <v>60.885548287104555</v>
      </c>
      <c r="AA899">
        <v>0.17404487568223165</v>
      </c>
      <c r="AB899">
        <v>72.3</v>
      </c>
      <c r="AC899">
        <v>-0.94897780985887348</v>
      </c>
      <c r="AD899">
        <v>-0.26439063307300109</v>
      </c>
      <c r="AE899">
        <v>8.7485838980400951E-2</v>
      </c>
      <c r="AF899">
        <v>3.5357781092367854E-2</v>
      </c>
      <c r="AG899">
        <v>-0.26919248524487588</v>
      </c>
      <c r="AH899">
        <v>8.8932611117249302E-2</v>
      </c>
      <c r="AI899">
        <v>1.3979479456352665E-4</v>
      </c>
    </row>
    <row r="900" spans="23:35" x14ac:dyDescent="0.25">
      <c r="W900">
        <v>898</v>
      </c>
      <c r="X900">
        <v>60.992488923959215</v>
      </c>
      <c r="Y900">
        <v>-1.6924889239592176</v>
      </c>
      <c r="Z900">
        <v>60.999103820259819</v>
      </c>
      <c r="AA900">
        <v>0.16070345664038813</v>
      </c>
      <c r="AB900">
        <v>72.3</v>
      </c>
      <c r="AC900">
        <v>-1.0028172174115717</v>
      </c>
      <c r="AD900">
        <v>-0.47068214831115512</v>
      </c>
      <c r="AE900">
        <v>8.8795694588597346E-2</v>
      </c>
      <c r="AF900">
        <v>3.8931678110116401E-3</v>
      </c>
      <c r="AG900">
        <v>-0.47160105457004381</v>
      </c>
      <c r="AH900">
        <v>9.0479929585662963E-2</v>
      </c>
      <c r="AI900">
        <v>4.5750214989248105E-5</v>
      </c>
    </row>
    <row r="901" spans="23:35" x14ac:dyDescent="0.25">
      <c r="W901">
        <v>899</v>
      </c>
      <c r="X901">
        <v>61.046807054547337</v>
      </c>
      <c r="Y901">
        <v>-3.4468070545473353</v>
      </c>
      <c r="Z901">
        <v>61.076040193615938</v>
      </c>
      <c r="AA901">
        <v>0.12431776834445118</v>
      </c>
      <c r="AB901">
        <v>72.3</v>
      </c>
      <c r="AC901">
        <v>-1.1700898139672218</v>
      </c>
      <c r="AD901">
        <v>-0.95855903473402992</v>
      </c>
      <c r="AE901">
        <v>8.9400204222390631E-2</v>
      </c>
      <c r="AF901">
        <v>8.4098967331528007E-3</v>
      </c>
      <c r="AG901">
        <v>-0.96261532874796207</v>
      </c>
      <c r="AH901">
        <v>9.0483723991918383E-2</v>
      </c>
      <c r="AI901">
        <v>4.1362847116586601E-4</v>
      </c>
    </row>
    <row r="902" spans="23:35" x14ac:dyDescent="0.25">
      <c r="W902">
        <v>900</v>
      </c>
      <c r="X902">
        <v>59.427787118330222</v>
      </c>
      <c r="Y902">
        <v>-2.7277871183302196</v>
      </c>
      <c r="Z902">
        <v>59.444926756435713</v>
      </c>
      <c r="AA902">
        <v>0.10491206791995149</v>
      </c>
      <c r="AB902">
        <v>72.3</v>
      </c>
      <c r="AC902">
        <v>-1.2726185683477402</v>
      </c>
      <c r="AD902">
        <v>-0.75859917475129091</v>
      </c>
      <c r="AE902">
        <v>8.9858282036403156E-2</v>
      </c>
      <c r="AF902">
        <v>6.2441149168393105E-3</v>
      </c>
      <c r="AG902">
        <v>-0.76097871436855047</v>
      </c>
      <c r="AH902">
        <v>9.0944707518648762E-2</v>
      </c>
      <c r="AI902">
        <v>1.9150609070459532E-4</v>
      </c>
    </row>
    <row r="903" spans="23:35" x14ac:dyDescent="0.25">
      <c r="W903">
        <v>901</v>
      </c>
      <c r="X903">
        <v>65.312188924151485</v>
      </c>
      <c r="Y903">
        <v>-10.012188924151488</v>
      </c>
      <c r="Z903">
        <v>65.437467402563286</v>
      </c>
      <c r="AA903">
        <v>8.6719223771983017E-2</v>
      </c>
      <c r="AB903">
        <v>72.400000000000006</v>
      </c>
      <c r="AC903">
        <v>-1.3946242806491973</v>
      </c>
      <c r="AD903">
        <v>-2.7843955286234592</v>
      </c>
      <c r="AE903">
        <v>9.0485504186481769E-2</v>
      </c>
      <c r="AF903">
        <v>1.2357966091227321E-2</v>
      </c>
      <c r="AG903">
        <v>-2.8017613831567418</v>
      </c>
      <c r="AH903">
        <v>9.1035927049421386E-2</v>
      </c>
      <c r="AI903">
        <v>5.1695902702157672E-3</v>
      </c>
    </row>
    <row r="904" spans="23:35" x14ac:dyDescent="0.25">
      <c r="W904">
        <v>902</v>
      </c>
      <c r="X904">
        <v>56.757980199507386</v>
      </c>
      <c r="Y904">
        <v>-2.6579801995073851</v>
      </c>
      <c r="Z904">
        <v>56.784400686528372</v>
      </c>
      <c r="AA904">
        <v>7.1558520315342627E-2</v>
      </c>
      <c r="AB904">
        <v>72.400000000000006</v>
      </c>
      <c r="AC904">
        <v>-1.4754749432056431</v>
      </c>
      <c r="AD904">
        <v>-0.73918583026590878</v>
      </c>
      <c r="AE904">
        <v>9.1669977149739929E-2</v>
      </c>
      <c r="AF904">
        <v>9.8422292743307414E-3</v>
      </c>
      <c r="AG904">
        <v>-0.7428505223265891</v>
      </c>
      <c r="AH904">
        <v>9.258116295840671E-2</v>
      </c>
      <c r="AI904">
        <v>2.8869438873176378E-4</v>
      </c>
    </row>
    <row r="905" spans="23:35" x14ac:dyDescent="0.25">
      <c r="W905">
        <v>903</v>
      </c>
      <c r="X905">
        <v>52.858898693652208</v>
      </c>
      <c r="Y905">
        <v>4.1101306347790967E-2</v>
      </c>
      <c r="Z905">
        <v>52.852785790370199</v>
      </c>
      <c r="AA905">
        <v>5.7610673135233471E-2</v>
      </c>
      <c r="AB905">
        <v>72.400000000000006</v>
      </c>
      <c r="AC905">
        <v>-1.5777854040319945</v>
      </c>
      <c r="AD905">
        <v>1.1430297059148923E-2</v>
      </c>
      <c r="AE905">
        <v>9.2263405522245753E-2</v>
      </c>
      <c r="AF905">
        <v>0.12947168511212184</v>
      </c>
      <c r="AG905">
        <v>1.2250845603556547E-2</v>
      </c>
      <c r="AH905">
        <v>9.2699276861928359E-2</v>
      </c>
      <c r="AI905">
        <v>1.1748175646221175E-6</v>
      </c>
    </row>
    <row r="906" spans="23:35" x14ac:dyDescent="0.25">
      <c r="W906">
        <v>904</v>
      </c>
      <c r="X906">
        <v>52.410402180281217</v>
      </c>
      <c r="Y906">
        <v>-0.910402180281217</v>
      </c>
      <c r="Z906">
        <v>52.419456684507786</v>
      </c>
      <c r="AA906">
        <v>4.1843541540327468E-2</v>
      </c>
      <c r="AB906">
        <v>72.400000000000006</v>
      </c>
      <c r="AC906">
        <v>-1.7330844772440359</v>
      </c>
      <c r="AD906">
        <v>-0.25318337270976915</v>
      </c>
      <c r="AE906">
        <v>9.4569271511692282E-2</v>
      </c>
      <c r="AF906">
        <v>9.8476680621650738E-3</v>
      </c>
      <c r="AG906">
        <v>-0.25443928915247022</v>
      </c>
      <c r="AH906">
        <v>9.474646731360814E-2</v>
      </c>
      <c r="AI906">
        <v>3.3888015173156126E-5</v>
      </c>
    </row>
    <row r="907" spans="23:35" x14ac:dyDescent="0.25">
      <c r="W907">
        <v>905</v>
      </c>
      <c r="X907">
        <v>50.419258811647516</v>
      </c>
      <c r="Y907">
        <v>-0.41925881164751644</v>
      </c>
      <c r="Z907">
        <v>50.423644307081688</v>
      </c>
      <c r="AA907">
        <v>3.5779260157671314E-2</v>
      </c>
      <c r="AB907">
        <v>72.400000000000006</v>
      </c>
      <c r="AC907">
        <v>-1.8215296776288319</v>
      </c>
      <c r="AD907">
        <v>-0.11659611792495846</v>
      </c>
      <c r="AE907">
        <v>0.10037827740836608</v>
      </c>
      <c r="AF907">
        <v>1.0351833745572621E-2</v>
      </c>
      <c r="AG907">
        <v>-0.117204335962814</v>
      </c>
      <c r="AH907">
        <v>0.10089991588709231</v>
      </c>
      <c r="AI907">
        <v>7.5625841566852572E-6</v>
      </c>
    </row>
    <row r="908" spans="23:35" x14ac:dyDescent="0.25">
      <c r="W908">
        <v>906</v>
      </c>
      <c r="X908">
        <v>49.282346985821064</v>
      </c>
      <c r="Y908">
        <v>-0.78234698582106432</v>
      </c>
      <c r="Z908">
        <v>49.290762134481398</v>
      </c>
      <c r="AA908">
        <v>2.3650697392359005E-2</v>
      </c>
      <c r="AB908">
        <v>72.400000000000006</v>
      </c>
      <c r="AC908">
        <v>-1.9890565032593337</v>
      </c>
      <c r="AD908">
        <v>-0.217571149091838</v>
      </c>
      <c r="AE908">
        <v>0.1012238371115087</v>
      </c>
      <c r="AF908">
        <v>1.0641820458250826E-2</v>
      </c>
      <c r="AG908">
        <v>-0.21873814819509227</v>
      </c>
      <c r="AH908">
        <v>0.10210244229007794</v>
      </c>
      <c r="AI908">
        <v>2.7086808674455973E-5</v>
      </c>
    </row>
    <row r="909" spans="23:35" x14ac:dyDescent="0.25">
      <c r="W909">
        <v>907</v>
      </c>
      <c r="X909">
        <v>47.930849491370303</v>
      </c>
      <c r="Y909">
        <v>-0.83084949137030151</v>
      </c>
      <c r="Z909">
        <v>47.941581332866036</v>
      </c>
      <c r="AA909">
        <v>1.758641600970285E-2</v>
      </c>
      <c r="AB909">
        <v>72.400000000000006</v>
      </c>
      <c r="AC909">
        <v>-2.1426564926871321</v>
      </c>
      <c r="AD909">
        <v>-0.23105972392811194</v>
      </c>
      <c r="AE909">
        <v>0.10188120735254103</v>
      </c>
      <c r="AF909">
        <v>1.2751995649885092E-2</v>
      </c>
      <c r="AG909">
        <v>-0.23254720167250728</v>
      </c>
      <c r="AH909">
        <v>0.10221479491494798</v>
      </c>
      <c r="AI909">
        <v>3.6763811116188606E-5</v>
      </c>
    </row>
    <row r="910" spans="23:35" x14ac:dyDescent="0.25">
      <c r="W910">
        <v>908</v>
      </c>
      <c r="X910">
        <v>56.05125832543947</v>
      </c>
      <c r="Y910">
        <v>-10.05125832543947</v>
      </c>
      <c r="Z910">
        <v>56.238358105940421</v>
      </c>
      <c r="AA910">
        <v>1.2128562765312311E-2</v>
      </c>
      <c r="AB910">
        <v>72.400000000000006</v>
      </c>
      <c r="AC910">
        <v>-2.3261203997549518</v>
      </c>
      <c r="AD910">
        <v>-2.7952607517106745</v>
      </c>
      <c r="AE910">
        <v>0.10412279710137906</v>
      </c>
      <c r="AF910">
        <v>1.8274393077967278E-2</v>
      </c>
      <c r="AG910">
        <v>-2.8211570737593124</v>
      </c>
      <c r="AH910">
        <v>0.10423495499164349</v>
      </c>
      <c r="AI910">
        <v>7.7974711457891093E-3</v>
      </c>
    </row>
    <row r="911" spans="23:35" x14ac:dyDescent="0.25">
      <c r="W911">
        <v>909</v>
      </c>
      <c r="X911">
        <v>46.359207060536008</v>
      </c>
      <c r="Y911">
        <v>-1.2592070605360064</v>
      </c>
      <c r="Z911">
        <v>46.376402058413795</v>
      </c>
      <c r="AA911">
        <v>5.4578532443905394E-3</v>
      </c>
      <c r="AB911">
        <v>72.400000000000006</v>
      </c>
      <c r="AC911">
        <v>-2.5652792972685243</v>
      </c>
      <c r="AD911">
        <v>-0.35018621157957053</v>
      </c>
      <c r="AE911">
        <v>0.10451413637280121</v>
      </c>
      <c r="AF911">
        <v>1.347145890626298E-2</v>
      </c>
      <c r="AG911">
        <v>-0.35256907384353287</v>
      </c>
      <c r="AH911">
        <v>0.10526342578485759</v>
      </c>
      <c r="AI911">
        <v>8.9338736295520841E-5</v>
      </c>
    </row>
    <row r="912" spans="23:35" x14ac:dyDescent="0.25">
      <c r="W912">
        <v>910</v>
      </c>
      <c r="X912">
        <v>45.925862047484607</v>
      </c>
      <c r="Y912">
        <v>-1.3258620474846055</v>
      </c>
      <c r="Z912">
        <v>45.943778424319987</v>
      </c>
      <c r="AA912">
        <v>3.6385688295936932E-3</v>
      </c>
      <c r="AB912">
        <v>72.5</v>
      </c>
      <c r="AC912">
        <v>-2.7786903070508315</v>
      </c>
      <c r="AD912">
        <v>-0.3687230019883535</v>
      </c>
      <c r="AE912">
        <v>0.10649081250993313</v>
      </c>
      <c r="AF912">
        <v>1.333283561569662E-2</v>
      </c>
      <c r="AG912">
        <v>-0.37120591959556004</v>
      </c>
      <c r="AH912">
        <v>0.11025049790518522</v>
      </c>
      <c r="AI912">
        <v>9.800044207295181E-5</v>
      </c>
    </row>
    <row r="913" spans="23:35" x14ac:dyDescent="0.25">
      <c r="W913">
        <v>911</v>
      </c>
      <c r="X913">
        <v>54.842406250962135</v>
      </c>
      <c r="Y913">
        <v>-10.842406250962135</v>
      </c>
      <c r="Z913">
        <v>55.071636005750456</v>
      </c>
      <c r="AA913">
        <v>6.0642813826561554E-4</v>
      </c>
      <c r="AB913">
        <v>72.5</v>
      </c>
      <c r="AC913">
        <v>-3.4287229888501014</v>
      </c>
      <c r="AD913">
        <v>-3.0152794472220283</v>
      </c>
      <c r="AE913">
        <v>0.1106786653278511</v>
      </c>
      <c r="AF913">
        <v>2.0704235098522417E-2</v>
      </c>
      <c r="AG913">
        <v>-3.046987196434594</v>
      </c>
      <c r="AH913">
        <v>0.11079914251731877</v>
      </c>
      <c r="AI913">
        <v>1.0330776638632761E-2</v>
      </c>
    </row>
    <row r="914" spans="23:35" x14ac:dyDescent="0.25">
      <c r="W914">
        <v>912</v>
      </c>
      <c r="X914">
        <v>73.540787901592751</v>
      </c>
      <c r="Y914">
        <v>1.2592120984072466</v>
      </c>
      <c r="Z914">
        <v>73.533566951066035</v>
      </c>
      <c r="AA914">
        <v>0.74166161309884782</v>
      </c>
      <c r="AB914">
        <v>72.5</v>
      </c>
      <c r="AC914">
        <v>0.63261352584071384</v>
      </c>
      <c r="AD914">
        <v>0.35018761261447523</v>
      </c>
      <c r="AE914">
        <v>0.11089339213447715</v>
      </c>
      <c r="AF914">
        <v>5.7018020279813635E-3</v>
      </c>
      <c r="AG914">
        <v>0.3511902525181439</v>
      </c>
      <c r="AH914">
        <v>0.11342762855043388</v>
      </c>
      <c r="AI914">
        <v>3.7224321243615518E-5</v>
      </c>
    </row>
    <row r="915" spans="23:35" x14ac:dyDescent="0.25">
      <c r="W915">
        <v>913</v>
      </c>
      <c r="X915">
        <v>72.881632944888622</v>
      </c>
      <c r="Y915">
        <v>1.7183670551113721</v>
      </c>
      <c r="Z915">
        <v>72.874378315845917</v>
      </c>
      <c r="AA915">
        <v>0.73013947847180105</v>
      </c>
      <c r="AB915">
        <v>72.5</v>
      </c>
      <c r="AC915">
        <v>0.59589828697336056</v>
      </c>
      <c r="AD915">
        <v>0.47787887154670844</v>
      </c>
      <c r="AE915">
        <v>0.11345423192863124</v>
      </c>
      <c r="AF915">
        <v>4.2040669222692673E-3</v>
      </c>
      <c r="AG915">
        <v>0.47888656735601681</v>
      </c>
      <c r="AH915">
        <v>0.11371627096248542</v>
      </c>
      <c r="AI915">
        <v>5.0957836643537199E-5</v>
      </c>
    </row>
    <row r="916" spans="23:35" x14ac:dyDescent="0.25">
      <c r="W916">
        <v>914</v>
      </c>
      <c r="X916">
        <v>72.759653910576262</v>
      </c>
      <c r="Y916">
        <v>1.7403460894237384</v>
      </c>
      <c r="Z916">
        <v>72.752150651445902</v>
      </c>
      <c r="AA916">
        <v>0.72407519708914492</v>
      </c>
      <c r="AB916">
        <v>72.5</v>
      </c>
      <c r="AC916">
        <v>0.56531175535073552</v>
      </c>
      <c r="AD916">
        <v>0.48399125369674867</v>
      </c>
      <c r="AE916">
        <v>0.11351002471959198</v>
      </c>
      <c r="AF916">
        <v>4.292852319663888E-3</v>
      </c>
      <c r="AG916">
        <v>0.48503346192229696</v>
      </c>
      <c r="AH916">
        <v>0.11407279745801735</v>
      </c>
      <c r="AI916">
        <v>5.3383141171814385E-5</v>
      </c>
    </row>
    <row r="917" spans="23:35" x14ac:dyDescent="0.25">
      <c r="W917">
        <v>915</v>
      </c>
      <c r="X917">
        <v>74.639058195786006</v>
      </c>
      <c r="Y917">
        <v>-0.33905819578600926</v>
      </c>
      <c r="Z917">
        <v>74.640986556008031</v>
      </c>
      <c r="AA917">
        <v>0.7052759248029109</v>
      </c>
      <c r="AB917">
        <v>72.5</v>
      </c>
      <c r="AC917">
        <v>0.52824151828033117</v>
      </c>
      <c r="AD917">
        <v>-9.4292280283725244E-2</v>
      </c>
      <c r="AE917">
        <v>0.11669753182878961</v>
      </c>
      <c r="AF917">
        <v>5.6552382727273823E-3</v>
      </c>
      <c r="AG917">
        <v>-9.4560039156767473E-2</v>
      </c>
      <c r="AH917">
        <v>0.11690317491563391</v>
      </c>
      <c r="AI917">
        <v>2.6765514956569781E-6</v>
      </c>
    </row>
    <row r="918" spans="23:35" x14ac:dyDescent="0.25">
      <c r="W918">
        <v>916</v>
      </c>
      <c r="X918">
        <v>72.381847233493687</v>
      </c>
      <c r="Y918">
        <v>1.7181527665063072</v>
      </c>
      <c r="Z918">
        <v>72.374269474905205</v>
      </c>
      <c r="AA918">
        <v>0.69254093389933291</v>
      </c>
      <c r="AB918">
        <v>72.5</v>
      </c>
      <c r="AC918">
        <v>0.48161589062349974</v>
      </c>
      <c r="AD918">
        <v>0.47781927776174316</v>
      </c>
      <c r="AE918">
        <v>0.11741674713568291</v>
      </c>
      <c r="AF918">
        <v>4.3910439540154967E-3</v>
      </c>
      <c r="AG918">
        <v>0.47887180803831231</v>
      </c>
      <c r="AH918">
        <v>0.11766215510502193</v>
      </c>
      <c r="AI918">
        <v>5.3230914714030625E-5</v>
      </c>
    </row>
    <row r="919" spans="23:35" x14ac:dyDescent="0.25">
      <c r="W919">
        <v>917</v>
      </c>
      <c r="X919">
        <v>72.351021512707902</v>
      </c>
      <c r="Y919">
        <v>1.6489784872920978</v>
      </c>
      <c r="Z919">
        <v>72.343282183591754</v>
      </c>
      <c r="AA919">
        <v>0.68465736810187994</v>
      </c>
      <c r="AB919">
        <v>72.5</v>
      </c>
      <c r="AC919">
        <v>0.4663087141536239</v>
      </c>
      <c r="AD919">
        <v>0.45858187071729722</v>
      </c>
      <c r="AE919">
        <v>0.11957837372429563</v>
      </c>
      <c r="AF919">
        <v>4.6714830006022072E-3</v>
      </c>
      <c r="AG919">
        <v>0.45965676691300561</v>
      </c>
      <c r="AH919">
        <v>0.11993804306408919</v>
      </c>
      <c r="AI919">
        <v>5.2191771834966581E-5</v>
      </c>
    </row>
    <row r="920" spans="23:35" x14ac:dyDescent="0.25">
      <c r="W920">
        <v>918</v>
      </c>
      <c r="X920">
        <v>72.089572831947223</v>
      </c>
      <c r="Y920">
        <v>1.7104271680527745</v>
      </c>
      <c r="Z920">
        <v>72.080306177181001</v>
      </c>
      <c r="AA920">
        <v>0.66767738023044265</v>
      </c>
      <c r="AB920">
        <v>72.5</v>
      </c>
      <c r="AC920">
        <v>0.4143837514429769</v>
      </c>
      <c r="AD920">
        <v>0.47567078436505272</v>
      </c>
      <c r="AE920">
        <v>0.12016712076868515</v>
      </c>
      <c r="AF920">
        <v>5.3885491959405262E-3</v>
      </c>
      <c r="AG920">
        <v>0.47695757486836632</v>
      </c>
      <c r="AH920">
        <v>0.12052241745549795</v>
      </c>
      <c r="AI920">
        <v>6.4867072349965849E-5</v>
      </c>
    </row>
    <row r="921" spans="23:35" x14ac:dyDescent="0.25">
      <c r="W921">
        <v>919</v>
      </c>
      <c r="X921">
        <v>71.720720745252038</v>
      </c>
      <c r="Y921">
        <v>1.979279254747965</v>
      </c>
      <c r="Z921">
        <v>71.710949875472792</v>
      </c>
      <c r="AA921">
        <v>0.66040024257125529</v>
      </c>
      <c r="AB921">
        <v>72.5</v>
      </c>
      <c r="AC921">
        <v>0.39787592189543292</v>
      </c>
      <c r="AD921">
        <v>0.55043870511906667</v>
      </c>
      <c r="AE921">
        <v>0.12188403836602189</v>
      </c>
      <c r="AF921">
        <v>4.9123295882564678E-3</v>
      </c>
      <c r="AG921">
        <v>0.55179567475106617</v>
      </c>
      <c r="AH921">
        <v>0.12199276656104752</v>
      </c>
      <c r="AI921">
        <v>7.9109590319640681E-5</v>
      </c>
    </row>
    <row r="922" spans="23:35" x14ac:dyDescent="0.25">
      <c r="W922">
        <v>920</v>
      </c>
      <c r="X922">
        <v>71.912349581956335</v>
      </c>
      <c r="Y922">
        <v>1.6876504180436598</v>
      </c>
      <c r="Z922">
        <v>71.904547735659378</v>
      </c>
      <c r="AA922">
        <v>0.65433596118859916</v>
      </c>
      <c r="AB922">
        <v>72.5</v>
      </c>
      <c r="AC922">
        <v>0.3716850598056044</v>
      </c>
      <c r="AD922">
        <v>0.46933655701852589</v>
      </c>
      <c r="AE922">
        <v>0.12476458634847085</v>
      </c>
      <c r="AF922">
        <v>4.6016313529093026E-3</v>
      </c>
      <c r="AG922">
        <v>0.47042015510302115</v>
      </c>
      <c r="AH922">
        <v>0.12501349237600753</v>
      </c>
      <c r="AI922">
        <v>5.3843482232121517E-5</v>
      </c>
    </row>
    <row r="923" spans="23:35" x14ac:dyDescent="0.25">
      <c r="W923">
        <v>921</v>
      </c>
      <c r="X923">
        <v>71.088523093675107</v>
      </c>
      <c r="Y923">
        <v>2.3114769063248986</v>
      </c>
      <c r="Z923">
        <v>71.070887468044532</v>
      </c>
      <c r="AA923">
        <v>0.63735597331716187</v>
      </c>
      <c r="AB923">
        <v>72.5</v>
      </c>
      <c r="AC923">
        <v>0.33286538375086522</v>
      </c>
      <c r="AD923">
        <v>0.64282306409163936</v>
      </c>
      <c r="AE923">
        <v>0.12552192692865069</v>
      </c>
      <c r="AF923">
        <v>7.5718220517977785E-3</v>
      </c>
      <c r="AG923">
        <v>0.64527064329706174</v>
      </c>
      <c r="AH923">
        <v>0.1260849740419058</v>
      </c>
      <c r="AI923">
        <v>1.6719817232612916E-4</v>
      </c>
    </row>
    <row r="924" spans="23:35" x14ac:dyDescent="0.25">
      <c r="W924">
        <v>922</v>
      </c>
      <c r="X924">
        <v>71.717004579397837</v>
      </c>
      <c r="Y924">
        <v>1.4829954206021654</v>
      </c>
      <c r="Z924">
        <v>71.710064769632069</v>
      </c>
      <c r="AA924">
        <v>0.62340812613705276</v>
      </c>
      <c r="AB924">
        <v>72.599999999999994</v>
      </c>
      <c r="AC924">
        <v>0.29295400660571058</v>
      </c>
      <c r="AD924">
        <v>0.41242188390324253</v>
      </c>
      <c r="AE924">
        <v>0.12654792303198523</v>
      </c>
      <c r="AF924">
        <v>4.6577929189973192E-3</v>
      </c>
      <c r="AG924">
        <v>0.41338574016060597</v>
      </c>
      <c r="AH924">
        <v>0.12667735911111305</v>
      </c>
      <c r="AI924">
        <v>4.2088663744822099E-5</v>
      </c>
    </row>
    <row r="925" spans="23:35" x14ac:dyDescent="0.25">
      <c r="W925">
        <v>923</v>
      </c>
      <c r="X925">
        <v>71.111404537098792</v>
      </c>
      <c r="Y925">
        <v>1.9885954629012019</v>
      </c>
      <c r="Z925">
        <v>71.103147708733758</v>
      </c>
      <c r="AA925">
        <v>0.61491813220133418</v>
      </c>
      <c r="AB925">
        <v>72.599999999999994</v>
      </c>
      <c r="AC925">
        <v>0.27870266916975811</v>
      </c>
      <c r="AD925">
        <v>0.55302954799289872</v>
      </c>
      <c r="AE925">
        <v>0.12790355973029863</v>
      </c>
      <c r="AF925">
        <v>4.1349219474807576E-3</v>
      </c>
      <c r="AG925">
        <v>0.55417647306307605</v>
      </c>
      <c r="AH925">
        <v>0.12801940753548446</v>
      </c>
      <c r="AI925">
        <v>6.7113421570367231E-5</v>
      </c>
    </row>
    <row r="926" spans="23:35" x14ac:dyDescent="0.25">
      <c r="W926">
        <v>924</v>
      </c>
      <c r="X926">
        <v>73.035477182607096</v>
      </c>
      <c r="Y926">
        <v>-0.13547718260709019</v>
      </c>
      <c r="Z926">
        <v>73.036253345108847</v>
      </c>
      <c r="AA926">
        <v>0.58762886597938147</v>
      </c>
      <c r="AB926">
        <v>72.599999999999994</v>
      </c>
      <c r="AC926">
        <v>0.206674078513852</v>
      </c>
      <c r="AD926">
        <v>-3.7676282812817034E-2</v>
      </c>
      <c r="AE926">
        <v>0.12825163859120908</v>
      </c>
      <c r="AF926">
        <v>5.6964656620026779E-3</v>
      </c>
      <c r="AG926">
        <v>-3.7784054295082574E-2</v>
      </c>
      <c r="AH926">
        <v>0.12843425541014836</v>
      </c>
      <c r="AI926">
        <v>4.3047706002097487E-7</v>
      </c>
    </row>
    <row r="927" spans="23:35" x14ac:dyDescent="0.25">
      <c r="W927">
        <v>925</v>
      </c>
      <c r="X927">
        <v>70.692491450620537</v>
      </c>
      <c r="Y927">
        <v>2.007508549379466</v>
      </c>
      <c r="Z927">
        <v>70.683338930204769</v>
      </c>
      <c r="AA927">
        <v>0.57246816252274102</v>
      </c>
      <c r="AB927">
        <v>72.599999999999994</v>
      </c>
      <c r="AC927">
        <v>0.16337348484333708</v>
      </c>
      <c r="AD927">
        <v>0.55828928827761481</v>
      </c>
      <c r="AE927">
        <v>0.13158798836362173</v>
      </c>
      <c r="AF927">
        <v>4.5384524711930213E-3</v>
      </c>
      <c r="AG927">
        <v>0.55956050162385806</v>
      </c>
      <c r="AH927">
        <v>0.13196888733796364</v>
      </c>
      <c r="AI927">
        <v>7.5131801690945572E-5</v>
      </c>
    </row>
    <row r="928" spans="23:35" x14ac:dyDescent="0.25">
      <c r="W928">
        <v>926</v>
      </c>
      <c r="X928">
        <v>70.089359277026745</v>
      </c>
      <c r="Y928">
        <v>2.3106407229732611</v>
      </c>
      <c r="Z928">
        <v>70.077934612198803</v>
      </c>
      <c r="AA928">
        <v>0.55124317768344455</v>
      </c>
      <c r="AB928">
        <v>72.599999999999994</v>
      </c>
      <c r="AC928">
        <v>0.11578501997911882</v>
      </c>
      <c r="AD928">
        <v>0.64259052101808711</v>
      </c>
      <c r="AE928">
        <v>0.1334262234576713</v>
      </c>
      <c r="AF928">
        <v>4.9200444087260497E-3</v>
      </c>
      <c r="AG928">
        <v>0.64417716514417633</v>
      </c>
      <c r="AH928">
        <v>0.13478331735096552</v>
      </c>
      <c r="AI928">
        <v>1.0798615937813414E-4</v>
      </c>
    </row>
    <row r="929" spans="23:35" x14ac:dyDescent="0.25">
      <c r="W929">
        <v>927</v>
      </c>
      <c r="X929">
        <v>73.835278884161397</v>
      </c>
      <c r="Y929">
        <v>4.3647211158386057</v>
      </c>
      <c r="Z929">
        <v>73.753175861191352</v>
      </c>
      <c r="AA929">
        <v>0.86658580958156461</v>
      </c>
      <c r="AB929">
        <v>72.599999999999994</v>
      </c>
      <c r="AC929">
        <v>1.1033838166983498</v>
      </c>
      <c r="AD929">
        <v>1.2138314658958915</v>
      </c>
      <c r="AE929">
        <v>0.13511319794359508</v>
      </c>
      <c r="AF929">
        <v>1.8463294343824016E-2</v>
      </c>
      <c r="AG929">
        <v>1.2251947264989356</v>
      </c>
      <c r="AH929">
        <v>0.13537314588423696</v>
      </c>
      <c r="AI929">
        <v>1.4861384989541058E-3</v>
      </c>
    </row>
    <row r="930" spans="23:35" x14ac:dyDescent="0.25">
      <c r="W930">
        <v>928</v>
      </c>
      <c r="X930">
        <v>73.023030502659878</v>
      </c>
      <c r="Y930">
        <v>4.8769694973401272</v>
      </c>
      <c r="Z930">
        <v>72.960912489265297</v>
      </c>
      <c r="AA930">
        <v>0.8526379624014554</v>
      </c>
      <c r="AB930">
        <v>72.599999999999994</v>
      </c>
      <c r="AC930">
        <v>1.0464994400123697</v>
      </c>
      <c r="AD930">
        <v>1.3562880369616754</v>
      </c>
      <c r="AE930">
        <v>0.13606939215657121</v>
      </c>
      <c r="AF930">
        <v>1.2576819758624918E-2</v>
      </c>
      <c r="AG930">
        <v>1.3648982343884835</v>
      </c>
      <c r="AH930">
        <v>0.1365782586028966</v>
      </c>
      <c r="AI930">
        <v>1.2488620301004348E-3</v>
      </c>
    </row>
    <row r="931" spans="23:35" x14ac:dyDescent="0.25">
      <c r="W931">
        <v>929</v>
      </c>
      <c r="X931">
        <v>72.318685557658398</v>
      </c>
      <c r="Y931">
        <v>5.2813144423415963</v>
      </c>
      <c r="Z931">
        <v>72.268322903101591</v>
      </c>
      <c r="AA931">
        <v>0.8483929654335961</v>
      </c>
      <c r="AB931">
        <v>72.599999999999994</v>
      </c>
      <c r="AC931">
        <v>1.0205681915260707</v>
      </c>
      <c r="AD931">
        <v>1.4687365999495141</v>
      </c>
      <c r="AE931">
        <v>0.14206303482421381</v>
      </c>
      <c r="AF931">
        <v>9.4459311097633697E-3</v>
      </c>
      <c r="AG931">
        <v>1.4757229257293403</v>
      </c>
      <c r="AH931">
        <v>0.14233826658708645</v>
      </c>
      <c r="AI931">
        <v>1.0930062242284619E-3</v>
      </c>
    </row>
    <row r="932" spans="23:35" x14ac:dyDescent="0.25">
      <c r="W932">
        <v>930</v>
      </c>
      <c r="X932">
        <v>71.557944969232324</v>
      </c>
      <c r="Y932">
        <v>5.7420550307676734</v>
      </c>
      <c r="Z932">
        <v>71.514306717673861</v>
      </c>
      <c r="AA932">
        <v>0.84414796846573681</v>
      </c>
      <c r="AB932">
        <v>72.599999999999994</v>
      </c>
      <c r="AC932">
        <v>1.0003070916314494</v>
      </c>
      <c r="AD932">
        <v>1.5968688239803976</v>
      </c>
      <c r="AE932">
        <v>0.14237243892004914</v>
      </c>
      <c r="AF932">
        <v>7.5424412302951653E-3</v>
      </c>
      <c r="AG932">
        <v>1.602925250404734</v>
      </c>
      <c r="AH932">
        <v>0.14265752657027481</v>
      </c>
      <c r="AI932">
        <v>1.0277155570611544E-3</v>
      </c>
    </row>
    <row r="933" spans="23:35" x14ac:dyDescent="0.25">
      <c r="W933">
        <v>931</v>
      </c>
      <c r="X933">
        <v>70.681460299415534</v>
      </c>
      <c r="Y933">
        <v>6.0185397005844692</v>
      </c>
      <c r="Z933">
        <v>70.636535280825385</v>
      </c>
      <c r="AA933">
        <v>0.82534869617950268</v>
      </c>
      <c r="AB933">
        <v>72.599999999999994</v>
      </c>
      <c r="AC933">
        <v>0.93241539434320941</v>
      </c>
      <c r="AD933">
        <v>1.6737593705135139</v>
      </c>
      <c r="AE933">
        <v>0.14337840556854356</v>
      </c>
      <c r="AF933">
        <v>7.4091333372629156E-3</v>
      </c>
      <c r="AG933">
        <v>1.6799945933592966</v>
      </c>
      <c r="AH933">
        <v>0.14364152071704589</v>
      </c>
      <c r="AI933">
        <v>1.1088155376742109E-3</v>
      </c>
    </row>
    <row r="934" spans="23:35" x14ac:dyDescent="0.25">
      <c r="W934">
        <v>932</v>
      </c>
      <c r="X934">
        <v>70.917497763280551</v>
      </c>
      <c r="Y934">
        <v>5.3825022367194464</v>
      </c>
      <c r="Z934">
        <v>70.870705672285425</v>
      </c>
      <c r="AA934">
        <v>0.8168587022437841</v>
      </c>
      <c r="AB934">
        <v>72.7</v>
      </c>
      <c r="AC934">
        <v>0.89095501331493132</v>
      </c>
      <c r="AD934">
        <v>1.4968769840704452</v>
      </c>
      <c r="AE934">
        <v>0.14404692887464335</v>
      </c>
      <c r="AF934">
        <v>8.6184480285520972E-3</v>
      </c>
      <c r="AG934">
        <v>1.5033693582290448</v>
      </c>
      <c r="AH934">
        <v>0.14509758767560693</v>
      </c>
      <c r="AI934">
        <v>1.0341082939652533E-3</v>
      </c>
    </row>
    <row r="935" spans="23:35" x14ac:dyDescent="0.25">
      <c r="W935">
        <v>933</v>
      </c>
      <c r="X935">
        <v>70.51745466693562</v>
      </c>
      <c r="Y935">
        <v>5.3825453330643853</v>
      </c>
      <c r="Z935">
        <v>70.462803112432084</v>
      </c>
      <c r="AA935">
        <v>0.79866585809581569</v>
      </c>
      <c r="AB935">
        <v>72.7</v>
      </c>
      <c r="AC935">
        <v>0.82933781119598415</v>
      </c>
      <c r="AD935">
        <v>1.49688896918889</v>
      </c>
      <c r="AE935">
        <v>0.1480254202266445</v>
      </c>
      <c r="AF935">
        <v>1.0051420912952729E-2</v>
      </c>
      <c r="AG935">
        <v>1.5044690910866605</v>
      </c>
      <c r="AH935">
        <v>0.14830293334009603</v>
      </c>
      <c r="AI935">
        <v>1.2095609619135654E-3</v>
      </c>
    </row>
    <row r="936" spans="23:35" x14ac:dyDescent="0.25">
      <c r="W936">
        <v>934</v>
      </c>
      <c r="X936">
        <v>70.372282939556655</v>
      </c>
      <c r="Y936">
        <v>5.0277170604433508</v>
      </c>
      <c r="Z936">
        <v>70.336977775834228</v>
      </c>
      <c r="AA936">
        <v>0.77986658580958157</v>
      </c>
      <c r="AB936">
        <v>72.7</v>
      </c>
      <c r="AC936">
        <v>0.74840704313415274</v>
      </c>
      <c r="AD936">
        <v>1.3982110214194492</v>
      </c>
      <c r="AE936">
        <v>0.15120322480230247</v>
      </c>
      <c r="AF936">
        <v>6.9731401837249078E-3</v>
      </c>
      <c r="AG936">
        <v>1.4031116265490602</v>
      </c>
      <c r="AH936">
        <v>0.15142537769968076</v>
      </c>
      <c r="AI936">
        <v>7.2760930793105104E-4</v>
      </c>
    </row>
    <row r="937" spans="23:35" x14ac:dyDescent="0.25">
      <c r="W937">
        <v>935</v>
      </c>
      <c r="X937">
        <v>70.602594257275072</v>
      </c>
      <c r="Y937">
        <v>4.3974057427249278</v>
      </c>
      <c r="Z937">
        <v>70.570790140850519</v>
      </c>
      <c r="AA937">
        <v>0.76046088538508183</v>
      </c>
      <c r="AB937">
        <v>72.7</v>
      </c>
      <c r="AC937">
        <v>0.67020216077934069</v>
      </c>
      <c r="AD937">
        <v>1.2229210795304759</v>
      </c>
      <c r="AE937">
        <v>0.15244087499962192</v>
      </c>
      <c r="AF937">
        <v>7.1805395174163733E-3</v>
      </c>
      <c r="AG937">
        <v>1.2273354837292088</v>
      </c>
      <c r="AH937">
        <v>0.15299864926503154</v>
      </c>
      <c r="AI937">
        <v>5.734027548684557E-4</v>
      </c>
    </row>
    <row r="938" spans="23:35" x14ac:dyDescent="0.25">
      <c r="W938">
        <v>936</v>
      </c>
      <c r="X938">
        <v>70.751450954979703</v>
      </c>
      <c r="Y938">
        <v>3.5485490450202946</v>
      </c>
      <c r="Z938">
        <v>70.718932104579594</v>
      </c>
      <c r="AA938">
        <v>0.7052759248029109</v>
      </c>
      <c r="AB938">
        <v>72.7</v>
      </c>
      <c r="AC938">
        <v>0.52824151828033117</v>
      </c>
      <c r="AD938">
        <v>0.98685354110943446</v>
      </c>
      <c r="AE938">
        <v>0.15329176478141424</v>
      </c>
      <c r="AF938">
        <v>9.0807690191222236E-3</v>
      </c>
      <c r="AG938">
        <v>0.99136498452954991</v>
      </c>
      <c r="AH938">
        <v>0.15514644519054183</v>
      </c>
      <c r="AI938">
        <v>4.7402137073803742E-4</v>
      </c>
    </row>
    <row r="939" spans="23:35" x14ac:dyDescent="0.25">
      <c r="W939">
        <v>937</v>
      </c>
      <c r="X939">
        <v>71.70956958870714</v>
      </c>
      <c r="Y939">
        <v>1.6904304112928656</v>
      </c>
      <c r="Z939">
        <v>71.695738371345186</v>
      </c>
      <c r="AA939">
        <v>0.63735597331716187</v>
      </c>
      <c r="AB939">
        <v>72.7</v>
      </c>
      <c r="AC939">
        <v>0.33286538375086522</v>
      </c>
      <c r="AD939">
        <v>0.47010967474845805</v>
      </c>
      <c r="AE939">
        <v>0.15534043875879594</v>
      </c>
      <c r="AF939">
        <v>8.1156655348020336E-3</v>
      </c>
      <c r="AG939">
        <v>0.47202899152377215</v>
      </c>
      <c r="AH939">
        <v>0.15569291640440952</v>
      </c>
      <c r="AI939">
        <v>9.5950414463730386E-5</v>
      </c>
    </row>
    <row r="940" spans="23:35" x14ac:dyDescent="0.25">
      <c r="W940">
        <v>938</v>
      </c>
      <c r="X940">
        <v>69.533545731557183</v>
      </c>
      <c r="Y940">
        <v>3.1664542684428199</v>
      </c>
      <c r="Z940">
        <v>69.512437112304298</v>
      </c>
      <c r="AA940">
        <v>0.57246816252274102</v>
      </c>
      <c r="AB940">
        <v>72.7</v>
      </c>
      <c r="AC940">
        <v>0.16337348484333708</v>
      </c>
      <c r="AD940">
        <v>0.88059276282484333</v>
      </c>
      <c r="AE940">
        <v>0.16056449010583243</v>
      </c>
      <c r="AF940">
        <v>6.6221812703241524E-3</v>
      </c>
      <c r="AG940">
        <v>0.88352304698801554</v>
      </c>
      <c r="AH940">
        <v>0.1622864371840777</v>
      </c>
      <c r="AI940">
        <v>2.7388532985402579E-4</v>
      </c>
    </row>
    <row r="941" spans="23:35" x14ac:dyDescent="0.25">
      <c r="W941">
        <v>939</v>
      </c>
      <c r="X941">
        <v>69.191695141019466</v>
      </c>
      <c r="Y941">
        <v>2.6083048589805315</v>
      </c>
      <c r="Z941">
        <v>69.174110555721967</v>
      </c>
      <c r="AA941">
        <v>0.51061249241964823</v>
      </c>
      <c r="AB941">
        <v>72.7</v>
      </c>
      <c r="AC941">
        <v>1.0640830227304372E-2</v>
      </c>
      <c r="AD941">
        <v>0.72537108934425354</v>
      </c>
      <c r="AE941">
        <v>0.16444391046147561</v>
      </c>
      <c r="AF941">
        <v>6.6966205815755624E-3</v>
      </c>
      <c r="AG941">
        <v>0.72781212370276349</v>
      </c>
      <c r="AH941">
        <v>0.16484127895643255</v>
      </c>
      <c r="AI941">
        <v>1.8795710649399596E-4</v>
      </c>
    </row>
    <row r="942" spans="23:35" x14ac:dyDescent="0.25">
      <c r="W942">
        <v>940</v>
      </c>
      <c r="X942">
        <v>68.828214277937079</v>
      </c>
      <c r="Y942">
        <v>9.1717857220629213</v>
      </c>
      <c r="Z942">
        <v>68.767271421277115</v>
      </c>
      <c r="AA942">
        <v>0.86294724075197093</v>
      </c>
      <c r="AB942">
        <v>72.7</v>
      </c>
      <c r="AC942">
        <v>1.0491313979639725</v>
      </c>
      <c r="AD942">
        <v>2.5506789122208624</v>
      </c>
      <c r="AE942">
        <v>0.16468281252325417</v>
      </c>
      <c r="AF942">
        <v>6.600741713604745E-3</v>
      </c>
      <c r="AG942">
        <v>2.5591390038416884</v>
      </c>
      <c r="AH942">
        <v>0.16539571606184181</v>
      </c>
      <c r="AI942">
        <v>2.2903563525906619E-3</v>
      </c>
    </row>
    <row r="943" spans="23:35" x14ac:dyDescent="0.25">
      <c r="W943">
        <v>941</v>
      </c>
      <c r="X943">
        <v>68.430730311139271</v>
      </c>
      <c r="Y943">
        <v>1.169269688860723</v>
      </c>
      <c r="Z943">
        <v>68.422180851018808</v>
      </c>
      <c r="AA943">
        <v>0.44815039417828989</v>
      </c>
      <c r="AB943">
        <v>72.7</v>
      </c>
      <c r="AC943">
        <v>-0.14337818601426075</v>
      </c>
      <c r="AD943">
        <v>0.3251745765169583</v>
      </c>
      <c r="AE943">
        <v>0.1656760744007961</v>
      </c>
      <c r="AF943">
        <v>7.2587206005738014E-3</v>
      </c>
      <c r="AG943">
        <v>0.32636121625227843</v>
      </c>
      <c r="AH943">
        <v>0.16605799832503182</v>
      </c>
      <c r="AI943">
        <v>4.0989015213510414E-5</v>
      </c>
    </row>
    <row r="944" spans="23:35" x14ac:dyDescent="0.25">
      <c r="W944">
        <v>942</v>
      </c>
      <c r="X944">
        <v>60.393742170459149</v>
      </c>
      <c r="Y944">
        <v>-2.5937421704591515</v>
      </c>
      <c r="Z944">
        <v>60.402247194887465</v>
      </c>
      <c r="AA944">
        <v>0.12553062462098241</v>
      </c>
      <c r="AB944">
        <v>72.7</v>
      </c>
      <c r="AC944">
        <v>-1.1521925343545227</v>
      </c>
      <c r="AD944">
        <v>-0.72132119724664678</v>
      </c>
      <c r="AE944">
        <v>0.16696485916809614</v>
      </c>
      <c r="AF944">
        <v>3.2683383980680555E-3</v>
      </c>
      <c r="AG944">
        <v>-0.72250285546419091</v>
      </c>
      <c r="AH944">
        <v>0.16719648217594898</v>
      </c>
      <c r="AI944">
        <v>9.0089524978686917E-5</v>
      </c>
    </row>
    <row r="945" spans="23:35" x14ac:dyDescent="0.25">
      <c r="W945">
        <v>943</v>
      </c>
      <c r="X945">
        <v>59.480797259055038</v>
      </c>
      <c r="Y945">
        <v>-2.1807972590550406</v>
      </c>
      <c r="Z945">
        <v>59.5051098197237</v>
      </c>
      <c r="AA945">
        <v>0.11643420254699818</v>
      </c>
      <c r="AB945">
        <v>72.7</v>
      </c>
      <c r="AC945">
        <v>-1.207056068729359</v>
      </c>
      <c r="AD945">
        <v>-0.606480978629931</v>
      </c>
      <c r="AE945">
        <v>0.167059534250763</v>
      </c>
      <c r="AF945">
        <v>1.1025555485354759E-2</v>
      </c>
      <c r="AG945">
        <v>-0.60985227705489142</v>
      </c>
      <c r="AH945">
        <v>0.16742628405469343</v>
      </c>
      <c r="AI945">
        <v>2.1822831945074157E-4</v>
      </c>
    </row>
    <row r="946" spans="23:35" x14ac:dyDescent="0.25">
      <c r="W946">
        <v>944</v>
      </c>
      <c r="X946">
        <v>63.685283585778691</v>
      </c>
      <c r="Y946">
        <v>-6.4852835857786886</v>
      </c>
      <c r="Z946">
        <v>63.727257225155327</v>
      </c>
      <c r="AA946">
        <v>0.1134020618556701</v>
      </c>
      <c r="AB946">
        <v>72.7</v>
      </c>
      <c r="AC946">
        <v>-1.210211632562187</v>
      </c>
      <c r="AD946">
        <v>-1.8035611148465858</v>
      </c>
      <c r="AE946">
        <v>0.16733546819748379</v>
      </c>
      <c r="AF946">
        <v>6.4305171266844808E-3</v>
      </c>
      <c r="AG946">
        <v>-1.8093881484033418</v>
      </c>
      <c r="AH946">
        <v>0.16754586903368021</v>
      </c>
      <c r="AI946">
        <v>1.1152122650341168E-3</v>
      </c>
    </row>
    <row r="947" spans="23:35" x14ac:dyDescent="0.25">
      <c r="W947">
        <v>945</v>
      </c>
      <c r="X947">
        <v>59.222148400169289</v>
      </c>
      <c r="Y947">
        <v>-2.4221484001692914</v>
      </c>
      <c r="Z947">
        <v>59.231298205213449</v>
      </c>
      <c r="AA947">
        <v>0.10794420861127957</v>
      </c>
      <c r="AB947">
        <v>72.8</v>
      </c>
      <c r="AC947">
        <v>-1.2523823790942721</v>
      </c>
      <c r="AD947">
        <v>-0.67360087051747264</v>
      </c>
      <c r="AE947">
        <v>0.16887801106423206</v>
      </c>
      <c r="AF947">
        <v>3.7633413394301237E-3</v>
      </c>
      <c r="AG947">
        <v>-0.67487195428744173</v>
      </c>
      <c r="AH947">
        <v>0.16994681990148855</v>
      </c>
      <c r="AI947">
        <v>9.0552459913351797E-5</v>
      </c>
    </row>
    <row r="948" spans="23:35" x14ac:dyDescent="0.25">
      <c r="W948">
        <v>946</v>
      </c>
      <c r="X948">
        <v>58.256592279059547</v>
      </c>
      <c r="Y948">
        <v>-1.7565922790595465</v>
      </c>
      <c r="Z948">
        <v>58.264897231021244</v>
      </c>
      <c r="AA948">
        <v>0.10066707095209218</v>
      </c>
      <c r="AB948">
        <v>72.8</v>
      </c>
      <c r="AC948">
        <v>-1.2898891601746336</v>
      </c>
      <c r="AD948">
        <v>-0.48850932842763944</v>
      </c>
      <c r="AE948">
        <v>0.16894946368221994</v>
      </c>
      <c r="AF948">
        <v>4.7056292092970478E-3</v>
      </c>
      <c r="AG948">
        <v>-0.48966277267082026</v>
      </c>
      <c r="AH948">
        <v>0.16995652865270386</v>
      </c>
      <c r="AI948">
        <v>5.9663225588212452E-5</v>
      </c>
    </row>
    <row r="949" spans="23:35" x14ac:dyDescent="0.25">
      <c r="W949">
        <v>947</v>
      </c>
      <c r="X949">
        <v>57.868753851963682</v>
      </c>
      <c r="Y949">
        <v>-1.8687538519636817</v>
      </c>
      <c r="Z949">
        <v>57.878474333619366</v>
      </c>
      <c r="AA949">
        <v>9.2783505154639179E-2</v>
      </c>
      <c r="AB949">
        <v>72.8</v>
      </c>
      <c r="AC949">
        <v>-1.3329906577816031</v>
      </c>
      <c r="AD949">
        <v>-0.51970152670151637</v>
      </c>
      <c r="AE949">
        <v>0.17073666262354806</v>
      </c>
      <c r="AF949">
        <v>5.1746683368067998E-3</v>
      </c>
      <c r="AG949">
        <v>-0.52105140938028316</v>
      </c>
      <c r="AH949">
        <v>0.17093363292970265</v>
      </c>
      <c r="AI949">
        <v>7.4326423077163262E-5</v>
      </c>
    </row>
    <row r="950" spans="23:35" x14ac:dyDescent="0.25">
      <c r="W950">
        <v>948</v>
      </c>
      <c r="X950">
        <v>56.936626813370218</v>
      </c>
      <c r="Y950">
        <v>-1.4366268133702178</v>
      </c>
      <c r="Z950">
        <v>56.945427563288469</v>
      </c>
      <c r="AA950">
        <v>8.7932080048514258E-2</v>
      </c>
      <c r="AB950">
        <v>72.8</v>
      </c>
      <c r="AC950">
        <v>-1.3593210527266006</v>
      </c>
      <c r="AD950">
        <v>-0.39952674742277766</v>
      </c>
      <c r="AE950">
        <v>0.17107819440552693</v>
      </c>
      <c r="AF950">
        <v>6.0886827827112203E-3</v>
      </c>
      <c r="AG950">
        <v>-0.40074862579903292</v>
      </c>
      <c r="AH950">
        <v>0.17130516363601478</v>
      </c>
      <c r="AI950">
        <v>5.1780494668969119E-5</v>
      </c>
    </row>
    <row r="951" spans="23:35" x14ac:dyDescent="0.25">
      <c r="W951">
        <v>949</v>
      </c>
      <c r="X951">
        <v>57.333063229493881</v>
      </c>
      <c r="Y951">
        <v>-2.3330632294938809</v>
      </c>
      <c r="Z951">
        <v>57.345876156151164</v>
      </c>
      <c r="AA951">
        <v>8.1261370527592483E-2</v>
      </c>
      <c r="AB951">
        <v>72.8</v>
      </c>
      <c r="AC951">
        <v>-1.4067868590764927</v>
      </c>
      <c r="AD951">
        <v>-0.64882623304564802</v>
      </c>
      <c r="AE951">
        <v>0.17111291753514096</v>
      </c>
      <c r="AF951">
        <v>5.4618938956708099E-3</v>
      </c>
      <c r="AG951">
        <v>-0.65060543475110411</v>
      </c>
      <c r="AH951">
        <v>0.17137139459338691</v>
      </c>
      <c r="AI951">
        <v>1.2234989580522148E-4</v>
      </c>
    </row>
    <row r="952" spans="23:35" x14ac:dyDescent="0.25">
      <c r="W952">
        <v>950</v>
      </c>
      <c r="X952">
        <v>57.124745996104622</v>
      </c>
      <c r="Y952">
        <v>-2.8247459961046246</v>
      </c>
      <c r="Z952">
        <v>57.161964343442904</v>
      </c>
      <c r="AA952">
        <v>7.3984232868405095E-2</v>
      </c>
      <c r="AB952">
        <v>72.8</v>
      </c>
      <c r="AC952">
        <v>-1.4576525936309461</v>
      </c>
      <c r="AD952">
        <v>-0.78556349471974196</v>
      </c>
      <c r="AE952">
        <v>0.17267880074055655</v>
      </c>
      <c r="AF952">
        <v>1.3004476251967299E-2</v>
      </c>
      <c r="AG952">
        <v>-0.79072178111453095</v>
      </c>
      <c r="AH952">
        <v>0.17301389471960835</v>
      </c>
      <c r="AI952">
        <v>4.3358224114999815E-4</v>
      </c>
    </row>
    <row r="953" spans="23:35" x14ac:dyDescent="0.25">
      <c r="W953">
        <v>951</v>
      </c>
      <c r="X953">
        <v>60.369136863920424</v>
      </c>
      <c r="Y953">
        <v>-6.7691368639204228</v>
      </c>
      <c r="Z953">
        <v>60.443108929044634</v>
      </c>
      <c r="AA953">
        <v>6.4887810794420867E-2</v>
      </c>
      <c r="AB953">
        <v>72.8</v>
      </c>
      <c r="AC953">
        <v>-1.5319668124298669</v>
      </c>
      <c r="AD953">
        <v>-1.8825008756152266</v>
      </c>
      <c r="AE953">
        <v>0.17567928398878135</v>
      </c>
      <c r="AF953">
        <v>1.0809716152587627E-2</v>
      </c>
      <c r="AG953">
        <v>-1.892758764650303</v>
      </c>
      <c r="AH953">
        <v>0.17662956266477428</v>
      </c>
      <c r="AI953">
        <v>2.0604941180473041E-3</v>
      </c>
    </row>
    <row r="954" spans="23:35" x14ac:dyDescent="0.25">
      <c r="W954">
        <v>952</v>
      </c>
      <c r="X954">
        <v>55.349195419370105</v>
      </c>
      <c r="Y954">
        <v>-2.5491954193701076</v>
      </c>
      <c r="Z954">
        <v>55.392330474932628</v>
      </c>
      <c r="AA954">
        <v>5.7004244996967858E-2</v>
      </c>
      <c r="AB954">
        <v>72.8</v>
      </c>
      <c r="AC954">
        <v>-1.5884297017318656</v>
      </c>
      <c r="AD954">
        <v>-0.70893272001287866</v>
      </c>
      <c r="AE954">
        <v>0.17805145530595629</v>
      </c>
      <c r="AF954">
        <v>1.6639489439958483E-2</v>
      </c>
      <c r="AG954">
        <v>-0.71490550151828647</v>
      </c>
      <c r="AH954">
        <v>0.17972533929995393</v>
      </c>
      <c r="AI954">
        <v>4.5516714876819462E-4</v>
      </c>
    </row>
    <row r="955" spans="23:35" x14ac:dyDescent="0.25">
      <c r="W955">
        <v>953</v>
      </c>
      <c r="X955">
        <v>54.979345566718408</v>
      </c>
      <c r="Y955">
        <v>-2.9793455667184077</v>
      </c>
      <c r="Z955">
        <v>55.011594106724218</v>
      </c>
      <c r="AA955">
        <v>4.6694966646452396E-2</v>
      </c>
      <c r="AB955">
        <v>72.8</v>
      </c>
      <c r="AC955">
        <v>-1.6935133675401242</v>
      </c>
      <c r="AD955">
        <v>-0.82855772469334443</v>
      </c>
      <c r="AE955">
        <v>0.17896589529526177</v>
      </c>
      <c r="AF955">
        <v>1.0708129602792098E-2</v>
      </c>
      <c r="AG955">
        <v>-0.83302982453363039</v>
      </c>
      <c r="AH955">
        <v>0.18079542978579907</v>
      </c>
      <c r="AI955">
        <v>3.9532718385279009E-4</v>
      </c>
    </row>
    <row r="956" spans="23:35" x14ac:dyDescent="0.25">
      <c r="W956">
        <v>954</v>
      </c>
      <c r="X956">
        <v>78.117108308987625</v>
      </c>
      <c r="Y956">
        <v>3.2828916910123809</v>
      </c>
      <c r="Z956">
        <v>78.065869426139614</v>
      </c>
      <c r="AA956">
        <v>0.94724075197089141</v>
      </c>
      <c r="AB956">
        <v>72.8</v>
      </c>
      <c r="AC956">
        <v>1.5992570753291051</v>
      </c>
      <c r="AD956">
        <v>0.91297407736287295</v>
      </c>
      <c r="AE956">
        <v>0.17973906689004812</v>
      </c>
      <c r="AF956">
        <v>1.5367989259245476E-2</v>
      </c>
      <c r="AG956">
        <v>0.92007127306490888</v>
      </c>
      <c r="AH956">
        <v>0.18129113940366121</v>
      </c>
      <c r="AI956">
        <v>6.953964014116584E-4</v>
      </c>
    </row>
    <row r="957" spans="23:35" x14ac:dyDescent="0.25">
      <c r="W957">
        <v>955</v>
      </c>
      <c r="X957">
        <v>77.315870007273077</v>
      </c>
      <c r="Y957">
        <v>3.7841299927269176</v>
      </c>
      <c r="Z957">
        <v>77.29759961225615</v>
      </c>
      <c r="AA957">
        <v>0.93935718617343844</v>
      </c>
      <c r="AB957">
        <v>72.8</v>
      </c>
      <c r="AC957">
        <v>1.5222105313262397</v>
      </c>
      <c r="AD957">
        <v>1.0523687388741219</v>
      </c>
      <c r="AE957">
        <v>0.18099803849855658</v>
      </c>
      <c r="AF957">
        <v>4.8049634845962093E-3</v>
      </c>
      <c r="AG957">
        <v>1.0549061834722149</v>
      </c>
      <c r="AH957">
        <v>0.18144563310260065</v>
      </c>
      <c r="AI957">
        <v>2.8278473709385986E-4</v>
      </c>
    </row>
    <row r="958" spans="23:35" x14ac:dyDescent="0.25">
      <c r="W958">
        <v>956</v>
      </c>
      <c r="X958">
        <v>77.174277260029356</v>
      </c>
      <c r="Y958">
        <v>3.8257227399706437</v>
      </c>
      <c r="Z958">
        <v>77.156395829970918</v>
      </c>
      <c r="AA958">
        <v>0.93571861734384476</v>
      </c>
      <c r="AB958">
        <v>72.8</v>
      </c>
      <c r="AC958">
        <v>1.4576525936309466</v>
      </c>
      <c r="AD958">
        <v>1.0639357059305703</v>
      </c>
      <c r="AE958">
        <v>0.18106569141442058</v>
      </c>
      <c r="AF958">
        <v>4.6522558690786069E-3</v>
      </c>
      <c r="AG958">
        <v>1.0664192253398381</v>
      </c>
      <c r="AH958">
        <v>0.18146222648334254</v>
      </c>
      <c r="AI958">
        <v>2.797635220368174E-4</v>
      </c>
    </row>
    <row r="959" spans="23:35" x14ac:dyDescent="0.25">
      <c r="W959">
        <v>957</v>
      </c>
      <c r="X959">
        <v>79.331937345311673</v>
      </c>
      <c r="Y959">
        <v>7.6680626546883275</v>
      </c>
      <c r="Z959">
        <v>79.298084877361475</v>
      </c>
      <c r="AA959">
        <v>0.99211643420254703</v>
      </c>
      <c r="AB959">
        <v>72.8</v>
      </c>
      <c r="AC959">
        <v>2.349487559997844</v>
      </c>
      <c r="AD959">
        <v>2.13249265776596</v>
      </c>
      <c r="AE959">
        <v>0.18256566271806965</v>
      </c>
      <c r="AF959">
        <v>4.395331214531074E-3</v>
      </c>
      <c r="AG959">
        <v>2.1371946694014405</v>
      </c>
      <c r="AH959">
        <v>0.18297136026215818</v>
      </c>
      <c r="AI959">
        <v>1.0613026446529418E-3</v>
      </c>
    </row>
    <row r="960" spans="23:35" x14ac:dyDescent="0.25">
      <c r="W960">
        <v>958</v>
      </c>
      <c r="X960">
        <v>76.919719448248912</v>
      </c>
      <c r="Y960">
        <v>6.0802805517510876</v>
      </c>
      <c r="Z960">
        <v>76.897031270376658</v>
      </c>
      <c r="AA960">
        <v>0.97877501516070342</v>
      </c>
      <c r="AB960">
        <v>72.8</v>
      </c>
      <c r="AC960">
        <v>1.9368862628682144</v>
      </c>
      <c r="AD960">
        <v>1.6909295369200879</v>
      </c>
      <c r="AE960">
        <v>0.18269913503047006</v>
      </c>
      <c r="AF960">
        <v>3.7175641687512452E-3</v>
      </c>
      <c r="AG960">
        <v>1.6940813971086803</v>
      </c>
      <c r="AH960">
        <v>0.18331294617480129</v>
      </c>
      <c r="AI960">
        <v>5.6362590499084301E-4</v>
      </c>
    </row>
    <row r="961" spans="23:35" x14ac:dyDescent="0.25">
      <c r="W961">
        <v>959</v>
      </c>
      <c r="X961">
        <v>76.602411941957854</v>
      </c>
      <c r="Y961">
        <v>5.397588058042146</v>
      </c>
      <c r="Z961">
        <v>76.580695452848886</v>
      </c>
      <c r="AA961">
        <v>0.96604002425712554</v>
      </c>
      <c r="AB961">
        <v>72.8</v>
      </c>
      <c r="AC961">
        <v>1.7539324289023792</v>
      </c>
      <c r="AD961">
        <v>1.5010723597025621</v>
      </c>
      <c r="AE961">
        <v>0.18520532834556733</v>
      </c>
      <c r="AF961">
        <v>4.0072464870754424E-3</v>
      </c>
      <c r="AG961">
        <v>1.5040890125600428</v>
      </c>
      <c r="AH961">
        <v>0.18690054045717522</v>
      </c>
      <c r="AI961">
        <v>4.7905276888452901E-4</v>
      </c>
    </row>
    <row r="962" spans="23:35" x14ac:dyDescent="0.25">
      <c r="W962">
        <v>960</v>
      </c>
      <c r="X962">
        <v>77.844943145633394</v>
      </c>
      <c r="Y962">
        <v>2.155056854366606</v>
      </c>
      <c r="Z962">
        <v>77.834968262881077</v>
      </c>
      <c r="AA962">
        <v>0.92722862340812617</v>
      </c>
      <c r="AB962">
        <v>72.900000000000006</v>
      </c>
      <c r="AC962">
        <v>1.4191611772342045</v>
      </c>
      <c r="AD962">
        <v>0.59932255720356853</v>
      </c>
      <c r="AE962">
        <v>0.19099246437694059</v>
      </c>
      <c r="AF962">
        <v>4.6072686054928627E-3</v>
      </c>
      <c r="AG962">
        <v>0.60070796626073808</v>
      </c>
      <c r="AH962">
        <v>0.19141212997836787</v>
      </c>
      <c r="AI962">
        <v>8.7906755090170899E-5</v>
      </c>
    </row>
    <row r="963" spans="23:35" x14ac:dyDescent="0.25">
      <c r="W963">
        <v>961</v>
      </c>
      <c r="X963">
        <v>77.604583962199001</v>
      </c>
      <c r="Y963">
        <v>1.9954160378009931</v>
      </c>
      <c r="Z963">
        <v>77.597574596151986</v>
      </c>
      <c r="AA963">
        <v>0.91206791995148573</v>
      </c>
      <c r="AB963">
        <v>72.900000000000006</v>
      </c>
      <c r="AC963">
        <v>1.3404190152831756</v>
      </c>
      <c r="AD963">
        <v>0.55492635381602995</v>
      </c>
      <c r="AE963">
        <v>0.19901667049620314</v>
      </c>
      <c r="AF963">
        <v>3.5004380355649202E-3</v>
      </c>
      <c r="AG963">
        <v>0.55590015376579516</v>
      </c>
      <c r="AH963">
        <v>0.19979224922767844</v>
      </c>
      <c r="AI963">
        <v>5.713276852027019E-5</v>
      </c>
    </row>
    <row r="964" spans="23:35" x14ac:dyDescent="0.25">
      <c r="W964">
        <v>962</v>
      </c>
      <c r="X964">
        <v>77.980603528633694</v>
      </c>
      <c r="Y964">
        <v>1.3193964713663036</v>
      </c>
      <c r="Z964">
        <v>77.976621058661948</v>
      </c>
      <c r="AA964">
        <v>0.9017586416009703</v>
      </c>
      <c r="AB964">
        <v>72.900000000000006</v>
      </c>
      <c r="AC964">
        <v>1.262435852359769</v>
      </c>
      <c r="AD964">
        <v>0.36692492153160661</v>
      </c>
      <c r="AE964">
        <v>0.19920034883696347</v>
      </c>
      <c r="AF964">
        <v>3.0093194377965324E-3</v>
      </c>
      <c r="AG964">
        <v>0.36747826789152899</v>
      </c>
      <c r="AH964">
        <v>0.20033017874418096</v>
      </c>
      <c r="AI964">
        <v>2.1452944636063653E-5</v>
      </c>
    </row>
    <row r="965" spans="23:35" x14ac:dyDescent="0.25">
      <c r="W965">
        <v>963</v>
      </c>
      <c r="X965">
        <v>78.158795833385938</v>
      </c>
      <c r="Y965">
        <v>0.84120416661406239</v>
      </c>
      <c r="Z965">
        <v>78.156532753890374</v>
      </c>
      <c r="AA965">
        <v>0.89023650697392354</v>
      </c>
      <c r="AB965">
        <v>72.900000000000006</v>
      </c>
      <c r="AC965">
        <v>1.2070560687293583</v>
      </c>
      <c r="AD965">
        <v>0.23393936510023647</v>
      </c>
      <c r="AE965">
        <v>0.20021676900882251</v>
      </c>
      <c r="AF965">
        <v>2.6830674291241129E-3</v>
      </c>
      <c r="AG965">
        <v>0.23425383559652047</v>
      </c>
      <c r="AH965">
        <v>0.20123114023931407</v>
      </c>
      <c r="AI965">
        <v>7.7699498351123703E-6</v>
      </c>
    </row>
    <row r="966" spans="23:35" x14ac:dyDescent="0.25">
      <c r="W966">
        <v>964</v>
      </c>
      <c r="X966">
        <v>76.414411617472908</v>
      </c>
      <c r="Y966">
        <v>2.2855883825270951</v>
      </c>
      <c r="Z966">
        <v>76.407619425560384</v>
      </c>
      <c r="AA966">
        <v>0.87871437234687688</v>
      </c>
      <c r="AB966">
        <v>72.900000000000006</v>
      </c>
      <c r="AC966">
        <v>1.1521925343545227</v>
      </c>
      <c r="AD966">
        <v>0.63562345065532233</v>
      </c>
      <c r="AE966">
        <v>0.20120330612585</v>
      </c>
      <c r="AF966">
        <v>2.9629425359184274E-3</v>
      </c>
      <c r="AG966">
        <v>0.63656720627355501</v>
      </c>
      <c r="AH966">
        <v>0.2015218293281546</v>
      </c>
      <c r="AI966">
        <v>6.3379214229722142E-5</v>
      </c>
    </row>
    <row r="967" spans="23:35" x14ac:dyDescent="0.25">
      <c r="W967">
        <v>965</v>
      </c>
      <c r="X967">
        <v>76.756369659020237</v>
      </c>
      <c r="Y967">
        <v>1.7436303409797631</v>
      </c>
      <c r="Z967">
        <v>76.751653557184483</v>
      </c>
      <c r="AA967">
        <v>0.87265009096422075</v>
      </c>
      <c r="AB967">
        <v>72.900000000000006</v>
      </c>
      <c r="AC967">
        <v>1.128888636463274</v>
      </c>
      <c r="AD967">
        <v>0.48490460595335771</v>
      </c>
      <c r="AE967">
        <v>0.20131081208640136</v>
      </c>
      <c r="AF967">
        <v>2.6974641411264049E-3</v>
      </c>
      <c r="AG967">
        <v>0.48555993844692519</v>
      </c>
      <c r="AH967">
        <v>0.20179642830114514</v>
      </c>
      <c r="AI967">
        <v>3.3563006047419527E-5</v>
      </c>
    </row>
    <row r="968" spans="23:35" x14ac:dyDescent="0.25">
      <c r="W968">
        <v>966</v>
      </c>
      <c r="X968">
        <v>66.20514385839121</v>
      </c>
      <c r="Y968">
        <v>-3.2051438583912102</v>
      </c>
      <c r="Z968">
        <v>66.22601992601912</v>
      </c>
      <c r="AA968">
        <v>0.22195269860521527</v>
      </c>
      <c r="AB968">
        <v>72.900000000000006</v>
      </c>
      <c r="AC968">
        <v>-0.78098898173722842</v>
      </c>
      <c r="AD968">
        <v>-0.89135236015892005</v>
      </c>
      <c r="AE968">
        <v>0.20144058365275908</v>
      </c>
      <c r="AF968">
        <v>6.4711527227536807E-3</v>
      </c>
      <c r="AG968">
        <v>-0.89425047198798968</v>
      </c>
      <c r="AH968">
        <v>0.20190855572228453</v>
      </c>
      <c r="AI968">
        <v>2.7413590636240115E-4</v>
      </c>
    </row>
    <row r="969" spans="23:35" x14ac:dyDescent="0.25">
      <c r="W969">
        <v>967</v>
      </c>
      <c r="X969">
        <v>65.291279048224624</v>
      </c>
      <c r="Y969">
        <v>-2.5912790482246209</v>
      </c>
      <c r="Z969">
        <v>65.329361197498685</v>
      </c>
      <c r="AA969">
        <v>0.21164342025469982</v>
      </c>
      <c r="AB969">
        <v>72.900000000000006</v>
      </c>
      <c r="AC969">
        <v>-0.80808466725232064</v>
      </c>
      <c r="AD969">
        <v>-0.72063620152910324</v>
      </c>
      <c r="AE969">
        <v>0.20295473837820019</v>
      </c>
      <c r="AF969">
        <v>1.4483422555367165E-2</v>
      </c>
      <c r="AG969">
        <v>-0.72591222163555147</v>
      </c>
      <c r="AH969">
        <v>0.20329612547095466</v>
      </c>
      <c r="AI969">
        <v>4.0758846360859256E-4</v>
      </c>
    </row>
    <row r="970" spans="23:35" x14ac:dyDescent="0.25">
      <c r="W970">
        <v>968</v>
      </c>
      <c r="X970">
        <v>64.764717558012705</v>
      </c>
      <c r="Y970">
        <v>-2.2647175580127055</v>
      </c>
      <c r="Z970">
        <v>64.799050798793445</v>
      </c>
      <c r="AA970">
        <v>0.20800485142510614</v>
      </c>
      <c r="AB970">
        <v>72.900000000000006</v>
      </c>
      <c r="AC970">
        <v>-0.81866501502518862</v>
      </c>
      <c r="AD970">
        <v>-0.62981926229084073</v>
      </c>
      <c r="AE970">
        <v>0.2029886748433439</v>
      </c>
      <c r="AF970">
        <v>1.4933659055622087E-2</v>
      </c>
      <c r="AG970">
        <v>-0.63457535150867905</v>
      </c>
      <c r="AH970">
        <v>0.20430990664299428</v>
      </c>
      <c r="AI970">
        <v>3.2130208899751203E-4</v>
      </c>
    </row>
    <row r="971" spans="23:35" x14ac:dyDescent="0.25">
      <c r="W971">
        <v>969</v>
      </c>
      <c r="X971">
        <v>62.574596226536855</v>
      </c>
      <c r="Y971">
        <v>-0.37459622653685187</v>
      </c>
      <c r="Z971">
        <v>62.575998039074889</v>
      </c>
      <c r="AA971">
        <v>0.20436628259551243</v>
      </c>
      <c r="AB971">
        <v>72.900000000000006</v>
      </c>
      <c r="AC971">
        <v>-0.8357870519497973</v>
      </c>
      <c r="AD971">
        <v>-0.10417542718280506</v>
      </c>
      <c r="AE971">
        <v>0.2037001943025169</v>
      </c>
      <c r="AF971">
        <v>3.7282442788292838E-3</v>
      </c>
      <c r="AG971">
        <v>-0.10437016760238535</v>
      </c>
      <c r="AH971">
        <v>0.2056058652611478</v>
      </c>
      <c r="AI971">
        <v>2.1454860872875546E-6</v>
      </c>
    </row>
    <row r="972" spans="23:35" x14ac:dyDescent="0.25">
      <c r="W972">
        <v>970</v>
      </c>
      <c r="X972">
        <v>62.108194952105201</v>
      </c>
      <c r="Y972">
        <v>-0.10819495210520103</v>
      </c>
      <c r="Z972">
        <v>62.108650187768127</v>
      </c>
      <c r="AA972">
        <v>0.19890842935112188</v>
      </c>
      <c r="AB972">
        <v>73</v>
      </c>
      <c r="AC972">
        <v>-0.85973834429501084</v>
      </c>
      <c r="AD972">
        <v>-3.0089078736284636E-2</v>
      </c>
      <c r="AE972">
        <v>0.20635571123005109</v>
      </c>
      <c r="AF972">
        <v>4.1899206276182965E-3</v>
      </c>
      <c r="AG972">
        <v>-3.015231294136865E-2</v>
      </c>
      <c r="AH972">
        <v>0.20699228049232496</v>
      </c>
      <c r="AI972">
        <v>2.0133391606962384E-7</v>
      </c>
    </row>
    <row r="973" spans="23:35" x14ac:dyDescent="0.25">
      <c r="W973">
        <v>971</v>
      </c>
      <c r="X973">
        <v>61.678088033418604</v>
      </c>
      <c r="Y973">
        <v>2.1911966581399156E-2</v>
      </c>
      <c r="Z973">
        <v>61.677996955371142</v>
      </c>
      <c r="AA973">
        <v>0.19102486355366888</v>
      </c>
      <c r="AB973">
        <v>73</v>
      </c>
      <c r="AC973">
        <v>-0.87970786716299942</v>
      </c>
      <c r="AD973">
        <v>6.0937305752812769E-3</v>
      </c>
      <c r="AE973">
        <v>0.21052775040759619</v>
      </c>
      <c r="AF973">
        <v>4.1393383960673224E-3</v>
      </c>
      <c r="AG973">
        <v>6.1063818713268294E-3</v>
      </c>
      <c r="AH973">
        <v>0.21077130875160657</v>
      </c>
      <c r="AI973">
        <v>8.1573044937558527E-9</v>
      </c>
    </row>
    <row r="974" spans="23:35" x14ac:dyDescent="0.25">
      <c r="W974">
        <v>972</v>
      </c>
      <c r="X974">
        <v>61.799401282370212</v>
      </c>
      <c r="Y974">
        <v>-0.39940128237021355</v>
      </c>
      <c r="Z974">
        <v>61.801044981525351</v>
      </c>
      <c r="AA974">
        <v>0.18617343844754397</v>
      </c>
      <c r="AB974">
        <v>73</v>
      </c>
      <c r="AC974">
        <v>-0.90460220385671419</v>
      </c>
      <c r="AD974">
        <v>-0.11107372755177466</v>
      </c>
      <c r="AE974">
        <v>0.21363872847082643</v>
      </c>
      <c r="AF974">
        <v>4.0985406397267632E-3</v>
      </c>
      <c r="AG974">
        <v>-0.11130204972594822</v>
      </c>
      <c r="AH974">
        <v>0.21478645870955623</v>
      </c>
      <c r="AI974">
        <v>2.6832775722607042E-6</v>
      </c>
    </row>
    <row r="975" spans="23:35" x14ac:dyDescent="0.25">
      <c r="W975">
        <v>973</v>
      </c>
      <c r="X975">
        <v>61.926754486632831</v>
      </c>
      <c r="Y975">
        <v>-0.72675448663282793</v>
      </c>
      <c r="Z975">
        <v>61.929459876357861</v>
      </c>
      <c r="AA975">
        <v>0.18071558520315342</v>
      </c>
      <c r="AB975">
        <v>73</v>
      </c>
      <c r="AC975">
        <v>-0.91841998904288702</v>
      </c>
      <c r="AD975">
        <v>-0.20211084292528742</v>
      </c>
      <c r="AE975">
        <v>0.21450471870779927</v>
      </c>
      <c r="AF975">
        <v>3.7087574145051923E-3</v>
      </c>
      <c r="AG975">
        <v>-0.20248667870541415</v>
      </c>
      <c r="AH975">
        <v>0.21500762175232299</v>
      </c>
      <c r="AI975">
        <v>8.0330677088697211E-6</v>
      </c>
    </row>
    <row r="976" spans="23:35" x14ac:dyDescent="0.25">
      <c r="W976">
        <v>974</v>
      </c>
      <c r="X976">
        <v>61.472247646585544</v>
      </c>
      <c r="Y976">
        <v>7.5277523534144564</v>
      </c>
      <c r="Z976">
        <v>61.441004543462483</v>
      </c>
      <c r="AA976">
        <v>0.42086112795633718</v>
      </c>
      <c r="AB976">
        <v>73</v>
      </c>
      <c r="AC976">
        <v>-0.21444491222324932</v>
      </c>
      <c r="AD976">
        <v>2.0934722818575131</v>
      </c>
      <c r="AE976">
        <v>0.21905876645456421</v>
      </c>
      <c r="AF976">
        <v>4.133234806489851E-3</v>
      </c>
      <c r="AG976">
        <v>2.097812146009979</v>
      </c>
      <c r="AH976">
        <v>0.21972036853206445</v>
      </c>
      <c r="AI976">
        <v>9.6132099916614163E-4</v>
      </c>
    </row>
    <row r="977" spans="23:35" x14ac:dyDescent="0.25">
      <c r="W977">
        <v>975</v>
      </c>
      <c r="X977">
        <v>61.644477411258791</v>
      </c>
      <c r="Y977">
        <v>4.3555225887412092</v>
      </c>
      <c r="Z977">
        <v>61.622106033093864</v>
      </c>
      <c r="AA977">
        <v>0.31109763493026077</v>
      </c>
      <c r="AB977">
        <v>73</v>
      </c>
      <c r="AC977">
        <v>-0.50738317096904828</v>
      </c>
      <c r="AD977">
        <v>1.2112733501917292</v>
      </c>
      <c r="AE977">
        <v>0.22312826410711972</v>
      </c>
      <c r="AF977">
        <v>5.1100776615504336E-3</v>
      </c>
      <c r="AG977">
        <v>1.2143801125673199</v>
      </c>
      <c r="AH977">
        <v>0.2235059153769858</v>
      </c>
      <c r="AI977">
        <v>3.9866504694670952E-4</v>
      </c>
    </row>
    <row r="978" spans="23:35" x14ac:dyDescent="0.25">
      <c r="W978">
        <v>976</v>
      </c>
      <c r="X978">
        <v>73.953757671242428</v>
      </c>
      <c r="Y978">
        <v>0.24624232875757457</v>
      </c>
      <c r="Z978">
        <v>73.952347139322328</v>
      </c>
      <c r="AA978">
        <v>0.7010309278350515</v>
      </c>
      <c r="AB978">
        <v>73</v>
      </c>
      <c r="AC978">
        <v>0.5039283835636299</v>
      </c>
      <c r="AD978">
        <v>6.848013399912195E-2</v>
      </c>
      <c r="AE978">
        <v>0.22417859394311876</v>
      </c>
      <c r="AF978">
        <v>5.695601158169015E-3</v>
      </c>
      <c r="AG978">
        <v>6.8675988795714085E-2</v>
      </c>
      <c r="AH978">
        <v>0.22454997126458329</v>
      </c>
      <c r="AI978">
        <v>1.4219242148548975E-6</v>
      </c>
    </row>
    <row r="979" spans="23:35" x14ac:dyDescent="0.25">
      <c r="W979">
        <v>977</v>
      </c>
      <c r="X979">
        <v>74.33861956707706</v>
      </c>
      <c r="Y979">
        <v>-0.23861956707706611</v>
      </c>
      <c r="Z979">
        <v>74.340006543214741</v>
      </c>
      <c r="AA979">
        <v>0.69254093389933291</v>
      </c>
      <c r="AB979">
        <v>73</v>
      </c>
      <c r="AC979">
        <v>0.48161589062349974</v>
      </c>
      <c r="AD979">
        <v>-6.6360239568467386E-2</v>
      </c>
      <c r="AE979">
        <v>0.22662353661105644</v>
      </c>
      <c r="AF979">
        <v>5.7789096876268257E-3</v>
      </c>
      <c r="AG979">
        <v>-6.6552819564052526E-2</v>
      </c>
      <c r="AH979">
        <v>0.22746177316701754</v>
      </c>
      <c r="AI979">
        <v>1.3550092307571653E-6</v>
      </c>
    </row>
    <row r="980" spans="23:35" x14ac:dyDescent="0.25">
      <c r="W980">
        <v>978</v>
      </c>
      <c r="X980">
        <v>73.752600877048437</v>
      </c>
      <c r="Y980">
        <v>0.14739912295156898</v>
      </c>
      <c r="Z980">
        <v>73.751815817851593</v>
      </c>
      <c r="AA980">
        <v>0.67919951485748942</v>
      </c>
      <c r="AB980">
        <v>73</v>
      </c>
      <c r="AC980">
        <v>0.43434378704136062</v>
      </c>
      <c r="AD980">
        <v>4.0991781315607788E-2</v>
      </c>
      <c r="AE980">
        <v>0.22771714260916545</v>
      </c>
      <c r="AF980">
        <v>5.2978609825834371E-3</v>
      </c>
      <c r="AG980">
        <v>4.1100799057405657E-2</v>
      </c>
      <c r="AH980">
        <v>0.2312375498100708</v>
      </c>
      <c r="AI980">
        <v>4.7353756411236744E-7</v>
      </c>
    </row>
    <row r="981" spans="23:35" x14ac:dyDescent="0.25">
      <c r="W981">
        <v>979</v>
      </c>
      <c r="X981">
        <v>73.280706544478676</v>
      </c>
      <c r="Y981">
        <v>0.31929345552131849</v>
      </c>
      <c r="Z981">
        <v>73.279721130588243</v>
      </c>
      <c r="AA981">
        <v>0.65433596118859916</v>
      </c>
      <c r="AB981">
        <v>73</v>
      </c>
      <c r="AC981">
        <v>0.3716850598056044</v>
      </c>
      <c r="AD981">
        <v>8.8795694588597346E-2</v>
      </c>
      <c r="AE981">
        <v>0.23371756006798375</v>
      </c>
      <c r="AF981">
        <v>3.0767371329929434E-3</v>
      </c>
      <c r="AG981">
        <v>8.8932611117249302E-2</v>
      </c>
      <c r="AH981">
        <v>0.23404984307562973</v>
      </c>
      <c r="AI981">
        <v>1.284686466790157E-6</v>
      </c>
    </row>
    <row r="982" spans="23:35" x14ac:dyDescent="0.25">
      <c r="W982">
        <v>980</v>
      </c>
      <c r="X982">
        <v>71.609554814354979</v>
      </c>
      <c r="Y982">
        <v>1.690445185645018</v>
      </c>
      <c r="Z982">
        <v>71.598172205123888</v>
      </c>
      <c r="AA982">
        <v>0.63007883565797451</v>
      </c>
      <c r="AB982">
        <v>73</v>
      </c>
      <c r="AC982">
        <v>0.3152427890443939</v>
      </c>
      <c r="AD982">
        <v>0.4701137835043338</v>
      </c>
      <c r="AE982">
        <v>0.23393936510023647</v>
      </c>
      <c r="AF982">
        <v>6.6884612328930414E-3</v>
      </c>
      <c r="AG982">
        <v>0.47169388317161631</v>
      </c>
      <c r="AH982">
        <v>0.23425383559652047</v>
      </c>
      <c r="AI982">
        <v>7.8851075559882279E-5</v>
      </c>
    </row>
    <row r="983" spans="23:35" x14ac:dyDescent="0.25">
      <c r="W983">
        <v>981</v>
      </c>
      <c r="X983">
        <v>71.662317863919895</v>
      </c>
      <c r="Y983">
        <v>1.1376821360801017</v>
      </c>
      <c r="Z983">
        <v>71.655049182549575</v>
      </c>
      <c r="AA983">
        <v>0.58156458459672533</v>
      </c>
      <c r="AB983">
        <v>73</v>
      </c>
      <c r="AC983">
        <v>0.18343432307636306</v>
      </c>
      <c r="AD983">
        <v>0.31639005982547236</v>
      </c>
      <c r="AE983">
        <v>0.23445089663206584</v>
      </c>
      <c r="AF983">
        <v>6.3484660297547617E-3</v>
      </c>
      <c r="AG983">
        <v>0.31739916284108016</v>
      </c>
      <c r="AH983">
        <v>0.23462701825685528</v>
      </c>
      <c r="AI983">
        <v>3.3876040675160369E-5</v>
      </c>
    </row>
    <row r="984" spans="23:35" x14ac:dyDescent="0.25">
      <c r="W984">
        <v>982</v>
      </c>
      <c r="X984">
        <v>71.970211016069669</v>
      </c>
      <c r="Y984">
        <v>0.72978898393033376</v>
      </c>
      <c r="Z984">
        <v>71.967753817195614</v>
      </c>
      <c r="AA984">
        <v>0.57246816252274102</v>
      </c>
      <c r="AB984">
        <v>73</v>
      </c>
      <c r="AC984">
        <v>0.16337348484333708</v>
      </c>
      <c r="AD984">
        <v>0.20295473837820019</v>
      </c>
      <c r="AE984">
        <v>0.23542393957967214</v>
      </c>
      <c r="AF984">
        <v>3.3557004894714903E-3</v>
      </c>
      <c r="AG984">
        <v>0.20329612547095466</v>
      </c>
      <c r="AH984">
        <v>0.23778311019207232</v>
      </c>
      <c r="AI984">
        <v>7.3239877058902217E-6</v>
      </c>
    </row>
    <row r="985" spans="23:35" x14ac:dyDescent="0.25">
      <c r="W985">
        <v>983</v>
      </c>
      <c r="X985">
        <v>72.059593404659282</v>
      </c>
      <c r="Y985">
        <v>0.84040659534072404</v>
      </c>
      <c r="Z985">
        <v>72.057202045259729</v>
      </c>
      <c r="AA985">
        <v>0.58762886597938147</v>
      </c>
      <c r="AB985">
        <v>73</v>
      </c>
      <c r="AC985">
        <v>0.206674078513852</v>
      </c>
      <c r="AD985">
        <v>0.23371756006798375</v>
      </c>
      <c r="AE985">
        <v>0.23749200255863961</v>
      </c>
      <c r="AF985">
        <v>2.8374053189157656E-3</v>
      </c>
      <c r="AG985">
        <v>0.23404984307562973</v>
      </c>
      <c r="AH985">
        <v>0.2391234627906236</v>
      </c>
      <c r="AI985">
        <v>8.2038650374142792E-6</v>
      </c>
    </row>
    <row r="986" spans="23:35" x14ac:dyDescent="0.25">
      <c r="W986">
        <v>984</v>
      </c>
      <c r="X986">
        <v>71.769805437273135</v>
      </c>
      <c r="Y986">
        <v>3.0194562726862273E-2</v>
      </c>
      <c r="Z986">
        <v>71.769725975172506</v>
      </c>
      <c r="AA986">
        <v>0.51061249241964823</v>
      </c>
      <c r="AB986">
        <v>73</v>
      </c>
      <c r="AC986">
        <v>1.0640830227304372E-2</v>
      </c>
      <c r="AD986">
        <v>8.3971253521408096E-3</v>
      </c>
      <c r="AE986">
        <v>0.23750448429444926</v>
      </c>
      <c r="AF986">
        <v>2.6247616921273795E-3</v>
      </c>
      <c r="AG986">
        <v>8.4081673202769467E-3</v>
      </c>
      <c r="AH986">
        <v>0.24021806622921071</v>
      </c>
      <c r="AI986">
        <v>9.7922025247690575E-9</v>
      </c>
    </row>
    <row r="987" spans="23:35" x14ac:dyDescent="0.25">
      <c r="W987">
        <v>985</v>
      </c>
      <c r="X987">
        <v>71.224698129690296</v>
      </c>
      <c r="Y987">
        <v>0.87530187030969842</v>
      </c>
      <c r="Z987">
        <v>71.222618031937742</v>
      </c>
      <c r="AA987">
        <v>0.5312310491206792</v>
      </c>
      <c r="AB987">
        <v>73</v>
      </c>
      <c r="AC987">
        <v>6.3887210036911155E-2</v>
      </c>
      <c r="AD987">
        <v>0.24342195621249943</v>
      </c>
      <c r="AE987">
        <v>0.23931820038288312</v>
      </c>
      <c r="AF987">
        <v>2.370800664109652E-3</v>
      </c>
      <c r="AG987">
        <v>0.24371102277128309</v>
      </c>
      <c r="AH987">
        <v>0.24070484331505831</v>
      </c>
      <c r="AI987">
        <v>7.4288678334701997E-6</v>
      </c>
    </row>
    <row r="988" spans="23:35" x14ac:dyDescent="0.25">
      <c r="W988">
        <v>986</v>
      </c>
      <c r="X988">
        <v>70.951387967372199</v>
      </c>
      <c r="Y988">
        <v>0.94861203262780691</v>
      </c>
      <c r="Z988">
        <v>70.949094630748164</v>
      </c>
      <c r="AA988">
        <v>0.51607034566403887</v>
      </c>
      <c r="AB988">
        <v>73</v>
      </c>
      <c r="AC988">
        <v>2.7365033500434649E-2</v>
      </c>
      <c r="AD988">
        <v>0.26380955473941203</v>
      </c>
      <c r="AE988">
        <v>0.23954345788935091</v>
      </c>
      <c r="AF988">
        <v>2.4117401144197535E-3</v>
      </c>
      <c r="AG988">
        <v>0.26412825135833917</v>
      </c>
      <c r="AH988">
        <v>0.24089591874989316</v>
      </c>
      <c r="AI988">
        <v>8.8767765732635898E-6</v>
      </c>
    </row>
    <row r="989" spans="23:35" x14ac:dyDescent="0.25">
      <c r="W989">
        <v>987</v>
      </c>
      <c r="X989">
        <v>70.527577757777777</v>
      </c>
      <c r="Y989">
        <v>0.97242224222222262</v>
      </c>
      <c r="Z989">
        <v>70.52516366847324</v>
      </c>
      <c r="AA989">
        <v>0.49120679199514855</v>
      </c>
      <c r="AB989">
        <v>73</v>
      </c>
      <c r="AC989">
        <v>-2.7365033500434788E-2</v>
      </c>
      <c r="AD989">
        <v>0.27043118779413355</v>
      </c>
      <c r="AE989">
        <v>0.24043241357029971</v>
      </c>
      <c r="AF989">
        <v>2.4764047322204915E-3</v>
      </c>
      <c r="AG989">
        <v>0.27076665953232137</v>
      </c>
      <c r="AH989">
        <v>0.24187537502527445</v>
      </c>
      <c r="AI989">
        <v>9.5793319105658441E-6</v>
      </c>
    </row>
    <row r="990" spans="23:35" x14ac:dyDescent="0.25">
      <c r="W990">
        <v>988</v>
      </c>
      <c r="X990">
        <v>70.086889649941526</v>
      </c>
      <c r="Y990">
        <v>1.4131103500584743</v>
      </c>
      <c r="Z990">
        <v>70.083864538405209</v>
      </c>
      <c r="AA990">
        <v>0.49120679199514855</v>
      </c>
      <c r="AB990">
        <v>73</v>
      </c>
      <c r="AC990">
        <v>-2.7365033500434788E-2</v>
      </c>
      <c r="AD990">
        <v>0.39298680537910458</v>
      </c>
      <c r="AE990">
        <v>0.24130642077898759</v>
      </c>
      <c r="AF990">
        <v>2.1361738466146724E-3</v>
      </c>
      <c r="AG990">
        <v>0.39340722313104948</v>
      </c>
      <c r="AH990">
        <v>0.24204036798190057</v>
      </c>
      <c r="AI990">
        <v>1.7437987921585324E-5</v>
      </c>
    </row>
    <row r="991" spans="23:35" x14ac:dyDescent="0.25">
      <c r="W991">
        <v>989</v>
      </c>
      <c r="X991">
        <v>69.648556552748801</v>
      </c>
      <c r="Y991">
        <v>1.8514434472511994</v>
      </c>
      <c r="Z991">
        <v>69.643790086719662</v>
      </c>
      <c r="AA991">
        <v>0.49120679199514855</v>
      </c>
      <c r="AB991">
        <v>73</v>
      </c>
      <c r="AC991">
        <v>-2.7365033500434788E-2</v>
      </c>
      <c r="AD991">
        <v>0.51488749314249793</v>
      </c>
      <c r="AE991">
        <v>0.24152685714612718</v>
      </c>
      <c r="AF991">
        <v>2.5678486010850209E-3</v>
      </c>
      <c r="AG991">
        <v>0.51554984559592132</v>
      </c>
      <c r="AH991">
        <v>0.24371102277128309</v>
      </c>
      <c r="AI991">
        <v>3.6014200034890952E-5</v>
      </c>
    </row>
    <row r="992" spans="23:35" x14ac:dyDescent="0.25">
      <c r="W992">
        <v>990</v>
      </c>
      <c r="X992">
        <v>69.486986629111684</v>
      </c>
      <c r="Y992">
        <v>1.5130133708883164</v>
      </c>
      <c r="Z992">
        <v>69.483461999324518</v>
      </c>
      <c r="AA992">
        <v>0.46937537901758641</v>
      </c>
      <c r="AB992">
        <v>73</v>
      </c>
      <c r="AC992">
        <v>-9.743972564826138E-2</v>
      </c>
      <c r="AD992">
        <v>0.42076989323350827</v>
      </c>
      <c r="AE992">
        <v>0.24249891832657533</v>
      </c>
      <c r="AF992">
        <v>2.3241288946274021E-3</v>
      </c>
      <c r="AG992">
        <v>0.42125970892859588</v>
      </c>
      <c r="AH992">
        <v>0.24386279073766257</v>
      </c>
      <c r="AI992">
        <v>2.175790052674073E-5</v>
      </c>
    </row>
    <row r="993" spans="23:35" x14ac:dyDescent="0.25">
      <c r="W993">
        <v>991</v>
      </c>
      <c r="X993">
        <v>74.235426910011626</v>
      </c>
      <c r="Y993">
        <v>2.3645730899883688</v>
      </c>
      <c r="Z993">
        <v>74.229653558789678</v>
      </c>
      <c r="AA993">
        <v>0.82413583990297146</v>
      </c>
      <c r="AB993">
        <v>73</v>
      </c>
      <c r="AC993">
        <v>0.91841998904288702</v>
      </c>
      <c r="AD993">
        <v>0.65758914346744035</v>
      </c>
      <c r="AE993">
        <v>0.24342195621249943</v>
      </c>
      <c r="AF993">
        <v>2.4356571349972616E-3</v>
      </c>
      <c r="AG993">
        <v>0.65839144019968798</v>
      </c>
      <c r="AH993">
        <v>0.24655661623815697</v>
      </c>
      <c r="AI993">
        <v>5.5704462338371649E-5</v>
      </c>
    </row>
    <row r="994" spans="23:35" x14ac:dyDescent="0.25">
      <c r="W994">
        <v>992</v>
      </c>
      <c r="X994">
        <v>75.738644516816038</v>
      </c>
      <c r="Y994">
        <v>0.86135548318395649</v>
      </c>
      <c r="Z994">
        <v>75.733786143138317</v>
      </c>
      <c r="AA994">
        <v>0.82413583990297146</v>
      </c>
      <c r="AB994">
        <v>73</v>
      </c>
      <c r="AC994">
        <v>0.91841998904288702</v>
      </c>
      <c r="AD994">
        <v>0.23954345788935091</v>
      </c>
      <c r="AE994">
        <v>0.24702947919273388</v>
      </c>
      <c r="AF994">
        <v>5.6087461996128683E-3</v>
      </c>
      <c r="AG994">
        <v>0.24021806622921071</v>
      </c>
      <c r="AH994">
        <v>0.24768611881907873</v>
      </c>
      <c r="AI994">
        <v>1.7130349536239728E-5</v>
      </c>
    </row>
    <row r="995" spans="23:35" x14ac:dyDescent="0.25">
      <c r="W995">
        <v>993</v>
      </c>
      <c r="X995">
        <v>73.957864342981267</v>
      </c>
      <c r="Y995">
        <v>2.3421356570187299</v>
      </c>
      <c r="Z995">
        <v>73.950950494807003</v>
      </c>
      <c r="AA995">
        <v>0.8168587022437841</v>
      </c>
      <c r="AB995">
        <v>73</v>
      </c>
      <c r="AC995">
        <v>0.89095501331493132</v>
      </c>
      <c r="AD995">
        <v>0.65134928038577711</v>
      </c>
      <c r="AE995">
        <v>0.24798381168467845</v>
      </c>
      <c r="AF995">
        <v>2.9432534984816482E-3</v>
      </c>
      <c r="AG995">
        <v>0.65230994453938074</v>
      </c>
      <c r="AH995">
        <v>0.24917353612136273</v>
      </c>
      <c r="AI995">
        <v>6.6109243942475391E-5</v>
      </c>
    </row>
    <row r="996" spans="23:35" x14ac:dyDescent="0.25">
      <c r="W996">
        <v>994</v>
      </c>
      <c r="X996">
        <v>72.487775326578685</v>
      </c>
      <c r="Y996">
        <v>3.6122246734213093</v>
      </c>
      <c r="Z996">
        <v>72.46368691717916</v>
      </c>
      <c r="AA996">
        <v>0.81079442086112796</v>
      </c>
      <c r="AB996">
        <v>73</v>
      </c>
      <c r="AC996">
        <v>0.873012700415573</v>
      </c>
      <c r="AD996">
        <v>1.0045617701835377</v>
      </c>
      <c r="AE996">
        <v>0.25039940105590425</v>
      </c>
      <c r="AF996">
        <v>6.6244046788287601E-3</v>
      </c>
      <c r="AG996">
        <v>1.0079057049132947</v>
      </c>
      <c r="AH996">
        <v>0.25076781945960636</v>
      </c>
      <c r="AI996">
        <v>3.5654928901430788E-4</v>
      </c>
    </row>
    <row r="997" spans="23:35" x14ac:dyDescent="0.25">
      <c r="W997">
        <v>995</v>
      </c>
      <c r="X997">
        <v>72.152740412511449</v>
      </c>
      <c r="Y997">
        <v>3.4472595874885457</v>
      </c>
      <c r="Z997">
        <v>72.122033894469098</v>
      </c>
      <c r="AA997">
        <v>0.78835657974530016</v>
      </c>
      <c r="AB997">
        <v>73</v>
      </c>
      <c r="AC997">
        <v>0.78719041678006285</v>
      </c>
      <c r="AD997">
        <v>0.95868488440662469</v>
      </c>
      <c r="AE997">
        <v>0.25944366397903318</v>
      </c>
      <c r="AF997">
        <v>8.8288721369428596E-3</v>
      </c>
      <c r="AG997">
        <v>0.9629451685138174</v>
      </c>
      <c r="AH997">
        <v>0.25990259272073329</v>
      </c>
      <c r="AI997">
        <v>4.3471647588460167E-4</v>
      </c>
    </row>
    <row r="998" spans="23:35" x14ac:dyDescent="0.25">
      <c r="W998">
        <v>996</v>
      </c>
      <c r="X998">
        <v>75.80711310784281</v>
      </c>
      <c r="Y998">
        <v>-0.1071131078428067</v>
      </c>
      <c r="Z998">
        <v>75.807443452068455</v>
      </c>
      <c r="AA998">
        <v>0.79199514857489384</v>
      </c>
      <c r="AB998">
        <v>73</v>
      </c>
      <c r="AC998">
        <v>0.80177968430189828</v>
      </c>
      <c r="AD998">
        <v>-2.9788217221415347E-2</v>
      </c>
      <c r="AE998">
        <v>0.26002130518397809</v>
      </c>
      <c r="AF998">
        <v>3.0745868573528474E-3</v>
      </c>
      <c r="AG998">
        <v>-2.983411631973493E-2</v>
      </c>
      <c r="AH998">
        <v>0.2611706342620036</v>
      </c>
      <c r="AI998">
        <v>1.4447638145985557E-7</v>
      </c>
    </row>
    <row r="999" spans="23:35" x14ac:dyDescent="0.25">
      <c r="W999">
        <v>997</v>
      </c>
      <c r="X999">
        <v>73.436977210678805</v>
      </c>
      <c r="Y999">
        <v>2.1630227893211895</v>
      </c>
      <c r="Z999">
        <v>73.424517372428625</v>
      </c>
      <c r="AA999">
        <v>0.78835657974530016</v>
      </c>
      <c r="AB999">
        <v>73</v>
      </c>
      <c r="AC999">
        <v>0.78719041678006285</v>
      </c>
      <c r="AD999">
        <v>0.6015378883201582</v>
      </c>
      <c r="AE999">
        <v>0.26057974287260821</v>
      </c>
      <c r="AF999">
        <v>5.7273903695066299E-3</v>
      </c>
      <c r="AG999">
        <v>0.60326794456211508</v>
      </c>
      <c r="AH999">
        <v>0.26246976693272051</v>
      </c>
      <c r="AI999">
        <v>1.1033624673188833E-4</v>
      </c>
    </row>
    <row r="1000" spans="23:35" x14ac:dyDescent="0.25">
      <c r="W1000">
        <v>998</v>
      </c>
      <c r="X1000">
        <v>73.160190717989707</v>
      </c>
      <c r="Y1000">
        <v>2.8398092820102931</v>
      </c>
      <c r="Z1000">
        <v>73.14737547696005</v>
      </c>
      <c r="AA1000">
        <v>0.80836870830806551</v>
      </c>
      <c r="AB1000">
        <v>73</v>
      </c>
      <c r="AC1000">
        <v>0.83794453378675593</v>
      </c>
      <c r="AD1000">
        <v>0.78975260323935315</v>
      </c>
      <c r="AE1000">
        <v>0.26122874754533593</v>
      </c>
      <c r="AF1000">
        <v>4.4924387791475794E-3</v>
      </c>
      <c r="AG1000">
        <v>0.79153256036126707</v>
      </c>
      <c r="AH1000">
        <v>0.26288917614907226</v>
      </c>
      <c r="AI1000">
        <v>1.4880638720169743E-4</v>
      </c>
    </row>
    <row r="1001" spans="23:35" x14ac:dyDescent="0.25">
      <c r="W1001">
        <v>999</v>
      </c>
      <c r="X1001">
        <v>73.502972977918191</v>
      </c>
      <c r="Y1001">
        <v>2.2970270220818065</v>
      </c>
      <c r="Z1001">
        <v>73.496734978096086</v>
      </c>
      <c r="AA1001">
        <v>0.79624014554275313</v>
      </c>
      <c r="AB1001">
        <v>73</v>
      </c>
      <c r="AC1001">
        <v>0.81442193874053515</v>
      </c>
      <c r="AD1001">
        <v>0.63880454292904543</v>
      </c>
      <c r="AE1001">
        <v>0.26181489143791786</v>
      </c>
      <c r="AF1001">
        <v>2.7083291600301521E-3</v>
      </c>
      <c r="AG1001">
        <v>0.6396713505127426</v>
      </c>
      <c r="AH1001">
        <v>0.26327111085423499</v>
      </c>
      <c r="AI1001">
        <v>5.848432110854676E-5</v>
      </c>
    </row>
    <row r="1002" spans="23:35" x14ac:dyDescent="0.25">
      <c r="W1002">
        <v>1000</v>
      </c>
      <c r="X1002">
        <v>73.505902488547733</v>
      </c>
      <c r="Y1002">
        <v>1.7940975114522644</v>
      </c>
      <c r="Z1002">
        <v>73.501456997678204</v>
      </c>
      <c r="AA1002">
        <v>0.77258944815039421</v>
      </c>
      <c r="AB1002">
        <v>73</v>
      </c>
      <c r="AC1002">
        <v>0.72844171022016913</v>
      </c>
      <c r="AD1002">
        <v>0.49893955524071543</v>
      </c>
      <c r="AE1002">
        <v>0.26212530762817637</v>
      </c>
      <c r="AF1002">
        <v>2.4717178648431069E-3</v>
      </c>
      <c r="AG1002">
        <v>0.49955731958735411</v>
      </c>
      <c r="AH1002">
        <v>0.26394486368527231</v>
      </c>
      <c r="AI1002">
        <v>3.2545483753558778E-5</v>
      </c>
    </row>
    <row r="1003" spans="23:35" x14ac:dyDescent="0.25">
      <c r="W1003">
        <v>1001</v>
      </c>
      <c r="X1003">
        <v>73.288987167405594</v>
      </c>
      <c r="Y1003">
        <v>2.1110128325944117</v>
      </c>
      <c r="Z1003">
        <v>73.283772327152334</v>
      </c>
      <c r="AA1003">
        <v>0.77986658580958157</v>
      </c>
      <c r="AB1003">
        <v>73</v>
      </c>
      <c r="AC1003">
        <v>0.74840704313415274</v>
      </c>
      <c r="AD1003">
        <v>0.58707388928348281</v>
      </c>
      <c r="AE1003">
        <v>0.26312557938319919</v>
      </c>
      <c r="AF1003">
        <v>2.4642151315619251E-3</v>
      </c>
      <c r="AG1003">
        <v>0.58779856706097078</v>
      </c>
      <c r="AH1003">
        <v>0.26412825135833917</v>
      </c>
      <c r="AI1003">
        <v>4.4921430832511559E-5</v>
      </c>
    </row>
    <row r="1004" spans="23:35" x14ac:dyDescent="0.25">
      <c r="W1004">
        <v>1002</v>
      </c>
      <c r="X1004">
        <v>72.912206960314521</v>
      </c>
      <c r="Y1004">
        <v>2.0877930396854794</v>
      </c>
      <c r="Z1004">
        <v>72.906596371503994</v>
      </c>
      <c r="AA1004">
        <v>0.76046088538508183</v>
      </c>
      <c r="AB1004">
        <v>73</v>
      </c>
      <c r="AC1004">
        <v>0.67020216077934069</v>
      </c>
      <c r="AD1004">
        <v>0.58061645145035945</v>
      </c>
      <c r="AE1004">
        <v>0.26380955473941203</v>
      </c>
      <c r="AF1004">
        <v>2.6801275846439192E-3</v>
      </c>
      <c r="AG1004">
        <v>0.58139608201669379</v>
      </c>
      <c r="AH1004">
        <v>0.26612620121471331</v>
      </c>
      <c r="AI1004">
        <v>4.7809213188676587E-5</v>
      </c>
    </row>
    <row r="1005" spans="23:35" x14ac:dyDescent="0.25">
      <c r="W1005">
        <v>1003</v>
      </c>
      <c r="X1005">
        <v>72.211938265438846</v>
      </c>
      <c r="Y1005">
        <v>2.788061734561154</v>
      </c>
      <c r="Z1005">
        <v>72.203152441360132</v>
      </c>
      <c r="AA1005">
        <v>0.76046088538508183</v>
      </c>
      <c r="AB1005">
        <v>73</v>
      </c>
      <c r="AC1005">
        <v>0.67020216077934069</v>
      </c>
      <c r="AD1005">
        <v>0.77536158037450809</v>
      </c>
      <c r="AE1005">
        <v>0.26415814406384375</v>
      </c>
      <c r="AF1005">
        <v>3.1413310502305305E-3</v>
      </c>
      <c r="AG1005">
        <v>0.77658229082408514</v>
      </c>
      <c r="AH1005">
        <v>0.26660186681560738</v>
      </c>
      <c r="AI1005">
        <v>1.0002336971330487E-4</v>
      </c>
    </row>
    <row r="1006" spans="23:35" x14ac:dyDescent="0.25">
      <c r="W1006">
        <v>1004</v>
      </c>
      <c r="X1006">
        <v>72.138497209141576</v>
      </c>
      <c r="Y1006">
        <v>2.8615027908584239</v>
      </c>
      <c r="Z1006">
        <v>72.129471635708754</v>
      </c>
      <c r="AA1006">
        <v>0.76046088538508183</v>
      </c>
      <c r="AB1006">
        <v>73</v>
      </c>
      <c r="AC1006">
        <v>0.67020216077934069</v>
      </c>
      <c r="AD1006">
        <v>0.79578558059270532</v>
      </c>
      <c r="AE1006">
        <v>0.26416144906412631</v>
      </c>
      <c r="AF1006">
        <v>3.1442202575303092E-3</v>
      </c>
      <c r="AG1006">
        <v>0.79703960112791605</v>
      </c>
      <c r="AH1006">
        <v>0.27076665953232137</v>
      </c>
      <c r="AI1006">
        <v>1.0545977227224153E-4</v>
      </c>
    </row>
    <row r="1007" spans="23:35" x14ac:dyDescent="0.25">
      <c r="W1007">
        <v>1005</v>
      </c>
      <c r="X1007">
        <v>71.777964475284151</v>
      </c>
      <c r="Y1007">
        <v>3.0220355247158466</v>
      </c>
      <c r="Z1007">
        <v>71.768120783222628</v>
      </c>
      <c r="AA1007">
        <v>0.74166161309884782</v>
      </c>
      <c r="AB1007">
        <v>73</v>
      </c>
      <c r="AC1007">
        <v>0.63261352584071384</v>
      </c>
      <c r="AD1007">
        <v>0.84042982669478217</v>
      </c>
      <c r="AE1007">
        <v>0.26920079100964184</v>
      </c>
      <c r="AF1007">
        <v>3.2467296213679313E-3</v>
      </c>
      <c r="AG1007">
        <v>0.84179748210931327</v>
      </c>
      <c r="AH1007">
        <v>0.27174179034097418</v>
      </c>
      <c r="AI1007">
        <v>1.2148428385227414E-4</v>
      </c>
    </row>
    <row r="1008" spans="23:35" x14ac:dyDescent="0.25">
      <c r="W1008">
        <v>1006</v>
      </c>
      <c r="X1008">
        <v>73.396717121853129</v>
      </c>
      <c r="Y1008">
        <v>-4.9967171218531234</v>
      </c>
      <c r="Z1008">
        <v>73.427549299711359</v>
      </c>
      <c r="AA1008">
        <v>0.40024257125530627</v>
      </c>
      <c r="AB1008">
        <v>73.099999999999994</v>
      </c>
      <c r="AC1008">
        <v>-0.26293383539244392</v>
      </c>
      <c r="AD1008">
        <v>-1.3895899205740567</v>
      </c>
      <c r="AE1008">
        <v>0.27043118779413355</v>
      </c>
      <c r="AF1008">
        <v>6.1326455535693492E-3</v>
      </c>
      <c r="AG1008">
        <v>-1.3938705505807882</v>
      </c>
      <c r="AH1008">
        <v>0.27228958714967955</v>
      </c>
      <c r="AI1008">
        <v>6.3097292357714688E-4</v>
      </c>
    </row>
    <row r="1009" spans="23:35" x14ac:dyDescent="0.25">
      <c r="W1009">
        <v>1007</v>
      </c>
      <c r="X1009">
        <v>71.573923425183395</v>
      </c>
      <c r="Y1009">
        <v>-3.4739234251834006</v>
      </c>
      <c r="Z1009">
        <v>71.613501740796096</v>
      </c>
      <c r="AA1009">
        <v>0.38932686476652517</v>
      </c>
      <c r="AB1009">
        <v>73.099999999999994</v>
      </c>
      <c r="AC1009">
        <v>-0.29295400660571042</v>
      </c>
      <c r="AD1009">
        <v>-0.96610011308598043</v>
      </c>
      <c r="AE1009">
        <v>0.27153528633931984</v>
      </c>
      <c r="AF1009">
        <v>1.1264635264910406E-2</v>
      </c>
      <c r="AG1009">
        <v>-0.97158790302081488</v>
      </c>
      <c r="AH1009">
        <v>0.27265135751289077</v>
      </c>
      <c r="AI1009">
        <v>5.660407048026021E-4</v>
      </c>
    </row>
    <row r="1010" spans="23:35" x14ac:dyDescent="0.25">
      <c r="W1010">
        <v>1008</v>
      </c>
      <c r="X1010">
        <v>72.844755391414694</v>
      </c>
      <c r="Y1010">
        <v>-5.0447553914146965</v>
      </c>
      <c r="Z1010">
        <v>72.877087252374182</v>
      </c>
      <c r="AA1010">
        <v>0.37355973317161917</v>
      </c>
      <c r="AB1010">
        <v>73.099999999999994</v>
      </c>
      <c r="AC1010">
        <v>-0.337689309602062</v>
      </c>
      <c r="AD1010">
        <v>-1.4029493911137507</v>
      </c>
      <c r="AE1010">
        <v>0.27188083259141682</v>
      </c>
      <c r="AF1010">
        <v>6.3681909237170726E-3</v>
      </c>
      <c r="AG1010">
        <v>-1.4074379653898692</v>
      </c>
      <c r="AH1010">
        <v>0.27308020860932158</v>
      </c>
      <c r="AI1010">
        <v>6.6818313855255803E-4</v>
      </c>
    </row>
    <row r="1011" spans="23:35" x14ac:dyDescent="0.25">
      <c r="W1011">
        <v>1009</v>
      </c>
      <c r="X1011">
        <v>72.552710162835339</v>
      </c>
      <c r="Y1011">
        <v>-5.2527101628353421</v>
      </c>
      <c r="Z1011">
        <v>72.585248425529869</v>
      </c>
      <c r="AA1011">
        <v>0.35112189205579136</v>
      </c>
      <c r="AB1011">
        <v>73.099999999999994</v>
      </c>
      <c r="AC1011">
        <v>-0.39787592189543292</v>
      </c>
      <c r="AD1011">
        <v>-1.4607817332804893</v>
      </c>
      <c r="AE1011">
        <v>0.27364083692799035</v>
      </c>
      <c r="AF1011">
        <v>6.1564301381469037E-3</v>
      </c>
      <c r="AG1011">
        <v>-1.4652992029737115</v>
      </c>
      <c r="AH1011">
        <v>0.27633478946614154</v>
      </c>
      <c r="AI1011">
        <v>7.0001919555928922E-4</v>
      </c>
    </row>
    <row r="1012" spans="23:35" x14ac:dyDescent="0.25">
      <c r="W1012">
        <v>1010</v>
      </c>
      <c r="X1012">
        <v>75.239928174807432</v>
      </c>
      <c r="Y1012">
        <v>-8.9399281748074344</v>
      </c>
      <c r="Z1012">
        <v>75.267596962322671</v>
      </c>
      <c r="AA1012">
        <v>0.31898120072771374</v>
      </c>
      <c r="AB1012">
        <v>73.099999999999994</v>
      </c>
      <c r="AC1012">
        <v>-0.47479897905845492</v>
      </c>
      <c r="AD1012">
        <v>-2.4861991942744202</v>
      </c>
      <c r="AE1012">
        <v>0.27431412065521293</v>
      </c>
      <c r="AF1012">
        <v>3.0854182710813817E-3</v>
      </c>
      <c r="AG1012">
        <v>-2.4900435749168026</v>
      </c>
      <c r="AH1012">
        <v>0.27681685984087206</v>
      </c>
      <c r="AI1012">
        <v>1.00998841426884E-3</v>
      </c>
    </row>
    <row r="1013" spans="23:35" x14ac:dyDescent="0.25">
      <c r="W1013">
        <v>1011</v>
      </c>
      <c r="X1013">
        <v>71.304329770446586</v>
      </c>
      <c r="Y1013">
        <v>-4.40432977044658</v>
      </c>
      <c r="Z1013">
        <v>71.315166176844826</v>
      </c>
      <c r="AA1013">
        <v>0.33474833232261975</v>
      </c>
      <c r="AB1013">
        <v>73.099999999999994</v>
      </c>
      <c r="AC1013">
        <v>-0.43267393579163727</v>
      </c>
      <c r="AD1013">
        <v>-1.2248466556431805</v>
      </c>
      <c r="AE1013">
        <v>0.27563484693170615</v>
      </c>
      <c r="AF1013">
        <v>2.4543598053171E-3</v>
      </c>
      <c r="AG1013">
        <v>-1.2263525353885127</v>
      </c>
      <c r="AH1013">
        <v>0.27751259946075502</v>
      </c>
      <c r="AI1013">
        <v>1.9475226653230712E-4</v>
      </c>
    </row>
    <row r="1014" spans="23:35" x14ac:dyDescent="0.25">
      <c r="W1014">
        <v>1012</v>
      </c>
      <c r="X1014">
        <v>71.132003609483505</v>
      </c>
      <c r="Y1014">
        <v>-3.732003609483499</v>
      </c>
      <c r="Z1014">
        <v>71.13970687445601</v>
      </c>
      <c r="AA1014">
        <v>0.3547604608853851</v>
      </c>
      <c r="AB1014">
        <v>73.099999999999994</v>
      </c>
      <c r="AC1014">
        <v>-0.38147581702590427</v>
      </c>
      <c r="AD1014">
        <v>-1.0378723615558536</v>
      </c>
      <c r="AE1014">
        <v>0.2758209533918885</v>
      </c>
      <c r="AF1014">
        <v>2.0598579597571791E-3</v>
      </c>
      <c r="AG1014">
        <v>-1.038942950608672</v>
      </c>
      <c r="AH1014">
        <v>0.27783710153231433</v>
      </c>
      <c r="AI1014">
        <v>1.172634269470336E-4</v>
      </c>
    </row>
    <row r="1015" spans="23:35" x14ac:dyDescent="0.25">
      <c r="W1015">
        <v>1013</v>
      </c>
      <c r="X1015">
        <v>73.992212666727056</v>
      </c>
      <c r="Y1015">
        <v>-8.0922126667270504</v>
      </c>
      <c r="Z1015">
        <v>74.012221115114968</v>
      </c>
      <c r="AA1015">
        <v>0.30563978168587025</v>
      </c>
      <c r="AB1015">
        <v>73.099999999999994</v>
      </c>
      <c r="AC1015">
        <v>-0.52126361871264315</v>
      </c>
      <c r="AD1015">
        <v>-2.2504490213476922</v>
      </c>
      <c r="AE1015">
        <v>0.27710768496295812</v>
      </c>
      <c r="AF1015">
        <v>2.4664574724962249E-3</v>
      </c>
      <c r="AG1015">
        <v>-2.2532294842288416</v>
      </c>
      <c r="AH1015">
        <v>0.27954870516255803</v>
      </c>
      <c r="AI1015">
        <v>6.6069858039211917E-4</v>
      </c>
    </row>
    <row r="1016" spans="23:35" x14ac:dyDescent="0.25">
      <c r="W1016">
        <v>1014</v>
      </c>
      <c r="X1016">
        <v>69.461158844506656</v>
      </c>
      <c r="Y1016">
        <v>-4.4611588445066559</v>
      </c>
      <c r="Z1016">
        <v>69.475699167935574</v>
      </c>
      <c r="AA1016">
        <v>0.27289266221952696</v>
      </c>
      <c r="AB1016">
        <v>73.099999999999994</v>
      </c>
      <c r="AC1016">
        <v>-0.62335641379693996</v>
      </c>
      <c r="AD1016">
        <v>-1.2406508539965488</v>
      </c>
      <c r="AE1016">
        <v>0.27881151146959554</v>
      </c>
      <c r="AF1016">
        <v>3.2487267091324025E-3</v>
      </c>
      <c r="AG1016">
        <v>-1.2426710454016898</v>
      </c>
      <c r="AH1016">
        <v>0.28086447703670564</v>
      </c>
      <c r="AI1016">
        <v>2.64901939129313E-4</v>
      </c>
    </row>
    <row r="1017" spans="23:35" x14ac:dyDescent="0.25">
      <c r="W1017">
        <v>1015</v>
      </c>
      <c r="X1017">
        <v>68.570072967397849</v>
      </c>
      <c r="Y1017">
        <v>-4.0700729673978486</v>
      </c>
      <c r="Z1017">
        <v>68.582292083154258</v>
      </c>
      <c r="AA1017">
        <v>0.25409338993329289</v>
      </c>
      <c r="AB1017">
        <v>73.2</v>
      </c>
      <c r="AC1017">
        <v>-0.6664012884495929</v>
      </c>
      <c r="AD1017">
        <v>-1.131889645455747</v>
      </c>
      <c r="AE1017">
        <v>0.27930401275193656</v>
      </c>
      <c r="AF1017">
        <v>2.9931997778485839E-3</v>
      </c>
      <c r="AG1017">
        <v>-1.1335874437125468</v>
      </c>
      <c r="AH1017">
        <v>0.28220548385565947</v>
      </c>
      <c r="AI1017">
        <v>2.0304581209068642E-4</v>
      </c>
    </row>
    <row r="1018" spans="23:35" x14ac:dyDescent="0.25">
      <c r="W1018">
        <v>1016</v>
      </c>
      <c r="X1018">
        <v>67.739359184821637</v>
      </c>
      <c r="Y1018">
        <v>-3.7393591848216374</v>
      </c>
      <c r="Z1018">
        <v>67.752601961635733</v>
      </c>
      <c r="AA1018">
        <v>0.24075197089144937</v>
      </c>
      <c r="AB1018">
        <v>73.2</v>
      </c>
      <c r="AC1018">
        <v>-0.7126762947196924</v>
      </c>
      <c r="AD1018">
        <v>-1.0399179513102139</v>
      </c>
      <c r="AE1018">
        <v>0.28199666204810253</v>
      </c>
      <c r="AF1018">
        <v>3.5289585598163209E-3</v>
      </c>
      <c r="AG1018">
        <v>-1.0417577358150856</v>
      </c>
      <c r="AH1018">
        <v>0.28317950674949788</v>
      </c>
      <c r="AI1018">
        <v>2.0228409816505164E-4</v>
      </c>
    </row>
    <row r="1019" spans="23:35" x14ac:dyDescent="0.25">
      <c r="W1019">
        <v>1017</v>
      </c>
      <c r="X1019">
        <v>65.99558936701267</v>
      </c>
      <c r="Y1019">
        <v>-1.9955893670126699</v>
      </c>
      <c r="Z1019">
        <v>66.009061176110819</v>
      </c>
      <c r="AA1019">
        <v>0.24075197089144937</v>
      </c>
      <c r="AB1019">
        <v>73.2</v>
      </c>
      <c r="AC1019">
        <v>-0.7126762947196924</v>
      </c>
      <c r="AD1019">
        <v>-0.55497455677001217</v>
      </c>
      <c r="AE1019">
        <v>0.28266277445443955</v>
      </c>
      <c r="AF1019">
        <v>6.7055245795125847E-3</v>
      </c>
      <c r="AG1019">
        <v>-0.55684466485067363</v>
      </c>
      <c r="AH1019">
        <v>0.28479893568098597</v>
      </c>
      <c r="AI1019">
        <v>1.1017150036616906E-4</v>
      </c>
    </row>
    <row r="1020" spans="23:35" x14ac:dyDescent="0.25">
      <c r="W1020">
        <v>1018</v>
      </c>
      <c r="X1020">
        <v>66.761806874484165</v>
      </c>
      <c r="Y1020">
        <v>-2.9618068744841679</v>
      </c>
      <c r="Z1020">
        <v>66.771687372191394</v>
      </c>
      <c r="AA1020">
        <v>0.23650697392359005</v>
      </c>
      <c r="AB1020">
        <v>73.2</v>
      </c>
      <c r="AC1020">
        <v>-0.72448350403832318</v>
      </c>
      <c r="AD1020">
        <v>-0.82368020424253463</v>
      </c>
      <c r="AE1020">
        <v>0.28321288887953422</v>
      </c>
      <c r="AF1020">
        <v>3.3248779126928982E-3</v>
      </c>
      <c r="AG1020">
        <v>-0.82505294640174553</v>
      </c>
      <c r="AH1020">
        <v>0.28653771491862162</v>
      </c>
      <c r="AI1020">
        <v>1.1951767141207259E-4</v>
      </c>
    </row>
    <row r="1021" spans="23:35" x14ac:dyDescent="0.25">
      <c r="W1021">
        <v>1019</v>
      </c>
      <c r="X1021">
        <v>65.705874791739873</v>
      </c>
      <c r="Y1021">
        <v>-2.5058747917398705</v>
      </c>
      <c r="Z1021">
        <v>65.716861285364047</v>
      </c>
      <c r="AA1021">
        <v>0.22437841115827775</v>
      </c>
      <c r="AB1021">
        <v>73.2</v>
      </c>
      <c r="AC1021">
        <v>-0.7625619542054235</v>
      </c>
      <c r="AD1021">
        <v>-0.69688522842192102</v>
      </c>
      <c r="AE1021">
        <v>0.28455899709557014</v>
      </c>
      <c r="AF1021">
        <v>4.3651565893042584E-3</v>
      </c>
      <c r="AG1021">
        <v>-0.69841123275254702</v>
      </c>
      <c r="AH1021">
        <v>0.28657156959014146</v>
      </c>
      <c r="AI1021">
        <v>1.1255597933059241E-4</v>
      </c>
    </row>
    <row r="1022" spans="23:35" x14ac:dyDescent="0.25">
      <c r="W1022">
        <v>1020</v>
      </c>
      <c r="X1022">
        <v>65.084022034015902</v>
      </c>
      <c r="Y1022">
        <v>-2.284022034015905</v>
      </c>
      <c r="Z1022">
        <v>65.093822494925419</v>
      </c>
      <c r="AA1022">
        <v>0.21467556094602788</v>
      </c>
      <c r="AB1022">
        <v>73.2</v>
      </c>
      <c r="AC1022">
        <v>-0.79968509868701798</v>
      </c>
      <c r="AD1022">
        <v>-0.63518784822873375</v>
      </c>
      <c r="AE1022">
        <v>0.28734849145080193</v>
      </c>
      <c r="AF1022">
        <v>4.272545469931447E-3</v>
      </c>
      <c r="AG1022">
        <v>-0.63654914642326477</v>
      </c>
      <c r="AH1022">
        <v>0.2876525062451023</v>
      </c>
      <c r="AI1022">
        <v>9.1507457918905136E-5</v>
      </c>
    </row>
    <row r="1023" spans="23:35" x14ac:dyDescent="0.25">
      <c r="W1023">
        <v>1021</v>
      </c>
      <c r="X1023">
        <v>78.467282354391969</v>
      </c>
      <c r="Y1023">
        <v>-2.5672823543919634</v>
      </c>
      <c r="Z1023">
        <v>78.481874370816712</v>
      </c>
      <c r="AA1023">
        <v>0.79866585809581569</v>
      </c>
      <c r="AB1023">
        <v>73.2</v>
      </c>
      <c r="AC1023">
        <v>0.82933781119598415</v>
      </c>
      <c r="AD1023">
        <v>-0.71396270709990584</v>
      </c>
      <c r="AE1023">
        <v>0.28847361444757413</v>
      </c>
      <c r="AF1023">
        <v>5.6517143474080385E-3</v>
      </c>
      <c r="AG1023">
        <v>-0.71598885620590902</v>
      </c>
      <c r="AH1023">
        <v>0.29048839910378987</v>
      </c>
      <c r="AI1023">
        <v>1.5335593878157893E-4</v>
      </c>
    </row>
    <row r="1024" spans="23:35" x14ac:dyDescent="0.25">
      <c r="W1024">
        <v>1022</v>
      </c>
      <c r="X1024">
        <v>77.058336006292862</v>
      </c>
      <c r="Y1024">
        <v>-1.2583360062928648</v>
      </c>
      <c r="Z1024">
        <v>77.084664732364075</v>
      </c>
      <c r="AA1024">
        <v>0.79624014554275313</v>
      </c>
      <c r="AB1024">
        <v>73.2</v>
      </c>
      <c r="AC1024">
        <v>0.81442193874053515</v>
      </c>
      <c r="AD1024">
        <v>-0.34994397089092938</v>
      </c>
      <c r="AE1024">
        <v>0.29084635275356147</v>
      </c>
      <c r="AF1024">
        <v>2.0494628215381949E-2</v>
      </c>
      <c r="AG1024">
        <v>-0.35358603535200156</v>
      </c>
      <c r="AH1024">
        <v>0.29174801548511814</v>
      </c>
      <c r="AI1024">
        <v>1.3767967442624666E-4</v>
      </c>
    </row>
    <row r="1025" spans="23:35" x14ac:dyDescent="0.25">
      <c r="W1025">
        <v>1023</v>
      </c>
      <c r="X1025">
        <v>77.19103210005207</v>
      </c>
      <c r="Y1025">
        <v>-1.5910321000520753</v>
      </c>
      <c r="Z1025">
        <v>77.225011123348324</v>
      </c>
      <c r="AA1025">
        <v>0.78835657974530016</v>
      </c>
      <c r="AB1025">
        <v>73.2</v>
      </c>
      <c r="AC1025">
        <v>0.78719041678006285</v>
      </c>
      <c r="AD1025">
        <v>-0.44246694692258109</v>
      </c>
      <c r="AE1025">
        <v>0.29514434799312034</v>
      </c>
      <c r="AF1025">
        <v>2.0910025050318207E-2</v>
      </c>
      <c r="AG1025">
        <v>-0.44716677939776289</v>
      </c>
      <c r="AH1025">
        <v>0.29586745838430628</v>
      </c>
      <c r="AI1025">
        <v>2.2475916600069693E-4</v>
      </c>
    </row>
    <row r="1026" spans="23:35" x14ac:dyDescent="0.25">
      <c r="W1026">
        <v>1024</v>
      </c>
      <c r="X1026">
        <v>76.405574430147553</v>
      </c>
      <c r="Y1026">
        <v>-1.0055744301475471</v>
      </c>
      <c r="Z1026">
        <v>76.407447564047104</v>
      </c>
      <c r="AA1026">
        <v>0.77986658580958157</v>
      </c>
      <c r="AB1026">
        <v>73.2</v>
      </c>
      <c r="AC1026">
        <v>0.74840704313415274</v>
      </c>
      <c r="AD1026">
        <v>-0.27965083042399747</v>
      </c>
      <c r="AE1026">
        <v>0.29533306957422811</v>
      </c>
      <c r="AF1026">
        <v>1.8592867424604982E-3</v>
      </c>
      <c r="AG1026">
        <v>-0.27991116905418378</v>
      </c>
      <c r="AH1026">
        <v>0.29586773756144918</v>
      </c>
      <c r="AI1026">
        <v>7.6814190368145787E-6</v>
      </c>
    </row>
    <row r="1027" spans="23:35" x14ac:dyDescent="0.25">
      <c r="W1027">
        <v>1025</v>
      </c>
      <c r="X1027">
        <v>76.618953921018829</v>
      </c>
      <c r="Y1027">
        <v>-1.3189539210188315</v>
      </c>
      <c r="Z1027">
        <v>76.634130206362457</v>
      </c>
      <c r="AA1027">
        <v>0.77258944815039421</v>
      </c>
      <c r="AB1027">
        <v>73.2</v>
      </c>
      <c r="AC1027">
        <v>0.72844171022016913</v>
      </c>
      <c r="AD1027">
        <v>-0.36680184802410221</v>
      </c>
      <c r="AE1027">
        <v>0.29551546925012617</v>
      </c>
      <c r="AF1027">
        <v>1.1375415436408394E-2</v>
      </c>
      <c r="AG1027">
        <v>-0.36890607921964497</v>
      </c>
      <c r="AH1027">
        <v>0.29627185097569553</v>
      </c>
      <c r="AI1027">
        <v>8.2416446119420585E-5</v>
      </c>
    </row>
    <row r="1028" spans="23:35" x14ac:dyDescent="0.25">
      <c r="W1028">
        <v>1026</v>
      </c>
      <c r="X1028">
        <v>75.644320277492852</v>
      </c>
      <c r="Y1028">
        <v>-0.64432027749285226</v>
      </c>
      <c r="Z1028">
        <v>75.645453469058623</v>
      </c>
      <c r="AA1028">
        <v>0.76046088538508183</v>
      </c>
      <c r="AB1028">
        <v>73.2</v>
      </c>
      <c r="AC1028">
        <v>0.67020216077934069</v>
      </c>
      <c r="AD1028">
        <v>-0.17918584170189994</v>
      </c>
      <c r="AE1028">
        <v>0.29711679052425471</v>
      </c>
      <c r="AF1028">
        <v>1.7556518325383987E-3</v>
      </c>
      <c r="AG1028">
        <v>-0.17934334309615141</v>
      </c>
      <c r="AH1028">
        <v>0.29851624165759549</v>
      </c>
      <c r="AI1028">
        <v>2.9772716042183505E-6</v>
      </c>
    </row>
    <row r="1029" spans="23:35" x14ac:dyDescent="0.25">
      <c r="W1029">
        <v>1027</v>
      </c>
      <c r="X1029">
        <v>75.195382329124811</v>
      </c>
      <c r="Y1029">
        <v>-0.59538232912481703</v>
      </c>
      <c r="Z1029">
        <v>75.196300028260239</v>
      </c>
      <c r="AA1029">
        <v>0.73013947847180105</v>
      </c>
      <c r="AB1029">
        <v>73.2</v>
      </c>
      <c r="AC1029">
        <v>0.59589828697336056</v>
      </c>
      <c r="AD1029">
        <v>-0.16557616996595526</v>
      </c>
      <c r="AE1029">
        <v>0.29887570148481041</v>
      </c>
      <c r="AF1029">
        <v>1.5389889182202191E-3</v>
      </c>
      <c r="AG1029">
        <v>-0.16570372716203502</v>
      </c>
      <c r="AH1029">
        <v>0.30017707042677355</v>
      </c>
      <c r="AI1029">
        <v>2.2274878051128832E-6</v>
      </c>
    </row>
    <row r="1030" spans="23:35" x14ac:dyDescent="0.25">
      <c r="W1030">
        <v>1028</v>
      </c>
      <c r="X1030">
        <v>74.942801037111423</v>
      </c>
      <c r="Y1030">
        <v>-0.74280103711141976</v>
      </c>
      <c r="Z1030">
        <v>74.950864231837571</v>
      </c>
      <c r="AA1030">
        <v>0.7010309278350515</v>
      </c>
      <c r="AB1030">
        <v>73.2</v>
      </c>
      <c r="AC1030">
        <v>0.5039283835636299</v>
      </c>
      <c r="AD1030">
        <v>-0.20657339789112952</v>
      </c>
      <c r="AE1030">
        <v>0.29921804935032054</v>
      </c>
      <c r="AF1030">
        <v>1.0738552169962199E-2</v>
      </c>
      <c r="AG1030">
        <v>-0.20769156118988907</v>
      </c>
      <c r="AH1030">
        <v>0.30080044904152231</v>
      </c>
      <c r="AI1030">
        <v>2.4644428279117709E-5</v>
      </c>
    </row>
    <row r="1031" spans="23:35" x14ac:dyDescent="0.25">
      <c r="W1031">
        <v>1029</v>
      </c>
      <c r="X1031">
        <v>74.53997438863324</v>
      </c>
      <c r="Y1031">
        <v>-0.73997438863324305</v>
      </c>
      <c r="Z1031">
        <v>74.551654435630354</v>
      </c>
      <c r="AA1031">
        <v>0.66767738023044265</v>
      </c>
      <c r="AB1031">
        <v>73.3</v>
      </c>
      <c r="AC1031">
        <v>0.4143837514429769</v>
      </c>
      <c r="AD1031">
        <v>-0.20578730531504558</v>
      </c>
      <c r="AE1031">
        <v>0.30262489465249132</v>
      </c>
      <c r="AF1031">
        <v>1.5539118035431582E-2</v>
      </c>
      <c r="AG1031">
        <v>-0.20740506040012352</v>
      </c>
      <c r="AH1031">
        <v>0.30324674809400542</v>
      </c>
      <c r="AI1031">
        <v>3.5736580775864315E-5</v>
      </c>
    </row>
    <row r="1032" spans="23:35" x14ac:dyDescent="0.25">
      <c r="W1032">
        <v>1030</v>
      </c>
      <c r="X1032">
        <v>72.50322568249868</v>
      </c>
      <c r="Y1032">
        <v>1.596774317501314</v>
      </c>
      <c r="Z1032">
        <v>72.497558179041505</v>
      </c>
      <c r="AA1032">
        <v>0.69254093389933291</v>
      </c>
      <c r="AB1032">
        <v>73.3</v>
      </c>
      <c r="AC1032">
        <v>0.48161589062349974</v>
      </c>
      <c r="AD1032">
        <v>0.4440638609152322</v>
      </c>
      <c r="AE1032">
        <v>0.30332008072081368</v>
      </c>
      <c r="AF1032">
        <v>3.5367920276692145E-3</v>
      </c>
      <c r="AG1032">
        <v>0.4448512308662485</v>
      </c>
      <c r="AH1032">
        <v>0.30430030748888248</v>
      </c>
      <c r="AI1032">
        <v>3.696785457511224E-5</v>
      </c>
    </row>
    <row r="1033" spans="23:35" x14ac:dyDescent="0.25">
      <c r="W1033">
        <v>1031</v>
      </c>
      <c r="X1033">
        <v>72.365751963661268</v>
      </c>
      <c r="Y1033">
        <v>1.5342480363387381</v>
      </c>
      <c r="Z1033">
        <v>72.360383909894423</v>
      </c>
      <c r="AA1033">
        <v>0.67919951485748942</v>
      </c>
      <c r="AB1033">
        <v>73.3</v>
      </c>
      <c r="AC1033">
        <v>0.43434378704136062</v>
      </c>
      <c r="AD1033">
        <v>0.42667526597266481</v>
      </c>
      <c r="AE1033">
        <v>0.30851484848351485</v>
      </c>
      <c r="AF1033">
        <v>3.4866183858020382E-3</v>
      </c>
      <c r="AG1033">
        <v>0.42742104363541972</v>
      </c>
      <c r="AH1033">
        <v>0.30991351478266127</v>
      </c>
      <c r="AI1033">
        <v>3.3641819847985777E-5</v>
      </c>
    </row>
    <row r="1034" spans="23:35" x14ac:dyDescent="0.25">
      <c r="W1034">
        <v>1032</v>
      </c>
      <c r="X1034">
        <v>71.682362385144884</v>
      </c>
      <c r="Y1034">
        <v>1.91763761485511</v>
      </c>
      <c r="Z1034">
        <v>71.675821274147424</v>
      </c>
      <c r="AA1034">
        <v>0.65433596118859916</v>
      </c>
      <c r="AB1034">
        <v>73.3</v>
      </c>
      <c r="AC1034">
        <v>0.3716850598056044</v>
      </c>
      <c r="AD1034">
        <v>0.53329612942508786</v>
      </c>
      <c r="AE1034">
        <v>0.31082559464770554</v>
      </c>
      <c r="AF1034">
        <v>3.3994300579099877E-3</v>
      </c>
      <c r="AG1034">
        <v>0.53420489850132391</v>
      </c>
      <c r="AH1034">
        <v>0.31145559066345074</v>
      </c>
      <c r="AI1034">
        <v>5.1232684191306624E-5</v>
      </c>
    </row>
    <row r="1035" spans="23:35" x14ac:dyDescent="0.25">
      <c r="W1035">
        <v>1033</v>
      </c>
      <c r="X1035">
        <v>72.613225216470383</v>
      </c>
      <c r="Y1035">
        <v>0.6867747835296143</v>
      </c>
      <c r="Z1035">
        <v>72.610203815598496</v>
      </c>
      <c r="AA1035">
        <v>0.63007883565797451</v>
      </c>
      <c r="AB1035">
        <v>73.3</v>
      </c>
      <c r="AC1035">
        <v>0.3152427890443939</v>
      </c>
      <c r="AD1035">
        <v>0.19099246437694059</v>
      </c>
      <c r="AE1035">
        <v>0.31457906142509368</v>
      </c>
      <c r="AF1035">
        <v>4.380135669367514E-3</v>
      </c>
      <c r="AG1035">
        <v>0.19141212997836787</v>
      </c>
      <c r="AH1035">
        <v>0.31505646546255067</v>
      </c>
      <c r="AI1035">
        <v>8.4835831440105644E-6</v>
      </c>
    </row>
    <row r="1036" spans="23:35" x14ac:dyDescent="0.25">
      <c r="W1036">
        <v>1034</v>
      </c>
      <c r="X1036">
        <v>72.241423531813183</v>
      </c>
      <c r="Y1036">
        <v>0.55857646818681417</v>
      </c>
      <c r="Z1036">
        <v>72.238885762597619</v>
      </c>
      <c r="AA1036">
        <v>0.58156458459672533</v>
      </c>
      <c r="AB1036">
        <v>73.3</v>
      </c>
      <c r="AC1036">
        <v>0.18343432307636306</v>
      </c>
      <c r="AD1036">
        <v>0.15534043875879594</v>
      </c>
      <c r="AE1036">
        <v>0.31495253779671639</v>
      </c>
      <c r="AF1036">
        <v>4.5227318189407471E-3</v>
      </c>
      <c r="AG1036">
        <v>0.15569291640440952</v>
      </c>
      <c r="AH1036">
        <v>0.31586300353962027</v>
      </c>
      <c r="AI1036">
        <v>5.7963365777272963E-6</v>
      </c>
    </row>
    <row r="1037" spans="23:35" x14ac:dyDescent="0.25">
      <c r="W1037">
        <v>1035</v>
      </c>
      <c r="X1037">
        <v>70.154779196781519</v>
      </c>
      <c r="Y1037">
        <v>2.1452208032184785</v>
      </c>
      <c r="Z1037">
        <v>70.147377790753112</v>
      </c>
      <c r="AA1037">
        <v>0.54578532443905392</v>
      </c>
      <c r="AB1037">
        <v>73.3</v>
      </c>
      <c r="AC1037">
        <v>9.896716322379942E-2</v>
      </c>
      <c r="AD1037">
        <v>0.59658714569229609</v>
      </c>
      <c r="AE1037">
        <v>0.31639005982547236</v>
      </c>
      <c r="AF1037">
        <v>3.4383209448551263E-3</v>
      </c>
      <c r="AG1037">
        <v>0.59761542716390326</v>
      </c>
      <c r="AH1037">
        <v>0.31739916284108016</v>
      </c>
      <c r="AI1037">
        <v>6.485332227387257E-5</v>
      </c>
    </row>
    <row r="1038" spans="23:35" x14ac:dyDescent="0.25">
      <c r="W1038">
        <v>1036</v>
      </c>
      <c r="X1038">
        <v>69.75640353367578</v>
      </c>
      <c r="Y1038">
        <v>2.0435964663242174</v>
      </c>
      <c r="Z1038">
        <v>69.749260612127614</v>
      </c>
      <c r="AA1038">
        <v>0.51061249241964823</v>
      </c>
      <c r="AB1038">
        <v>73.3</v>
      </c>
      <c r="AC1038">
        <v>1.0640830227304372E-2</v>
      </c>
      <c r="AD1038">
        <v>0.56832535884515223</v>
      </c>
      <c r="AE1038">
        <v>0.31724663196619501</v>
      </c>
      <c r="AF1038">
        <v>3.4830957021649489E-3</v>
      </c>
      <c r="AG1038">
        <v>0.56931771776715356</v>
      </c>
      <c r="AH1038">
        <v>0.31787672696243763</v>
      </c>
      <c r="AI1038">
        <v>5.9626118061306182E-5</v>
      </c>
    </row>
    <row r="1039" spans="23:35" x14ac:dyDescent="0.25">
      <c r="W1039">
        <v>1037</v>
      </c>
      <c r="X1039">
        <v>67.629802326309573</v>
      </c>
      <c r="Y1039">
        <v>3.7701976736904328</v>
      </c>
      <c r="Z1039">
        <v>67.613574802781514</v>
      </c>
      <c r="AA1039">
        <v>0.4887810794420861</v>
      </c>
      <c r="AB1039">
        <v>73.3</v>
      </c>
      <c r="AC1039">
        <v>-4.7140240828996732E-2</v>
      </c>
      <c r="AD1039">
        <v>1.0484941528947296</v>
      </c>
      <c r="AE1039">
        <v>0.32232679984773888</v>
      </c>
      <c r="AF1039">
        <v>4.285710844089588E-3</v>
      </c>
      <c r="AG1039">
        <v>1.050748171923666</v>
      </c>
      <c r="AH1039">
        <v>0.32295385437503926</v>
      </c>
      <c r="AI1039">
        <v>2.5011043502937169E-4</v>
      </c>
    </row>
    <row r="1040" spans="23:35" x14ac:dyDescent="0.25">
      <c r="W1040">
        <v>1038</v>
      </c>
      <c r="X1040">
        <v>69.093129611226459</v>
      </c>
      <c r="Y1040">
        <v>1.906870388773541</v>
      </c>
      <c r="Z1040">
        <v>69.087047187809844</v>
      </c>
      <c r="AA1040">
        <v>0.46937537901758641</v>
      </c>
      <c r="AB1040">
        <v>73.3</v>
      </c>
      <c r="AC1040">
        <v>-9.743972564826138E-2</v>
      </c>
      <c r="AD1040">
        <v>0.53030175762644149</v>
      </c>
      <c r="AE1040">
        <v>0.32263545098556068</v>
      </c>
      <c r="AF1040">
        <v>3.1795992968842481E-3</v>
      </c>
      <c r="AG1040">
        <v>0.5311468469932854</v>
      </c>
      <c r="AH1040">
        <v>0.3231912688570156</v>
      </c>
      <c r="AI1040">
        <v>4.7362115138275411E-5</v>
      </c>
    </row>
    <row r="1041" spans="23:35" x14ac:dyDescent="0.25">
      <c r="W1041">
        <v>1039</v>
      </c>
      <c r="X1041">
        <v>68.686061722169114</v>
      </c>
      <c r="Y1041">
        <v>8.3139382778308857</v>
      </c>
      <c r="Z1041">
        <v>68.65825680452636</v>
      </c>
      <c r="AA1041">
        <v>0.83747725894481506</v>
      </c>
      <c r="AB1041">
        <v>73.3</v>
      </c>
      <c r="AC1041">
        <v>0.95855995741850497</v>
      </c>
      <c r="AD1041">
        <v>2.3121110419923081</v>
      </c>
      <c r="AE1041">
        <v>0.32309097667348513</v>
      </c>
      <c r="AF1041">
        <v>3.3332262803109393E-3</v>
      </c>
      <c r="AG1041">
        <v>2.3159740966498559</v>
      </c>
      <c r="AH1041">
        <v>0.32391423455207319</v>
      </c>
      <c r="AI1041">
        <v>9.4412307322681778E-4</v>
      </c>
    </row>
    <row r="1042" spans="23:35" x14ac:dyDescent="0.25">
      <c r="W1042">
        <v>1040</v>
      </c>
      <c r="X1042">
        <v>68.284484417198968</v>
      </c>
      <c r="Y1042">
        <v>3.7155155828010322</v>
      </c>
      <c r="Z1042">
        <v>68.271393443415235</v>
      </c>
      <c r="AA1042">
        <v>0.52516676773802307</v>
      </c>
      <c r="AB1042">
        <v>73.400000000000006</v>
      </c>
      <c r="AC1042">
        <v>4.1053957112594373E-2</v>
      </c>
      <c r="AD1042">
        <v>1.0332870318024625</v>
      </c>
      <c r="AE1042">
        <v>0.32494039963594762</v>
      </c>
      <c r="AF1042">
        <v>3.5109560596082732E-3</v>
      </c>
      <c r="AG1042">
        <v>1.0351057349289861</v>
      </c>
      <c r="AH1042">
        <v>0.32580295423837996</v>
      </c>
      <c r="AI1042">
        <v>1.9868665335870297E-4</v>
      </c>
    </row>
    <row r="1043" spans="23:35" x14ac:dyDescent="0.25">
      <c r="W1043">
        <v>1041</v>
      </c>
      <c r="X1043">
        <v>68.130979547505632</v>
      </c>
      <c r="Y1043">
        <v>1.7690204524943738</v>
      </c>
      <c r="Z1043">
        <v>68.107496839327482</v>
      </c>
      <c r="AA1043">
        <v>0.45724681625227409</v>
      </c>
      <c r="AB1043">
        <v>73.400000000000006</v>
      </c>
      <c r="AC1043">
        <v>-0.11731546960548965</v>
      </c>
      <c r="AD1043">
        <v>0.49196561064554839</v>
      </c>
      <c r="AE1043">
        <v>0.3251745765169583</v>
      </c>
      <c r="AF1043">
        <v>1.3100511448658984E-2</v>
      </c>
      <c r="AG1043">
        <v>0.49522012317682129</v>
      </c>
      <c r="AH1043">
        <v>0.32636121625227843</v>
      </c>
      <c r="AI1043">
        <v>1.7133981507311971E-4</v>
      </c>
    </row>
    <row r="1044" spans="23:35" x14ac:dyDescent="0.25">
      <c r="W1044">
        <v>1042</v>
      </c>
      <c r="X1044">
        <v>69.431668158883951</v>
      </c>
      <c r="Y1044">
        <v>6.8331841116048508E-2</v>
      </c>
      <c r="Z1044">
        <v>69.431284359430563</v>
      </c>
      <c r="AA1044">
        <v>0.44269254093389931</v>
      </c>
      <c r="AB1044">
        <v>73.400000000000006</v>
      </c>
      <c r="AC1044">
        <v>-0.15567569037416348</v>
      </c>
      <c r="AD1044">
        <v>1.9003124522269089E-2</v>
      </c>
      <c r="AE1044">
        <v>0.32744207497042543</v>
      </c>
      <c r="AF1044">
        <v>5.5853289034228657E-3</v>
      </c>
      <c r="AG1044">
        <v>1.9056417219724751E-2</v>
      </c>
      <c r="AH1044">
        <v>0.33139269506843533</v>
      </c>
      <c r="AI1044">
        <v>1.0735199850203233E-7</v>
      </c>
    </row>
    <row r="1045" spans="23:35" x14ac:dyDescent="0.25">
      <c r="W1045">
        <v>1043</v>
      </c>
      <c r="X1045">
        <v>66.72635825439167</v>
      </c>
      <c r="Y1045">
        <v>2.2736417456083302</v>
      </c>
      <c r="Z1045">
        <v>66.716717004586386</v>
      </c>
      <c r="AA1045">
        <v>0.42086112795633718</v>
      </c>
      <c r="AB1045">
        <v>73.400000000000006</v>
      </c>
      <c r="AC1045">
        <v>-0.21444491222324932</v>
      </c>
      <c r="AD1045">
        <v>0.63230108402094365</v>
      </c>
      <c r="AE1045">
        <v>0.3296772307949874</v>
      </c>
      <c r="AF1045">
        <v>4.2225382594480165E-3</v>
      </c>
      <c r="AG1045">
        <v>0.63364028439445497</v>
      </c>
      <c r="AH1045">
        <v>0.33144321073999938</v>
      </c>
      <c r="AI1045">
        <v>8.9607272950218686E-5</v>
      </c>
    </row>
    <row r="1046" spans="23:35" x14ac:dyDescent="0.25">
      <c r="W1046">
        <v>1044</v>
      </c>
      <c r="X1046">
        <v>68.611331304888211</v>
      </c>
      <c r="Y1046">
        <v>-1.1331304888216209E-2</v>
      </c>
      <c r="Z1046">
        <v>68.611445779131884</v>
      </c>
      <c r="AA1046">
        <v>0.40570042449969679</v>
      </c>
      <c r="AB1046">
        <v>73.400000000000006</v>
      </c>
      <c r="AC1046">
        <v>-0.24253103988010652</v>
      </c>
      <c r="AD1046">
        <v>-3.151242440912313E-3</v>
      </c>
      <c r="AE1046">
        <v>0.33433623632050075</v>
      </c>
      <c r="AF1046">
        <v>1.0001437416464851E-2</v>
      </c>
      <c r="AG1046">
        <v>-3.1671201173950293E-3</v>
      </c>
      <c r="AH1046">
        <v>0.33731143528824886</v>
      </c>
      <c r="AI1046">
        <v>5.3333898065421291E-9</v>
      </c>
    </row>
    <row r="1047" spans="23:35" x14ac:dyDescent="0.25">
      <c r="W1047">
        <v>1045</v>
      </c>
      <c r="X1047">
        <v>59.372606572596908</v>
      </c>
      <c r="Y1047">
        <v>-2.672606572596905</v>
      </c>
      <c r="Z1047">
        <v>59.386208322494866</v>
      </c>
      <c r="AA1047">
        <v>0.10491206791995149</v>
      </c>
      <c r="AB1047">
        <v>73.400000000000006</v>
      </c>
      <c r="AC1047">
        <v>-1.2726185683477402</v>
      </c>
      <c r="AD1047">
        <v>-0.74325343307873615</v>
      </c>
      <c r="AE1047">
        <v>0.33739792341937352</v>
      </c>
      <c r="AF1047">
        <v>5.0635499056633426E-3</v>
      </c>
      <c r="AG1047">
        <v>-0.74514236004582435</v>
      </c>
      <c r="AH1047">
        <v>0.33769492824245823</v>
      </c>
      <c r="AI1047">
        <v>1.4872523297273499E-4</v>
      </c>
    </row>
    <row r="1048" spans="23:35" x14ac:dyDescent="0.25">
      <c r="W1048">
        <v>1046</v>
      </c>
      <c r="X1048">
        <v>64.129240771341486</v>
      </c>
      <c r="Y1048">
        <v>-8.8292407713414889</v>
      </c>
      <c r="Z1048">
        <v>64.181151711651239</v>
      </c>
      <c r="AA1048">
        <v>8.6719223771983017E-2</v>
      </c>
      <c r="AB1048">
        <v>73.400000000000006</v>
      </c>
      <c r="AC1048">
        <v>-1.3946242806491973</v>
      </c>
      <c r="AD1048">
        <v>-2.4554169633736347</v>
      </c>
      <c r="AE1048">
        <v>0.33938320347013917</v>
      </c>
      <c r="AF1048">
        <v>5.8450685220990395E-3</v>
      </c>
      <c r="AG1048">
        <v>-2.4626246159272069</v>
      </c>
      <c r="AH1048">
        <v>0.33987930202439948</v>
      </c>
      <c r="AI1048">
        <v>1.8766287577651147E-3</v>
      </c>
    </row>
    <row r="1049" spans="23:35" x14ac:dyDescent="0.25">
      <c r="W1049">
        <v>1047</v>
      </c>
      <c r="X1049">
        <v>63.259427212529594</v>
      </c>
      <c r="Y1049">
        <v>-8.4594272125295973</v>
      </c>
      <c r="Z1049">
        <v>63.315034914534067</v>
      </c>
      <c r="AA1049">
        <v>7.7622801697998789E-2</v>
      </c>
      <c r="AB1049">
        <v>73.400000000000006</v>
      </c>
      <c r="AC1049">
        <v>-1.4402815816722083</v>
      </c>
      <c r="AD1049">
        <v>-2.352571598850369</v>
      </c>
      <c r="AE1049">
        <v>0.34030769481253259</v>
      </c>
      <c r="AF1049">
        <v>6.5305312970073788E-3</v>
      </c>
      <c r="AG1049">
        <v>-2.3602912005470853</v>
      </c>
      <c r="AH1049">
        <v>0.34102321891779036</v>
      </c>
      <c r="AI1049">
        <v>1.9273987093097343E-3</v>
      </c>
    </row>
    <row r="1050" spans="23:35" x14ac:dyDescent="0.25">
      <c r="W1050">
        <v>1048</v>
      </c>
      <c r="X1050">
        <v>61.672854182947177</v>
      </c>
      <c r="Y1050">
        <v>-7.3728541829471794</v>
      </c>
      <c r="Z1050">
        <v>61.748858569466066</v>
      </c>
      <c r="AA1050">
        <v>7.3984232868405095E-2</v>
      </c>
      <c r="AB1050">
        <v>73.400000000000006</v>
      </c>
      <c r="AC1050">
        <v>-1.4576525936309461</v>
      </c>
      <c r="AD1050">
        <v>-2.0503950110920104</v>
      </c>
      <c r="AE1050">
        <v>0.34287869083716027</v>
      </c>
      <c r="AF1050">
        <v>1.0203494375694096E-2</v>
      </c>
      <c r="AG1050">
        <v>-2.0609363458554926</v>
      </c>
      <c r="AH1050">
        <v>0.34423603341596648</v>
      </c>
      <c r="AI1050">
        <v>2.3045098510504928E-3</v>
      </c>
    </row>
    <row r="1051" spans="23:35" x14ac:dyDescent="0.25">
      <c r="W1051">
        <v>1049</v>
      </c>
      <c r="X1051">
        <v>60.767067524266963</v>
      </c>
      <c r="Y1051">
        <v>-6.7670675242669631</v>
      </c>
      <c r="Z1051">
        <v>60.841247771005897</v>
      </c>
      <c r="AA1051">
        <v>6.9739235900545787E-2</v>
      </c>
      <c r="AB1051">
        <v>73.400000000000006</v>
      </c>
      <c r="AC1051">
        <v>-1.4984336523422108</v>
      </c>
      <c r="AD1051">
        <v>-1.8819253910611551</v>
      </c>
      <c r="AE1051">
        <v>0.34423541109286815</v>
      </c>
      <c r="AF1051">
        <v>1.0843087287865602E-2</v>
      </c>
      <c r="AG1051">
        <v>-1.8922120621598761</v>
      </c>
      <c r="AH1051">
        <v>0.34615492348758792</v>
      </c>
      <c r="AI1051">
        <v>2.0657310421426521E-3</v>
      </c>
    </row>
    <row r="1052" spans="23:35" x14ac:dyDescent="0.25">
      <c r="W1052">
        <v>1050</v>
      </c>
      <c r="X1052">
        <v>61.009443841357609</v>
      </c>
      <c r="Y1052">
        <v>-7.2094438413576114</v>
      </c>
      <c r="Z1052">
        <v>61.106092318504608</v>
      </c>
      <c r="AA1052">
        <v>6.6707095209217707E-2</v>
      </c>
      <c r="AB1052">
        <v>73.400000000000006</v>
      </c>
      <c r="AC1052">
        <v>-1.5078422496152202</v>
      </c>
      <c r="AD1052">
        <v>-2.0049505006158577</v>
      </c>
      <c r="AE1052">
        <v>0.34502590631381297</v>
      </c>
      <c r="AF1052">
        <v>1.3228477404017015E-2</v>
      </c>
      <c r="AG1052">
        <v>-2.0183447585116223</v>
      </c>
      <c r="AH1052">
        <v>0.34691696907426578</v>
      </c>
      <c r="AI1052">
        <v>2.8742884754961013E-3</v>
      </c>
    </row>
    <row r="1053" spans="23:35" x14ac:dyDescent="0.25">
      <c r="W1053">
        <v>1051</v>
      </c>
      <c r="X1053">
        <v>59.775015580036317</v>
      </c>
      <c r="Y1053">
        <v>-6.5750155800363146</v>
      </c>
      <c r="Z1053">
        <v>59.84502521599962</v>
      </c>
      <c r="AA1053">
        <v>6.0642813826561552E-2</v>
      </c>
      <c r="AB1053">
        <v>73.400000000000006</v>
      </c>
      <c r="AC1053">
        <v>-1.5621464731395975</v>
      </c>
      <c r="AD1053">
        <v>-1.8285156343306028</v>
      </c>
      <c r="AE1053">
        <v>0.34623181504936684</v>
      </c>
      <c r="AF1053">
        <v>1.0535646395251671E-2</v>
      </c>
      <c r="AG1053">
        <v>-1.8382247177222772</v>
      </c>
      <c r="AH1053">
        <v>0.34848147787151851</v>
      </c>
      <c r="AI1053">
        <v>1.8936714663104358E-3</v>
      </c>
    </row>
    <row r="1054" spans="23:35" x14ac:dyDescent="0.25">
      <c r="W1054">
        <v>1052</v>
      </c>
      <c r="X1054">
        <v>52.029054474579631</v>
      </c>
      <c r="Y1054">
        <v>7.0945525420370359E-2</v>
      </c>
      <c r="Z1054">
        <v>52.028596851308841</v>
      </c>
      <c r="AA1054">
        <v>4.9120679199514856E-2</v>
      </c>
      <c r="AB1054">
        <v>73.5</v>
      </c>
      <c r="AC1054">
        <v>-1.6746834237964712</v>
      </c>
      <c r="AD1054">
        <v>1.9729991638473034E-2</v>
      </c>
      <c r="AE1054">
        <v>0.34810890563951141</v>
      </c>
      <c r="AF1054">
        <v>6.4090068740842174E-3</v>
      </c>
      <c r="AG1054">
        <v>1.9793522003019218E-2</v>
      </c>
      <c r="AH1054">
        <v>0.34988342458575222</v>
      </c>
      <c r="AI1054">
        <v>1.3300735186345233E-7</v>
      </c>
    </row>
    <row r="1055" spans="23:35" x14ac:dyDescent="0.25">
      <c r="W1055">
        <v>1053</v>
      </c>
      <c r="X1055">
        <v>50.710718772867892</v>
      </c>
      <c r="Y1055">
        <v>0.48928122713211053</v>
      </c>
      <c r="Z1055">
        <v>50.707052344210567</v>
      </c>
      <c r="AA1055">
        <v>4.0024257125530621E-2</v>
      </c>
      <c r="AB1055">
        <v>73.5</v>
      </c>
      <c r="AC1055">
        <v>-1.7610542000458449</v>
      </c>
      <c r="AD1055">
        <v>0.13606939215657121</v>
      </c>
      <c r="AE1055">
        <v>0.34834556850919596</v>
      </c>
      <c r="AF1055">
        <v>7.437764667846374E-3</v>
      </c>
      <c r="AG1055">
        <v>0.1365782586028966</v>
      </c>
      <c r="AH1055">
        <v>0.35004800367003036</v>
      </c>
      <c r="AI1055">
        <v>7.3568893983976088E-6</v>
      </c>
    </row>
    <row r="1056" spans="23:35" x14ac:dyDescent="0.25">
      <c r="W1056">
        <v>1054</v>
      </c>
      <c r="X1056">
        <v>48.910928157462052</v>
      </c>
      <c r="Y1056">
        <v>9.0890718425379475</v>
      </c>
      <c r="Z1056">
        <v>48.731509241547791</v>
      </c>
      <c r="AA1056">
        <v>0.13159490600363857</v>
      </c>
      <c r="AB1056">
        <v>73.5</v>
      </c>
      <c r="AC1056">
        <v>-1.1375552391677688</v>
      </c>
      <c r="AD1056">
        <v>2.527676134501708</v>
      </c>
      <c r="AE1056">
        <v>0.34901959632450341</v>
      </c>
      <c r="AF1056">
        <v>1.9357943012527922E-2</v>
      </c>
      <c r="AG1056">
        <v>2.5525024669765601</v>
      </c>
      <c r="AH1056">
        <v>0.35064007299981703</v>
      </c>
      <c r="AI1056">
        <v>6.7690454804454408E-3</v>
      </c>
    </row>
    <row r="1057" spans="23:35" x14ac:dyDescent="0.25">
      <c r="W1057">
        <v>1055</v>
      </c>
      <c r="X1057">
        <v>49.721185147316426</v>
      </c>
      <c r="Y1057">
        <v>4.2788148526835741</v>
      </c>
      <c r="Z1057">
        <v>49.687100506802118</v>
      </c>
      <c r="AA1057">
        <v>6.9739235900545787E-2</v>
      </c>
      <c r="AB1057">
        <v>73.5</v>
      </c>
      <c r="AC1057">
        <v>-1.4984336523422108</v>
      </c>
      <c r="AD1057">
        <v>1.1899408844434554</v>
      </c>
      <c r="AE1057">
        <v>0.34941096380021813</v>
      </c>
      <c r="AF1057">
        <v>7.9029526581974839E-3</v>
      </c>
      <c r="AG1057">
        <v>1.1946709624053899</v>
      </c>
      <c r="AH1057">
        <v>0.3511902525181439</v>
      </c>
      <c r="AI1057">
        <v>5.9838161019732923E-4</v>
      </c>
    </row>
    <row r="1058" spans="23:35" x14ac:dyDescent="0.25">
      <c r="W1058">
        <v>1056</v>
      </c>
      <c r="X1058">
        <v>49.507367838202462</v>
      </c>
      <c r="Y1058">
        <v>1.4926321617975375</v>
      </c>
      <c r="Z1058">
        <v>49.48801582120543</v>
      </c>
      <c r="AA1058">
        <v>3.7598544572468161E-2</v>
      </c>
      <c r="AB1058">
        <v>73.5</v>
      </c>
      <c r="AC1058">
        <v>-1.7980761038936304</v>
      </c>
      <c r="AD1058">
        <v>0.41510186720141723</v>
      </c>
      <c r="AE1058">
        <v>0.35018761261447523</v>
      </c>
      <c r="AF1058">
        <v>1.2799086966942107E-2</v>
      </c>
      <c r="AG1058">
        <v>0.41778410493552159</v>
      </c>
      <c r="AH1058">
        <v>0.35185709421384259</v>
      </c>
      <c r="AI1058">
        <v>1.1910326476332704E-4</v>
      </c>
    </row>
    <row r="1059" spans="23:35" x14ac:dyDescent="0.25">
      <c r="W1059">
        <v>1057</v>
      </c>
      <c r="X1059">
        <v>49.549191002064461</v>
      </c>
      <c r="Y1059">
        <v>0.25080899793553613</v>
      </c>
      <c r="Z1059">
        <v>49.547220923310299</v>
      </c>
      <c r="AA1059">
        <v>3.3353547604608853E-2</v>
      </c>
      <c r="AB1059">
        <v>73.5</v>
      </c>
      <c r="AC1059">
        <v>-1.8544489690938102</v>
      </c>
      <c r="AD1059">
        <v>6.9750127337855947E-2</v>
      </c>
      <c r="AE1059">
        <v>0.35044741568487192</v>
      </c>
      <c r="AF1059">
        <v>7.7936781000969256E-3</v>
      </c>
      <c r="AG1059">
        <v>7.0023531517939372E-2</v>
      </c>
      <c r="AH1059">
        <v>0.35214064313835503</v>
      </c>
      <c r="AI1059">
        <v>2.0270986913474991E-6</v>
      </c>
    </row>
    <row r="1060" spans="23:35" x14ac:dyDescent="0.25">
      <c r="W1060">
        <v>1058</v>
      </c>
      <c r="X1060">
        <v>55.830876413375044</v>
      </c>
      <c r="Y1060">
        <v>-6.3308764133750444</v>
      </c>
      <c r="Z1060">
        <v>55.939570572909531</v>
      </c>
      <c r="AA1060">
        <v>2.9714978775015159E-2</v>
      </c>
      <c r="AB1060">
        <v>73.5</v>
      </c>
      <c r="AC1060">
        <v>-1.8895099603334302</v>
      </c>
      <c r="AD1060">
        <v>-1.7606203909264631</v>
      </c>
      <c r="AE1060">
        <v>0.35183485991799607</v>
      </c>
      <c r="AF1060">
        <v>1.6879100602103222E-2</v>
      </c>
      <c r="AG1060">
        <v>-1.7756700237436112</v>
      </c>
      <c r="AH1060">
        <v>0.35273204189002294</v>
      </c>
      <c r="AI1060">
        <v>2.8491367755042146E-3</v>
      </c>
    </row>
    <row r="1061" spans="23:35" x14ac:dyDescent="0.25">
      <c r="W1061">
        <v>1059</v>
      </c>
      <c r="X1061">
        <v>67.873030889055471</v>
      </c>
      <c r="Y1061">
        <v>-1.4730308890554653</v>
      </c>
      <c r="Z1061">
        <v>67.88424922024474</v>
      </c>
      <c r="AA1061">
        <v>0.32201334141904187</v>
      </c>
      <c r="AB1061">
        <v>73.5</v>
      </c>
      <c r="AC1061">
        <v>-0.46970075330452549</v>
      </c>
      <c r="AD1061">
        <v>-0.40965074191884271</v>
      </c>
      <c r="AE1061">
        <v>0.35236416702194773</v>
      </c>
      <c r="AF1061">
        <v>7.5582530455464694E-3</v>
      </c>
      <c r="AG1061">
        <v>-0.41120769536895035</v>
      </c>
      <c r="AH1061">
        <v>0.35602780165138875</v>
      </c>
      <c r="AI1061">
        <v>6.7777456853112332E-5</v>
      </c>
    </row>
    <row r="1062" spans="23:35" x14ac:dyDescent="0.25">
      <c r="W1062">
        <v>1060</v>
      </c>
      <c r="X1062">
        <v>67.420740997347849</v>
      </c>
      <c r="Y1062">
        <v>-1.2207409973478462</v>
      </c>
      <c r="Z1062">
        <v>67.429875386144772</v>
      </c>
      <c r="AA1062">
        <v>0.3171619163129169</v>
      </c>
      <c r="AB1062">
        <v>73.5</v>
      </c>
      <c r="AC1062">
        <v>-0.48332360885611292</v>
      </c>
      <c r="AD1062">
        <v>-0.33948877716675185</v>
      </c>
      <c r="AE1062">
        <v>0.35472699206790065</v>
      </c>
      <c r="AF1062">
        <v>7.4270848086104568E-3</v>
      </c>
      <c r="AG1062">
        <v>-0.3407565494126148</v>
      </c>
      <c r="AH1062">
        <v>0.35756859416674475</v>
      </c>
      <c r="AI1062">
        <v>4.572890325400432E-5</v>
      </c>
    </row>
    <row r="1063" spans="23:35" x14ac:dyDescent="0.25">
      <c r="W1063">
        <v>1061</v>
      </c>
      <c r="X1063">
        <v>67.550804918617644</v>
      </c>
      <c r="Y1063">
        <v>-1.6508049186176379</v>
      </c>
      <c r="Z1063">
        <v>67.563603771045393</v>
      </c>
      <c r="AA1063">
        <v>0.30563978168587025</v>
      </c>
      <c r="AB1063">
        <v>73.5</v>
      </c>
      <c r="AC1063">
        <v>-0.52126361871264315</v>
      </c>
      <c r="AD1063">
        <v>-0.45908980232493041</v>
      </c>
      <c r="AE1063">
        <v>0.35610939171373684</v>
      </c>
      <c r="AF1063">
        <v>7.693449997231986E-3</v>
      </c>
      <c r="AG1063">
        <v>-0.46086605024638216</v>
      </c>
      <c r="AH1063">
        <v>0.36014255471417717</v>
      </c>
      <c r="AI1063">
        <v>8.6670461756243439E-5</v>
      </c>
    </row>
    <row r="1064" spans="23:35" x14ac:dyDescent="0.25">
      <c r="W1064">
        <v>1062</v>
      </c>
      <c r="X1064">
        <v>66.555884949618275</v>
      </c>
      <c r="Y1064">
        <v>-0.95588494961828019</v>
      </c>
      <c r="Z1064">
        <v>66.579571512900884</v>
      </c>
      <c r="AA1064">
        <v>0.29411764705882354</v>
      </c>
      <c r="AB1064">
        <v>73.5</v>
      </c>
      <c r="AC1064">
        <v>-0.55287102664223609</v>
      </c>
      <c r="AD1064">
        <v>-0.26583215715949565</v>
      </c>
      <c r="AE1064">
        <v>0.35882697904317629</v>
      </c>
      <c r="AF1064">
        <v>2.4180535030535372E-2</v>
      </c>
      <c r="AG1064">
        <v>-0.26910562581431735</v>
      </c>
      <c r="AH1064">
        <v>0.36051075921224929</v>
      </c>
      <c r="AI1064">
        <v>9.4447046691831214E-5</v>
      </c>
    </row>
    <row r="1065" spans="23:35" x14ac:dyDescent="0.25">
      <c r="W1065">
        <v>1063</v>
      </c>
      <c r="X1065">
        <v>65.078532835823509</v>
      </c>
      <c r="Y1065">
        <v>0.32146716417649657</v>
      </c>
      <c r="Z1065">
        <v>65.07069332796199</v>
      </c>
      <c r="AA1065">
        <v>0.28684050939963612</v>
      </c>
      <c r="AB1065">
        <v>73.5</v>
      </c>
      <c r="AC1065">
        <v>-0.57067028430202504</v>
      </c>
      <c r="AD1065">
        <v>8.9400204222390631E-2</v>
      </c>
      <c r="AE1065">
        <v>0.35939101869845341</v>
      </c>
      <c r="AF1065">
        <v>2.3806100899811718E-2</v>
      </c>
      <c r="AG1065">
        <v>9.0483723991918383E-2</v>
      </c>
      <c r="AH1065">
        <v>0.36525705451797941</v>
      </c>
      <c r="AI1065">
        <v>1.0508470576128255E-5</v>
      </c>
    </row>
    <row r="1066" spans="23:35" x14ac:dyDescent="0.25">
      <c r="W1066">
        <v>1064</v>
      </c>
      <c r="X1066">
        <v>61.609482314119774</v>
      </c>
      <c r="Y1066">
        <v>3.5905176858802292</v>
      </c>
      <c r="Z1066">
        <v>61.534225210013098</v>
      </c>
      <c r="AA1066">
        <v>0.28077622801697999</v>
      </c>
      <c r="AB1066">
        <v>73.599999999999994</v>
      </c>
      <c r="AC1066">
        <v>-0.59046081866695443</v>
      </c>
      <c r="AD1066">
        <v>0.99852504439788337</v>
      </c>
      <c r="AE1066">
        <v>0.36488266015600257</v>
      </c>
      <c r="AF1066">
        <v>2.0529658371878642E-2</v>
      </c>
      <c r="AG1066">
        <v>1.0089352997307846</v>
      </c>
      <c r="AH1066">
        <v>0.36657034056038812</v>
      </c>
      <c r="AI1066">
        <v>1.1229578759300942E-3</v>
      </c>
    </row>
    <row r="1067" spans="23:35" x14ac:dyDescent="0.25">
      <c r="W1067">
        <v>1065</v>
      </c>
      <c r="X1067">
        <v>60.16302319447324</v>
      </c>
      <c r="Y1067">
        <v>-0.96302319447323725</v>
      </c>
      <c r="Z1067">
        <v>60.170056465520425</v>
      </c>
      <c r="AA1067">
        <v>0.15767131594906003</v>
      </c>
      <c r="AB1067">
        <v>73.599999999999994</v>
      </c>
      <c r="AC1067">
        <v>-1.0205681915260707</v>
      </c>
      <c r="AD1067">
        <v>-0.26781730718082791</v>
      </c>
      <c r="AE1067">
        <v>0.36620678290453046</v>
      </c>
      <c r="AF1067">
        <v>7.2503728361924787E-3</v>
      </c>
      <c r="AG1067">
        <v>-0.26879350642066624</v>
      </c>
      <c r="AH1067">
        <v>0.36747826789152899</v>
      </c>
      <c r="AI1067">
        <v>2.7771833427049869E-5</v>
      </c>
    </row>
    <row r="1068" spans="23:35" x14ac:dyDescent="0.25">
      <c r="W1068">
        <v>1066</v>
      </c>
      <c r="X1068">
        <v>62.442711797285853</v>
      </c>
      <c r="Y1068">
        <v>2.0572882027141475</v>
      </c>
      <c r="Z1068">
        <v>62.430960586103033</v>
      </c>
      <c r="AA1068">
        <v>0.25409338993329289</v>
      </c>
      <c r="AB1068">
        <v>73.599999999999994</v>
      </c>
      <c r="AC1068">
        <v>-0.6664012884495929</v>
      </c>
      <c r="AD1068">
        <v>0.57213303865143827</v>
      </c>
      <c r="AE1068">
        <v>0.3668693974761329</v>
      </c>
      <c r="AF1068">
        <v>5.6795492168445474E-3</v>
      </c>
      <c r="AG1068">
        <v>0.57376472124240396</v>
      </c>
      <c r="AH1068">
        <v>0.36751625858734538</v>
      </c>
      <c r="AI1068">
        <v>9.8969545872294585E-5</v>
      </c>
    </row>
    <row r="1069" spans="23:35" x14ac:dyDescent="0.25">
      <c r="W1069">
        <v>1067</v>
      </c>
      <c r="X1069">
        <v>65.456151989904228</v>
      </c>
      <c r="Y1069">
        <v>-1.2561519899042253</v>
      </c>
      <c r="Z1069">
        <v>65.46655215107873</v>
      </c>
      <c r="AA1069">
        <v>0.24560339599757428</v>
      </c>
      <c r="AB1069">
        <v>73.599999999999994</v>
      </c>
      <c r="AC1069">
        <v>-0.69708605805955215</v>
      </c>
      <c r="AD1069">
        <v>-0.34933659467050077</v>
      </c>
      <c r="AE1069">
        <v>0.36689676878086885</v>
      </c>
      <c r="AF1069">
        <v>8.2113959268459505E-3</v>
      </c>
      <c r="AG1069">
        <v>-0.35077975911865855</v>
      </c>
      <c r="AH1069">
        <v>0.36864268006310502</v>
      </c>
      <c r="AI1069">
        <v>5.3618335665316052E-5</v>
      </c>
    </row>
    <row r="1070" spans="23:35" x14ac:dyDescent="0.25">
      <c r="W1070">
        <v>1068</v>
      </c>
      <c r="X1070">
        <v>61.867344904838212</v>
      </c>
      <c r="Y1070">
        <v>2.0326550951617861</v>
      </c>
      <c r="Z1070">
        <v>61.855315476959888</v>
      </c>
      <c r="AA1070">
        <v>0.23771983020012127</v>
      </c>
      <c r="AB1070">
        <v>73.599999999999994</v>
      </c>
      <c r="AC1070">
        <v>-0.71660092108895201</v>
      </c>
      <c r="AD1070">
        <v>0.56528255719883136</v>
      </c>
      <c r="AE1070">
        <v>0.36692492153160661</v>
      </c>
      <c r="AF1070">
        <v>5.8832684175825038E-3</v>
      </c>
      <c r="AG1070">
        <v>0.56695278513002578</v>
      </c>
      <c r="AH1070">
        <v>0.36991543792011716</v>
      </c>
      <c r="AI1070">
        <v>1.0012014386156098E-4</v>
      </c>
    </row>
    <row r="1071" spans="23:35" x14ac:dyDescent="0.25">
      <c r="W1071">
        <v>1069</v>
      </c>
      <c r="X1071">
        <v>61.89734679035918</v>
      </c>
      <c r="Y1071">
        <v>1.6026532096408204</v>
      </c>
      <c r="Z1071">
        <v>61.884043207563288</v>
      </c>
      <c r="AA1071">
        <v>0.23226197695573075</v>
      </c>
      <c r="AB1071">
        <v>73.599999999999994</v>
      </c>
      <c r="AC1071">
        <v>-0.74038552290047832</v>
      </c>
      <c r="AD1071">
        <v>0.44569878421826886</v>
      </c>
      <c r="AE1071">
        <v>0.36916858234915512</v>
      </c>
      <c r="AF1071">
        <v>8.2326352153445637E-3</v>
      </c>
      <c r="AG1071">
        <v>0.44754482817858271</v>
      </c>
      <c r="AH1071">
        <v>0.37291877658151662</v>
      </c>
      <c r="AI1071">
        <v>8.750815831175428E-5</v>
      </c>
    </row>
    <row r="1072" spans="23:35" x14ac:dyDescent="0.25">
      <c r="W1072">
        <v>1070</v>
      </c>
      <c r="X1072">
        <v>61.755757669932478</v>
      </c>
      <c r="Y1072">
        <v>1.4442423300675244</v>
      </c>
      <c r="Z1072">
        <v>61.737327940889884</v>
      </c>
      <c r="AA1072">
        <v>0.22437841115827775</v>
      </c>
      <c r="AB1072">
        <v>73.599999999999994</v>
      </c>
      <c r="AC1072">
        <v>-0.7625619542054235</v>
      </c>
      <c r="AD1072">
        <v>0.40164462701941489</v>
      </c>
      <c r="AE1072">
        <v>0.37145418846078471</v>
      </c>
      <c r="AF1072">
        <v>1.2600041771363774E-2</v>
      </c>
      <c r="AG1072">
        <v>0.40419916250715332</v>
      </c>
      <c r="AH1072">
        <v>0.37639254625048979</v>
      </c>
      <c r="AI1072">
        <v>1.0972765503263512E-4</v>
      </c>
    </row>
    <row r="1073" spans="23:35" x14ac:dyDescent="0.25">
      <c r="W1073">
        <v>1071</v>
      </c>
      <c r="X1073">
        <v>67.88143473235526</v>
      </c>
      <c r="Y1073">
        <v>-1.9814347323552539</v>
      </c>
      <c r="Z1073">
        <v>67.890133280987953</v>
      </c>
      <c r="AA1073">
        <v>0.30563978168587025</v>
      </c>
      <c r="AB1073">
        <v>73.599999999999994</v>
      </c>
      <c r="AC1073">
        <v>-0.52126361871264315</v>
      </c>
      <c r="AD1073">
        <v>-0.55103814468790124</v>
      </c>
      <c r="AE1073">
        <v>0.37446090134945537</v>
      </c>
      <c r="AF1073">
        <v>4.3708372277352437E-3</v>
      </c>
      <c r="AG1073">
        <v>-0.55224635582269033</v>
      </c>
      <c r="AH1073">
        <v>0.37984753945162381</v>
      </c>
      <c r="AI1073">
        <v>7.0465922358687593E-5</v>
      </c>
    </row>
    <row r="1074" spans="23:35" x14ac:dyDescent="0.25">
      <c r="W1074">
        <v>1072</v>
      </c>
      <c r="X1074">
        <v>67.789582392118291</v>
      </c>
      <c r="Y1074">
        <v>-1.6895823921182966</v>
      </c>
      <c r="Z1074">
        <v>67.796387888140728</v>
      </c>
      <c r="AA1074">
        <v>0.31412977562158884</v>
      </c>
      <c r="AB1074">
        <v>73.599999999999994</v>
      </c>
      <c r="AC1074">
        <v>-0.4918835074548818</v>
      </c>
      <c r="AD1074">
        <v>-0.46987384012570527</v>
      </c>
      <c r="AE1074">
        <v>0.37811860228241795</v>
      </c>
      <c r="AF1074">
        <v>4.0117570220887036E-3</v>
      </c>
      <c r="AG1074">
        <v>-0.47081919531884908</v>
      </c>
      <c r="AH1074">
        <v>0.38037507492633565</v>
      </c>
      <c r="AI1074">
        <v>4.699321199091472E-5</v>
      </c>
    </row>
    <row r="1075" spans="23:35" x14ac:dyDescent="0.25">
      <c r="W1075">
        <v>1073</v>
      </c>
      <c r="X1075">
        <v>66.907292218904118</v>
      </c>
      <c r="Y1075">
        <v>-1.1072922189041208</v>
      </c>
      <c r="Z1075">
        <v>66.911547657263554</v>
      </c>
      <c r="AA1075">
        <v>0.30078835657974529</v>
      </c>
      <c r="AB1075">
        <v>73.599999999999994</v>
      </c>
      <c r="AC1075">
        <v>-0.53349185558387491</v>
      </c>
      <c r="AD1075">
        <v>-0.30793860628808223</v>
      </c>
      <c r="AE1075">
        <v>0.38025851417304718</v>
      </c>
      <c r="AF1075">
        <v>3.8283903813135798E-3</v>
      </c>
      <c r="AG1075">
        <v>-0.30852975880176026</v>
      </c>
      <c r="AH1075">
        <v>0.38077074650348031</v>
      </c>
      <c r="AI1075">
        <v>1.9254071239337463E-5</v>
      </c>
    </row>
    <row r="1076" spans="23:35" x14ac:dyDescent="0.25">
      <c r="W1076">
        <v>1074</v>
      </c>
      <c r="X1076">
        <v>64.967468021404216</v>
      </c>
      <c r="Y1076">
        <v>-0.66746802140421835</v>
      </c>
      <c r="Z1076">
        <v>64.970856909724603</v>
      </c>
      <c r="AA1076">
        <v>0.2498483929654336</v>
      </c>
      <c r="AB1076">
        <v>73.599999999999994</v>
      </c>
      <c r="AC1076">
        <v>-0.68742774275107121</v>
      </c>
      <c r="AD1076">
        <v>-0.185623242667143</v>
      </c>
      <c r="AE1076">
        <v>0.38068732902367125</v>
      </c>
      <c r="AF1076">
        <v>5.0515814494327075E-3</v>
      </c>
      <c r="AG1076">
        <v>-0.18609387195089369</v>
      </c>
      <c r="AH1076">
        <v>0.38102003461703726</v>
      </c>
      <c r="AI1076">
        <v>9.2541670951734029E-6</v>
      </c>
    </row>
    <row r="1077" spans="23:35" x14ac:dyDescent="0.25">
      <c r="W1077">
        <v>1075</v>
      </c>
      <c r="X1077">
        <v>64.356847435333464</v>
      </c>
      <c r="Y1077">
        <v>-1.3568474353334636</v>
      </c>
      <c r="Z1077">
        <v>64.361370487776213</v>
      </c>
      <c r="AA1077">
        <v>0.22195269860521527</v>
      </c>
      <c r="AB1077">
        <v>73.599999999999994</v>
      </c>
      <c r="AC1077">
        <v>-0.78098898173722842</v>
      </c>
      <c r="AD1077">
        <v>-0.37734005626415823</v>
      </c>
      <c r="AE1077">
        <v>0.38093058974328559</v>
      </c>
      <c r="AF1077">
        <v>3.3224258079390329E-3</v>
      </c>
      <c r="AG1077">
        <v>-0.37796846474950124</v>
      </c>
      <c r="AH1077">
        <v>0.38152071491344225</v>
      </c>
      <c r="AI1077">
        <v>2.5064447591584855E-5</v>
      </c>
    </row>
    <row r="1078" spans="23:35" x14ac:dyDescent="0.25">
      <c r="W1078">
        <v>1076</v>
      </c>
      <c r="X1078">
        <v>68.623607616642417</v>
      </c>
      <c r="Y1078">
        <v>0.97639238335757739</v>
      </c>
      <c r="Z1078">
        <v>68.615564736380705</v>
      </c>
      <c r="AA1078">
        <v>0.44815039417828989</v>
      </c>
      <c r="AB1078">
        <v>73.599999999999994</v>
      </c>
      <c r="AC1078">
        <v>-0.14337818601426075</v>
      </c>
      <c r="AD1078">
        <v>0.27153528633931984</v>
      </c>
      <c r="AE1078">
        <v>0.38339445186930909</v>
      </c>
      <c r="AF1078">
        <v>8.1700448561226116E-3</v>
      </c>
      <c r="AG1078">
        <v>0.27265135751289077</v>
      </c>
      <c r="AH1078">
        <v>0.38426767217230712</v>
      </c>
      <c r="AI1078">
        <v>3.2229157146177716E-5</v>
      </c>
    </row>
    <row r="1079" spans="23:35" x14ac:dyDescent="0.25">
      <c r="W1079">
        <v>1077</v>
      </c>
      <c r="X1079">
        <v>68.358560420283183</v>
      </c>
      <c r="Y1079">
        <v>0.94143957971681402</v>
      </c>
      <c r="Z1079">
        <v>68.350818697970169</v>
      </c>
      <c r="AA1079">
        <v>0.4329896907216495</v>
      </c>
      <c r="AB1079">
        <v>73.599999999999994</v>
      </c>
      <c r="AC1079">
        <v>-0.17879863688351211</v>
      </c>
      <c r="AD1079">
        <v>0.26181489143791786</v>
      </c>
      <c r="AE1079">
        <v>0.3859294173399172</v>
      </c>
      <c r="AF1079">
        <v>8.1562103008716285E-3</v>
      </c>
      <c r="AG1079">
        <v>0.26288917614907226</v>
      </c>
      <c r="AH1079">
        <v>0.38831688340202136</v>
      </c>
      <c r="AI1079">
        <v>2.9911414189218661E-5</v>
      </c>
    </row>
    <row r="1080" spans="23:35" x14ac:dyDescent="0.25">
      <c r="W1080">
        <v>1078</v>
      </c>
      <c r="X1080">
        <v>66.757751753130108</v>
      </c>
      <c r="Y1080">
        <v>2.1422482468698973</v>
      </c>
      <c r="Z1080">
        <v>66.712396735282425</v>
      </c>
      <c r="AA1080">
        <v>0.41479684657368104</v>
      </c>
      <c r="AB1080">
        <v>73.599999999999994</v>
      </c>
      <c r="AC1080">
        <v>-0.22378708008709278</v>
      </c>
      <c r="AD1080">
        <v>0.59576047605309213</v>
      </c>
      <c r="AE1080">
        <v>0.38798517566859236</v>
      </c>
      <c r="AF1080">
        <v>2.0732743719660281E-2</v>
      </c>
      <c r="AG1080">
        <v>0.60203407265306441</v>
      </c>
      <c r="AH1080">
        <v>0.39042709557544736</v>
      </c>
      <c r="AI1080">
        <v>4.038723185511593E-4</v>
      </c>
    </row>
    <row r="1081" spans="23:35" x14ac:dyDescent="0.25">
      <c r="W1081">
        <v>1079</v>
      </c>
      <c r="X1081">
        <v>67.807830024652219</v>
      </c>
      <c r="Y1081">
        <v>0.5921699753477867</v>
      </c>
      <c r="Z1081">
        <v>67.802691979957075</v>
      </c>
      <c r="AA1081">
        <v>0.40024257125530627</v>
      </c>
      <c r="AB1081">
        <v>73.599999999999994</v>
      </c>
      <c r="AC1081">
        <v>-0.26293383539244392</v>
      </c>
      <c r="AD1081">
        <v>0.16468281252325417</v>
      </c>
      <c r="AE1081">
        <v>0.3897190195892507</v>
      </c>
      <c r="AF1081">
        <v>8.6020018528646918E-3</v>
      </c>
      <c r="AG1081">
        <v>0.16539571606184181</v>
      </c>
      <c r="AH1081">
        <v>0.39340722313104948</v>
      </c>
      <c r="AI1081">
        <v>1.2492415095700717E-5</v>
      </c>
    </row>
    <row r="1082" spans="23:35" x14ac:dyDescent="0.25">
      <c r="W1082">
        <v>1080</v>
      </c>
      <c r="X1082">
        <v>66.469944196088846</v>
      </c>
      <c r="Y1082">
        <v>1.5300558039111536</v>
      </c>
      <c r="Z1082">
        <v>66.457828472225174</v>
      </c>
      <c r="AA1082">
        <v>0.38447543966040026</v>
      </c>
      <c r="AB1082">
        <v>73.7</v>
      </c>
      <c r="AC1082">
        <v>-0.31204933220437475</v>
      </c>
      <c r="AD1082">
        <v>0.42550940371070139</v>
      </c>
      <c r="AE1082">
        <v>0.39298680537910458</v>
      </c>
      <c r="AF1082">
        <v>7.8562751584139376E-3</v>
      </c>
      <c r="AG1082">
        <v>0.42719077669795857</v>
      </c>
      <c r="AH1082">
        <v>0.39691287706540446</v>
      </c>
      <c r="AI1082">
        <v>7.6055780908968433E-5</v>
      </c>
    </row>
    <row r="1083" spans="23:35" x14ac:dyDescent="0.25">
      <c r="W1083">
        <v>1081</v>
      </c>
      <c r="X1083">
        <v>65.850909581928008</v>
      </c>
      <c r="Y1083">
        <v>1.6490904180719923</v>
      </c>
      <c r="Z1083">
        <v>65.837811035036779</v>
      </c>
      <c r="AA1083">
        <v>0.35900545785324439</v>
      </c>
      <c r="AB1083">
        <v>73.7</v>
      </c>
      <c r="AC1083">
        <v>-0.37168505980560429</v>
      </c>
      <c r="AD1083">
        <v>0.4586129987319017</v>
      </c>
      <c r="AE1083">
        <v>0.39613997617564994</v>
      </c>
      <c r="AF1083">
        <v>7.8802995130652243E-3</v>
      </c>
      <c r="AG1083">
        <v>0.46043075304652287</v>
      </c>
      <c r="AH1083">
        <v>0.39854470768015715</v>
      </c>
      <c r="AI1083">
        <v>8.8624479289455303E-5</v>
      </c>
    </row>
    <row r="1084" spans="23:35" x14ac:dyDescent="0.25">
      <c r="W1084">
        <v>1082</v>
      </c>
      <c r="X1084">
        <v>65.100455372914752</v>
      </c>
      <c r="Y1084">
        <v>1.8995446270852483</v>
      </c>
      <c r="Z1084">
        <v>65.085305198943672</v>
      </c>
      <c r="AA1084">
        <v>0.33959975742874471</v>
      </c>
      <c r="AB1084">
        <v>73.7</v>
      </c>
      <c r="AC1084">
        <v>-0.42600652312983872</v>
      </c>
      <c r="AD1084">
        <v>0.5282644590653407</v>
      </c>
      <c r="AE1084">
        <v>0.39782869248154096</v>
      </c>
      <c r="AF1084">
        <v>7.912579050576584E-3</v>
      </c>
      <c r="AG1084">
        <v>0.53036691133589142</v>
      </c>
      <c r="AH1084">
        <v>0.39864304385810989</v>
      </c>
      <c r="AI1084">
        <v>1.1807755739521066E-4</v>
      </c>
    </row>
    <row r="1085" spans="23:35" x14ac:dyDescent="0.25">
      <c r="W1085">
        <v>1083</v>
      </c>
      <c r="X1085">
        <v>64.767243317204802</v>
      </c>
      <c r="Y1085">
        <v>1.8327566827951927</v>
      </c>
      <c r="Z1085">
        <v>64.752808539073342</v>
      </c>
      <c r="AA1085">
        <v>0.32686476652516677</v>
      </c>
      <c r="AB1085">
        <v>73.7</v>
      </c>
      <c r="AC1085">
        <v>-0.45616451589519369</v>
      </c>
      <c r="AD1085">
        <v>0.50969069314302584</v>
      </c>
      <c r="AE1085">
        <v>0.398115285115617</v>
      </c>
      <c r="AF1085">
        <v>7.8144461128132198E-3</v>
      </c>
      <c r="AG1085">
        <v>0.51169391660779118</v>
      </c>
      <c r="AH1085">
        <v>0.40206472754861089</v>
      </c>
      <c r="AI1085">
        <v>1.0853559910648839E-4</v>
      </c>
    </row>
    <row r="1086" spans="23:35" x14ac:dyDescent="0.25">
      <c r="W1086">
        <v>1084</v>
      </c>
      <c r="X1086">
        <v>67.420339641697026</v>
      </c>
      <c r="Y1086">
        <v>-1.4203396416970264</v>
      </c>
      <c r="Z1086">
        <v>67.436056540607225</v>
      </c>
      <c r="AA1086">
        <v>0.31109763493026077</v>
      </c>
      <c r="AB1086">
        <v>73.7</v>
      </c>
      <c r="AC1086">
        <v>-0.50738317096904828</v>
      </c>
      <c r="AD1086">
        <v>-0.39499727556359576</v>
      </c>
      <c r="AE1086">
        <v>0.39930062079753614</v>
      </c>
      <c r="AF1086">
        <v>1.0944484750960196E-2</v>
      </c>
      <c r="AG1086">
        <v>-0.39717670232623309</v>
      </c>
      <c r="AH1086">
        <v>0.40210168722621592</v>
      </c>
      <c r="AI1086">
        <v>9.1873144655865214E-5</v>
      </c>
    </row>
    <row r="1087" spans="23:35" x14ac:dyDescent="0.25">
      <c r="W1087">
        <v>1085</v>
      </c>
      <c r="X1087">
        <v>66.824567285332535</v>
      </c>
      <c r="Y1087">
        <v>-1.4245672853325289</v>
      </c>
      <c r="Z1087">
        <v>66.842654803682123</v>
      </c>
      <c r="AA1087">
        <v>0.28684050939963612</v>
      </c>
      <c r="AB1087">
        <v>73.7</v>
      </c>
      <c r="AC1087">
        <v>-0.57067028430202504</v>
      </c>
      <c r="AD1087">
        <v>-0.39617298570295512</v>
      </c>
      <c r="AE1087">
        <v>0.3998038385834814</v>
      </c>
      <c r="AF1087">
        <v>1.2537662026583365E-2</v>
      </c>
      <c r="AG1087">
        <v>-0.39868012725967222</v>
      </c>
      <c r="AH1087">
        <v>0.40219241797859923</v>
      </c>
      <c r="AI1087">
        <v>1.0621640384650501E-4</v>
      </c>
    </row>
    <row r="1088" spans="23:35" x14ac:dyDescent="0.25">
      <c r="W1088">
        <v>1086</v>
      </c>
      <c r="X1088">
        <v>61.938485312853842</v>
      </c>
      <c r="Y1088">
        <v>2.7615146871461604</v>
      </c>
      <c r="Z1088">
        <v>61.882194918147896</v>
      </c>
      <c r="AA1088">
        <v>0.26197695573074592</v>
      </c>
      <c r="AB1088">
        <v>73.7</v>
      </c>
      <c r="AC1088">
        <v>-0.64941472986293491</v>
      </c>
      <c r="AD1088">
        <v>0.76797883113950727</v>
      </c>
      <c r="AE1088">
        <v>0.40164462701941489</v>
      </c>
      <c r="AF1088">
        <v>1.9976681520123954E-2</v>
      </c>
      <c r="AG1088">
        <v>0.77576654105572973</v>
      </c>
      <c r="AH1088">
        <v>0.4025618011516055</v>
      </c>
      <c r="AI1088">
        <v>6.456474268718217E-4</v>
      </c>
    </row>
    <row r="1089" spans="23:35" x14ac:dyDescent="0.25">
      <c r="W1089">
        <v>1087</v>
      </c>
      <c r="X1089">
        <v>66.817333473021137</v>
      </c>
      <c r="Y1089">
        <v>-2.5173334730211394</v>
      </c>
      <c r="Z1089">
        <v>66.871899072616273</v>
      </c>
      <c r="AA1089">
        <v>0.2498483929654336</v>
      </c>
      <c r="AB1089">
        <v>73.7</v>
      </c>
      <c r="AC1089">
        <v>-0.68742774275107121</v>
      </c>
      <c r="AD1089">
        <v>-0.70007189431138739</v>
      </c>
      <c r="AE1089">
        <v>0.40173632019225541</v>
      </c>
      <c r="AF1089">
        <v>2.1216073436206309E-2</v>
      </c>
      <c r="AG1089">
        <v>-0.70761858054909088</v>
      </c>
      <c r="AH1089">
        <v>0.40419916250715332</v>
      </c>
      <c r="AI1089">
        <v>5.7124582137945117E-4</v>
      </c>
    </row>
    <row r="1090" spans="23:35" x14ac:dyDescent="0.25">
      <c r="W1090">
        <v>1088</v>
      </c>
      <c r="X1090">
        <v>82.310245953505202</v>
      </c>
      <c r="Y1090">
        <v>-0.61024595350519917</v>
      </c>
      <c r="Z1090">
        <v>82.387976821523111</v>
      </c>
      <c r="AA1090">
        <v>0.95573074590661011</v>
      </c>
      <c r="AB1090">
        <v>73.7</v>
      </c>
      <c r="AC1090">
        <v>1.6624525291871317</v>
      </c>
      <c r="AD1090">
        <v>-0.16970975249994463</v>
      </c>
      <c r="AE1090">
        <v>0.40673339538637554</v>
      </c>
      <c r="AF1090">
        <v>0.11298471923199584</v>
      </c>
      <c r="AG1090">
        <v>-0.1801943831006729</v>
      </c>
      <c r="AH1090">
        <v>0.40848555695654248</v>
      </c>
      <c r="AI1090">
        <v>2.1767948777987994E-4</v>
      </c>
    </row>
    <row r="1091" spans="23:35" x14ac:dyDescent="0.25">
      <c r="W1091">
        <v>1089</v>
      </c>
      <c r="X1091">
        <v>83.659196097726166</v>
      </c>
      <c r="Y1091">
        <v>-2.2591960977261607</v>
      </c>
      <c r="Z1091">
        <v>83.932791341027581</v>
      </c>
      <c r="AA1091">
        <v>0.94724075197089141</v>
      </c>
      <c r="AB1091">
        <v>73.7</v>
      </c>
      <c r="AC1091">
        <v>1.5992570753291051</v>
      </c>
      <c r="AD1091">
        <v>-0.62828374099277151</v>
      </c>
      <c r="AE1091">
        <v>0.40876748015968362</v>
      </c>
      <c r="AF1091">
        <v>0.10802123288624939</v>
      </c>
      <c r="AG1091">
        <v>-0.66524031843716691</v>
      </c>
      <c r="AH1091">
        <v>0.41018783407199161</v>
      </c>
      <c r="AI1091">
        <v>2.8207080494572307E-3</v>
      </c>
    </row>
    <row r="1092" spans="23:35" x14ac:dyDescent="0.25">
      <c r="W1092">
        <v>1090</v>
      </c>
      <c r="X1092">
        <v>80.972625860378344</v>
      </c>
      <c r="Y1092">
        <v>0.12737413962165078</v>
      </c>
      <c r="Z1092">
        <v>80.954694308672529</v>
      </c>
      <c r="AA1092">
        <v>0.93935718617343844</v>
      </c>
      <c r="AB1092">
        <v>73.8</v>
      </c>
      <c r="AC1092">
        <v>1.5222105313262397</v>
      </c>
      <c r="AD1092">
        <v>3.5422821873573596E-2</v>
      </c>
      <c r="AE1092">
        <v>0.40950627234679721</v>
      </c>
      <c r="AF1092">
        <v>0.12340570793888336</v>
      </c>
      <c r="AG1092">
        <v>3.7834137341650337E-2</v>
      </c>
      <c r="AH1092">
        <v>0.41338574016060597</v>
      </c>
      <c r="AI1092">
        <v>1.0605976988066136E-5</v>
      </c>
    </row>
    <row r="1093" spans="23:35" x14ac:dyDescent="0.25">
      <c r="W1093">
        <v>1091</v>
      </c>
      <c r="X1093">
        <v>80.453690423557191</v>
      </c>
      <c r="Y1093">
        <v>0.64630957644280329</v>
      </c>
      <c r="Z1093">
        <v>80.441359144852527</v>
      </c>
      <c r="AA1093">
        <v>0.93935718617343844</v>
      </c>
      <c r="AB1093">
        <v>73.8</v>
      </c>
      <c r="AC1093">
        <v>1.5222105313262397</v>
      </c>
      <c r="AD1093">
        <v>0.17973906689004812</v>
      </c>
      <c r="AE1093">
        <v>0.41242188390324253</v>
      </c>
      <c r="AF1093">
        <v>1.8722310661869423E-2</v>
      </c>
      <c r="AG1093">
        <v>0.18144563310260065</v>
      </c>
      <c r="AH1093">
        <v>0.41778410493552159</v>
      </c>
      <c r="AI1093">
        <v>3.3060313110441192E-5</v>
      </c>
    </row>
    <row r="1094" spans="23:35" x14ac:dyDescent="0.25">
      <c r="W1094">
        <v>1092</v>
      </c>
      <c r="X1094">
        <v>71.23160659128429</v>
      </c>
      <c r="Y1094">
        <v>3.2683934087157098</v>
      </c>
      <c r="Z1094">
        <v>71.219369908716686</v>
      </c>
      <c r="AA1094">
        <v>0.72407519708914492</v>
      </c>
      <c r="AB1094">
        <v>73.8</v>
      </c>
      <c r="AC1094">
        <v>0.56531175535073552</v>
      </c>
      <c r="AD1094">
        <v>0.90894209667359593</v>
      </c>
      <c r="AE1094">
        <v>0.41510186720141723</v>
      </c>
      <c r="AF1094">
        <v>3.7299793719871867E-3</v>
      </c>
      <c r="AG1094">
        <v>0.91064202130283523</v>
      </c>
      <c r="AH1094">
        <v>0.4204277165757847</v>
      </c>
      <c r="AI1094">
        <v>1.6340718210907333E-4</v>
      </c>
    </row>
    <row r="1095" spans="23:35" x14ac:dyDescent="0.25">
      <c r="W1095">
        <v>1093</v>
      </c>
      <c r="X1095">
        <v>70.781304962787942</v>
      </c>
      <c r="Y1095">
        <v>3.1186950372120634</v>
      </c>
      <c r="Z1095">
        <v>70.772018210416618</v>
      </c>
      <c r="AA1095">
        <v>0.67919951485748942</v>
      </c>
      <c r="AB1095">
        <v>73.8</v>
      </c>
      <c r="AC1095">
        <v>0.43434378704136062</v>
      </c>
      <c r="AD1095">
        <v>0.86731089300628295</v>
      </c>
      <c r="AE1095">
        <v>0.42001189018415741</v>
      </c>
      <c r="AF1095">
        <v>2.9689278889835522E-3</v>
      </c>
      <c r="AG1095">
        <v>0.86860125871961114</v>
      </c>
      <c r="AH1095">
        <v>0.42125970892859588</v>
      </c>
      <c r="AI1095">
        <v>1.1824376890408301E-4</v>
      </c>
    </row>
    <row r="1096" spans="23:35" x14ac:dyDescent="0.25">
      <c r="W1096">
        <v>1094</v>
      </c>
      <c r="X1096">
        <v>70.694613286162124</v>
      </c>
      <c r="Y1096">
        <v>3.205386713837882</v>
      </c>
      <c r="Z1096">
        <v>70.685340023896927</v>
      </c>
      <c r="AA1096">
        <v>0.67919951485748942</v>
      </c>
      <c r="AB1096">
        <v>73.8</v>
      </c>
      <c r="AC1096">
        <v>0.43434378704136062</v>
      </c>
      <c r="AD1096">
        <v>0.89141989839905289</v>
      </c>
      <c r="AE1096">
        <v>0.42061391209952909</v>
      </c>
      <c r="AF1096">
        <v>2.8846790435457397E-3</v>
      </c>
      <c r="AG1096">
        <v>0.89270841694194558</v>
      </c>
      <c r="AH1096">
        <v>0.42257588898206638</v>
      </c>
      <c r="AI1096">
        <v>1.2134384949215408E-4</v>
      </c>
    </row>
    <row r="1097" spans="23:35" x14ac:dyDescent="0.25">
      <c r="W1097">
        <v>1095</v>
      </c>
      <c r="X1097">
        <v>69.215344591593862</v>
      </c>
      <c r="Y1097">
        <v>5.2846554084061381</v>
      </c>
      <c r="Z1097">
        <v>69.184619501437211</v>
      </c>
      <c r="AA1097">
        <v>0.72407519708914492</v>
      </c>
      <c r="AB1097">
        <v>73.8</v>
      </c>
      <c r="AC1097">
        <v>0.56531175535073552</v>
      </c>
      <c r="AD1097">
        <v>1.4696657245437326</v>
      </c>
      <c r="AE1097">
        <v>0.42076989323350827</v>
      </c>
      <c r="AF1097">
        <v>5.7804121765050991E-3</v>
      </c>
      <c r="AG1097">
        <v>1.4739318653425919</v>
      </c>
      <c r="AH1097">
        <v>0.42352563950801819</v>
      </c>
      <c r="AI1097">
        <v>6.6477963575584651E-4</v>
      </c>
    </row>
    <row r="1098" spans="23:35" x14ac:dyDescent="0.25">
      <c r="W1098">
        <v>1096</v>
      </c>
      <c r="X1098">
        <v>68.92849362682523</v>
      </c>
      <c r="Y1098">
        <v>4.2715063731747733</v>
      </c>
      <c r="Z1098">
        <v>68.903103816337804</v>
      </c>
      <c r="AA1098">
        <v>0.62340812613705276</v>
      </c>
      <c r="AB1098">
        <v>73.8</v>
      </c>
      <c r="AC1098">
        <v>0.29295400660571058</v>
      </c>
      <c r="AD1098">
        <v>1.1879083920664635</v>
      </c>
      <c r="AE1098">
        <v>0.42235458338569809</v>
      </c>
      <c r="AF1098">
        <v>5.9088722189652573E-3</v>
      </c>
      <c r="AG1098">
        <v>1.1914336218293742</v>
      </c>
      <c r="AH1098">
        <v>0.42715126284343774</v>
      </c>
      <c r="AI1098">
        <v>4.4408336255601089E-4</v>
      </c>
    </row>
    <row r="1099" spans="23:35" x14ac:dyDescent="0.25">
      <c r="W1099">
        <v>1097</v>
      </c>
      <c r="X1099">
        <v>70.131284242868077</v>
      </c>
      <c r="Y1099">
        <v>3.0687157571319261</v>
      </c>
      <c r="Z1099">
        <v>70.124168111835388</v>
      </c>
      <c r="AA1099">
        <v>0.62340812613705276</v>
      </c>
      <c r="AB1099">
        <v>73.8</v>
      </c>
      <c r="AC1099">
        <v>0.29295400660571058</v>
      </c>
      <c r="AD1099">
        <v>0.8534116263191287</v>
      </c>
      <c r="AE1099">
        <v>0.42550940371070139</v>
      </c>
      <c r="AF1099">
        <v>2.3135630591722685E-3</v>
      </c>
      <c r="AG1099">
        <v>0.85440055341570265</v>
      </c>
      <c r="AH1099">
        <v>0.42719077669795857</v>
      </c>
      <c r="AI1099">
        <v>8.909569379003699E-5</v>
      </c>
    </row>
    <row r="1100" spans="23:35" x14ac:dyDescent="0.25">
      <c r="W1100">
        <v>1098</v>
      </c>
      <c r="X1100">
        <v>69.739209931682481</v>
      </c>
      <c r="Y1100">
        <v>2.7607900683175188</v>
      </c>
      <c r="Z1100">
        <v>69.732862106333727</v>
      </c>
      <c r="AA1100">
        <v>0.55852031534263191</v>
      </c>
      <c r="AB1100">
        <v>73.8</v>
      </c>
      <c r="AC1100">
        <v>0.12956927093944998</v>
      </c>
      <c r="AD1100">
        <v>0.76777731422430406</v>
      </c>
      <c r="AE1100">
        <v>0.42667526597266481</v>
      </c>
      <c r="AF1100">
        <v>2.2940039827034193E-3</v>
      </c>
      <c r="AG1100">
        <v>0.76865947438229965</v>
      </c>
      <c r="AH1100">
        <v>0.42742104363541972</v>
      </c>
      <c r="AI1100">
        <v>7.149998547182433E-5</v>
      </c>
    </row>
    <row r="1101" spans="23:35" x14ac:dyDescent="0.25">
      <c r="W1101">
        <v>1099</v>
      </c>
      <c r="X1101">
        <v>69.331746409162619</v>
      </c>
      <c r="Y1101">
        <v>3.1682535908373808</v>
      </c>
      <c r="Z1101">
        <v>69.325200557946019</v>
      </c>
      <c r="AA1101">
        <v>0.55852031534263191</v>
      </c>
      <c r="AB1101">
        <v>73.8</v>
      </c>
      <c r="AC1101">
        <v>0.12956927093944998</v>
      </c>
      <c r="AD1101">
        <v>0.88109315542309741</v>
      </c>
      <c r="AE1101">
        <v>0.42970622766358701</v>
      </c>
      <c r="AF1101">
        <v>2.0618156630302482E-3</v>
      </c>
      <c r="AG1101">
        <v>0.88200288827535933</v>
      </c>
      <c r="AH1101">
        <v>0.43073201596817906</v>
      </c>
      <c r="AI1101">
        <v>8.4592645633614462E-5</v>
      </c>
    </row>
    <row r="1102" spans="23:35" x14ac:dyDescent="0.25">
      <c r="W1102">
        <v>1100</v>
      </c>
      <c r="X1102">
        <v>71.630241647678645</v>
      </c>
      <c r="Y1102">
        <v>1.3697583523213552</v>
      </c>
      <c r="Z1102">
        <v>71.625994390982498</v>
      </c>
      <c r="AA1102">
        <v>0.60946027895694366</v>
      </c>
      <c r="AB1102">
        <v>73.8</v>
      </c>
      <c r="AC1102">
        <v>0.22222871718700732</v>
      </c>
      <c r="AD1102">
        <v>0.38093058974328559</v>
      </c>
      <c r="AE1102">
        <v>0.43072202788730413</v>
      </c>
      <c r="AF1102">
        <v>3.0911494598478387E-3</v>
      </c>
      <c r="AG1102">
        <v>0.38152071491344225</v>
      </c>
      <c r="AH1102">
        <v>0.4314232074188622</v>
      </c>
      <c r="AI1102">
        <v>2.3754571346001624E-5</v>
      </c>
    </row>
    <row r="1103" spans="23:35" x14ac:dyDescent="0.25">
      <c r="W1103">
        <v>1101</v>
      </c>
      <c r="X1103">
        <v>68.610510846876423</v>
      </c>
      <c r="Y1103">
        <v>2.58948915312358</v>
      </c>
      <c r="Z1103">
        <v>68.606006894830386</v>
      </c>
      <c r="AA1103">
        <v>0.47907822922983628</v>
      </c>
      <c r="AB1103">
        <v>73.8</v>
      </c>
      <c r="AC1103">
        <v>-6.3887210036911155E-2</v>
      </c>
      <c r="AD1103">
        <v>0.72013843066662775</v>
      </c>
      <c r="AE1103">
        <v>0.43115991479134225</v>
      </c>
      <c r="AF1103">
        <v>1.7363007006703192E-3</v>
      </c>
      <c r="AG1103">
        <v>0.72076443441361404</v>
      </c>
      <c r="AH1103">
        <v>0.43192468036578485</v>
      </c>
      <c r="AI1103">
        <v>4.7556814645517341E-5</v>
      </c>
    </row>
    <row r="1104" spans="23:35" x14ac:dyDescent="0.25">
      <c r="W1104">
        <v>1102</v>
      </c>
      <c r="X1104">
        <v>67.861975406631771</v>
      </c>
      <c r="Y1104">
        <v>3.1380245933682289</v>
      </c>
      <c r="Z1104">
        <v>67.823362605238145</v>
      </c>
      <c r="AA1104">
        <v>0.46937537901758641</v>
      </c>
      <c r="AB1104">
        <v>73.900000000000006</v>
      </c>
      <c r="AC1104">
        <v>-9.743972564826138E-2</v>
      </c>
      <c r="AD1104">
        <v>0.8726864537492165</v>
      </c>
      <c r="AE1104">
        <v>0.43435647738851058</v>
      </c>
      <c r="AF1104">
        <v>1.215524360989481E-2</v>
      </c>
      <c r="AG1104">
        <v>0.87803915928077025</v>
      </c>
      <c r="AH1104">
        <v>0.435041415803609</v>
      </c>
      <c r="AI1104">
        <v>4.9928571172530546E-4</v>
      </c>
    </row>
    <row r="1105" spans="23:35" x14ac:dyDescent="0.25">
      <c r="W1105">
        <v>1103</v>
      </c>
      <c r="X1105">
        <v>68.317793542398803</v>
      </c>
      <c r="Y1105">
        <v>7.6822064576011968</v>
      </c>
      <c r="Z1105">
        <v>68.304845620985304</v>
      </c>
      <c r="AA1105">
        <v>0.80836870830806551</v>
      </c>
      <c r="AB1105">
        <v>73.900000000000006</v>
      </c>
      <c r="AC1105">
        <v>0.83794453378675593</v>
      </c>
      <c r="AD1105">
        <v>2.1364260575336496</v>
      </c>
      <c r="AE1105">
        <v>0.43459955309198162</v>
      </c>
      <c r="AF1105">
        <v>1.6826071025702609E-3</v>
      </c>
      <c r="AG1105">
        <v>2.1382257117648678</v>
      </c>
      <c r="AH1105">
        <v>0.43509537875664051</v>
      </c>
      <c r="AI1105">
        <v>4.0557163579931827E-4</v>
      </c>
    </row>
    <row r="1106" spans="23:35" x14ac:dyDescent="0.25">
      <c r="W1106">
        <v>1104</v>
      </c>
      <c r="X1106">
        <v>67.899472909974989</v>
      </c>
      <c r="Y1106">
        <v>7.100527090025011</v>
      </c>
      <c r="Z1106">
        <v>67.887077423101545</v>
      </c>
      <c r="AA1106">
        <v>0.76046088538508183</v>
      </c>
      <c r="AB1106">
        <v>73.900000000000006</v>
      </c>
      <c r="AC1106">
        <v>0.67020216077934069</v>
      </c>
      <c r="AD1106">
        <v>1.9746606890971055</v>
      </c>
      <c r="AE1106">
        <v>0.43943245238157724</v>
      </c>
      <c r="AF1106">
        <v>1.7426714180330135E-3</v>
      </c>
      <c r="AG1106">
        <v>1.9763835335598512</v>
      </c>
      <c r="AH1106">
        <v>0.4411682769341625</v>
      </c>
      <c r="AI1106">
        <v>3.5889041022161975E-4</v>
      </c>
    </row>
    <row r="1107" spans="23:35" x14ac:dyDescent="0.25">
      <c r="W1107">
        <v>1105</v>
      </c>
      <c r="X1107">
        <v>67.636895155379406</v>
      </c>
      <c r="Y1107">
        <v>5.3631048446205938</v>
      </c>
      <c r="Z1107">
        <v>67.626116880095395</v>
      </c>
      <c r="AA1107">
        <v>0.60946027895694366</v>
      </c>
      <c r="AB1107">
        <v>73.900000000000006</v>
      </c>
      <c r="AC1107">
        <v>0.22222871718700732</v>
      </c>
      <c r="AD1107">
        <v>1.4914825581126292</v>
      </c>
      <c r="AE1107">
        <v>0.44214335018794249</v>
      </c>
      <c r="AF1107">
        <v>2.0056772809384071E-3</v>
      </c>
      <c r="AG1107">
        <v>1.4929805281638646</v>
      </c>
      <c r="AH1107">
        <v>0.44297373896843378</v>
      </c>
      <c r="AI1107">
        <v>2.3576952612207745E-4</v>
      </c>
    </row>
    <row r="1108" spans="23:35" x14ac:dyDescent="0.25">
      <c r="W1108">
        <v>1106</v>
      </c>
      <c r="X1108">
        <v>67.223181491707251</v>
      </c>
      <c r="Y1108">
        <v>5.7768185082927488</v>
      </c>
      <c r="Z1108">
        <v>67.21123920733146</v>
      </c>
      <c r="AA1108">
        <v>0.60946027895694366</v>
      </c>
      <c r="AB1108">
        <v>73.900000000000006</v>
      </c>
      <c r="AC1108">
        <v>0.22222871718700732</v>
      </c>
      <c r="AD1108">
        <v>1.6065365671795628</v>
      </c>
      <c r="AE1108">
        <v>0.44251084142947966</v>
      </c>
      <c r="AF1108">
        <v>2.0630122410510315E-3</v>
      </c>
      <c r="AG1108">
        <v>1.6081962879415868</v>
      </c>
      <c r="AH1108">
        <v>0.44309363064661328</v>
      </c>
      <c r="AI1108">
        <v>2.8139941802324595E-4</v>
      </c>
    </row>
    <row r="1109" spans="23:35" x14ac:dyDescent="0.25">
      <c r="W1109">
        <v>1107</v>
      </c>
      <c r="X1109">
        <v>57.353007471375285</v>
      </c>
      <c r="Y1109">
        <v>4.0469925286247133</v>
      </c>
      <c r="Z1109">
        <v>57.324385649218826</v>
      </c>
      <c r="AA1109">
        <v>0.18617343844754397</v>
      </c>
      <c r="AB1109">
        <v>73.900000000000006</v>
      </c>
      <c r="AC1109">
        <v>-0.90460220385671419</v>
      </c>
      <c r="AD1109">
        <v>1.1254709620883601</v>
      </c>
      <c r="AE1109">
        <v>0.44382730957963862</v>
      </c>
      <c r="AF1109">
        <v>7.0227012894331026E-3</v>
      </c>
      <c r="AG1109">
        <v>1.1294438227259591</v>
      </c>
      <c r="AH1109">
        <v>0.44428948393916678</v>
      </c>
      <c r="AI1109">
        <v>4.7483261762176906E-4</v>
      </c>
    </row>
    <row r="1110" spans="23:35" x14ac:dyDescent="0.25">
      <c r="W1110">
        <v>1108</v>
      </c>
      <c r="X1110">
        <v>57.106356205665826</v>
      </c>
      <c r="Y1110">
        <v>11.893643794334174</v>
      </c>
      <c r="Z1110">
        <v>56.804359263606663</v>
      </c>
      <c r="AA1110">
        <v>0.42086112795633718</v>
      </c>
      <c r="AB1110">
        <v>73.900000000000006</v>
      </c>
      <c r="AC1110">
        <v>-0.21444491222324932</v>
      </c>
      <c r="AD1110">
        <v>3.3076292158351168</v>
      </c>
      <c r="AE1110">
        <v>0.4440638609152322</v>
      </c>
      <c r="AF1110">
        <v>2.4762695834255378E-2</v>
      </c>
      <c r="AG1110">
        <v>3.3493587450403712</v>
      </c>
      <c r="AH1110">
        <v>0.4448512308662485</v>
      </c>
      <c r="AI1110">
        <v>1.4991923252977697E-2</v>
      </c>
    </row>
    <row r="1111" spans="23:35" x14ac:dyDescent="0.25">
      <c r="W1111">
        <v>1109</v>
      </c>
      <c r="X1111">
        <v>57.245712542162401</v>
      </c>
      <c r="Y1111">
        <v>5.7542874578375987</v>
      </c>
      <c r="Z1111">
        <v>57.18455330476327</v>
      </c>
      <c r="AA1111">
        <v>0.22195269860521527</v>
      </c>
      <c r="AB1111">
        <v>73.900000000000006</v>
      </c>
      <c r="AC1111">
        <v>-0.78098898173722842</v>
      </c>
      <c r="AD1111">
        <v>1.6002706690210513</v>
      </c>
      <c r="AE1111">
        <v>0.44569878421826886</v>
      </c>
      <c r="AF1111">
        <v>1.0516687815095731E-2</v>
      </c>
      <c r="AG1111">
        <v>1.6087524012823657</v>
      </c>
      <c r="AH1111">
        <v>0.44754482817858271</v>
      </c>
      <c r="AI1111">
        <v>1.4477558331132581E-3</v>
      </c>
    </row>
    <row r="1112" spans="23:35" x14ac:dyDescent="0.25">
      <c r="W1112">
        <v>1110</v>
      </c>
      <c r="X1112">
        <v>56.162425709347758</v>
      </c>
      <c r="Y1112">
        <v>3.2375742906522404</v>
      </c>
      <c r="Z1112">
        <v>56.098222512849183</v>
      </c>
      <c r="AA1112">
        <v>0.16312916919345058</v>
      </c>
      <c r="AB1112">
        <v>73.900000000000006</v>
      </c>
      <c r="AC1112">
        <v>-0.99032898964496086</v>
      </c>
      <c r="AD1112">
        <v>0.90037128212124129</v>
      </c>
      <c r="AE1112">
        <v>0.44766616185811259</v>
      </c>
      <c r="AF1112">
        <v>1.9445040360360783E-2</v>
      </c>
      <c r="AG1112">
        <v>0.90925492924220941</v>
      </c>
      <c r="AH1112">
        <v>0.44870848560791371</v>
      </c>
      <c r="AI1112">
        <v>8.6288840956132964E-4</v>
      </c>
    </row>
    <row r="1113" spans="23:35" x14ac:dyDescent="0.25">
      <c r="W1113">
        <v>1111</v>
      </c>
      <c r="X1113">
        <v>55.264205351635603</v>
      </c>
      <c r="Y1113">
        <v>2.9357946483644</v>
      </c>
      <c r="Z1113">
        <v>55.199657413815522</v>
      </c>
      <c r="AA1113">
        <v>0.13644633110976348</v>
      </c>
      <c r="AB1113">
        <v>73.900000000000006</v>
      </c>
      <c r="AC1113">
        <v>-1.1005940465096573</v>
      </c>
      <c r="AD1113">
        <v>0.81644618911895739</v>
      </c>
      <c r="AE1113">
        <v>0.45214095411752953</v>
      </c>
      <c r="AF1113">
        <v>2.1513522528160751E-2</v>
      </c>
      <c r="AG1113">
        <v>0.82537279901294769</v>
      </c>
      <c r="AH1113">
        <v>0.45251907507011513</v>
      </c>
      <c r="AI1113">
        <v>7.8832155369427405E-4</v>
      </c>
    </row>
    <row r="1114" spans="23:35" x14ac:dyDescent="0.25">
      <c r="W1114">
        <v>1112</v>
      </c>
      <c r="X1114">
        <v>54.964489819786067</v>
      </c>
      <c r="Y1114">
        <v>2.1355101802139345</v>
      </c>
      <c r="Z1114">
        <v>54.908035017517733</v>
      </c>
      <c r="AA1114">
        <v>0.11279563371740449</v>
      </c>
      <c r="AB1114">
        <v>73.900000000000006</v>
      </c>
      <c r="AC1114">
        <v>-1.2197514087080794</v>
      </c>
      <c r="AD1114">
        <v>0.59388661582027391</v>
      </c>
      <c r="AE1114">
        <v>0.45539857684591922</v>
      </c>
      <c r="AF1114">
        <v>2.5755339487406083E-2</v>
      </c>
      <c r="AG1114">
        <v>0.60168546560317571</v>
      </c>
      <c r="AH1114">
        <v>0.45712190246063811</v>
      </c>
      <c r="AI1114">
        <v>5.0371476950676999E-4</v>
      </c>
    </row>
    <row r="1115" spans="23:35" x14ac:dyDescent="0.25">
      <c r="W1115">
        <v>1113</v>
      </c>
      <c r="X1115">
        <v>53.285416551256745</v>
      </c>
      <c r="Y1115">
        <v>0.31458344874325661</v>
      </c>
      <c r="Z1115">
        <v>53.25936757567473</v>
      </c>
      <c r="AA1115">
        <v>6.4887810794420867E-2</v>
      </c>
      <c r="AB1115">
        <v>73.900000000000006</v>
      </c>
      <c r="AC1115">
        <v>-1.5319668124298669</v>
      </c>
      <c r="AD1115">
        <v>8.7485838980400951E-2</v>
      </c>
      <c r="AE1115">
        <v>0.45764153352703613</v>
      </c>
      <c r="AF1115">
        <v>7.6472389948238073E-2</v>
      </c>
      <c r="AG1115">
        <v>9.1035927049421386E-2</v>
      </c>
      <c r="AH1115">
        <v>0.4585514498530851</v>
      </c>
      <c r="AI1115">
        <v>3.6118259728694507E-5</v>
      </c>
    </row>
    <row r="1116" spans="23:35" x14ac:dyDescent="0.25">
      <c r="W1116">
        <v>1114</v>
      </c>
      <c r="X1116">
        <v>52.208197123501193</v>
      </c>
      <c r="Y1116">
        <v>0.99180287649880938</v>
      </c>
      <c r="Z1116">
        <v>52.129375795325238</v>
      </c>
      <c r="AA1116">
        <v>6.0642813826561552E-2</v>
      </c>
      <c r="AB1116">
        <v>73.900000000000006</v>
      </c>
      <c r="AC1116">
        <v>-1.5621464731395975</v>
      </c>
      <c r="AD1116">
        <v>0.2758209533918885</v>
      </c>
      <c r="AE1116">
        <v>0.45796443433202422</v>
      </c>
      <c r="AF1116">
        <v>7.3621843996977479E-2</v>
      </c>
      <c r="AG1116">
        <v>0.28657156959014146</v>
      </c>
      <c r="AH1116">
        <v>0.45903534051016326</v>
      </c>
      <c r="AI1116">
        <v>3.435033595575157E-4</v>
      </c>
    </row>
    <row r="1117" spans="23:35" x14ac:dyDescent="0.25">
      <c r="W1117">
        <v>1115</v>
      </c>
      <c r="X1117">
        <v>51.455012242984061</v>
      </c>
      <c r="Y1117">
        <v>1.2449877570159416</v>
      </c>
      <c r="Z1117">
        <v>51.37214739540866</v>
      </c>
      <c r="AA1117">
        <v>5.5791388720436631E-2</v>
      </c>
      <c r="AB1117">
        <v>73.900000000000006</v>
      </c>
      <c r="AC1117">
        <v>-1.5938200328066188</v>
      </c>
      <c r="AD1117">
        <v>0.34623181504936684</v>
      </c>
      <c r="AE1117">
        <v>0.45856144700050294</v>
      </c>
      <c r="AF1117">
        <v>6.2405154976447455E-2</v>
      </c>
      <c r="AG1117">
        <v>0.35756859416674475</v>
      </c>
      <c r="AH1117">
        <v>0.45965676691300561</v>
      </c>
      <c r="AI1117">
        <v>4.4788899150631376E-4</v>
      </c>
    </row>
    <row r="1118" spans="23:35" x14ac:dyDescent="0.25">
      <c r="W1118">
        <v>1116</v>
      </c>
      <c r="X1118">
        <v>50.912266756618003</v>
      </c>
      <c r="Y1118">
        <v>1.3877332433819944</v>
      </c>
      <c r="Z1118">
        <v>50.792844777697418</v>
      </c>
      <c r="AA1118">
        <v>5.1546391752577317E-2</v>
      </c>
      <c r="AB1118">
        <v>73.900000000000006</v>
      </c>
      <c r="AC1118">
        <v>-1.6387108222805178</v>
      </c>
      <c r="AD1118">
        <v>0.3859294173399172</v>
      </c>
      <c r="AE1118">
        <v>0.45858187071729722</v>
      </c>
      <c r="AF1118">
        <v>7.9236681898057063E-2</v>
      </c>
      <c r="AG1118">
        <v>0.40219241797859923</v>
      </c>
      <c r="AH1118">
        <v>0.46043075304652287</v>
      </c>
      <c r="AI1118">
        <v>7.3264304101432567E-4</v>
      </c>
    </row>
    <row r="1119" spans="23:35" x14ac:dyDescent="0.25">
      <c r="W1119">
        <v>1117</v>
      </c>
      <c r="X1119">
        <v>49.970635618972693</v>
      </c>
      <c r="Y1119">
        <v>2.0293643810273068</v>
      </c>
      <c r="Z1119">
        <v>49.832303625576031</v>
      </c>
      <c r="AA1119">
        <v>4.6694966646452396E-2</v>
      </c>
      <c r="AB1119">
        <v>73.900000000000006</v>
      </c>
      <c r="AC1119">
        <v>-1.6935133675401242</v>
      </c>
      <c r="AD1119">
        <v>0.5643674076954176</v>
      </c>
      <c r="AE1119">
        <v>0.4586129987319017</v>
      </c>
      <c r="AF1119">
        <v>6.3815207253563044E-2</v>
      </c>
      <c r="AG1119">
        <v>0.58328543789561094</v>
      </c>
      <c r="AH1119">
        <v>0.46361835352270747</v>
      </c>
      <c r="AI1119">
        <v>1.2205941076483132E-3</v>
      </c>
    </row>
    <row r="1120" spans="23:35" x14ac:dyDescent="0.25">
      <c r="W1120">
        <v>1118</v>
      </c>
      <c r="X1120">
        <v>49.414905384595535</v>
      </c>
      <c r="Y1120">
        <v>2.1850946154044664</v>
      </c>
      <c r="Z1120">
        <v>49.239695242118557</v>
      </c>
      <c r="AA1120">
        <v>4.3056397816858702E-2</v>
      </c>
      <c r="AB1120">
        <v>73.900000000000006</v>
      </c>
      <c r="AC1120">
        <v>-1.7262996894247766</v>
      </c>
      <c r="AD1120">
        <v>0.60767607591533879</v>
      </c>
      <c r="AE1120">
        <v>0.4637929181686809</v>
      </c>
      <c r="AF1120">
        <v>7.4231999868626747E-2</v>
      </c>
      <c r="AG1120">
        <v>0.63156936530513053</v>
      </c>
      <c r="AH1120">
        <v>0.46592995086752675</v>
      </c>
      <c r="AI1120">
        <v>1.6833619533562253E-3</v>
      </c>
    </row>
    <row r="1121" spans="23:35" x14ac:dyDescent="0.25">
      <c r="W1121">
        <v>1119</v>
      </c>
      <c r="X1121">
        <v>48.194618990146601</v>
      </c>
      <c r="Y1121">
        <v>10.805381009853399</v>
      </c>
      <c r="Z1121">
        <v>47.239376048468763</v>
      </c>
      <c r="AA1121">
        <v>0.15039417828987264</v>
      </c>
      <c r="AB1121">
        <v>73.900000000000006</v>
      </c>
      <c r="AC1121">
        <v>-1.0386467129748296</v>
      </c>
      <c r="AD1121">
        <v>3.0049827062625476</v>
      </c>
      <c r="AE1121">
        <v>0.46648266051828818</v>
      </c>
      <c r="AF1121">
        <v>8.1223831797926568E-2</v>
      </c>
      <c r="AG1121">
        <v>3.1349969030296054</v>
      </c>
      <c r="AH1121">
        <v>0.4675098715314287</v>
      </c>
      <c r="AI1121">
        <v>4.5729282100075111E-2</v>
      </c>
    </row>
    <row r="1122" spans="23:35" x14ac:dyDescent="0.25">
      <c r="W1122">
        <v>1120</v>
      </c>
      <c r="X1122">
        <v>47.091595135927761</v>
      </c>
      <c r="Y1122">
        <v>7.9084048640722386</v>
      </c>
      <c r="Z1122">
        <v>46.366811725490514</v>
      </c>
      <c r="AA1122">
        <v>8.1261370527592483E-2</v>
      </c>
      <c r="AB1122">
        <v>73.900000000000006</v>
      </c>
      <c r="AC1122">
        <v>-1.4067868590764927</v>
      </c>
      <c r="AD1122">
        <v>2.1993319651559529</v>
      </c>
      <c r="AE1122">
        <v>0.46767562355534242</v>
      </c>
      <c r="AF1122">
        <v>8.3953156978778448E-2</v>
      </c>
      <c r="AG1122">
        <v>2.297904338772621</v>
      </c>
      <c r="AH1122">
        <v>0.47042015510302115</v>
      </c>
      <c r="AI1122">
        <v>2.5470040704079776E-2</v>
      </c>
    </row>
    <row r="1123" spans="23:35" x14ac:dyDescent="0.25">
      <c r="W1123">
        <v>1121</v>
      </c>
      <c r="X1123">
        <v>46.184126372170802</v>
      </c>
      <c r="Y1123">
        <v>3.6158736278291954</v>
      </c>
      <c r="Z1123">
        <v>45.811901768484425</v>
      </c>
      <c r="AA1123">
        <v>3.3353547604608853E-2</v>
      </c>
      <c r="AB1123">
        <v>74</v>
      </c>
      <c r="AC1123">
        <v>-1.8544489690938102</v>
      </c>
      <c r="AD1123">
        <v>1.0055765465141122</v>
      </c>
      <c r="AE1123">
        <v>0.46871543316756192</v>
      </c>
      <c r="AF1123">
        <v>9.3333860421216761E-2</v>
      </c>
      <c r="AG1123">
        <v>1.0560669152577069</v>
      </c>
      <c r="AH1123">
        <v>0.47052469272819525</v>
      </c>
      <c r="AI1123">
        <v>6.0425618682435457E-3</v>
      </c>
    </row>
    <row r="1124" spans="23:35" x14ac:dyDescent="0.25">
      <c r="W1124">
        <v>1122</v>
      </c>
      <c r="X1124">
        <v>51.772531015986331</v>
      </c>
      <c r="Y1124">
        <v>-2.5725310159863284</v>
      </c>
      <c r="Z1124">
        <v>52.437789584668003</v>
      </c>
      <c r="AA1124">
        <v>2.7895694360218316E-2</v>
      </c>
      <c r="AB1124">
        <v>74</v>
      </c>
      <c r="AC1124">
        <v>-1.9270603903023944</v>
      </c>
      <c r="AD1124">
        <v>-0.71542236292395389</v>
      </c>
      <c r="AE1124">
        <v>0.46920392406805878</v>
      </c>
      <c r="AF1124">
        <v>0.20546689378206948</v>
      </c>
      <c r="AG1124">
        <v>-0.80261359627555817</v>
      </c>
      <c r="AH1124">
        <v>0.47107243681103661</v>
      </c>
      <c r="AI1124">
        <v>8.7677726783891262E-3</v>
      </c>
    </row>
    <row r="1125" spans="23:35" x14ac:dyDescent="0.25">
      <c r="W1125">
        <v>1123</v>
      </c>
      <c r="X1125">
        <v>66.11813412966255</v>
      </c>
      <c r="Y1125">
        <v>8.1865870337452407E-2</v>
      </c>
      <c r="Z1125">
        <v>66.116429655220998</v>
      </c>
      <c r="AA1125">
        <v>0.3171619163129169</v>
      </c>
      <c r="AB1125">
        <v>74</v>
      </c>
      <c r="AC1125">
        <v>-0.48332360885611292</v>
      </c>
      <c r="AD1125">
        <v>2.2766945873805351E-2</v>
      </c>
      <c r="AE1125">
        <v>0.46933655701852589</v>
      </c>
      <c r="AF1125">
        <v>2.039568516865535E-2</v>
      </c>
      <c r="AG1125">
        <v>2.3002732570924778E-2</v>
      </c>
      <c r="AH1125">
        <v>0.47169388317161631</v>
      </c>
      <c r="AI1125">
        <v>5.7981957050416056E-7</v>
      </c>
    </row>
    <row r="1126" spans="23:35" x14ac:dyDescent="0.25">
      <c r="W1126">
        <v>1124</v>
      </c>
      <c r="X1126">
        <v>66.79903914726448</v>
      </c>
      <c r="Y1126">
        <v>-0.79903914726448022</v>
      </c>
      <c r="Z1126">
        <v>66.868538583626659</v>
      </c>
      <c r="AA1126">
        <v>0.31109763493026077</v>
      </c>
      <c r="AB1126">
        <v>74</v>
      </c>
      <c r="AC1126">
        <v>-0.50738317096904828</v>
      </c>
      <c r="AD1126">
        <v>-0.22221324884027507</v>
      </c>
      <c r="AE1126">
        <v>0.47010967474845805</v>
      </c>
      <c r="AF1126">
        <v>8.0018824347426187E-2</v>
      </c>
      <c r="AG1126">
        <v>-0.23167569708722335</v>
      </c>
      <c r="AH1126">
        <v>0.47180261597749429</v>
      </c>
      <c r="AI1126">
        <v>2.4570872663175815E-4</v>
      </c>
    </row>
    <row r="1127" spans="23:35" x14ac:dyDescent="0.25">
      <c r="W1127">
        <v>1125</v>
      </c>
      <c r="X1127">
        <v>66.51865584477207</v>
      </c>
      <c r="Y1127">
        <v>-0.8186558447720671</v>
      </c>
      <c r="Z1127">
        <v>66.589975825965013</v>
      </c>
      <c r="AA1127">
        <v>0.29654335961188599</v>
      </c>
      <c r="AB1127">
        <v>74</v>
      </c>
      <c r="AC1127">
        <v>-0.54051528578164909</v>
      </c>
      <c r="AD1127">
        <v>-0.22766866375905745</v>
      </c>
      <c r="AE1127">
        <v>0.4701137835043338</v>
      </c>
      <c r="AF1127">
        <v>8.0136986996930323E-2</v>
      </c>
      <c r="AG1127">
        <v>-0.23737866348438633</v>
      </c>
      <c r="AH1127">
        <v>0.47202899152377215</v>
      </c>
      <c r="AI1127">
        <v>2.5836852913318055E-4</v>
      </c>
    </row>
    <row r="1128" spans="23:35" x14ac:dyDescent="0.25">
      <c r="W1128">
        <v>1126</v>
      </c>
      <c r="X1128">
        <v>66.555558746843417</v>
      </c>
      <c r="Y1128">
        <v>-1.0555587468434169</v>
      </c>
      <c r="Z1128">
        <v>66.582368452257768</v>
      </c>
      <c r="AA1128">
        <v>0.28987265009096425</v>
      </c>
      <c r="AB1128">
        <v>74</v>
      </c>
      <c r="AC1128">
        <v>-0.56174840893422073</v>
      </c>
      <c r="AD1128">
        <v>-0.29355149779689899</v>
      </c>
      <c r="AE1128">
        <v>0.47073355531971833</v>
      </c>
      <c r="AF1128">
        <v>2.4769481555405488E-2</v>
      </c>
      <c r="AG1128">
        <v>-0.29725602016442992</v>
      </c>
      <c r="AH1128">
        <v>0.47219207003402131</v>
      </c>
      <c r="AI1128">
        <v>1.1811834410315458E-4</v>
      </c>
    </row>
    <row r="1129" spans="23:35" x14ac:dyDescent="0.25">
      <c r="W1129">
        <v>1127</v>
      </c>
      <c r="X1129">
        <v>66.562099929190481</v>
      </c>
      <c r="Y1129">
        <v>-1.4620999291904866</v>
      </c>
      <c r="Z1129">
        <v>66.610074053990559</v>
      </c>
      <c r="AA1129">
        <v>0.27713765918738631</v>
      </c>
      <c r="AB1129">
        <v>74</v>
      </c>
      <c r="AC1129">
        <v>-0.60317578841021124</v>
      </c>
      <c r="AD1129">
        <v>-0.40661083566036299</v>
      </c>
      <c r="AE1129">
        <v>0.47231996579597496</v>
      </c>
      <c r="AF1129">
        <v>3.1769385530004884E-2</v>
      </c>
      <c r="AG1129">
        <v>-0.41322781095874722</v>
      </c>
      <c r="AH1129">
        <v>0.47695757486836632</v>
      </c>
      <c r="AI1129">
        <v>2.9488690597957175E-4</v>
      </c>
    </row>
    <row r="1130" spans="23:35" x14ac:dyDescent="0.25">
      <c r="W1130">
        <v>1128</v>
      </c>
      <c r="X1130">
        <v>65.496861294022338</v>
      </c>
      <c r="Y1130">
        <v>-0.69686129402234087</v>
      </c>
      <c r="Z1130">
        <v>65.527242408700374</v>
      </c>
      <c r="AA1130">
        <v>0.26440266828380837</v>
      </c>
      <c r="AB1130">
        <v>74</v>
      </c>
      <c r="AC1130">
        <v>-0.63633155866502356</v>
      </c>
      <c r="AD1130">
        <v>-0.1937975287767558</v>
      </c>
      <c r="AE1130">
        <v>0.47567078436505272</v>
      </c>
      <c r="AF1130">
        <v>4.1775774232318763E-2</v>
      </c>
      <c r="AG1130">
        <v>-0.19797696471475082</v>
      </c>
      <c r="AH1130">
        <v>0.47722117882404963</v>
      </c>
      <c r="AI1130">
        <v>8.9935899610574685E-5</v>
      </c>
    </row>
    <row r="1131" spans="23:35" x14ac:dyDescent="0.25">
      <c r="W1131">
        <v>1129</v>
      </c>
      <c r="X1131">
        <v>63.66500983605102</v>
      </c>
      <c r="Y1131">
        <v>0.93499016394897438</v>
      </c>
      <c r="Z1131">
        <v>63.568736548986763</v>
      </c>
      <c r="AA1131">
        <v>0.25773195876288657</v>
      </c>
      <c r="AB1131">
        <v>74</v>
      </c>
      <c r="AC1131">
        <v>-0.66071795340131467</v>
      </c>
      <c r="AD1131">
        <v>0.26002130518397809</v>
      </c>
      <c r="AE1131">
        <v>0.47646710293435962</v>
      </c>
      <c r="AF1131">
        <v>9.3354697065690689E-2</v>
      </c>
      <c r="AG1131">
        <v>0.27308020860932158</v>
      </c>
      <c r="AH1131">
        <v>0.47773846518780005</v>
      </c>
      <c r="AI1131">
        <v>4.0413420435462768E-4</v>
      </c>
    </row>
    <row r="1132" spans="23:35" x14ac:dyDescent="0.25">
      <c r="W1132">
        <v>1130</v>
      </c>
      <c r="X1132">
        <v>63.553457568758205</v>
      </c>
      <c r="Y1132">
        <v>0.84654243124180084</v>
      </c>
      <c r="Z1132">
        <v>63.471502352815776</v>
      </c>
      <c r="AA1132">
        <v>0.25227410551849605</v>
      </c>
      <c r="AB1132">
        <v>74.099999999999994</v>
      </c>
      <c r="AC1132">
        <v>-0.67401274003943057</v>
      </c>
      <c r="AD1132">
        <v>0.23542393957967214</v>
      </c>
      <c r="AE1132">
        <v>0.47662915813615758</v>
      </c>
      <c r="AF1132">
        <v>8.826647670133074E-2</v>
      </c>
      <c r="AG1132">
        <v>0.24655661623815697</v>
      </c>
      <c r="AH1132">
        <v>0.4778969108560519</v>
      </c>
      <c r="AI1132">
        <v>3.0974734257551415E-4</v>
      </c>
    </row>
    <row r="1133" spans="23:35" x14ac:dyDescent="0.25">
      <c r="W1133">
        <v>1131</v>
      </c>
      <c r="X1133">
        <v>63.648790197466354</v>
      </c>
      <c r="Y1133">
        <v>0.55120980253364849</v>
      </c>
      <c r="Z1133">
        <v>63.635371309014253</v>
      </c>
      <c r="AA1133">
        <v>0.24560339599757428</v>
      </c>
      <c r="AB1133">
        <v>74.099999999999994</v>
      </c>
      <c r="AC1133">
        <v>-0.69708605805955215</v>
      </c>
      <c r="AD1133">
        <v>0.15329176478141424</v>
      </c>
      <c r="AE1133">
        <v>0.47755293867001292</v>
      </c>
      <c r="AF1133">
        <v>2.3765863595547793E-2</v>
      </c>
      <c r="AG1133">
        <v>0.15514644519054183</v>
      </c>
      <c r="AH1133">
        <v>0.47824882678174502</v>
      </c>
      <c r="AI1133">
        <v>3.084108639241278E-5</v>
      </c>
    </row>
    <row r="1134" spans="23:35" x14ac:dyDescent="0.25">
      <c r="W1134">
        <v>1132</v>
      </c>
      <c r="X1134">
        <v>66.337620951945681</v>
      </c>
      <c r="Y1134">
        <v>-3.4376209519456822</v>
      </c>
      <c r="Z1134">
        <v>66.453923466868332</v>
      </c>
      <c r="AA1134">
        <v>0.21710127349909036</v>
      </c>
      <c r="AB1134">
        <v>74.099999999999994</v>
      </c>
      <c r="AC1134">
        <v>-0.78926429572475043</v>
      </c>
      <c r="AD1134">
        <v>-0.95600437428931739</v>
      </c>
      <c r="AE1134">
        <v>0.47781927776174316</v>
      </c>
      <c r="AF1134">
        <v>3.2725103960985095E-2</v>
      </c>
      <c r="AG1134">
        <v>-0.97204175565278372</v>
      </c>
      <c r="AH1134">
        <v>0.47887180803831231</v>
      </c>
      <c r="AI1134">
        <v>1.6824701186077917E-3</v>
      </c>
    </row>
    <row r="1135" spans="23:35" x14ac:dyDescent="0.25">
      <c r="W1135">
        <v>1133</v>
      </c>
      <c r="X1135">
        <v>61.923023267137459</v>
      </c>
      <c r="Y1135">
        <v>1.7769767328625434</v>
      </c>
      <c r="Z1135">
        <v>61.875690332813001</v>
      </c>
      <c r="AA1135">
        <v>0.23408126137052759</v>
      </c>
      <c r="AB1135">
        <v>74.099999999999994</v>
      </c>
      <c r="AC1135">
        <v>-0.73042509746273321</v>
      </c>
      <c r="AD1135">
        <v>0.49417825681607436</v>
      </c>
      <c r="AE1135">
        <v>0.47787887154670844</v>
      </c>
      <c r="AF1135">
        <v>2.594566875120884E-2</v>
      </c>
      <c r="AG1135">
        <v>0.50071666066094966</v>
      </c>
      <c r="AH1135">
        <v>0.47888656735601681</v>
      </c>
      <c r="AI1135">
        <v>3.5148935012576412E-4</v>
      </c>
    </row>
    <row r="1136" spans="23:35" x14ac:dyDescent="0.25">
      <c r="W1136">
        <v>1134</v>
      </c>
      <c r="X1136">
        <v>61.674175664464883</v>
      </c>
      <c r="Y1136">
        <v>1.8258243355351169</v>
      </c>
      <c r="Z1136">
        <v>61.62745203403729</v>
      </c>
      <c r="AA1136">
        <v>0.23226197695573075</v>
      </c>
      <c r="AB1136">
        <v>74.099999999999994</v>
      </c>
      <c r="AC1136">
        <v>-0.74038552290047832</v>
      </c>
      <c r="AD1136">
        <v>0.50776280336187529</v>
      </c>
      <c r="AE1136">
        <v>0.47864279185305497</v>
      </c>
      <c r="AF1136">
        <v>2.4951900446284668E-2</v>
      </c>
      <c r="AG1136">
        <v>0.5142186963182741</v>
      </c>
      <c r="AH1136">
        <v>0.47929008939774898</v>
      </c>
      <c r="AI1136">
        <v>3.5613914671031816E-4</v>
      </c>
    </row>
    <row r="1137" spans="23:35" x14ac:dyDescent="0.25">
      <c r="W1137">
        <v>1135</v>
      </c>
      <c r="X1137">
        <v>73.435040256527685</v>
      </c>
      <c r="Y1137">
        <v>4.1649597434723091</v>
      </c>
      <c r="Z1137">
        <v>73.369935586538944</v>
      </c>
      <c r="AA1137">
        <v>0.8483929654335961</v>
      </c>
      <c r="AB1137">
        <v>74.099999999999994</v>
      </c>
      <c r="AC1137">
        <v>1.0205681915260707</v>
      </c>
      <c r="AD1137">
        <v>1.1582777127434019</v>
      </c>
      <c r="AE1137">
        <v>0.48038831700344303</v>
      </c>
      <c r="AF1137">
        <v>1.5390940568554973E-2</v>
      </c>
      <c r="AG1137">
        <v>1.1672954323985461</v>
      </c>
      <c r="AH1137">
        <v>0.48108245140303146</v>
      </c>
      <c r="AI1137">
        <v>1.1210095310920218E-3</v>
      </c>
    </row>
    <row r="1138" spans="23:35" x14ac:dyDescent="0.25">
      <c r="W1138">
        <v>1136</v>
      </c>
      <c r="X1138">
        <v>73.804324834261578</v>
      </c>
      <c r="Y1138">
        <v>3.6956751657384217</v>
      </c>
      <c r="Z1138">
        <v>73.739710902004802</v>
      </c>
      <c r="AA1138">
        <v>0.84596725288053365</v>
      </c>
      <c r="AB1138">
        <v>74.099999999999994</v>
      </c>
      <c r="AC1138">
        <v>1.0129215482717411</v>
      </c>
      <c r="AD1138">
        <v>1.0277694003460784</v>
      </c>
      <c r="AE1138">
        <v>0.48058838329647818</v>
      </c>
      <c r="AF1138">
        <v>1.7183235270721752E-2</v>
      </c>
      <c r="AG1138">
        <v>1.03671505503467</v>
      </c>
      <c r="AH1138">
        <v>0.48134222187075193</v>
      </c>
      <c r="AI1138">
        <v>9.8900295722379101E-4</v>
      </c>
    </row>
    <row r="1139" spans="23:35" x14ac:dyDescent="0.25">
      <c r="W1139">
        <v>1137</v>
      </c>
      <c r="X1139">
        <v>75.291508398513244</v>
      </c>
      <c r="Y1139">
        <v>1.9084916014867588</v>
      </c>
      <c r="Z1139">
        <v>75.285502824403096</v>
      </c>
      <c r="AA1139">
        <v>0.84111582777440874</v>
      </c>
      <c r="AB1139">
        <v>74.099999999999994</v>
      </c>
      <c r="AC1139">
        <v>0.99032898964496086</v>
      </c>
      <c r="AD1139">
        <v>0.53075261781933525</v>
      </c>
      <c r="AE1139">
        <v>0.48165666865026657</v>
      </c>
      <c r="AF1139">
        <v>3.1368936902589316E-3</v>
      </c>
      <c r="AG1139">
        <v>0.53158703871952151</v>
      </c>
      <c r="AH1139">
        <v>0.48503346192229696</v>
      </c>
      <c r="AI1139">
        <v>4.6801464508851937E-5</v>
      </c>
    </row>
    <row r="1140" spans="23:35" x14ac:dyDescent="0.25">
      <c r="W1140">
        <v>1138</v>
      </c>
      <c r="X1140">
        <v>73.479003669867339</v>
      </c>
      <c r="Y1140">
        <v>3.8209963301326582</v>
      </c>
      <c r="Z1140">
        <v>73.470507216698337</v>
      </c>
      <c r="AA1140">
        <v>0.84414796846573681</v>
      </c>
      <c r="AB1140">
        <v>74.099999999999994</v>
      </c>
      <c r="AC1140">
        <v>1.0003070916314494</v>
      </c>
      <c r="AD1140">
        <v>1.0626212886219251</v>
      </c>
      <c r="AE1140">
        <v>0.48285554469503211</v>
      </c>
      <c r="AF1140">
        <v>2.2186889099384023E-3</v>
      </c>
      <c r="AG1140">
        <v>1.0638020668545507</v>
      </c>
      <c r="AH1140">
        <v>0.48526585942310674</v>
      </c>
      <c r="AI1140">
        <v>1.3244302943288443E-4</v>
      </c>
    </row>
    <row r="1141" spans="23:35" x14ac:dyDescent="0.25">
      <c r="W1141">
        <v>1139</v>
      </c>
      <c r="X1141">
        <v>73.933958124040416</v>
      </c>
      <c r="Y1141">
        <v>2.5660418759595842</v>
      </c>
      <c r="Z1141">
        <v>73.92797647714093</v>
      </c>
      <c r="AA1141">
        <v>0.82049727107337778</v>
      </c>
      <c r="AB1141">
        <v>74.099999999999994</v>
      </c>
      <c r="AC1141">
        <v>0.91148934236618206</v>
      </c>
      <c r="AD1141">
        <v>0.71361772933064516</v>
      </c>
      <c r="AE1141">
        <v>0.48354551906933713</v>
      </c>
      <c r="AF1141">
        <v>2.3256579289875311E-3</v>
      </c>
      <c r="AG1141">
        <v>0.71444899490675129</v>
      </c>
      <c r="AH1141">
        <v>0.48555114955147932</v>
      </c>
      <c r="AI1141">
        <v>6.262473361571672E-5</v>
      </c>
    </row>
    <row r="1142" spans="23:35" x14ac:dyDescent="0.25">
      <c r="W1142">
        <v>1140</v>
      </c>
      <c r="X1142">
        <v>73.536656616086759</v>
      </c>
      <c r="Y1142">
        <v>3.263343383913238</v>
      </c>
      <c r="Z1142">
        <v>73.53090922567354</v>
      </c>
      <c r="AA1142">
        <v>0.82838083687083086</v>
      </c>
      <c r="AB1142">
        <v>74.099999999999994</v>
      </c>
      <c r="AC1142">
        <v>0.93712127394454448</v>
      </c>
      <c r="AD1142">
        <v>0.90753768185622063</v>
      </c>
      <c r="AE1142">
        <v>0.48399125369674867</v>
      </c>
      <c r="AF1142">
        <v>1.7581005881985167E-3</v>
      </c>
      <c r="AG1142">
        <v>0.90833650658748943</v>
      </c>
      <c r="AH1142">
        <v>0.48555993844692519</v>
      </c>
      <c r="AI1142">
        <v>7.6479996927677018E-5</v>
      </c>
    </row>
    <row r="1143" spans="23:35" x14ac:dyDescent="0.25">
      <c r="W1143">
        <v>1141</v>
      </c>
      <c r="X1143">
        <v>73.360700630741974</v>
      </c>
      <c r="Y1143">
        <v>3.1392993692580262</v>
      </c>
      <c r="Z1143">
        <v>73.356081535343137</v>
      </c>
      <c r="AA1143">
        <v>0.82049727107337778</v>
      </c>
      <c r="AB1143">
        <v>74.099999999999994</v>
      </c>
      <c r="AC1143">
        <v>0.91148934236618206</v>
      </c>
      <c r="AD1143">
        <v>0.87304096966121525</v>
      </c>
      <c r="AE1143">
        <v>0.48490460595335771</v>
      </c>
      <c r="AF1143">
        <v>1.4692160279486969E-3</v>
      </c>
      <c r="AG1143">
        <v>0.87368302012386334</v>
      </c>
      <c r="AH1143">
        <v>0.48617493582075427</v>
      </c>
      <c r="AI1143">
        <v>5.9112372305894412E-5</v>
      </c>
    </row>
    <row r="1144" spans="23:35" x14ac:dyDescent="0.25">
      <c r="W1144">
        <v>1142</v>
      </c>
      <c r="X1144">
        <v>72.913287357021886</v>
      </c>
      <c r="Y1144">
        <v>3.4867126429781194</v>
      </c>
      <c r="Z1144">
        <v>72.907493792517059</v>
      </c>
      <c r="AA1144">
        <v>0.81867798665858094</v>
      </c>
      <c r="AB1144">
        <v>74.099999999999994</v>
      </c>
      <c r="AC1144">
        <v>0.90460220385671419</v>
      </c>
      <c r="AD1144">
        <v>0.96965680194912274</v>
      </c>
      <c r="AE1144">
        <v>0.48503340131366435</v>
      </c>
      <c r="AF1144">
        <v>1.6588558933466838E-3</v>
      </c>
      <c r="AG1144">
        <v>0.97046206439872162</v>
      </c>
      <c r="AH1144">
        <v>0.49018351349548017</v>
      </c>
      <c r="AI1144">
        <v>8.2363200829946542E-5</v>
      </c>
    </row>
    <row r="1145" spans="23:35" x14ac:dyDescent="0.25">
      <c r="W1145">
        <v>1143</v>
      </c>
      <c r="X1145">
        <v>73.412628293426437</v>
      </c>
      <c r="Y1145">
        <v>2.7873717065735661</v>
      </c>
      <c r="Z1145">
        <v>73.408329391323178</v>
      </c>
      <c r="AA1145">
        <v>0.81322013341419042</v>
      </c>
      <c r="AB1145">
        <v>74.2</v>
      </c>
      <c r="AC1145">
        <v>0.88194836619248052</v>
      </c>
      <c r="AD1145">
        <v>0.77516968319220159</v>
      </c>
      <c r="AE1145">
        <v>0.48970278769580916</v>
      </c>
      <c r="AF1145">
        <v>1.5399030565753594E-3</v>
      </c>
      <c r="AG1145">
        <v>0.77576721647057556</v>
      </c>
      <c r="AH1145">
        <v>0.49181169434413569</v>
      </c>
      <c r="AI1145">
        <v>4.8850826073574936E-5</v>
      </c>
    </row>
    <row r="1146" spans="23:35" x14ac:dyDescent="0.25">
      <c r="W1146">
        <v>1144</v>
      </c>
      <c r="X1146">
        <v>71.881436124820596</v>
      </c>
      <c r="Y1146">
        <v>3.9185638751794016</v>
      </c>
      <c r="Z1146">
        <v>71.85709747846991</v>
      </c>
      <c r="AA1146">
        <v>0.79624014554275313</v>
      </c>
      <c r="AB1146">
        <v>74.2</v>
      </c>
      <c r="AC1146">
        <v>0.81442193874053515</v>
      </c>
      <c r="AD1146">
        <v>1.0897548793107308</v>
      </c>
      <c r="AE1146">
        <v>0.48996420543244268</v>
      </c>
      <c r="AF1146">
        <v>6.1727740459676349E-3</v>
      </c>
      <c r="AG1146">
        <v>1.0931339363169847</v>
      </c>
      <c r="AH1146">
        <v>0.49343734752100799</v>
      </c>
      <c r="AI1146">
        <v>3.9062734625621283E-4</v>
      </c>
    </row>
    <row r="1147" spans="23:35" x14ac:dyDescent="0.25">
      <c r="W1147">
        <v>1145</v>
      </c>
      <c r="X1147">
        <v>73.263286626215432</v>
      </c>
      <c r="Y1147">
        <v>2.5367133737845649</v>
      </c>
      <c r="Z1147">
        <v>73.257653943794693</v>
      </c>
      <c r="AA1147">
        <v>0.79624014554275313</v>
      </c>
      <c r="AB1147">
        <v>74.2</v>
      </c>
      <c r="AC1147">
        <v>0.81442193874053515</v>
      </c>
      <c r="AD1147">
        <v>0.70546145591870812</v>
      </c>
      <c r="AE1147">
        <v>0.4908889196601568</v>
      </c>
      <c r="AF1147">
        <v>2.2155451288728514E-3</v>
      </c>
      <c r="AG1147">
        <v>0.70624424773821337</v>
      </c>
      <c r="AH1147">
        <v>0.49522012317682129</v>
      </c>
      <c r="AI1147">
        <v>5.8290813104478068E-5</v>
      </c>
    </row>
    <row r="1148" spans="23:35" x14ac:dyDescent="0.25">
      <c r="W1148">
        <v>1146</v>
      </c>
      <c r="X1148">
        <v>72.94790090901833</v>
      </c>
      <c r="Y1148">
        <v>2.5520990909816703</v>
      </c>
      <c r="Z1148">
        <v>72.942577076197196</v>
      </c>
      <c r="AA1148">
        <v>0.78411158277744086</v>
      </c>
      <c r="AB1148">
        <v>74.2</v>
      </c>
      <c r="AC1148">
        <v>0.77276680816182786</v>
      </c>
      <c r="AD1148">
        <v>0.70974023276689024</v>
      </c>
      <c r="AE1148">
        <v>0.49091385014487837</v>
      </c>
      <c r="AF1148">
        <v>2.0817177994239314E-3</v>
      </c>
      <c r="AG1148">
        <v>0.71048012759443047</v>
      </c>
      <c r="AH1148">
        <v>0.49538347401549532</v>
      </c>
      <c r="AI1148">
        <v>5.5421355759523576E-5</v>
      </c>
    </row>
    <row r="1149" spans="23:35" x14ac:dyDescent="0.25">
      <c r="W1149">
        <v>1147</v>
      </c>
      <c r="X1149">
        <v>72.793500639575342</v>
      </c>
      <c r="Y1149">
        <v>2.9064993604246609</v>
      </c>
      <c r="Z1149">
        <v>72.786373720931806</v>
      </c>
      <c r="AA1149">
        <v>0.79199514857489384</v>
      </c>
      <c r="AB1149">
        <v>74.2</v>
      </c>
      <c r="AC1149">
        <v>0.80177968430189828</v>
      </c>
      <c r="AD1149">
        <v>0.80829915260505547</v>
      </c>
      <c r="AE1149">
        <v>0.49147107994765654</v>
      </c>
      <c r="AF1149">
        <v>2.4460647869408779E-3</v>
      </c>
      <c r="AG1149">
        <v>0.8092895459478302</v>
      </c>
      <c r="AH1149">
        <v>0.4958538042146266</v>
      </c>
      <c r="AI1149">
        <v>8.4525126482573677E-5</v>
      </c>
    </row>
    <row r="1150" spans="23:35" x14ac:dyDescent="0.25">
      <c r="W1150">
        <v>1148</v>
      </c>
      <c r="X1150">
        <v>72.548974948616149</v>
      </c>
      <c r="Y1150">
        <v>2.9510250513838514</v>
      </c>
      <c r="Z1150">
        <v>72.542876676551344</v>
      </c>
      <c r="AA1150">
        <v>0.78411158277744086</v>
      </c>
      <c r="AB1150">
        <v>74.2</v>
      </c>
      <c r="AC1150">
        <v>0.77276680816182786</v>
      </c>
      <c r="AD1150">
        <v>0.82068177300453493</v>
      </c>
      <c r="AE1150">
        <v>0.49196561064554839</v>
      </c>
      <c r="AF1150">
        <v>2.0622312287259443E-3</v>
      </c>
      <c r="AG1150">
        <v>0.82152930187098028</v>
      </c>
      <c r="AH1150">
        <v>0.49955731958735411</v>
      </c>
      <c r="AI1150">
        <v>7.3405130497373832E-5</v>
      </c>
    </row>
    <row r="1151" spans="23:35" x14ac:dyDescent="0.25">
      <c r="W1151">
        <v>1149</v>
      </c>
      <c r="X1151">
        <v>65.2314984356221</v>
      </c>
      <c r="Y1151">
        <v>-2.5314984356220975</v>
      </c>
      <c r="Z1151">
        <v>65.242532010693068</v>
      </c>
      <c r="AA1151">
        <v>0.21164342025469982</v>
      </c>
      <c r="AB1151">
        <v>74.2</v>
      </c>
      <c r="AC1151">
        <v>-0.80808466725232064</v>
      </c>
      <c r="AD1151">
        <v>-0.70401117860056883</v>
      </c>
      <c r="AE1151">
        <v>0.49417825681607436</v>
      </c>
      <c r="AF1151">
        <v>4.3396012418180233E-3</v>
      </c>
      <c r="AG1151">
        <v>-0.70554373230474521</v>
      </c>
      <c r="AH1151">
        <v>0.50047762816732655</v>
      </c>
      <c r="AI1151">
        <v>1.1419126032183006E-4</v>
      </c>
    </row>
    <row r="1152" spans="23:35" x14ac:dyDescent="0.25">
      <c r="W1152">
        <v>1150</v>
      </c>
      <c r="X1152">
        <v>64.64377907179977</v>
      </c>
      <c r="Y1152">
        <v>-2.2437790717997714</v>
      </c>
      <c r="Z1152">
        <v>64.674302756366515</v>
      </c>
      <c r="AA1152">
        <v>0.20618556701030927</v>
      </c>
      <c r="AB1152">
        <v>74.2</v>
      </c>
      <c r="AC1152">
        <v>-0.8207920883323806</v>
      </c>
      <c r="AD1152">
        <v>-0.62399625716887352</v>
      </c>
      <c r="AE1152">
        <v>0.49429579998123352</v>
      </c>
      <c r="AF1152">
        <v>1.3421117518897262E-2</v>
      </c>
      <c r="AG1152">
        <v>-0.62822624705487418</v>
      </c>
      <c r="AH1152">
        <v>0.50071666066094966</v>
      </c>
      <c r="AI1152">
        <v>2.8257609369247233E-4</v>
      </c>
    </row>
    <row r="1153" spans="23:35" x14ac:dyDescent="0.25">
      <c r="W1153">
        <v>1151</v>
      </c>
      <c r="X1153">
        <v>64.859033001849639</v>
      </c>
      <c r="Y1153">
        <v>-2.659033001849636</v>
      </c>
      <c r="Z1153">
        <v>64.870488946134202</v>
      </c>
      <c r="AA1153">
        <v>0.20436628259551243</v>
      </c>
      <c r="AB1153">
        <v>74.2</v>
      </c>
      <c r="AC1153">
        <v>-0.8357870519497973</v>
      </c>
      <c r="AD1153">
        <v>-0.73947861520599478</v>
      </c>
      <c r="AE1153">
        <v>0.49472696545546724</v>
      </c>
      <c r="AF1153">
        <v>4.2898302579183088E-3</v>
      </c>
      <c r="AG1153">
        <v>-0.74106985552256055</v>
      </c>
      <c r="AH1153">
        <v>0.50095291445386003</v>
      </c>
      <c r="AI1153">
        <v>1.2452938979978727E-4</v>
      </c>
    </row>
    <row r="1154" spans="23:35" x14ac:dyDescent="0.25">
      <c r="W1154">
        <v>1152</v>
      </c>
      <c r="X1154">
        <v>64.613183902083122</v>
      </c>
      <c r="Y1154">
        <v>-2.6131839020831222</v>
      </c>
      <c r="Z1154">
        <v>64.623094338881444</v>
      </c>
      <c r="AA1154">
        <v>0.19890842935112188</v>
      </c>
      <c r="AB1154">
        <v>74.2</v>
      </c>
      <c r="AC1154">
        <v>-0.85973834429501084</v>
      </c>
      <c r="AD1154">
        <v>-0.72672795405203428</v>
      </c>
      <c r="AE1154">
        <v>0.49754953736486041</v>
      </c>
      <c r="AF1154">
        <v>3.7781473016141312E-3</v>
      </c>
      <c r="AG1154">
        <v>-0.72810469907103637</v>
      </c>
      <c r="AH1154">
        <v>0.50133190692219964</v>
      </c>
      <c r="AI1154">
        <v>1.0581735189351181E-4</v>
      </c>
    </row>
    <row r="1155" spans="23:35" x14ac:dyDescent="0.25">
      <c r="W1155">
        <v>1153</v>
      </c>
      <c r="X1155">
        <v>64.073394972366813</v>
      </c>
      <c r="Y1155">
        <v>-2.2733949723668161</v>
      </c>
      <c r="Z1155">
        <v>64.083315831498311</v>
      </c>
      <c r="AA1155">
        <v>0.19345057610673136</v>
      </c>
      <c r="AB1155">
        <v>74.2</v>
      </c>
      <c r="AC1155">
        <v>-0.873012700415573</v>
      </c>
      <c r="AD1155">
        <v>-0.63223245623979996</v>
      </c>
      <c r="AE1155">
        <v>0.49812673549638642</v>
      </c>
      <c r="AF1155">
        <v>4.3449351135027049E-3</v>
      </c>
      <c r="AG1155">
        <v>-0.63361045284813888</v>
      </c>
      <c r="AH1155">
        <v>0.50263325470209952</v>
      </c>
      <c r="AI1155">
        <v>9.2207331472923823E-5</v>
      </c>
    </row>
    <row r="1156" spans="23:35" x14ac:dyDescent="0.25">
      <c r="W1156">
        <v>1154</v>
      </c>
      <c r="X1156">
        <v>63.771525324537592</v>
      </c>
      <c r="Y1156">
        <v>-2.1715253245375905</v>
      </c>
      <c r="Z1156">
        <v>63.780937816671475</v>
      </c>
      <c r="AA1156">
        <v>0.18920557913887204</v>
      </c>
      <c r="AB1156">
        <v>74.2</v>
      </c>
      <c r="AC1156">
        <v>-0.88869659543514345</v>
      </c>
      <c r="AD1156">
        <v>-0.60390244827980932</v>
      </c>
      <c r="AE1156">
        <v>0.49893955524071543</v>
      </c>
      <c r="AF1156">
        <v>4.3158003231147189E-3</v>
      </c>
      <c r="AG1156">
        <v>-0.60520984283617851</v>
      </c>
      <c r="AH1156">
        <v>0.50560572364822465</v>
      </c>
      <c r="AI1156">
        <v>8.3559934700765535E-5</v>
      </c>
    </row>
    <row r="1157" spans="23:35" x14ac:dyDescent="0.25">
      <c r="W1157">
        <v>1155</v>
      </c>
      <c r="X1157">
        <v>67.612164920672669</v>
      </c>
      <c r="Y1157">
        <v>-6.2121649206726701</v>
      </c>
      <c r="Z1157">
        <v>67.647960882058086</v>
      </c>
      <c r="AA1157">
        <v>0.18617343844754397</v>
      </c>
      <c r="AB1157">
        <v>74.2</v>
      </c>
      <c r="AC1157">
        <v>-0.90460220385671419</v>
      </c>
      <c r="AD1157">
        <v>-1.727606656169683</v>
      </c>
      <c r="AE1157">
        <v>0.50327383169575235</v>
      </c>
      <c r="AF1157">
        <v>5.7292230315041338E-3</v>
      </c>
      <c r="AG1157">
        <v>-1.7325769452384523</v>
      </c>
      <c r="AH1157">
        <v>0.50957994362288872</v>
      </c>
      <c r="AI1157">
        <v>9.1037959564220592E-4</v>
      </c>
    </row>
    <row r="1158" spans="23:35" x14ac:dyDescent="0.25">
      <c r="W1158">
        <v>1156</v>
      </c>
      <c r="X1158">
        <v>62.762765369396412</v>
      </c>
      <c r="Y1158">
        <v>-1.6627653693964106</v>
      </c>
      <c r="Z1158">
        <v>62.77061492226791</v>
      </c>
      <c r="AA1158">
        <v>0.17889630078835658</v>
      </c>
      <c r="AB1158">
        <v>74.2</v>
      </c>
      <c r="AC1158">
        <v>-0.9277300733017374</v>
      </c>
      <c r="AD1158">
        <v>-0.46241601060176418</v>
      </c>
      <c r="AE1158">
        <v>0.50776280336187529</v>
      </c>
      <c r="AF1158">
        <v>4.6986009563717325E-3</v>
      </c>
      <c r="AG1158">
        <v>-0.46350620806653192</v>
      </c>
      <c r="AH1158">
        <v>0.51169391660779118</v>
      </c>
      <c r="AI1158">
        <v>5.3379125915462137E-5</v>
      </c>
    </row>
    <row r="1159" spans="23:35" x14ac:dyDescent="0.25">
      <c r="W1159">
        <v>1157</v>
      </c>
      <c r="X1159">
        <v>62.261925475504171</v>
      </c>
      <c r="Y1159">
        <v>5.7380745244958291</v>
      </c>
      <c r="Z1159">
        <v>62.234423304573774</v>
      </c>
      <c r="AA1159">
        <v>0.38447543966040026</v>
      </c>
      <c r="AB1159">
        <v>74.3</v>
      </c>
      <c r="AC1159">
        <v>-0.31204933220437475</v>
      </c>
      <c r="AD1159">
        <v>1.5957618428847609</v>
      </c>
      <c r="AE1159">
        <v>0.50850920390767396</v>
      </c>
      <c r="AF1159">
        <v>4.7700641901463614E-3</v>
      </c>
      <c r="AG1159">
        <v>1.5995814563921886</v>
      </c>
      <c r="AH1159">
        <v>0.51402822182283725</v>
      </c>
      <c r="AI1159">
        <v>6.4544599920466586E-4</v>
      </c>
    </row>
    <row r="1160" spans="23:35" x14ac:dyDescent="0.25">
      <c r="W1160">
        <v>1158</v>
      </c>
      <c r="X1160">
        <v>66.209483722653857</v>
      </c>
      <c r="Y1160">
        <v>-2.2094837226538573</v>
      </c>
      <c r="Z1160">
        <v>66.223802981289197</v>
      </c>
      <c r="AA1160">
        <v>0.24075197089144937</v>
      </c>
      <c r="AB1160">
        <v>74.3</v>
      </c>
      <c r="AC1160">
        <v>-0.7126762947196924</v>
      </c>
      <c r="AD1160">
        <v>-0.61445870074261422</v>
      </c>
      <c r="AE1160">
        <v>0.50864736114341513</v>
      </c>
      <c r="AF1160">
        <v>6.439085996297402E-3</v>
      </c>
      <c r="AG1160">
        <v>-0.61644658222307103</v>
      </c>
      <c r="AH1160">
        <v>0.51418684261097791</v>
      </c>
      <c r="AI1160">
        <v>1.2961850979464285E-4</v>
      </c>
    </row>
    <row r="1161" spans="23:35" x14ac:dyDescent="0.25">
      <c r="W1161">
        <v>1159</v>
      </c>
      <c r="X1161">
        <v>60.356363795249116</v>
      </c>
      <c r="Y1161">
        <v>-0.45636379524911774</v>
      </c>
      <c r="Z1161">
        <v>60.36274021894198</v>
      </c>
      <c r="AA1161">
        <v>0.17404487568223165</v>
      </c>
      <c r="AB1161">
        <v>74.3</v>
      </c>
      <c r="AC1161">
        <v>-0.94897780985887348</v>
      </c>
      <c r="AD1161">
        <v>-0.12691503531781032</v>
      </c>
      <c r="AE1161">
        <v>0.50969069314302584</v>
      </c>
      <c r="AF1161">
        <v>1.377970496587092E-2</v>
      </c>
      <c r="AG1161">
        <v>-0.12779860322647116</v>
      </c>
      <c r="AH1161">
        <v>0.5142186963182741</v>
      </c>
      <c r="AI1161">
        <v>1.2010597058453884E-5</v>
      </c>
    </row>
    <row r="1162" spans="23:35" x14ac:dyDescent="0.25">
      <c r="W1162">
        <v>1160</v>
      </c>
      <c r="X1162">
        <v>60.731948556000688</v>
      </c>
      <c r="Y1162">
        <v>-1.1319485560006868</v>
      </c>
      <c r="Z1162">
        <v>60.739180297054368</v>
      </c>
      <c r="AA1162">
        <v>0.16616130988477865</v>
      </c>
      <c r="AB1162">
        <v>74.3</v>
      </c>
      <c r="AC1162">
        <v>-0.97554401628441823</v>
      </c>
      <c r="AD1162">
        <v>-0.31479554789036318</v>
      </c>
      <c r="AE1162">
        <v>0.51074722993195498</v>
      </c>
      <c r="AF1162">
        <v>6.3481970960877643E-3</v>
      </c>
      <c r="AG1162">
        <v>-0.31579952259060518</v>
      </c>
      <c r="AH1162">
        <v>0.51457766383929604</v>
      </c>
      <c r="AI1162">
        <v>3.3534011930854065E-5</v>
      </c>
    </row>
    <row r="1163" spans="23:35" x14ac:dyDescent="0.25">
      <c r="W1163">
        <v>1161</v>
      </c>
      <c r="X1163">
        <v>60.408551770010426</v>
      </c>
      <c r="Y1163">
        <v>-1.108551770010429</v>
      </c>
      <c r="Z1163">
        <v>60.424742351553128</v>
      </c>
      <c r="AA1163">
        <v>0.16070345664038813</v>
      </c>
      <c r="AB1163">
        <v>74.3</v>
      </c>
      <c r="AC1163">
        <v>-1.0028172174115717</v>
      </c>
      <c r="AD1163">
        <v>-0.30828888817898997</v>
      </c>
      <c r="AE1163">
        <v>0.51226130937865633</v>
      </c>
      <c r="AF1163">
        <v>1.4394924775746058E-2</v>
      </c>
      <c r="AG1163">
        <v>-0.31053203253865014</v>
      </c>
      <c r="AH1163">
        <v>0.51554984559592132</v>
      </c>
      <c r="AI1163">
        <v>7.4125166081708661E-5</v>
      </c>
    </row>
    <row r="1164" spans="23:35" x14ac:dyDescent="0.25">
      <c r="W1164">
        <v>1162</v>
      </c>
      <c r="X1164">
        <v>59.667705402802696</v>
      </c>
      <c r="Y1164">
        <v>-0.56770540280269444</v>
      </c>
      <c r="Z1164">
        <v>59.6721463695023</v>
      </c>
      <c r="AA1164">
        <v>0.15342631898120074</v>
      </c>
      <c r="AB1164">
        <v>74.3</v>
      </c>
      <c r="AC1164">
        <v>-1.0334469496720613</v>
      </c>
      <c r="AD1164">
        <v>-0.15787920075361189</v>
      </c>
      <c r="AE1164">
        <v>0.51355571117037035</v>
      </c>
      <c r="AF1164">
        <v>7.761941587544988E-3</v>
      </c>
      <c r="AG1164">
        <v>-0.15849551549974875</v>
      </c>
      <c r="AH1164">
        <v>0.51577410085509778</v>
      </c>
      <c r="AI1164">
        <v>1.0342721862521942E-5</v>
      </c>
    </row>
    <row r="1165" spans="23:35" x14ac:dyDescent="0.25">
      <c r="W1165">
        <v>1163</v>
      </c>
      <c r="X1165">
        <v>59.078626477975369</v>
      </c>
      <c r="Y1165">
        <v>-0.17862647797537079</v>
      </c>
      <c r="Z1165">
        <v>59.080125267669573</v>
      </c>
      <c r="AA1165">
        <v>0.14918132201334142</v>
      </c>
      <c r="AB1165">
        <v>74.3</v>
      </c>
      <c r="AC1165">
        <v>-1.0491313979639725</v>
      </c>
      <c r="AD1165">
        <v>-4.9676126802664186E-2</v>
      </c>
      <c r="AE1165">
        <v>0.51402258482642038</v>
      </c>
      <c r="AF1165">
        <v>8.3208186924408761E-3</v>
      </c>
      <c r="AG1165">
        <v>-4.9884098600324125E-2</v>
      </c>
      <c r="AH1165">
        <v>0.51887520515296803</v>
      </c>
      <c r="AI1165">
        <v>1.0989185893124791E-6</v>
      </c>
    </row>
    <row r="1166" spans="23:35" x14ac:dyDescent="0.25">
      <c r="W1166">
        <v>1164</v>
      </c>
      <c r="X1166">
        <v>72.354853166863393</v>
      </c>
      <c r="Y1166">
        <v>1.5451468331366129</v>
      </c>
      <c r="Z1166">
        <v>72.347467258609598</v>
      </c>
      <c r="AA1166">
        <v>0.67919951485748942</v>
      </c>
      <c r="AB1166">
        <v>74.400000000000006</v>
      </c>
      <c r="AC1166">
        <v>0.43434378704136062</v>
      </c>
      <c r="AD1166">
        <v>0.42970622766358701</v>
      </c>
      <c r="AE1166">
        <v>0.51488749314249793</v>
      </c>
      <c r="AF1166">
        <v>4.7573284974194623E-3</v>
      </c>
      <c r="AG1166">
        <v>0.43073201596817906</v>
      </c>
      <c r="AH1166">
        <v>0.5193865612747357</v>
      </c>
      <c r="AI1166">
        <v>4.6676131963328203E-5</v>
      </c>
    </row>
    <row r="1167" spans="23:35" x14ac:dyDescent="0.25">
      <c r="W1167">
        <v>1165</v>
      </c>
      <c r="X1167">
        <v>70.695116749322239</v>
      </c>
      <c r="Y1167">
        <v>3.1048832506777586</v>
      </c>
      <c r="Z1167">
        <v>70.643955078473041</v>
      </c>
      <c r="AA1167">
        <v>0.66767738023044265</v>
      </c>
      <c r="AB1167">
        <v>74.400000000000006</v>
      </c>
      <c r="AC1167">
        <v>0.4143837514429769</v>
      </c>
      <c r="AD1167">
        <v>0.86346982718543608</v>
      </c>
      <c r="AE1167">
        <v>0.51841115709646657</v>
      </c>
      <c r="AF1167">
        <v>1.6210691584338476E-2</v>
      </c>
      <c r="AG1167">
        <v>0.87055480533020912</v>
      </c>
      <c r="AH1167">
        <v>0.52451058030154041</v>
      </c>
      <c r="AI1167">
        <v>6.5726132504489207E-4</v>
      </c>
    </row>
    <row r="1168" spans="23:35" x14ac:dyDescent="0.25">
      <c r="W1168">
        <v>1166</v>
      </c>
      <c r="X1168">
        <v>71.213912922793114</v>
      </c>
      <c r="Y1168">
        <v>2.3860870772068807</v>
      </c>
      <c r="Z1168">
        <v>71.204022209216703</v>
      </c>
      <c r="AA1168">
        <v>0.65433596118859916</v>
      </c>
      <c r="AB1168">
        <v>74.400000000000006</v>
      </c>
      <c r="AC1168">
        <v>0.3716850598056044</v>
      </c>
      <c r="AD1168">
        <v>0.66357219575180026</v>
      </c>
      <c r="AE1168">
        <v>0.51899035495368828</v>
      </c>
      <c r="AF1168">
        <v>4.1280489387096322E-3</v>
      </c>
      <c r="AG1168">
        <v>0.66494608006355427</v>
      </c>
      <c r="AH1168">
        <v>0.52508481199481016</v>
      </c>
      <c r="AI1168">
        <v>9.646296262105955E-5</v>
      </c>
    </row>
    <row r="1169" spans="23:35" x14ac:dyDescent="0.25">
      <c r="W1169">
        <v>1167</v>
      </c>
      <c r="X1169">
        <v>74.053755492921695</v>
      </c>
      <c r="Y1169">
        <v>-0.65375549292168955</v>
      </c>
      <c r="Z1169">
        <v>74.056127794529601</v>
      </c>
      <c r="AA1169">
        <v>0.63735597331716187</v>
      </c>
      <c r="AB1169">
        <v>74.400000000000006</v>
      </c>
      <c r="AC1169">
        <v>0.33286538375086522</v>
      </c>
      <c r="AD1169">
        <v>-0.18180978056788374</v>
      </c>
      <c r="AE1169">
        <v>0.52150409556639743</v>
      </c>
      <c r="AF1169">
        <v>3.6156090744618929E-3</v>
      </c>
      <c r="AG1169">
        <v>-0.18213935108247467</v>
      </c>
      <c r="AH1169">
        <v>0.52723050365505175</v>
      </c>
      <c r="AI1169">
        <v>6.3359030223014911E-6</v>
      </c>
    </row>
    <row r="1170" spans="23:35" x14ac:dyDescent="0.25">
      <c r="W1170">
        <v>1168</v>
      </c>
      <c r="X1170">
        <v>71.637257642753113</v>
      </c>
      <c r="Y1170">
        <v>1.5627423572468899</v>
      </c>
      <c r="Z1170">
        <v>71.633689807644345</v>
      </c>
      <c r="AA1170">
        <v>0.62340812613705276</v>
      </c>
      <c r="AB1170">
        <v>74.400000000000006</v>
      </c>
      <c r="AC1170">
        <v>0.29295400660571058</v>
      </c>
      <c r="AD1170">
        <v>0.43459955309198162</v>
      </c>
      <c r="AE1170">
        <v>0.52209309827097805</v>
      </c>
      <c r="AF1170">
        <v>2.2778598557212665E-3</v>
      </c>
      <c r="AG1170">
        <v>0.43509537875664051</v>
      </c>
      <c r="AH1170">
        <v>0.52894557400436326</v>
      </c>
      <c r="AI1170">
        <v>2.2747450643288915E-5</v>
      </c>
    </row>
    <row r="1171" spans="23:35" x14ac:dyDescent="0.25">
      <c r="W1171">
        <v>1169</v>
      </c>
      <c r="X1171">
        <v>71.100483517941655</v>
      </c>
      <c r="Y1171">
        <v>1.8995164820583454</v>
      </c>
      <c r="Z1171">
        <v>71.095525661728104</v>
      </c>
      <c r="AA1171">
        <v>0.60946027895694366</v>
      </c>
      <c r="AB1171">
        <v>74.400000000000006</v>
      </c>
      <c r="AC1171">
        <v>0.22222871718700732</v>
      </c>
      <c r="AD1171">
        <v>0.52825663191708627</v>
      </c>
      <c r="AE1171">
        <v>0.52636749229489754</v>
      </c>
      <c r="AF1171">
        <v>2.6032675336785361E-3</v>
      </c>
      <c r="AG1171">
        <v>0.52894557400436326</v>
      </c>
      <c r="AH1171">
        <v>0.52909499610973687</v>
      </c>
      <c r="AI1171">
        <v>3.8434322952557388E-5</v>
      </c>
    </row>
    <row r="1172" spans="23:35" x14ac:dyDescent="0.25">
      <c r="W1172">
        <v>1170</v>
      </c>
      <c r="X1172">
        <v>70.591984652498397</v>
      </c>
      <c r="Y1172">
        <v>2.1080153475016061</v>
      </c>
      <c r="Z1172">
        <v>70.588085666402762</v>
      </c>
      <c r="AA1172">
        <v>0.57246816252274102</v>
      </c>
      <c r="AB1172">
        <v>74.400000000000006</v>
      </c>
      <c r="AC1172">
        <v>0.16337348484333708</v>
      </c>
      <c r="AD1172">
        <v>0.58624028694609676</v>
      </c>
      <c r="AE1172">
        <v>0.52665151115257069</v>
      </c>
      <c r="AF1172">
        <v>1.846185725251331E-3</v>
      </c>
      <c r="AG1172">
        <v>0.5867821916288235</v>
      </c>
      <c r="AH1172">
        <v>0.52919856630938911</v>
      </c>
      <c r="AI1172">
        <v>3.3518005414903023E-5</v>
      </c>
    </row>
    <row r="1173" spans="23:35" x14ac:dyDescent="0.25">
      <c r="W1173">
        <v>1171</v>
      </c>
      <c r="X1173">
        <v>70.807326225621196</v>
      </c>
      <c r="Y1173">
        <v>1.6926737743788038</v>
      </c>
      <c r="Z1173">
        <v>70.804888233768907</v>
      </c>
      <c r="AA1173">
        <v>0.55852031534263191</v>
      </c>
      <c r="AB1173">
        <v>74.400000000000006</v>
      </c>
      <c r="AC1173">
        <v>0.12956927093944998</v>
      </c>
      <c r="AD1173">
        <v>0.47073355531971833</v>
      </c>
      <c r="AE1173">
        <v>0.52680901430948202</v>
      </c>
      <c r="AF1173">
        <v>1.4382484393430013E-3</v>
      </c>
      <c r="AG1173">
        <v>0.47107243681103661</v>
      </c>
      <c r="AH1173">
        <v>0.53036691133589142</v>
      </c>
      <c r="AI1173">
        <v>1.6822121713762932E-5</v>
      </c>
    </row>
    <row r="1174" spans="23:35" x14ac:dyDescent="0.25">
      <c r="W1174">
        <v>1172</v>
      </c>
      <c r="X1174">
        <v>70.674181898212993</v>
      </c>
      <c r="Y1174">
        <v>1.6258181017870044</v>
      </c>
      <c r="Z1174">
        <v>70.671461450348787</v>
      </c>
      <c r="AA1174">
        <v>0.54578532443905392</v>
      </c>
      <c r="AB1174">
        <v>74.400000000000006</v>
      </c>
      <c r="AC1174">
        <v>9.896716322379942E-2</v>
      </c>
      <c r="AD1174">
        <v>0.45214095411752953</v>
      </c>
      <c r="AE1174">
        <v>0.52825663191708627</v>
      </c>
      <c r="AF1174">
        <v>1.6704841680259322E-3</v>
      </c>
      <c r="AG1174">
        <v>0.45251907507011513</v>
      </c>
      <c r="AH1174">
        <v>0.5311468469932854</v>
      </c>
      <c r="AI1174">
        <v>1.8033857484076672E-5</v>
      </c>
    </row>
    <row r="1175" spans="23:35" x14ac:dyDescent="0.25">
      <c r="W1175">
        <v>1173</v>
      </c>
      <c r="X1175">
        <v>70.704874616903112</v>
      </c>
      <c r="Y1175">
        <v>1.3951253830968824</v>
      </c>
      <c r="Z1175">
        <v>70.702488073643934</v>
      </c>
      <c r="AA1175">
        <v>0.5312310491206792</v>
      </c>
      <c r="AB1175">
        <v>74.400000000000006</v>
      </c>
      <c r="AC1175">
        <v>6.3887210036911155E-2</v>
      </c>
      <c r="AD1175">
        <v>0.38798517566859236</v>
      </c>
      <c r="AE1175">
        <v>0.5282644590653407</v>
      </c>
      <c r="AF1175">
        <v>1.707708688679915E-3</v>
      </c>
      <c r="AG1175">
        <v>0.38831688340202136</v>
      </c>
      <c r="AH1175">
        <v>0.53118807319151484</v>
      </c>
      <c r="AI1175">
        <v>1.3576099627005186E-5</v>
      </c>
    </row>
    <row r="1176" spans="23:35" x14ac:dyDescent="0.25">
      <c r="W1176">
        <v>1174</v>
      </c>
      <c r="X1176">
        <v>70.714539570697298</v>
      </c>
      <c r="Y1176">
        <v>1.185460429302708</v>
      </c>
      <c r="Z1176">
        <v>70.701805258072412</v>
      </c>
      <c r="AA1176">
        <v>0.51607034566403887</v>
      </c>
      <c r="AB1176">
        <v>74.400000000000006</v>
      </c>
      <c r="AC1176">
        <v>2.7365033500434649E-2</v>
      </c>
      <c r="AD1176">
        <v>0.3296772307949874</v>
      </c>
      <c r="AE1176">
        <v>0.53030175762644149</v>
      </c>
      <c r="AF1176">
        <v>1.0627915629479043E-2</v>
      </c>
      <c r="AG1176">
        <v>0.33144321073999938</v>
      </c>
      <c r="AH1176">
        <v>0.53158703871952151</v>
      </c>
      <c r="AI1176">
        <v>6.21087944476734E-5</v>
      </c>
    </row>
    <row r="1177" spans="23:35" x14ac:dyDescent="0.25">
      <c r="W1177">
        <v>1175</v>
      </c>
      <c r="X1177">
        <v>70.856956457376072</v>
      </c>
      <c r="Y1177">
        <v>0.84304354262393133</v>
      </c>
      <c r="Z1177">
        <v>70.855689377832263</v>
      </c>
      <c r="AA1177">
        <v>0.50394178289872649</v>
      </c>
      <c r="AB1177">
        <v>74.400000000000006</v>
      </c>
      <c r="AC1177">
        <v>-4.5602855597810616E-3</v>
      </c>
      <c r="AD1177">
        <v>0.23445089663206584</v>
      </c>
      <c r="AE1177">
        <v>0.5304308083601551</v>
      </c>
      <c r="AF1177">
        <v>1.5007267592530181E-3</v>
      </c>
      <c r="AG1177">
        <v>0.23462701825685528</v>
      </c>
      <c r="AH1177">
        <v>0.53262867858607732</v>
      </c>
      <c r="AI1177">
        <v>4.3546806870496276E-6</v>
      </c>
    </row>
    <row r="1178" spans="23:35" x14ac:dyDescent="0.25">
      <c r="W1178">
        <v>1176</v>
      </c>
      <c r="X1178">
        <v>74.211814938910592</v>
      </c>
      <c r="Y1178">
        <v>1.0881850610894048</v>
      </c>
      <c r="Z1178">
        <v>74.207338196300626</v>
      </c>
      <c r="AA1178">
        <v>0.77258944815039421</v>
      </c>
      <c r="AB1178">
        <v>74.400000000000006</v>
      </c>
      <c r="AC1178">
        <v>0.72844171022016913</v>
      </c>
      <c r="AD1178">
        <v>0.30262489465249132</v>
      </c>
      <c r="AE1178">
        <v>0.53075261781933525</v>
      </c>
      <c r="AF1178">
        <v>4.0970981092365352E-3</v>
      </c>
      <c r="AG1178">
        <v>0.30324674809400542</v>
      </c>
      <c r="AH1178">
        <v>0.53391118931405035</v>
      </c>
      <c r="AI1178">
        <v>1.9911229109542925E-5</v>
      </c>
    </row>
    <row r="1179" spans="23:35" x14ac:dyDescent="0.25">
      <c r="W1179">
        <v>1177</v>
      </c>
      <c r="X1179">
        <v>73.704076278844596</v>
      </c>
      <c r="Y1179">
        <v>1.5959237211554012</v>
      </c>
      <c r="Z1179">
        <v>73.700750755377641</v>
      </c>
      <c r="AA1179">
        <v>0.77258944815039421</v>
      </c>
      <c r="AB1179">
        <v>74.400000000000006</v>
      </c>
      <c r="AC1179">
        <v>0.72844171022016913</v>
      </c>
      <c r="AD1179">
        <v>0.44382730957963862</v>
      </c>
      <c r="AE1179">
        <v>0.53260952849621623</v>
      </c>
      <c r="AF1179">
        <v>2.0794278803862604E-3</v>
      </c>
      <c r="AG1179">
        <v>0.44428948393916678</v>
      </c>
      <c r="AH1179">
        <v>0.53420489850132391</v>
      </c>
      <c r="AI1179">
        <v>2.1648427408298081E-5</v>
      </c>
    </row>
    <row r="1180" spans="23:35" x14ac:dyDescent="0.25">
      <c r="W1180">
        <v>1178</v>
      </c>
      <c r="X1180">
        <v>73.876776679282912</v>
      </c>
      <c r="Y1180">
        <v>1.0232233207170935</v>
      </c>
      <c r="Z1180">
        <v>73.875050399212313</v>
      </c>
      <c r="AA1180">
        <v>0.74833232261976956</v>
      </c>
      <c r="AB1180">
        <v>74.5</v>
      </c>
      <c r="AC1180">
        <v>0.64941472986293525</v>
      </c>
      <c r="AD1180">
        <v>0.28455899709557014</v>
      </c>
      <c r="AE1180">
        <v>0.53329612942508786</v>
      </c>
      <c r="AF1180">
        <v>1.6842584935674832E-3</v>
      </c>
      <c r="AG1180">
        <v>0.28479893568098597</v>
      </c>
      <c r="AH1180">
        <v>0.53427993808565277</v>
      </c>
      <c r="AI1180">
        <v>7.2021796472790074E-6</v>
      </c>
    </row>
    <row r="1181" spans="23:35" x14ac:dyDescent="0.25">
      <c r="W1181">
        <v>1179</v>
      </c>
      <c r="X1181">
        <v>73.495672664246626</v>
      </c>
      <c r="Y1181">
        <v>1.0043273357533735</v>
      </c>
      <c r="Z1181">
        <v>73.493912153015899</v>
      </c>
      <c r="AA1181">
        <v>0.72407519708914492</v>
      </c>
      <c r="AB1181">
        <v>74.5</v>
      </c>
      <c r="AC1181">
        <v>0.56531175535073552</v>
      </c>
      <c r="AD1181">
        <v>0.27930401275193656</v>
      </c>
      <c r="AE1181">
        <v>0.53330071071063412</v>
      </c>
      <c r="AF1181">
        <v>1.7498583607819087E-3</v>
      </c>
      <c r="AG1181">
        <v>0.27954870516255803</v>
      </c>
      <c r="AH1181">
        <v>0.53679277168334738</v>
      </c>
      <c r="AI1181">
        <v>7.2098276893067267E-6</v>
      </c>
    </row>
    <row r="1182" spans="23:35" x14ac:dyDescent="0.25">
      <c r="W1182">
        <v>1180</v>
      </c>
      <c r="X1182">
        <v>75.088061265475687</v>
      </c>
      <c r="Y1182">
        <v>-1.3880612654756845</v>
      </c>
      <c r="Z1182">
        <v>75.092064704033263</v>
      </c>
      <c r="AA1182">
        <v>0.66040024257125529</v>
      </c>
      <c r="AB1182">
        <v>74.5</v>
      </c>
      <c r="AC1182">
        <v>0.39787592189543292</v>
      </c>
      <c r="AD1182">
        <v>-0.38602064047382723</v>
      </c>
      <c r="AE1182">
        <v>0.53370511518750441</v>
      </c>
      <c r="AF1182">
        <v>2.8758997667128589E-3</v>
      </c>
      <c r="AG1182">
        <v>-0.38657691894758794</v>
      </c>
      <c r="AH1182">
        <v>0.54352514304390398</v>
      </c>
      <c r="AI1182">
        <v>2.2685208342546483E-5</v>
      </c>
    </row>
    <row r="1183" spans="23:35" x14ac:dyDescent="0.25">
      <c r="W1183">
        <v>1181</v>
      </c>
      <c r="X1183">
        <v>75.191023142730046</v>
      </c>
      <c r="Y1183">
        <v>-1.3910231427300488</v>
      </c>
      <c r="Z1183">
        <v>75.194489722174694</v>
      </c>
      <c r="AA1183">
        <v>0.66767738023044265</v>
      </c>
      <c r="AB1183">
        <v>74.5</v>
      </c>
      <c r="AC1183">
        <v>0.4143837514429769</v>
      </c>
      <c r="AD1183">
        <v>-0.38684434025075509</v>
      </c>
      <c r="AE1183">
        <v>0.5377172344189679</v>
      </c>
      <c r="AF1183">
        <v>2.4859125094438203E-3</v>
      </c>
      <c r="AG1183">
        <v>-0.38732606918134682</v>
      </c>
      <c r="AH1183">
        <v>0.54478736731716659</v>
      </c>
      <c r="AI1183">
        <v>1.9677352145930012E-5</v>
      </c>
    </row>
    <row r="1184" spans="23:35" x14ac:dyDescent="0.25">
      <c r="W1184">
        <v>1182</v>
      </c>
      <c r="X1184">
        <v>71.144292801969101</v>
      </c>
      <c r="Y1184">
        <v>2.7557071980309047</v>
      </c>
      <c r="Z1184">
        <v>71.12511292756642</v>
      </c>
      <c r="AA1184">
        <v>0.67919951485748942</v>
      </c>
      <c r="AB1184">
        <v>74.5</v>
      </c>
      <c r="AC1184">
        <v>0.43434378704136062</v>
      </c>
      <c r="AD1184">
        <v>0.76636376505879822</v>
      </c>
      <c r="AE1184">
        <v>0.53941267504361956</v>
      </c>
      <c r="AF1184">
        <v>6.9119477304945831E-3</v>
      </c>
      <c r="AG1184">
        <v>0.76902610765896873</v>
      </c>
      <c r="AH1184">
        <v>0.54777201407116394</v>
      </c>
      <c r="AI1184">
        <v>2.1664130103358483E-4</v>
      </c>
    </row>
    <row r="1185" spans="23:35" x14ac:dyDescent="0.25">
      <c r="W1185">
        <v>1183</v>
      </c>
      <c r="X1185">
        <v>71.31832112865888</v>
      </c>
      <c r="Y1185">
        <v>2.6816788713411199</v>
      </c>
      <c r="Z1185">
        <v>71.299218341347029</v>
      </c>
      <c r="AA1185">
        <v>0.68465736810187994</v>
      </c>
      <c r="AB1185">
        <v>74.5</v>
      </c>
      <c r="AC1185">
        <v>0.4663087141536239</v>
      </c>
      <c r="AD1185">
        <v>0.74577644460489634</v>
      </c>
      <c r="AE1185">
        <v>0.54682627848539234</v>
      </c>
      <c r="AF1185">
        <v>7.073058738622926E-3</v>
      </c>
      <c r="AG1185">
        <v>0.74842797906860181</v>
      </c>
      <c r="AH1185">
        <v>0.55179567475106617</v>
      </c>
      <c r="AI1185">
        <v>2.1000827058031989E-4</v>
      </c>
    </row>
    <row r="1186" spans="23:35" x14ac:dyDescent="0.25">
      <c r="W1186">
        <v>1184</v>
      </c>
      <c r="X1186">
        <v>72.608810063142315</v>
      </c>
      <c r="Y1186">
        <v>1.5911899368576883</v>
      </c>
      <c r="Z1186">
        <v>72.605479328242581</v>
      </c>
      <c r="AA1186">
        <v>0.7010309278350515</v>
      </c>
      <c r="AB1186">
        <v>74.5</v>
      </c>
      <c r="AC1186">
        <v>0.5039283835636299</v>
      </c>
      <c r="AD1186">
        <v>0.44251084142947966</v>
      </c>
      <c r="AE1186">
        <v>0.55043870511906667</v>
      </c>
      <c r="AF1186">
        <v>2.0888627903851531E-3</v>
      </c>
      <c r="AG1186">
        <v>0.44297373896843378</v>
      </c>
      <c r="AH1186">
        <v>0.55417647306307605</v>
      </c>
      <c r="AI1186">
        <v>2.1618243494325531E-5</v>
      </c>
    </row>
    <row r="1187" spans="23:35" x14ac:dyDescent="0.25">
      <c r="W1187">
        <v>1185</v>
      </c>
      <c r="X1187">
        <v>71.89960848446502</v>
      </c>
      <c r="Y1187">
        <v>0.90039151553497732</v>
      </c>
      <c r="Z1187">
        <v>71.89695700177225</v>
      </c>
      <c r="AA1187">
        <v>0.58156458459672533</v>
      </c>
      <c r="AB1187">
        <v>74.5</v>
      </c>
      <c r="AC1187">
        <v>0.18343432307636306</v>
      </c>
      <c r="AD1187">
        <v>0.25039940105590425</v>
      </c>
      <c r="AE1187">
        <v>0.55302954799289872</v>
      </c>
      <c r="AF1187">
        <v>2.9361643885916096E-3</v>
      </c>
      <c r="AG1187">
        <v>0.25076781945960636</v>
      </c>
      <c r="AH1187">
        <v>0.55590015376579516</v>
      </c>
      <c r="AI1187">
        <v>9.74647131410003E-6</v>
      </c>
    </row>
    <row r="1188" spans="23:35" x14ac:dyDescent="0.25">
      <c r="W1188">
        <v>1186</v>
      </c>
      <c r="X1188">
        <v>71.744956274950781</v>
      </c>
      <c r="Y1188">
        <v>0.4550437250492223</v>
      </c>
      <c r="Z1188">
        <v>71.744024940862573</v>
      </c>
      <c r="AA1188">
        <v>0.53911461491813217</v>
      </c>
      <c r="AB1188">
        <v>74.5</v>
      </c>
      <c r="AC1188">
        <v>7.9127168877726875E-2</v>
      </c>
      <c r="AD1188">
        <v>0.12654792303198523</v>
      </c>
      <c r="AE1188">
        <v>0.55492635381602995</v>
      </c>
      <c r="AF1188">
        <v>2.0425110311264151E-3</v>
      </c>
      <c r="AG1188">
        <v>0.12667735911111305</v>
      </c>
      <c r="AH1188">
        <v>0.55880225558130137</v>
      </c>
      <c r="AI1188">
        <v>1.7286090006703538E-6</v>
      </c>
    </row>
    <row r="1189" spans="23:35" x14ac:dyDescent="0.25">
      <c r="W1189">
        <v>1187</v>
      </c>
      <c r="X1189">
        <v>72.390756142568492</v>
      </c>
      <c r="Y1189">
        <v>-0.29075614256849747</v>
      </c>
      <c r="Z1189">
        <v>72.391599022311027</v>
      </c>
      <c r="AA1189">
        <v>0.5312310491206792</v>
      </c>
      <c r="AB1189">
        <v>74.5</v>
      </c>
      <c r="AC1189">
        <v>6.3887210036911155E-2</v>
      </c>
      <c r="AD1189">
        <v>-8.0859451356801046E-2</v>
      </c>
      <c r="AE1189">
        <v>0.55788991686038802</v>
      </c>
      <c r="AF1189">
        <v>2.8905437880029743E-3</v>
      </c>
      <c r="AG1189">
        <v>-8.0976569211174035E-2</v>
      </c>
      <c r="AH1189">
        <v>0.55956050162385806</v>
      </c>
      <c r="AI1189">
        <v>1.0004649133870869E-6</v>
      </c>
    </row>
    <row r="1190" spans="23:35" x14ac:dyDescent="0.25">
      <c r="W1190">
        <v>1188</v>
      </c>
      <c r="X1190">
        <v>68.00124717157577</v>
      </c>
      <c r="Y1190">
        <v>0.39875282842423587</v>
      </c>
      <c r="Z1190">
        <v>67.98281359788264</v>
      </c>
      <c r="AA1190">
        <v>0.40024257125530627</v>
      </c>
      <c r="AB1190">
        <v>74.5</v>
      </c>
      <c r="AC1190">
        <v>-0.26293383539244392</v>
      </c>
      <c r="AD1190">
        <v>0.11089339213447715</v>
      </c>
      <c r="AE1190">
        <v>0.55828928827761481</v>
      </c>
      <c r="AF1190">
        <v>4.4185461461752694E-2</v>
      </c>
      <c r="AG1190">
        <v>0.11342762855043388</v>
      </c>
      <c r="AH1190">
        <v>0.56123203066357896</v>
      </c>
      <c r="AI1190">
        <v>3.1303281489693738E-5</v>
      </c>
    </row>
    <row r="1191" spans="23:35" x14ac:dyDescent="0.25">
      <c r="W1191">
        <v>1189</v>
      </c>
      <c r="X1191">
        <v>68.543089039311738</v>
      </c>
      <c r="Y1191">
        <v>-0.4430890393117437</v>
      </c>
      <c r="Z1191">
        <v>68.550525041156575</v>
      </c>
      <c r="AA1191">
        <v>0.38932686476652517</v>
      </c>
      <c r="AB1191">
        <v>74.5</v>
      </c>
      <c r="AC1191">
        <v>-0.29295400660571042</v>
      </c>
      <c r="AD1191">
        <v>-0.12322331801646859</v>
      </c>
      <c r="AE1191">
        <v>0.5596782033623523</v>
      </c>
      <c r="AF1191">
        <v>1.650519097840155E-2</v>
      </c>
      <c r="AG1191">
        <v>-0.12425299414353798</v>
      </c>
      <c r="AH1191">
        <v>0.56168569646855071</v>
      </c>
      <c r="AI1191">
        <v>1.3636678651042763E-5</v>
      </c>
    </row>
    <row r="1192" spans="23:35" x14ac:dyDescent="0.25">
      <c r="W1192">
        <v>1190</v>
      </c>
      <c r="X1192">
        <v>68.419540937614784</v>
      </c>
      <c r="Y1192">
        <v>-0.3195409376147893</v>
      </c>
      <c r="Z1192">
        <v>68.425378088621144</v>
      </c>
      <c r="AA1192">
        <v>0.38932686476652517</v>
      </c>
      <c r="AB1192">
        <v>74.5</v>
      </c>
      <c r="AC1192">
        <v>-0.29295400660571042</v>
      </c>
      <c r="AD1192">
        <v>-8.8864519501880027E-2</v>
      </c>
      <c r="AE1192">
        <v>0.56086620237320561</v>
      </c>
      <c r="AF1192">
        <v>1.7939594614656044E-2</v>
      </c>
      <c r="AG1192">
        <v>-8.9672503812348175E-2</v>
      </c>
      <c r="AH1192">
        <v>0.56465084158933454</v>
      </c>
      <c r="AI1192">
        <v>7.7310666048073011E-6</v>
      </c>
    </row>
    <row r="1193" spans="23:35" x14ac:dyDescent="0.25">
      <c r="W1193">
        <v>1191</v>
      </c>
      <c r="X1193">
        <v>68.326584159196926</v>
      </c>
      <c r="Y1193">
        <v>-0.32658415919692629</v>
      </c>
      <c r="Z1193">
        <v>68.332120245923875</v>
      </c>
      <c r="AA1193">
        <v>0.38447543966040026</v>
      </c>
      <c r="AB1193">
        <v>74.5</v>
      </c>
      <c r="AC1193">
        <v>-0.31204933220437475</v>
      </c>
      <c r="AD1193">
        <v>-9.0823243496100742E-2</v>
      </c>
      <c r="AE1193">
        <v>0.56369775159313773</v>
      </c>
      <c r="AF1193">
        <v>1.6668922761842786E-2</v>
      </c>
      <c r="AG1193">
        <v>-9.158980302676141E-2</v>
      </c>
      <c r="AH1193">
        <v>0.56567466165088032</v>
      </c>
      <c r="AI1193">
        <v>7.4842522826478167E-6</v>
      </c>
    </row>
    <row r="1194" spans="23:35" x14ac:dyDescent="0.25">
      <c r="W1194">
        <v>1192</v>
      </c>
      <c r="X1194">
        <v>67.931228106378086</v>
      </c>
      <c r="Y1194">
        <v>-3.1228106378080156E-2</v>
      </c>
      <c r="Z1194">
        <v>67.931797743183751</v>
      </c>
      <c r="AA1194">
        <v>0.37719830200121285</v>
      </c>
      <c r="AB1194">
        <v>74.5</v>
      </c>
      <c r="AC1194">
        <v>-0.32163939638952632</v>
      </c>
      <c r="AD1194">
        <v>-8.6845544391156264E-3</v>
      </c>
      <c r="AE1194">
        <v>0.56399914696270192</v>
      </c>
      <c r="AF1194">
        <v>1.7914378462941395E-2</v>
      </c>
      <c r="AG1194">
        <v>-8.7634046468547319E-3</v>
      </c>
      <c r="AH1194">
        <v>0.56695278513002578</v>
      </c>
      <c r="AI1194">
        <v>7.3730048977911755E-8</v>
      </c>
    </row>
    <row r="1195" spans="23:35" x14ac:dyDescent="0.25">
      <c r="W1195">
        <v>1193</v>
      </c>
      <c r="X1195">
        <v>68.345554370565665</v>
      </c>
      <c r="Y1195">
        <v>-0.34555437056566518</v>
      </c>
      <c r="Z1195">
        <v>68.351355542770435</v>
      </c>
      <c r="AA1195">
        <v>0.38447543966040026</v>
      </c>
      <c r="AB1195">
        <v>74.5</v>
      </c>
      <c r="AC1195">
        <v>-0.31204933220437475</v>
      </c>
      <c r="AD1195">
        <v>-9.609887024588612E-2</v>
      </c>
      <c r="AE1195">
        <v>0.5643674076954176</v>
      </c>
      <c r="AF1195">
        <v>1.651083161810141E-2</v>
      </c>
      <c r="AG1195">
        <v>-9.6902167508654088E-2</v>
      </c>
      <c r="AH1195">
        <v>0.56906067629310308</v>
      </c>
      <c r="AI1195">
        <v>8.2968406515707089E-6</v>
      </c>
    </row>
    <row r="1196" spans="23:35" x14ac:dyDescent="0.25">
      <c r="W1196">
        <v>1194</v>
      </c>
      <c r="X1196">
        <v>68.188428714702042</v>
      </c>
      <c r="Y1196">
        <v>-0.68842871470204159</v>
      </c>
      <c r="Z1196">
        <v>68.200148006091084</v>
      </c>
      <c r="AA1196">
        <v>0.35900545785324439</v>
      </c>
      <c r="AB1196">
        <v>74.5</v>
      </c>
      <c r="AC1196">
        <v>-0.37168505980560429</v>
      </c>
      <c r="AD1196">
        <v>-0.1914524235922575</v>
      </c>
      <c r="AE1196">
        <v>0.56528255719883136</v>
      </c>
      <c r="AF1196">
        <v>1.673830573976165E-2</v>
      </c>
      <c r="AG1196">
        <v>-0.1930751177101101</v>
      </c>
      <c r="AH1196">
        <v>0.56931771776715356</v>
      </c>
      <c r="AI1196">
        <v>3.3399609690357753E-5</v>
      </c>
    </row>
    <row r="1197" spans="23:35" x14ac:dyDescent="0.25">
      <c r="W1197">
        <v>1195</v>
      </c>
      <c r="X1197">
        <v>67.940191900981134</v>
      </c>
      <c r="Y1197">
        <v>-0.4401919009811337</v>
      </c>
      <c r="Z1197">
        <v>67.947744362293264</v>
      </c>
      <c r="AA1197">
        <v>0.35900545785324439</v>
      </c>
      <c r="AB1197">
        <v>74.599999999999994</v>
      </c>
      <c r="AC1197">
        <v>-0.37168505980560429</v>
      </c>
      <c r="AD1197">
        <v>-0.12241762217166732</v>
      </c>
      <c r="AE1197">
        <v>0.56629573753397644</v>
      </c>
      <c r="AF1197">
        <v>1.6867797672416411E-2</v>
      </c>
      <c r="AG1197">
        <v>-0.12346332783037514</v>
      </c>
      <c r="AH1197">
        <v>0.57144031032566456</v>
      </c>
      <c r="AI1197">
        <v>1.3764765531873031E-5</v>
      </c>
    </row>
    <row r="1198" spans="23:35" x14ac:dyDescent="0.25">
      <c r="W1198">
        <v>1196</v>
      </c>
      <c r="X1198">
        <v>67.370247926987972</v>
      </c>
      <c r="Y1198">
        <v>-7.0247926987974552E-2</v>
      </c>
      <c r="Z1198">
        <v>67.371608167798939</v>
      </c>
      <c r="AA1198">
        <v>0.35112189205579136</v>
      </c>
      <c r="AB1198">
        <v>74.599999999999994</v>
      </c>
      <c r="AC1198">
        <v>-0.39787592189543292</v>
      </c>
      <c r="AD1198">
        <v>-1.9535989111088423E-2</v>
      </c>
      <c r="AE1198">
        <v>0.56772690510787149</v>
      </c>
      <c r="AF1198">
        <v>1.8995609757727207E-2</v>
      </c>
      <c r="AG1198">
        <v>-1.9724224139025741E-2</v>
      </c>
      <c r="AH1198">
        <v>0.57376472124240396</v>
      </c>
      <c r="AI1198">
        <v>3.9648662831620123E-7</v>
      </c>
    </row>
    <row r="1199" spans="23:35" x14ac:dyDescent="0.25">
      <c r="W1199">
        <v>1197</v>
      </c>
      <c r="X1199">
        <v>66.858593267264666</v>
      </c>
      <c r="Y1199">
        <v>0.14140673273533366</v>
      </c>
      <c r="Z1199">
        <v>66.854155604311401</v>
      </c>
      <c r="AA1199">
        <v>0.33959975742874471</v>
      </c>
      <c r="AB1199">
        <v>74.599999999999994</v>
      </c>
      <c r="AC1199">
        <v>-0.42600652312983872</v>
      </c>
      <c r="AD1199">
        <v>3.9325294131810802E-2</v>
      </c>
      <c r="AE1199">
        <v>0.56832535884515223</v>
      </c>
      <c r="AF1199">
        <v>3.042738071840231E-2</v>
      </c>
      <c r="AG1199">
        <v>3.9937585782585147E-2</v>
      </c>
      <c r="AH1199">
        <v>0.574739135418049</v>
      </c>
      <c r="AI1199">
        <v>2.6344759711527083E-6</v>
      </c>
    </row>
    <row r="1200" spans="23:35" x14ac:dyDescent="0.25">
      <c r="W1200">
        <v>1198</v>
      </c>
      <c r="X1200">
        <v>67.870223581998786</v>
      </c>
      <c r="Y1200">
        <v>-0.57022358199878909</v>
      </c>
      <c r="Z1200">
        <v>67.881395327955147</v>
      </c>
      <c r="AA1200">
        <v>0.35112189205579136</v>
      </c>
      <c r="AB1200">
        <v>74.599999999999994</v>
      </c>
      <c r="AC1200">
        <v>-0.39787592189543292</v>
      </c>
      <c r="AD1200">
        <v>-0.15857950784399899</v>
      </c>
      <c r="AE1200">
        <v>0.57213303865143827</v>
      </c>
      <c r="AF1200">
        <v>1.9215403735102683E-2</v>
      </c>
      <c r="AG1200">
        <v>-0.16012540731108391</v>
      </c>
      <c r="AH1200">
        <v>0.57842557625660718</v>
      </c>
      <c r="AI1200">
        <v>2.6438862817846179E-5</v>
      </c>
    </row>
    <row r="1201" spans="23:35" x14ac:dyDescent="0.25">
      <c r="W1201">
        <v>1199</v>
      </c>
      <c r="X1201">
        <v>67.751322900521743</v>
      </c>
      <c r="Y1201">
        <v>-0.55132290052173971</v>
      </c>
      <c r="Z1201">
        <v>67.761530727724988</v>
      </c>
      <c r="AA1201">
        <v>0.34505761067313523</v>
      </c>
      <c r="AB1201">
        <v>74.599999999999994</v>
      </c>
      <c r="AC1201">
        <v>-0.40776731506460179</v>
      </c>
      <c r="AD1201">
        <v>-0.15332321739729307</v>
      </c>
      <c r="AE1201">
        <v>0.57274152467054851</v>
      </c>
      <c r="AF1201">
        <v>1.817857278194852E-2</v>
      </c>
      <c r="AG1201">
        <v>-0.15473610874154492</v>
      </c>
      <c r="AH1201">
        <v>0.57858067797670121</v>
      </c>
      <c r="AI1201">
        <v>2.3332271362479274E-5</v>
      </c>
    </row>
    <row r="1202" spans="23:35" x14ac:dyDescent="0.25">
      <c r="W1202">
        <v>1200</v>
      </c>
      <c r="X1202">
        <v>67.305742220211144</v>
      </c>
      <c r="Y1202">
        <v>-0.50574222021114679</v>
      </c>
      <c r="Z1202">
        <v>67.315356977416059</v>
      </c>
      <c r="AA1202">
        <v>0.33232261976955729</v>
      </c>
      <c r="AB1202">
        <v>74.599999999999994</v>
      </c>
      <c r="AC1202">
        <v>-0.44438857281516719</v>
      </c>
      <c r="AD1202">
        <v>-0.14064720384921811</v>
      </c>
      <c r="AE1202">
        <v>0.57672349255553401</v>
      </c>
      <c r="AF1202">
        <v>1.8656499526069022E-2</v>
      </c>
      <c r="AG1202">
        <v>-0.14197784413260156</v>
      </c>
      <c r="AH1202">
        <v>0.57920399748461393</v>
      </c>
      <c r="AI1202">
        <v>2.0169571170659712E-5</v>
      </c>
    </row>
    <row r="1203" spans="23:35" x14ac:dyDescent="0.25">
      <c r="W1203">
        <v>1201</v>
      </c>
      <c r="X1203">
        <v>67.230147165932493</v>
      </c>
      <c r="Y1203">
        <v>-0.43014716593249602</v>
      </c>
      <c r="Z1203">
        <v>67.238449494551006</v>
      </c>
      <c r="AA1203">
        <v>0.33232261976955729</v>
      </c>
      <c r="AB1203">
        <v>74.599999999999994</v>
      </c>
      <c r="AC1203">
        <v>-0.44438857281516719</v>
      </c>
      <c r="AD1203">
        <v>-0.11962417554700684</v>
      </c>
      <c r="AE1203">
        <v>0.57792452367832337</v>
      </c>
      <c r="AF1203">
        <v>1.8935655581074528E-2</v>
      </c>
      <c r="AG1203">
        <v>-0.12077309935380103</v>
      </c>
      <c r="AH1203">
        <v>0.5794119282117175</v>
      </c>
      <c r="AI1203">
        <v>1.4817320532017382E-5</v>
      </c>
    </row>
    <row r="1204" spans="23:35" x14ac:dyDescent="0.25">
      <c r="W1204">
        <v>1202</v>
      </c>
      <c r="X1204">
        <v>67.394975626181889</v>
      </c>
      <c r="Y1204">
        <v>-0.59497562618189193</v>
      </c>
      <c r="Z1204">
        <v>67.409299391491729</v>
      </c>
      <c r="AA1204">
        <v>0.33232261976955729</v>
      </c>
      <c r="AB1204">
        <v>74.599999999999994</v>
      </c>
      <c r="AC1204">
        <v>-0.44438857281516719</v>
      </c>
      <c r="AD1204">
        <v>-0.1654630656423815</v>
      </c>
      <c r="AE1204">
        <v>0.57796739747765635</v>
      </c>
      <c r="AF1204">
        <v>2.3508582988678701E-2</v>
      </c>
      <c r="AG1204">
        <v>-0.1674429440519257</v>
      </c>
      <c r="AH1204">
        <v>0.58034298799662132</v>
      </c>
      <c r="AI1204">
        <v>3.5525330226528722E-5</v>
      </c>
    </row>
    <row r="1205" spans="23:35" x14ac:dyDescent="0.25">
      <c r="W1205">
        <v>1203</v>
      </c>
      <c r="X1205">
        <v>79.582411715188755</v>
      </c>
      <c r="Y1205">
        <v>-2.2824117151887577</v>
      </c>
      <c r="Z1205">
        <v>79.606448690085713</v>
      </c>
      <c r="AA1205">
        <v>0.84414796846573681</v>
      </c>
      <c r="AB1205">
        <v>74.599999999999994</v>
      </c>
      <c r="AC1205">
        <v>1.0003070916314494</v>
      </c>
      <c r="AD1205">
        <v>-0.63474001763185484</v>
      </c>
      <c r="AE1205">
        <v>0.57804001321337473</v>
      </c>
      <c r="AF1205">
        <v>1.0421638686472738E-2</v>
      </c>
      <c r="AG1205">
        <v>-0.63807361207895852</v>
      </c>
      <c r="AH1205">
        <v>0.58139608201669379</v>
      </c>
      <c r="AI1205">
        <v>2.2566997984505558E-4</v>
      </c>
    </row>
    <row r="1206" spans="23:35" x14ac:dyDescent="0.25">
      <c r="W1206">
        <v>1204</v>
      </c>
      <c r="X1206">
        <v>76.468288677641667</v>
      </c>
      <c r="Y1206">
        <v>0.63171132235832772</v>
      </c>
      <c r="Z1206">
        <v>76.461436129613816</v>
      </c>
      <c r="AA1206">
        <v>0.83869011522134629</v>
      </c>
      <c r="AB1206">
        <v>74.599999999999994</v>
      </c>
      <c r="AC1206">
        <v>0.98537673313779217</v>
      </c>
      <c r="AD1206">
        <v>0.17567928398878135</v>
      </c>
      <c r="AE1206">
        <v>0.57815437615961141</v>
      </c>
      <c r="AF1206">
        <v>1.0731186566670166E-2</v>
      </c>
      <c r="AG1206">
        <v>0.17662956266477428</v>
      </c>
      <c r="AH1206">
        <v>0.58324130070937363</v>
      </c>
      <c r="AI1206">
        <v>1.7811750924276173E-5</v>
      </c>
    </row>
    <row r="1207" spans="23:35" x14ac:dyDescent="0.25">
      <c r="W1207">
        <v>1205</v>
      </c>
      <c r="X1207">
        <v>76.513231039690027</v>
      </c>
      <c r="Y1207">
        <v>0.28676896030997057</v>
      </c>
      <c r="Z1207">
        <v>76.510780695031528</v>
      </c>
      <c r="AA1207">
        <v>0.82838083687083086</v>
      </c>
      <c r="AB1207">
        <v>74.7</v>
      </c>
      <c r="AC1207">
        <v>0.93712127394454448</v>
      </c>
      <c r="AD1207">
        <v>7.9750613665407796E-2</v>
      </c>
      <c r="AE1207">
        <v>0.57980974580953493</v>
      </c>
      <c r="AF1207">
        <v>8.4722721353615426E-3</v>
      </c>
      <c r="AG1207">
        <v>8.0090610054618053E-2</v>
      </c>
      <c r="AH1207">
        <v>0.58328543789561094</v>
      </c>
      <c r="AI1207">
        <v>2.8847264460001606E-6</v>
      </c>
    </row>
    <row r="1208" spans="23:35" x14ac:dyDescent="0.25">
      <c r="W1208">
        <v>1206</v>
      </c>
      <c r="X1208">
        <v>76.49669578254229</v>
      </c>
      <c r="Y1208">
        <v>0.20330421745771332</v>
      </c>
      <c r="Z1208">
        <v>76.494802103473077</v>
      </c>
      <c r="AA1208">
        <v>0.82534869617950268</v>
      </c>
      <c r="AB1208">
        <v>74.7</v>
      </c>
      <c r="AC1208">
        <v>0.93241539434320941</v>
      </c>
      <c r="AD1208">
        <v>5.6539020420803977E-2</v>
      </c>
      <c r="AE1208">
        <v>0.58061645145035945</v>
      </c>
      <c r="AF1208">
        <v>9.2285501034342805E-3</v>
      </c>
      <c r="AG1208">
        <v>5.6801726715678645E-2</v>
      </c>
      <c r="AH1208">
        <v>0.5838759641716651</v>
      </c>
      <c r="AI1208">
        <v>1.5817194901195121E-6</v>
      </c>
    </row>
    <row r="1209" spans="23:35" x14ac:dyDescent="0.25">
      <c r="W1209">
        <v>1207</v>
      </c>
      <c r="X1209">
        <v>78.085958636416592</v>
      </c>
      <c r="Y1209">
        <v>-1.7859586364165949</v>
      </c>
      <c r="Z1209">
        <v>78.101431238120242</v>
      </c>
      <c r="AA1209">
        <v>0.8168587022437841</v>
      </c>
      <c r="AB1209">
        <v>74.7</v>
      </c>
      <c r="AC1209">
        <v>0.89095501331493132</v>
      </c>
      <c r="AD1209">
        <v>-0.49667612938758576</v>
      </c>
      <c r="AE1209">
        <v>0.58220482181239863</v>
      </c>
      <c r="AF1209">
        <v>8.5890603961101507E-3</v>
      </c>
      <c r="AG1209">
        <v>-0.49882295940463117</v>
      </c>
      <c r="AH1209">
        <v>0.58396422288311411</v>
      </c>
      <c r="AI1209">
        <v>1.1345697968033403E-4</v>
      </c>
    </row>
    <row r="1210" spans="23:35" x14ac:dyDescent="0.25">
      <c r="W1210">
        <v>1208</v>
      </c>
      <c r="X1210">
        <v>76.278549813450852</v>
      </c>
      <c r="Y1210">
        <v>-0.57854981345084866</v>
      </c>
      <c r="Z1210">
        <v>76.280093326458797</v>
      </c>
      <c r="AA1210">
        <v>0.79199514857489384</v>
      </c>
      <c r="AB1210">
        <v>74.7</v>
      </c>
      <c r="AC1210">
        <v>0.80177968430189828</v>
      </c>
      <c r="AD1210">
        <v>-0.16089503762485194</v>
      </c>
      <c r="AE1210">
        <v>0.582614623671732</v>
      </c>
      <c r="AF1210">
        <v>2.6608011806860394E-3</v>
      </c>
      <c r="AG1210">
        <v>-0.16110952059533049</v>
      </c>
      <c r="AH1210">
        <v>0.58447217398297924</v>
      </c>
      <c r="AI1210">
        <v>3.6446711217867989E-6</v>
      </c>
    </row>
    <row r="1211" spans="23:35" x14ac:dyDescent="0.25">
      <c r="W1211">
        <v>1209</v>
      </c>
      <c r="X1211">
        <v>77.458869535067109</v>
      </c>
      <c r="Y1211">
        <v>-1.9588695350671088</v>
      </c>
      <c r="Z1211">
        <v>77.468915359478373</v>
      </c>
      <c r="AA1211">
        <v>0.78411158277744086</v>
      </c>
      <c r="AB1211">
        <v>74.7</v>
      </c>
      <c r="AC1211">
        <v>0.77276680816182786</v>
      </c>
      <c r="AD1211">
        <v>-0.54476275027539101</v>
      </c>
      <c r="AE1211">
        <v>0.58340972894117316</v>
      </c>
      <c r="AF1211">
        <v>5.1022124251806624E-3</v>
      </c>
      <c r="AG1211">
        <v>-0.54615783871585555</v>
      </c>
      <c r="AH1211">
        <v>0.58656461909276858</v>
      </c>
      <c r="AI1211">
        <v>8.0512407361355047E-5</v>
      </c>
    </row>
    <row r="1212" spans="23:35" x14ac:dyDescent="0.25">
      <c r="W1212">
        <v>1210</v>
      </c>
      <c r="X1212">
        <v>75.230702369861959</v>
      </c>
      <c r="Y1212">
        <v>6.9297630138038357E-2</v>
      </c>
      <c r="Z1212">
        <v>75.230456127471882</v>
      </c>
      <c r="AA1212">
        <v>0.77258944815039421</v>
      </c>
      <c r="AB1212">
        <v>74.7</v>
      </c>
      <c r="AC1212">
        <v>0.72844171022016913</v>
      </c>
      <c r="AD1212">
        <v>1.9271711007681425E-2</v>
      </c>
      <c r="AE1212">
        <v>0.58347890741169817</v>
      </c>
      <c r="AF1212">
        <v>3.5408207958724366E-3</v>
      </c>
      <c r="AG1212">
        <v>1.9305920719934762E-2</v>
      </c>
      <c r="AH1212">
        <v>0.5867821916288235</v>
      </c>
      <c r="AI1212">
        <v>6.9706274310788277E-8</v>
      </c>
    </row>
    <row r="1213" spans="23:35" x14ac:dyDescent="0.25">
      <c r="W1213">
        <v>1211</v>
      </c>
      <c r="X1213">
        <v>75.135993559852423</v>
      </c>
      <c r="Y1213">
        <v>6.4006440147579724E-2</v>
      </c>
      <c r="Z1213">
        <v>75.135758295342512</v>
      </c>
      <c r="AA1213">
        <v>0.76652516676773808</v>
      </c>
      <c r="AB1213">
        <v>74.7</v>
      </c>
      <c r="AC1213">
        <v>0.71660092108895201</v>
      </c>
      <c r="AD1213">
        <v>1.780022801209075E-2</v>
      </c>
      <c r="AE1213">
        <v>0.58521899756870799</v>
      </c>
      <c r="AF1213">
        <v>3.6621772596303953E-3</v>
      </c>
      <c r="AG1213">
        <v>1.7832911604489805E-2</v>
      </c>
      <c r="AH1213">
        <v>0.58678309155952924</v>
      </c>
      <c r="AI1213">
        <v>6.1521038375467806E-8</v>
      </c>
    </row>
    <row r="1214" spans="23:35" x14ac:dyDescent="0.25">
      <c r="W1214">
        <v>1212</v>
      </c>
      <c r="X1214">
        <v>74.968310039070602</v>
      </c>
      <c r="Y1214">
        <v>3.1689960929398353E-2</v>
      </c>
      <c r="Z1214">
        <v>74.968213106576755</v>
      </c>
      <c r="AA1214">
        <v>0.76046088538508183</v>
      </c>
      <c r="AB1214">
        <v>74.7</v>
      </c>
      <c r="AC1214">
        <v>0.67020216077934069</v>
      </c>
      <c r="AD1214">
        <v>8.8129964568708762E-3</v>
      </c>
      <c r="AE1214">
        <v>0.58547955622453973</v>
      </c>
      <c r="AF1214">
        <v>3.0494484804983999E-3</v>
      </c>
      <c r="AG1214">
        <v>8.8264646569742745E-3</v>
      </c>
      <c r="AH1214">
        <v>0.58739349966625676</v>
      </c>
      <c r="AI1214">
        <v>1.2542024784599816E-8</v>
      </c>
    </row>
    <row r="1215" spans="23:35" x14ac:dyDescent="0.25">
      <c r="W1215">
        <v>1213</v>
      </c>
      <c r="X1215">
        <v>75.923777117239268</v>
      </c>
      <c r="Y1215">
        <v>-1.0237771172392627</v>
      </c>
      <c r="Z1215">
        <v>75.926304169666793</v>
      </c>
      <c r="AA1215">
        <v>0.74833232261976956</v>
      </c>
      <c r="AB1215">
        <v>74.7</v>
      </c>
      <c r="AC1215">
        <v>0.64941472986293525</v>
      </c>
      <c r="AD1215">
        <v>-0.28471300822857781</v>
      </c>
      <c r="AE1215">
        <v>0.58600677777509025</v>
      </c>
      <c r="AF1215">
        <v>2.4622840890723228E-3</v>
      </c>
      <c r="AG1215">
        <v>-0.28506417902857184</v>
      </c>
      <c r="AH1215">
        <v>0.58773607377028836</v>
      </c>
      <c r="AI1215">
        <v>1.0557000158119483E-5</v>
      </c>
    </row>
    <row r="1216" spans="23:35" x14ac:dyDescent="0.25">
      <c r="W1216">
        <v>1214</v>
      </c>
      <c r="X1216">
        <v>75.776837994168361</v>
      </c>
      <c r="Y1216">
        <v>-1.0768379941683577</v>
      </c>
      <c r="Z1216">
        <v>75.779225231400474</v>
      </c>
      <c r="AA1216">
        <v>0.7362037598544573</v>
      </c>
      <c r="AB1216">
        <v>74.7</v>
      </c>
      <c r="AC1216">
        <v>0.61415241452626612</v>
      </c>
      <c r="AD1216">
        <v>-0.2994692687811355</v>
      </c>
      <c r="AE1216">
        <v>0.58624028694609676</v>
      </c>
      <c r="AF1216">
        <v>2.2119916794518558E-3</v>
      </c>
      <c r="AG1216">
        <v>-0.29980103103961719</v>
      </c>
      <c r="AH1216">
        <v>0.58779856706097078</v>
      </c>
      <c r="AI1216">
        <v>1.0487158987870872E-5</v>
      </c>
    </row>
    <row r="1217" spans="23:35" x14ac:dyDescent="0.25">
      <c r="W1217">
        <v>1215</v>
      </c>
      <c r="X1217">
        <v>75.426089812966183</v>
      </c>
      <c r="Y1217">
        <v>-0.92608981296618254</v>
      </c>
      <c r="Z1217">
        <v>75.427843265956184</v>
      </c>
      <c r="AA1217">
        <v>0.72407519708914492</v>
      </c>
      <c r="AB1217">
        <v>74.8</v>
      </c>
      <c r="AC1217">
        <v>0.56531175535073552</v>
      </c>
      <c r="AD1217">
        <v>-0.25754611242968584</v>
      </c>
      <c r="AE1217">
        <v>0.58707388928348281</v>
      </c>
      <c r="AF1217">
        <v>1.8898159358818299E-3</v>
      </c>
      <c r="AG1217">
        <v>-0.25778981527301958</v>
      </c>
      <c r="AH1217">
        <v>0.59060458650028469</v>
      </c>
      <c r="AI1217">
        <v>6.622453684465419E-6</v>
      </c>
    </row>
    <row r="1218" spans="23:35" x14ac:dyDescent="0.25">
      <c r="W1218">
        <v>1216</v>
      </c>
      <c r="X1218">
        <v>74.975993833086022</v>
      </c>
      <c r="Y1218">
        <v>-0.77599383308601944</v>
      </c>
      <c r="Z1218">
        <v>74.977371425411803</v>
      </c>
      <c r="AA1218">
        <v>0.7010309278350515</v>
      </c>
      <c r="AB1218">
        <v>74.8</v>
      </c>
      <c r="AC1218">
        <v>0.5039283835636299</v>
      </c>
      <c r="AD1218">
        <v>-0.21580433364297549</v>
      </c>
      <c r="AE1218">
        <v>0.58936414276218296</v>
      </c>
      <c r="AF1218">
        <v>1.7721159805294503E-3</v>
      </c>
      <c r="AG1218">
        <v>-0.21599580331459622</v>
      </c>
      <c r="AH1218">
        <v>0.59131597181626572</v>
      </c>
      <c r="AI1218">
        <v>4.3591264792244836E-6</v>
      </c>
    </row>
    <row r="1219" spans="23:35" x14ac:dyDescent="0.25">
      <c r="W1219">
        <v>1217</v>
      </c>
      <c r="X1219">
        <v>74.521983564298296</v>
      </c>
      <c r="Y1219">
        <v>-0.82198356429829289</v>
      </c>
      <c r="Z1219">
        <v>74.523844686557027</v>
      </c>
      <c r="AA1219">
        <v>0.66040024257125529</v>
      </c>
      <c r="AB1219">
        <v>74.8</v>
      </c>
      <c r="AC1219">
        <v>0.39787592189543292</v>
      </c>
      <c r="AD1219">
        <v>-0.22859410448331161</v>
      </c>
      <c r="AE1219">
        <v>0.58953410644119941</v>
      </c>
      <c r="AF1219">
        <v>2.2590693235025952E-3</v>
      </c>
      <c r="AG1219">
        <v>-0.22885274775019068</v>
      </c>
      <c r="AH1219">
        <v>0.59292966886382936</v>
      </c>
      <c r="AI1219">
        <v>6.2412334994142306E-6</v>
      </c>
    </row>
    <row r="1220" spans="23:35" x14ac:dyDescent="0.25">
      <c r="W1220">
        <v>1218</v>
      </c>
      <c r="X1220">
        <v>77.084337000187844</v>
      </c>
      <c r="Y1220">
        <v>11.915662999812156</v>
      </c>
      <c r="Z1220">
        <v>76.939359860558781</v>
      </c>
      <c r="AA1220">
        <v>1</v>
      </c>
      <c r="AB1220">
        <v>74.8</v>
      </c>
      <c r="AC1220">
        <v>2.6570161854420777</v>
      </c>
      <c r="AD1220">
        <v>3.313752769609541</v>
      </c>
      <c r="AE1220">
        <v>0.59113024857436447</v>
      </c>
      <c r="AF1220">
        <v>1.2020683641405521E-2</v>
      </c>
      <c r="AG1220">
        <v>3.3338509343308735</v>
      </c>
      <c r="AH1220">
        <v>0.59474988743585944</v>
      </c>
      <c r="AI1220">
        <v>7.1173786115900336E-3</v>
      </c>
    </row>
    <row r="1221" spans="23:35" x14ac:dyDescent="0.25">
      <c r="W1221">
        <v>1219</v>
      </c>
      <c r="X1221">
        <v>77.687138168851746</v>
      </c>
      <c r="Y1221">
        <v>8.3128618311482541</v>
      </c>
      <c r="Z1221">
        <v>77.596776341154694</v>
      </c>
      <c r="AA1221">
        <v>0.99029714978775019</v>
      </c>
      <c r="AB1221">
        <v>74.8</v>
      </c>
      <c r="AC1221">
        <v>2.190305027167327</v>
      </c>
      <c r="AD1221">
        <v>2.3118116815474914</v>
      </c>
      <c r="AE1221">
        <v>0.59187445847774811</v>
      </c>
      <c r="AF1221">
        <v>1.0753233683354272E-2</v>
      </c>
      <c r="AG1221">
        <v>2.3243425588087558</v>
      </c>
      <c r="AH1221">
        <v>0.59676531253602738</v>
      </c>
      <c r="AI1221">
        <v>3.0908726522410812E-3</v>
      </c>
    </row>
    <row r="1222" spans="23:35" x14ac:dyDescent="0.25">
      <c r="W1222">
        <v>1220</v>
      </c>
      <c r="X1222">
        <v>78.160533537455379</v>
      </c>
      <c r="Y1222">
        <v>4.8394664625446211</v>
      </c>
      <c r="Z1222">
        <v>78.134590679913629</v>
      </c>
      <c r="AA1222">
        <v>0.97877501516070342</v>
      </c>
      <c r="AB1222">
        <v>74.8</v>
      </c>
      <c r="AC1222">
        <v>1.9368862628682144</v>
      </c>
      <c r="AD1222">
        <v>1.3458584213016545</v>
      </c>
      <c r="AE1222">
        <v>0.59388661582027391</v>
      </c>
      <c r="AF1222">
        <v>5.3321017482838712E-3</v>
      </c>
      <c r="AG1222">
        <v>1.3494609615743844</v>
      </c>
      <c r="AH1222">
        <v>0.59761542716390326</v>
      </c>
      <c r="AI1222">
        <v>5.1379204539404725E-4</v>
      </c>
    </row>
    <row r="1223" spans="23:35" x14ac:dyDescent="0.25">
      <c r="W1223">
        <v>1221</v>
      </c>
      <c r="X1223">
        <v>78.602171617712813</v>
      </c>
      <c r="Y1223">
        <v>3.3978283822871873</v>
      </c>
      <c r="Z1223">
        <v>78.576713641305119</v>
      </c>
      <c r="AA1223">
        <v>0.96604002425712554</v>
      </c>
      <c r="AB1223">
        <v>74.8</v>
      </c>
      <c r="AC1223">
        <v>1.7539324289023792</v>
      </c>
      <c r="AD1223">
        <v>0.94493803766014306</v>
      </c>
      <c r="AE1223">
        <v>0.59419070566307775</v>
      </c>
      <c r="AF1223">
        <v>7.4367066439024933E-3</v>
      </c>
      <c r="AG1223">
        <v>0.94847137068110299</v>
      </c>
      <c r="AH1223">
        <v>0.59833245757042508</v>
      </c>
      <c r="AI1223">
        <v>3.5474582403111478E-4</v>
      </c>
    </row>
    <row r="1224" spans="23:35" x14ac:dyDescent="0.25">
      <c r="W1224">
        <v>1222</v>
      </c>
      <c r="X1224">
        <v>78.264317093852185</v>
      </c>
      <c r="Y1224">
        <v>1.3356829061478095</v>
      </c>
      <c r="Z1224">
        <v>78.253763534733849</v>
      </c>
      <c r="AA1224">
        <v>0.91206791995148573</v>
      </c>
      <c r="AB1224">
        <v>74.8</v>
      </c>
      <c r="AC1224">
        <v>1.3404190152831756</v>
      </c>
      <c r="AD1224">
        <v>0.37145418846078471</v>
      </c>
      <c r="AE1224">
        <v>0.59576047605309213</v>
      </c>
      <c r="AF1224">
        <v>7.8393056425218634E-3</v>
      </c>
      <c r="AG1224">
        <v>0.37291877658151662</v>
      </c>
      <c r="AH1224">
        <v>0.598658633835495</v>
      </c>
      <c r="AI1224">
        <v>5.7832302038794282E-5</v>
      </c>
    </row>
    <row r="1225" spans="23:35" x14ac:dyDescent="0.25">
      <c r="W1225">
        <v>1223</v>
      </c>
      <c r="X1225">
        <v>78.190635717099426</v>
      </c>
      <c r="Y1225">
        <v>1.1093642829005717</v>
      </c>
      <c r="Z1225">
        <v>78.18055420797468</v>
      </c>
      <c r="AA1225">
        <v>0.9017586416009703</v>
      </c>
      <c r="AB1225">
        <v>74.8</v>
      </c>
      <c r="AC1225">
        <v>1.262435852359769</v>
      </c>
      <c r="AD1225">
        <v>0.30851484848351485</v>
      </c>
      <c r="AE1225">
        <v>0.5959128003088916</v>
      </c>
      <c r="AF1225">
        <v>9.0058037616165612E-3</v>
      </c>
      <c r="AG1225">
        <v>0.30991351478266127</v>
      </c>
      <c r="AH1225">
        <v>0.60070796626073808</v>
      </c>
      <c r="AI1225">
        <v>4.5938710280198087E-5</v>
      </c>
    </row>
    <row r="1226" spans="23:35" x14ac:dyDescent="0.25">
      <c r="W1226">
        <v>1224</v>
      </c>
      <c r="X1226">
        <v>78.775752244744581</v>
      </c>
      <c r="Y1226">
        <v>0.22424775525541918</v>
      </c>
      <c r="Z1226">
        <v>78.774661132108363</v>
      </c>
      <c r="AA1226">
        <v>0.89023650697392354</v>
      </c>
      <c r="AB1226">
        <v>74.900000000000006</v>
      </c>
      <c r="AC1226">
        <v>1.2070560687293583</v>
      </c>
      <c r="AD1226">
        <v>6.2363430391416945E-2</v>
      </c>
      <c r="AE1226">
        <v>0.59658714569229609</v>
      </c>
      <c r="AF1226">
        <v>4.8420969112974097E-3</v>
      </c>
      <c r="AG1226">
        <v>6.2514965812746251E-2</v>
      </c>
      <c r="AH1226">
        <v>0.60166637997438366</v>
      </c>
      <c r="AI1226">
        <v>1.0008197707272374E-6</v>
      </c>
    </row>
    <row r="1227" spans="23:35" x14ac:dyDescent="0.25">
      <c r="W1227">
        <v>1225</v>
      </c>
      <c r="X1227">
        <v>76.687497160087801</v>
      </c>
      <c r="Y1227">
        <v>2.0125028399122016</v>
      </c>
      <c r="Z1227">
        <v>76.676307077372627</v>
      </c>
      <c r="AA1227">
        <v>0.87871437234687688</v>
      </c>
      <c r="AB1227">
        <v>74.900000000000006</v>
      </c>
      <c r="AC1227">
        <v>1.1521925343545227</v>
      </c>
      <c r="AD1227">
        <v>0.5596782033623523</v>
      </c>
      <c r="AE1227">
        <v>0.59743769295381444</v>
      </c>
      <c r="AF1227">
        <v>5.5295359241774467E-3</v>
      </c>
      <c r="AG1227">
        <v>0.56123203066357896</v>
      </c>
      <c r="AH1227">
        <v>0.60168546560317571</v>
      </c>
      <c r="AI1227">
        <v>9.2178172191070969E-5</v>
      </c>
    </row>
    <row r="1228" spans="23:35" x14ac:dyDescent="0.25">
      <c r="W1228">
        <v>1226</v>
      </c>
      <c r="X1228">
        <v>77.776122281348492</v>
      </c>
      <c r="Y1228">
        <v>0.72387771865150796</v>
      </c>
      <c r="Z1228">
        <v>77.772625690749052</v>
      </c>
      <c r="AA1228">
        <v>0.87265009096422075</v>
      </c>
      <c r="AB1228">
        <v>74.900000000000006</v>
      </c>
      <c r="AC1228">
        <v>1.128888636463274</v>
      </c>
      <c r="AD1228">
        <v>0.20131081208640136</v>
      </c>
      <c r="AE1228">
        <v>0.59932255720356853</v>
      </c>
      <c r="AF1228">
        <v>4.8071406358073804E-3</v>
      </c>
      <c r="AG1228">
        <v>0.20179642830114514</v>
      </c>
      <c r="AH1228">
        <v>0.60203407265306441</v>
      </c>
      <c r="AI1228">
        <v>1.0352683236529035E-5</v>
      </c>
    </row>
    <row r="1229" spans="23:35" x14ac:dyDescent="0.25">
      <c r="W1229">
        <v>1227</v>
      </c>
      <c r="X1229">
        <v>78.980589760819427</v>
      </c>
      <c r="Y1229">
        <v>-1.2805897608194243</v>
      </c>
      <c r="Z1229">
        <v>78.988093142722732</v>
      </c>
      <c r="AA1229">
        <v>0.85021224984839294</v>
      </c>
      <c r="AB1229">
        <v>74.900000000000006</v>
      </c>
      <c r="AC1229">
        <v>1.0308575175648222</v>
      </c>
      <c r="AD1229">
        <v>-0.35613275289137369</v>
      </c>
      <c r="AE1229">
        <v>0.60123231094886787</v>
      </c>
      <c r="AF1229">
        <v>5.8251858149409429E-3</v>
      </c>
      <c r="AG1229">
        <v>-0.3571745764493795</v>
      </c>
      <c r="AH1229">
        <v>0.60326794456211508</v>
      </c>
      <c r="AI1229">
        <v>3.9341825009685725E-5</v>
      </c>
    </row>
    <row r="1230" spans="23:35" x14ac:dyDescent="0.25">
      <c r="W1230">
        <v>1228</v>
      </c>
      <c r="X1230">
        <v>76.759348475376882</v>
      </c>
      <c r="Y1230">
        <v>1.240651524623118</v>
      </c>
      <c r="Z1230">
        <v>76.751215702662222</v>
      </c>
      <c r="AA1230">
        <v>0.86294724075197093</v>
      </c>
      <c r="AB1230">
        <v>74.900000000000006</v>
      </c>
      <c r="AC1230">
        <v>1.0491313979639725</v>
      </c>
      <c r="AD1230">
        <v>0.34502590631381297</v>
      </c>
      <c r="AE1230">
        <v>0.6015378883201582</v>
      </c>
      <c r="AF1230">
        <v>6.5125520331993404E-3</v>
      </c>
      <c r="AG1230">
        <v>0.34615492348758792</v>
      </c>
      <c r="AH1230">
        <v>0.6045675684299423</v>
      </c>
      <c r="AI1230">
        <v>4.1340549693051101E-5</v>
      </c>
    </row>
    <row r="1231" spans="23:35" x14ac:dyDescent="0.25">
      <c r="W1231">
        <v>1229</v>
      </c>
      <c r="X1231">
        <v>78.984992408522018</v>
      </c>
      <c r="Y1231">
        <v>-1.6849924085220209</v>
      </c>
      <c r="Z1231">
        <v>78.995252276875107</v>
      </c>
      <c r="AA1231">
        <v>0.84414796846573681</v>
      </c>
      <c r="AB1231">
        <v>74.900000000000006</v>
      </c>
      <c r="AC1231">
        <v>1.0003070916314494</v>
      </c>
      <c r="AD1231">
        <v>-0.46859736303375826</v>
      </c>
      <c r="AE1231">
        <v>0.60400502872160666</v>
      </c>
      <c r="AF1231">
        <v>6.0521189046872847E-3</v>
      </c>
      <c r="AG1231">
        <v>-0.47002183559237776</v>
      </c>
      <c r="AH1231">
        <v>0.60508705284220077</v>
      </c>
      <c r="AI1231">
        <v>7.0798866920730266E-5</v>
      </c>
    </row>
    <row r="1232" spans="23:35" x14ac:dyDescent="0.25">
      <c r="W1232">
        <v>1230</v>
      </c>
      <c r="X1232">
        <v>79.053427298356226</v>
      </c>
      <c r="Y1232">
        <v>-1.8534272983562232</v>
      </c>
      <c r="Z1232">
        <v>79.061600549211718</v>
      </c>
      <c r="AA1232">
        <v>0.84111582777440874</v>
      </c>
      <c r="AB1232">
        <v>74.900000000000006</v>
      </c>
      <c r="AC1232">
        <v>0.99032898964496086</v>
      </c>
      <c r="AD1232">
        <v>-0.51543920328182202</v>
      </c>
      <c r="AE1232">
        <v>0.60455810733565796</v>
      </c>
      <c r="AF1232">
        <v>4.3904428686123249E-3</v>
      </c>
      <c r="AG1232">
        <v>-0.51657444600337477</v>
      </c>
      <c r="AH1232">
        <v>0.61041424440039793</v>
      </c>
      <c r="AI1232">
        <v>6.1934339383618234E-5</v>
      </c>
    </row>
    <row r="1233" spans="23:35" x14ac:dyDescent="0.25">
      <c r="W1233">
        <v>1231</v>
      </c>
      <c r="X1233">
        <v>77.665282483856572</v>
      </c>
      <c r="Y1233">
        <v>-0.76528248385656639</v>
      </c>
      <c r="Z1233">
        <v>77.681301659484319</v>
      </c>
      <c r="AA1233">
        <v>0.83080654942389331</v>
      </c>
      <c r="AB1233">
        <v>74.900000000000006</v>
      </c>
      <c r="AC1233">
        <v>0.94897780985887181</v>
      </c>
      <c r="AD1233">
        <v>-0.21282550122920929</v>
      </c>
      <c r="AE1233">
        <v>0.60482804967849657</v>
      </c>
      <c r="AF1233">
        <v>2.0503189047777017E-2</v>
      </c>
      <c r="AG1233">
        <v>-0.21504143609642187</v>
      </c>
      <c r="AH1233">
        <v>0.61111098833948896</v>
      </c>
      <c r="AI1233">
        <v>5.0945882800331122E-5</v>
      </c>
    </row>
    <row r="1234" spans="23:35" x14ac:dyDescent="0.25">
      <c r="W1234">
        <v>1232</v>
      </c>
      <c r="X1234">
        <v>76.426334873967022</v>
      </c>
      <c r="Y1234">
        <v>0.17366512603297224</v>
      </c>
      <c r="Z1234">
        <v>76.42389605643919</v>
      </c>
      <c r="AA1234">
        <v>0.82413583990297146</v>
      </c>
      <c r="AB1234">
        <v>74.900000000000006</v>
      </c>
      <c r="AC1234">
        <v>0.91841998904288702</v>
      </c>
      <c r="AD1234">
        <v>4.8296371958943783E-2</v>
      </c>
      <c r="AE1234">
        <v>0.60767607591533879</v>
      </c>
      <c r="AF1234">
        <v>1.3848738867041268E-2</v>
      </c>
      <c r="AG1234">
        <v>4.8634307950197853E-2</v>
      </c>
      <c r="AH1234">
        <v>0.61208958239022315</v>
      </c>
      <c r="AI1234">
        <v>1.7482300123963219E-6</v>
      </c>
    </row>
    <row r="1235" spans="23:35" x14ac:dyDescent="0.25">
      <c r="W1235">
        <v>1233</v>
      </c>
      <c r="X1235">
        <v>75.593120569239048</v>
      </c>
      <c r="Y1235">
        <v>-0.79312056923905061</v>
      </c>
      <c r="Z1235">
        <v>75.597431812815827</v>
      </c>
      <c r="AA1235">
        <v>0.74166161309884782</v>
      </c>
      <c r="AB1235">
        <v>74.900000000000006</v>
      </c>
      <c r="AC1235">
        <v>0.63261352584071384</v>
      </c>
      <c r="AD1235">
        <v>-0.22056728886941765</v>
      </c>
      <c r="AE1235">
        <v>0.60985182026445217</v>
      </c>
      <c r="AF1235">
        <v>5.406410313074767E-3</v>
      </c>
      <c r="AG1235">
        <v>-0.22116595607911477</v>
      </c>
      <c r="AH1235">
        <v>0.61481966952757827</v>
      </c>
      <c r="AI1235">
        <v>1.3994142771686714E-5</v>
      </c>
    </row>
    <row r="1236" spans="23:35" x14ac:dyDescent="0.25">
      <c r="W1236">
        <v>1234</v>
      </c>
      <c r="X1236">
        <v>75.453057673750251</v>
      </c>
      <c r="Y1236">
        <v>-0.85305767375025709</v>
      </c>
      <c r="Z1236">
        <v>75.455172199235236</v>
      </c>
      <c r="AA1236">
        <v>0.73013947847180105</v>
      </c>
      <c r="AB1236">
        <v>74.900000000000006</v>
      </c>
      <c r="AC1236">
        <v>0.59589828697336056</v>
      </c>
      <c r="AD1236">
        <v>-0.23723583228823691</v>
      </c>
      <c r="AE1236">
        <v>0.61058031129222057</v>
      </c>
      <c r="AF1236">
        <v>2.4726312278162289E-3</v>
      </c>
      <c r="AG1236">
        <v>-0.23752967568907229</v>
      </c>
      <c r="AH1236">
        <v>0.61648528531091051</v>
      </c>
      <c r="AI1236">
        <v>7.360658692613767E-6</v>
      </c>
    </row>
    <row r="1237" spans="23:35" x14ac:dyDescent="0.25">
      <c r="W1237">
        <v>1235</v>
      </c>
      <c r="X1237">
        <v>75.872505360380686</v>
      </c>
      <c r="Y1237">
        <v>-1.4725053603806799</v>
      </c>
      <c r="Z1237">
        <v>75.87691637601101</v>
      </c>
      <c r="AA1237">
        <v>0.71376591873862949</v>
      </c>
      <c r="AB1237">
        <v>75</v>
      </c>
      <c r="AC1237">
        <v>0.54051528578164909</v>
      </c>
      <c r="AD1237">
        <v>-0.4095045920905363</v>
      </c>
      <c r="AE1237">
        <v>0.61173498839209728</v>
      </c>
      <c r="AF1237">
        <v>2.9866387169712244E-3</v>
      </c>
      <c r="AG1237">
        <v>-0.41011748643798468</v>
      </c>
      <c r="AH1237">
        <v>0.61912904110751898</v>
      </c>
      <c r="AI1237">
        <v>2.6518239293550391E-5</v>
      </c>
    </row>
    <row r="1238" spans="23:35" x14ac:dyDescent="0.25">
      <c r="W1238">
        <v>1236</v>
      </c>
      <c r="X1238">
        <v>75.671271171781356</v>
      </c>
      <c r="Y1238">
        <v>-1.371271171781359</v>
      </c>
      <c r="Z1238">
        <v>75.67638656161219</v>
      </c>
      <c r="AA1238">
        <v>0.7052759248029109</v>
      </c>
      <c r="AB1238">
        <v>75</v>
      </c>
      <c r="AC1238">
        <v>0.52824151828033117</v>
      </c>
      <c r="AD1238">
        <v>-0.38135130570979003</v>
      </c>
      <c r="AE1238">
        <v>0.61859628936012245</v>
      </c>
      <c r="AF1238">
        <v>3.7165357273180738E-3</v>
      </c>
      <c r="AG1238">
        <v>-0.38206194002394422</v>
      </c>
      <c r="AH1238">
        <v>0.62022762094856909</v>
      </c>
      <c r="AI1238">
        <v>2.8659548356354205E-5</v>
      </c>
    </row>
    <row r="1239" spans="23:35" x14ac:dyDescent="0.25">
      <c r="W1239">
        <v>1237</v>
      </c>
      <c r="X1239">
        <v>76.124698703718863</v>
      </c>
      <c r="Y1239">
        <v>-2.7246987037188575</v>
      </c>
      <c r="Z1239">
        <v>76.131721379019552</v>
      </c>
      <c r="AA1239">
        <v>0.63735597331716187</v>
      </c>
      <c r="AB1239">
        <v>75</v>
      </c>
      <c r="AC1239">
        <v>0.33286538375086522</v>
      </c>
      <c r="AD1239">
        <v>-0.757740284862221</v>
      </c>
      <c r="AE1239">
        <v>0.61906465099168495</v>
      </c>
      <c r="AF1239">
        <v>2.570787546132765E-3</v>
      </c>
      <c r="AG1239">
        <v>-0.75871616148820575</v>
      </c>
      <c r="AH1239">
        <v>0.63156936530513053</v>
      </c>
      <c r="AI1239">
        <v>7.8088876243029607E-5</v>
      </c>
    </row>
    <row r="1240" spans="23:35" x14ac:dyDescent="0.25">
      <c r="W1240">
        <v>1238</v>
      </c>
      <c r="X1240">
        <v>75.047335290440856</v>
      </c>
      <c r="Y1240">
        <v>-1.9473352904408614</v>
      </c>
      <c r="Z1240">
        <v>75.054441255774535</v>
      </c>
      <c r="AA1240">
        <v>0.61491813220133418</v>
      </c>
      <c r="AB1240">
        <v>75</v>
      </c>
      <c r="AC1240">
        <v>0.27870266916975811</v>
      </c>
      <c r="AD1240">
        <v>-0.54155507017599713</v>
      </c>
      <c r="AE1240">
        <v>0.63230108402094365</v>
      </c>
      <c r="AF1240">
        <v>3.6358039990596167E-3</v>
      </c>
      <c r="AG1240">
        <v>-0.54254225695123626</v>
      </c>
      <c r="AH1240">
        <v>0.63364028439445497</v>
      </c>
      <c r="AI1240">
        <v>5.6532200231897191E-5</v>
      </c>
    </row>
    <row r="1241" spans="23:35" x14ac:dyDescent="0.25">
      <c r="W1241">
        <v>1239</v>
      </c>
      <c r="X1241">
        <v>74.183964692318682</v>
      </c>
      <c r="Y1241">
        <v>-1.0839646923186876</v>
      </c>
      <c r="Z1241">
        <v>74.18896184997574</v>
      </c>
      <c r="AA1241">
        <v>0.61491813220133418</v>
      </c>
      <c r="AB1241">
        <v>75</v>
      </c>
      <c r="AC1241">
        <v>0.27870266916975811</v>
      </c>
      <c r="AD1241">
        <v>-0.30145120765723493</v>
      </c>
      <c r="AE1241">
        <v>0.63292057342008379</v>
      </c>
      <c r="AF1241">
        <v>4.5889189388738233E-3</v>
      </c>
      <c r="AG1241">
        <v>-0.30214526488004373</v>
      </c>
      <c r="AH1241">
        <v>0.63656720627355501</v>
      </c>
      <c r="AI1241">
        <v>2.2150620635512526E-5</v>
      </c>
    </row>
    <row r="1242" spans="23:35" x14ac:dyDescent="0.25">
      <c r="W1242">
        <v>1240</v>
      </c>
      <c r="X1242">
        <v>74.122734147235732</v>
      </c>
      <c r="Y1242">
        <v>-1.2227341472357267</v>
      </c>
      <c r="Z1242">
        <v>74.126584229827245</v>
      </c>
      <c r="AA1242">
        <v>0.58762886597938147</v>
      </c>
      <c r="AB1242">
        <v>75</v>
      </c>
      <c r="AC1242">
        <v>0.206674078513852</v>
      </c>
      <c r="AD1242">
        <v>-0.34004307330296474</v>
      </c>
      <c r="AE1242">
        <v>0.63386718070991444</v>
      </c>
      <c r="AF1242">
        <v>3.1388652306886581E-3</v>
      </c>
      <c r="AG1242">
        <v>-0.3405780076378363</v>
      </c>
      <c r="AH1242">
        <v>0.6378576257603491</v>
      </c>
      <c r="AI1242">
        <v>1.9222842397566156E-5</v>
      </c>
    </row>
    <row r="1243" spans="23:35" x14ac:dyDescent="0.25">
      <c r="W1243">
        <v>1241</v>
      </c>
      <c r="X1243">
        <v>73.531173908089812</v>
      </c>
      <c r="Y1243">
        <v>-1.0311739080898121</v>
      </c>
      <c r="Z1243">
        <v>73.533440367894414</v>
      </c>
      <c r="AA1243">
        <v>0.55852031534263191</v>
      </c>
      <c r="AB1243">
        <v>75</v>
      </c>
      <c r="AC1243">
        <v>0.12956927093944998</v>
      </c>
      <c r="AD1243">
        <v>-0.2867700600407696</v>
      </c>
      <c r="AE1243">
        <v>0.63498073610371208</v>
      </c>
      <c r="AF1243">
        <v>2.1931210305000427E-3</v>
      </c>
      <c r="AG1243">
        <v>-0.28708503895050974</v>
      </c>
      <c r="AH1243">
        <v>0.63863314202671484</v>
      </c>
      <c r="AI1243">
        <v>9.5341861203559543E-6</v>
      </c>
    </row>
    <row r="1244" spans="23:35" x14ac:dyDescent="0.25">
      <c r="W1244">
        <v>1242</v>
      </c>
      <c r="X1244">
        <v>73.038462216432592</v>
      </c>
      <c r="Y1244">
        <v>-1.1384622164325862</v>
      </c>
      <c r="Z1244">
        <v>73.041016230093277</v>
      </c>
      <c r="AA1244">
        <v>0.51607034566403887</v>
      </c>
      <c r="AB1244">
        <v>75</v>
      </c>
      <c r="AC1244">
        <v>2.7365033500434649E-2</v>
      </c>
      <c r="AD1244">
        <v>-0.31660700062252278</v>
      </c>
      <c r="AE1244">
        <v>0.63562345065532233</v>
      </c>
      <c r="AF1244">
        <v>2.2383675125118088E-3</v>
      </c>
      <c r="AG1244">
        <v>-0.31696193800623867</v>
      </c>
      <c r="AH1244">
        <v>0.63877555300161049</v>
      </c>
      <c r="AI1244">
        <v>1.1862199408126741E-5</v>
      </c>
    </row>
    <row r="1245" spans="23:35" x14ac:dyDescent="0.25">
      <c r="W1245">
        <v>1243</v>
      </c>
      <c r="X1245">
        <v>72.333911360674634</v>
      </c>
      <c r="Y1245">
        <v>-0.63391136067463094</v>
      </c>
      <c r="Z1245">
        <v>72.336053502164717</v>
      </c>
      <c r="AA1245">
        <v>0.50394178289872649</v>
      </c>
      <c r="AB1245">
        <v>75</v>
      </c>
      <c r="AC1245">
        <v>-4.5602855597810616E-3</v>
      </c>
      <c r="AD1245">
        <v>-0.17629111591655672</v>
      </c>
      <c r="AE1245">
        <v>0.63707580641899564</v>
      </c>
      <c r="AF1245">
        <v>3.3678636825259746E-3</v>
      </c>
      <c r="AG1245">
        <v>-0.17658873009430254</v>
      </c>
      <c r="AH1245">
        <v>0.63948058435979116</v>
      </c>
      <c r="AI1245">
        <v>5.5461547570575852E-6</v>
      </c>
    </row>
    <row r="1246" spans="23:35" x14ac:dyDescent="0.25">
      <c r="W1246">
        <v>1244</v>
      </c>
      <c r="X1246">
        <v>71.720390341528912</v>
      </c>
      <c r="Y1246">
        <v>-0.62039034152891759</v>
      </c>
      <c r="Z1246">
        <v>71.722304591419373</v>
      </c>
      <c r="AA1246">
        <v>0.47422680412371132</v>
      </c>
      <c r="AB1246">
        <v>75</v>
      </c>
      <c r="AC1246">
        <v>-7.6077819866612773E-2</v>
      </c>
      <c r="AD1246">
        <v>-0.17253091267459214</v>
      </c>
      <c r="AE1246">
        <v>0.63711200659636458</v>
      </c>
      <c r="AF1246">
        <v>3.0760658315066311E-3</v>
      </c>
      <c r="AG1246">
        <v>-0.17279688466531981</v>
      </c>
      <c r="AH1246">
        <v>0.6396713505127426</v>
      </c>
      <c r="AI1246">
        <v>4.8489959207795525E-6</v>
      </c>
    </row>
    <row r="1247" spans="23:35" x14ac:dyDescent="0.25">
      <c r="W1247">
        <v>1245</v>
      </c>
      <c r="X1247">
        <v>70.83074199080275</v>
      </c>
      <c r="Y1247">
        <v>6.1692580091972502</v>
      </c>
      <c r="Z1247">
        <v>70.804336163122514</v>
      </c>
      <c r="AA1247">
        <v>0.83747725894481506</v>
      </c>
      <c r="AB1247">
        <v>75</v>
      </c>
      <c r="AC1247">
        <v>0.95855995741850497</v>
      </c>
      <c r="AD1247">
        <v>1.7156742192805814</v>
      </c>
      <c r="AE1247">
        <v>0.63880454292904543</v>
      </c>
      <c r="AF1247">
        <v>4.2619852166704379E-3</v>
      </c>
      <c r="AG1247">
        <v>1.7193420366707055</v>
      </c>
      <c r="AH1247">
        <v>0.63973152280081691</v>
      </c>
      <c r="AI1247">
        <v>6.6594415778393459E-4</v>
      </c>
    </row>
    <row r="1248" spans="23:35" x14ac:dyDescent="0.25">
      <c r="W1248">
        <v>1246</v>
      </c>
      <c r="X1248">
        <v>70.520835277076614</v>
      </c>
      <c r="Y1248">
        <v>7.479164722923386</v>
      </c>
      <c r="Z1248">
        <v>70.485143409595977</v>
      </c>
      <c r="AA1248">
        <v>0.86294724075197093</v>
      </c>
      <c r="AB1248">
        <v>75</v>
      </c>
      <c r="AC1248">
        <v>1.0491313979639725</v>
      </c>
      <c r="AD1248">
        <v>2.079960033725698</v>
      </c>
      <c r="AE1248">
        <v>0.64222047053463149</v>
      </c>
      <c r="AF1248">
        <v>4.749507465813531E-3</v>
      </c>
      <c r="AG1248">
        <v>2.0849170912718753</v>
      </c>
      <c r="AH1248">
        <v>0.6429069513204575</v>
      </c>
      <c r="AI1248">
        <v>1.0917926130282706E-3</v>
      </c>
    </row>
    <row r="1249" spans="23:35" x14ac:dyDescent="0.25">
      <c r="W1249">
        <v>1247</v>
      </c>
      <c r="X1249">
        <v>70.28999430089064</v>
      </c>
      <c r="Y1249">
        <v>6.7100056991093595</v>
      </c>
      <c r="Z1249">
        <v>70.253938484772505</v>
      </c>
      <c r="AA1249">
        <v>0.83747725894481506</v>
      </c>
      <c r="AB1249">
        <v>75</v>
      </c>
      <c r="AC1249">
        <v>0.95855995741850497</v>
      </c>
      <c r="AD1249">
        <v>1.8660564644929931</v>
      </c>
      <c r="AE1249">
        <v>0.64259052101808711</v>
      </c>
      <c r="AF1249">
        <v>5.344720921495176E-3</v>
      </c>
      <c r="AG1249">
        <v>1.8710633191499484</v>
      </c>
      <c r="AH1249">
        <v>0.64417716514417633</v>
      </c>
      <c r="AI1249">
        <v>9.9009258922492442E-4</v>
      </c>
    </row>
    <row r="1250" spans="23:35" x14ac:dyDescent="0.25">
      <c r="W1250">
        <v>1248</v>
      </c>
      <c r="X1250">
        <v>74.683599121183292</v>
      </c>
      <c r="Y1250">
        <v>-1.6835991211832919</v>
      </c>
      <c r="Z1250">
        <v>74.697702200749703</v>
      </c>
      <c r="AA1250">
        <v>0.60946027895694366</v>
      </c>
      <c r="AB1250">
        <v>75</v>
      </c>
      <c r="AC1250">
        <v>0.22222871718700732</v>
      </c>
      <c r="AD1250">
        <v>-0.46820988901929106</v>
      </c>
      <c r="AE1250">
        <v>0.64282306409163936</v>
      </c>
      <c r="AF1250">
        <v>8.3071574980514377E-3</v>
      </c>
      <c r="AG1250">
        <v>-0.47016683664416881</v>
      </c>
      <c r="AH1250">
        <v>0.64527064329706174</v>
      </c>
      <c r="AI1250">
        <v>9.7459830186866033E-5</v>
      </c>
    </row>
    <row r="1251" spans="23:35" x14ac:dyDescent="0.25">
      <c r="W1251">
        <v>1249</v>
      </c>
      <c r="X1251">
        <v>74.472284854995976</v>
      </c>
      <c r="Y1251">
        <v>-4.4722848549959764</v>
      </c>
      <c r="Z1251">
        <v>74.493527585633984</v>
      </c>
      <c r="AA1251">
        <v>0.46088538508186777</v>
      </c>
      <c r="AB1251">
        <v>75</v>
      </c>
      <c r="AC1251">
        <v>-0.10660788786182936</v>
      </c>
      <c r="AD1251">
        <v>-1.2437450039464317</v>
      </c>
      <c r="AE1251">
        <v>0.64746760347265098</v>
      </c>
      <c r="AF1251">
        <v>4.7274063045531023E-3</v>
      </c>
      <c r="AG1251">
        <v>-1.2466953125441684</v>
      </c>
      <c r="AH1251">
        <v>0.64871346997292378</v>
      </c>
      <c r="AI1251">
        <v>3.8855091583295465E-4</v>
      </c>
    </row>
    <row r="1252" spans="23:35" x14ac:dyDescent="0.25">
      <c r="W1252">
        <v>1250</v>
      </c>
      <c r="X1252">
        <v>73.318600785372595</v>
      </c>
      <c r="Y1252">
        <v>-3.7186007853726011</v>
      </c>
      <c r="Z1252">
        <v>73.367342584787323</v>
      </c>
      <c r="AA1252">
        <v>0.44815039417828989</v>
      </c>
      <c r="AB1252">
        <v>75</v>
      </c>
      <c r="AC1252">
        <v>-0.14337818601426075</v>
      </c>
      <c r="AD1252">
        <v>-1.0341450284214087</v>
      </c>
      <c r="AE1252">
        <v>0.64788216671256527</v>
      </c>
      <c r="AF1252">
        <v>1.2937979044313239E-2</v>
      </c>
      <c r="AG1252">
        <v>-1.040900524763881</v>
      </c>
      <c r="AH1252">
        <v>0.64969420737413075</v>
      </c>
      <c r="AI1252">
        <v>7.4745810493001043E-4</v>
      </c>
    </row>
    <row r="1253" spans="23:35" x14ac:dyDescent="0.25">
      <c r="W1253">
        <v>1251</v>
      </c>
      <c r="X1253">
        <v>72.781341214981765</v>
      </c>
      <c r="Y1253">
        <v>-3.3813412149817594</v>
      </c>
      <c r="Z1253">
        <v>72.821431009345659</v>
      </c>
      <c r="AA1253">
        <v>0.43784111582777441</v>
      </c>
      <c r="AB1253">
        <v>75</v>
      </c>
      <c r="AC1253">
        <v>-0.16799678341230881</v>
      </c>
      <c r="AD1253">
        <v>-0.94035294690000337</v>
      </c>
      <c r="AE1253">
        <v>0.64883908864634254</v>
      </c>
      <c r="AF1253">
        <v>1.1717259314710234E-2</v>
      </c>
      <c r="AG1253">
        <v>-0.94591101856297222</v>
      </c>
      <c r="AH1253">
        <v>0.65230994453938074</v>
      </c>
      <c r="AI1253">
        <v>5.5833107287587246E-4</v>
      </c>
    </row>
    <row r="1254" spans="23:35" x14ac:dyDescent="0.25">
      <c r="W1254">
        <v>1252</v>
      </c>
      <c r="X1254">
        <v>72.034323725857661</v>
      </c>
      <c r="Y1254">
        <v>-3.6343237258576551</v>
      </c>
      <c r="Z1254">
        <v>72.066345994105319</v>
      </c>
      <c r="AA1254">
        <v>0.40024257125530627</v>
      </c>
      <c r="AB1254">
        <v>75</v>
      </c>
      <c r="AC1254">
        <v>-0.26293383539244392</v>
      </c>
      <c r="AD1254">
        <v>-1.0107075294432484</v>
      </c>
      <c r="AE1254">
        <v>0.65134928038577711</v>
      </c>
      <c r="AF1254">
        <v>8.7341097373637676E-3</v>
      </c>
      <c r="AG1254">
        <v>-1.0151504698030425</v>
      </c>
      <c r="AH1254">
        <v>0.65458222525773579</v>
      </c>
      <c r="AI1254">
        <v>4.7789855888096281E-4</v>
      </c>
    </row>
    <row r="1255" spans="23:35" x14ac:dyDescent="0.25">
      <c r="W1255">
        <v>1253</v>
      </c>
      <c r="X1255">
        <v>72.246383638089853</v>
      </c>
      <c r="Y1255">
        <v>-4.0463836380898499</v>
      </c>
      <c r="Z1255">
        <v>72.290141534190127</v>
      </c>
      <c r="AA1255">
        <v>0.39175257731958762</v>
      </c>
      <c r="AB1255">
        <v>75</v>
      </c>
      <c r="AC1255">
        <v>-0.28028330588569778</v>
      </c>
      <c r="AD1255">
        <v>-1.1253016292785682</v>
      </c>
      <c r="AE1255">
        <v>0.65225823920000481</v>
      </c>
      <c r="AF1255">
        <v>1.0698381885931172E-2</v>
      </c>
      <c r="AG1255">
        <v>-1.1313698160387984</v>
      </c>
      <c r="AH1255">
        <v>0.65552797941796592</v>
      </c>
      <c r="AI1255">
        <v>7.2852582574306035E-4</v>
      </c>
    </row>
    <row r="1256" spans="23:35" x14ac:dyDescent="0.25">
      <c r="W1256">
        <v>1254</v>
      </c>
      <c r="X1256">
        <v>71.881923612098916</v>
      </c>
      <c r="Y1256">
        <v>-4.381923612098916</v>
      </c>
      <c r="Z1256">
        <v>71.927209962140608</v>
      </c>
      <c r="AA1256">
        <v>0.35900545785324439</v>
      </c>
      <c r="AB1256">
        <v>75</v>
      </c>
      <c r="AC1256">
        <v>-0.37168505980560429</v>
      </c>
      <c r="AD1256">
        <v>-1.2186154900519708</v>
      </c>
      <c r="AE1256">
        <v>0.65236186940912244</v>
      </c>
      <c r="AF1256">
        <v>1.022909471856133E-2</v>
      </c>
      <c r="AG1256">
        <v>-1.2248963838681881</v>
      </c>
      <c r="AH1256">
        <v>0.65558091362669402</v>
      </c>
      <c r="AI1256">
        <v>8.1610797306007842E-4</v>
      </c>
    </row>
    <row r="1257" spans="23:35" x14ac:dyDescent="0.25">
      <c r="W1257">
        <v>1255</v>
      </c>
      <c r="X1257">
        <v>71.281955539757348</v>
      </c>
      <c r="Y1257">
        <v>-3.9819555397573509</v>
      </c>
      <c r="Z1257">
        <v>71.307854597253169</v>
      </c>
      <c r="AA1257">
        <v>0.35112189205579136</v>
      </c>
      <c r="AB1257">
        <v>75.099999999999994</v>
      </c>
      <c r="AC1257">
        <v>-0.39787592189543292</v>
      </c>
      <c r="AD1257">
        <v>-1.1073841378814584</v>
      </c>
      <c r="AE1257">
        <v>0.65283229955971056</v>
      </c>
      <c r="AF1257">
        <v>6.4620751245757554E-3</v>
      </c>
      <c r="AG1257">
        <v>-1.1109795725175484</v>
      </c>
      <c r="AH1257">
        <v>0.65558919763902723</v>
      </c>
      <c r="AI1257">
        <v>4.2251886018522202E-4</v>
      </c>
    </row>
    <row r="1258" spans="23:35" x14ac:dyDescent="0.25">
      <c r="W1258">
        <v>1256</v>
      </c>
      <c r="X1258">
        <v>75.925249868355337</v>
      </c>
      <c r="Y1258">
        <v>-9.5252498683553313</v>
      </c>
      <c r="Z1258">
        <v>75.982443836238573</v>
      </c>
      <c r="AA1258">
        <v>0.32201334141904187</v>
      </c>
      <c r="AB1258">
        <v>75.099999999999994</v>
      </c>
      <c r="AC1258">
        <v>-0.46970075330452549</v>
      </c>
      <c r="AD1258">
        <v>-2.6489774956696062</v>
      </c>
      <c r="AE1258">
        <v>0.65342399348871505</v>
      </c>
      <c r="AF1258">
        <v>5.9686202038507366E-3</v>
      </c>
      <c r="AG1258">
        <v>-2.656918431023767</v>
      </c>
      <c r="AH1258">
        <v>0.65587364552537264</v>
      </c>
      <c r="AI1258">
        <v>2.2308824770553839E-3</v>
      </c>
    </row>
    <row r="1259" spans="23:35" x14ac:dyDescent="0.25">
      <c r="W1259">
        <v>1257</v>
      </c>
      <c r="X1259">
        <v>70.609555070748144</v>
      </c>
      <c r="Y1259">
        <v>-5.6095550707481436</v>
      </c>
      <c r="Z1259">
        <v>70.666991172159427</v>
      </c>
      <c r="AA1259">
        <v>0.27289266221952696</v>
      </c>
      <c r="AB1259">
        <v>75.099999999999994</v>
      </c>
      <c r="AC1259">
        <v>-0.62335641379693996</v>
      </c>
      <c r="AD1259">
        <v>-1.5600205084905427</v>
      </c>
      <c r="AE1259">
        <v>0.6552495088029181</v>
      </c>
      <c r="AF1259">
        <v>1.0135202202792785E-2</v>
      </c>
      <c r="AG1259">
        <v>-1.5679866755780101</v>
      </c>
      <c r="AH1259">
        <v>0.65839144019968798</v>
      </c>
      <c r="AI1259">
        <v>1.3249139486173052E-3</v>
      </c>
    </row>
    <row r="1260" spans="23:35" x14ac:dyDescent="0.25">
      <c r="W1260">
        <v>1258</v>
      </c>
      <c r="X1260">
        <v>70.349377420975017</v>
      </c>
      <c r="Y1260">
        <v>-5.4493774209750114</v>
      </c>
      <c r="Z1260">
        <v>70.387699255131736</v>
      </c>
      <c r="AA1260">
        <v>0.26622195269860521</v>
      </c>
      <c r="AB1260">
        <v>75.099999999999994</v>
      </c>
      <c r="AC1260">
        <v>-0.62890421763218984</v>
      </c>
      <c r="AD1260">
        <v>-1.5154750114776083</v>
      </c>
      <c r="AE1260">
        <v>0.65758914346744035</v>
      </c>
      <c r="AF1260">
        <v>6.9832241846857395E-3</v>
      </c>
      <c r="AG1260">
        <v>-1.5207943381606877</v>
      </c>
      <c r="AH1260">
        <v>0.65942880041164964</v>
      </c>
      <c r="AI1260">
        <v>8.5602563833752981E-4</v>
      </c>
    </row>
    <row r="1261" spans="23:35" x14ac:dyDescent="0.25">
      <c r="W1261">
        <v>1259</v>
      </c>
      <c r="X1261">
        <v>69.940644246783677</v>
      </c>
      <c r="Y1261">
        <v>-5.3406442467836825</v>
      </c>
      <c r="Z1261">
        <v>69.995244260621121</v>
      </c>
      <c r="AA1261">
        <v>0.25773195876288657</v>
      </c>
      <c r="AB1261">
        <v>75.2</v>
      </c>
      <c r="AC1261">
        <v>-0.66071795340131467</v>
      </c>
      <c r="AD1261">
        <v>-1.4852362528679841</v>
      </c>
      <c r="AE1261">
        <v>0.65778267515286037</v>
      </c>
      <c r="AF1261">
        <v>1.012002630463898E-2</v>
      </c>
      <c r="AG1261">
        <v>-1.492809094579884</v>
      </c>
      <c r="AH1261">
        <v>0.66219986158014976</v>
      </c>
      <c r="AI1261">
        <v>1.199096255493853E-3</v>
      </c>
    </row>
    <row r="1262" spans="23:35" x14ac:dyDescent="0.25">
      <c r="W1262">
        <v>1260</v>
      </c>
      <c r="X1262">
        <v>69.80321411399774</v>
      </c>
      <c r="Y1262">
        <v>-5.0032141139977426</v>
      </c>
      <c r="Z1262">
        <v>69.834150273647751</v>
      </c>
      <c r="AA1262">
        <v>0.26440266828380837</v>
      </c>
      <c r="AB1262">
        <v>75.2</v>
      </c>
      <c r="AC1262">
        <v>-0.63633155866502356</v>
      </c>
      <c r="AD1262">
        <v>-1.3913967378458865</v>
      </c>
      <c r="AE1262">
        <v>0.65814087881026007</v>
      </c>
      <c r="AF1262">
        <v>6.1452594714857161E-3</v>
      </c>
      <c r="AG1262">
        <v>-1.3956917906660498</v>
      </c>
      <c r="AH1262">
        <v>0.66255140753818997</v>
      </c>
      <c r="AI1262">
        <v>6.33932121819569E-4</v>
      </c>
    </row>
    <row r="1263" spans="23:35" x14ac:dyDescent="0.25">
      <c r="W1263">
        <v>1261</v>
      </c>
      <c r="X1263">
        <v>74.162255737832496</v>
      </c>
      <c r="Y1263">
        <v>-9.0622557378325013</v>
      </c>
      <c r="Z1263">
        <v>74.235696617248649</v>
      </c>
      <c r="AA1263">
        <v>0.27713765918738631</v>
      </c>
      <c r="AB1263">
        <v>75.2</v>
      </c>
      <c r="AC1263">
        <v>-0.60317578841021124</v>
      </c>
      <c r="AD1263">
        <v>-2.5202185602786695</v>
      </c>
      <c r="AE1263">
        <v>0.65877879861435085</v>
      </c>
      <c r="AF1263">
        <v>8.0388921056658742E-3</v>
      </c>
      <c r="AG1263">
        <v>-2.5304099296411859</v>
      </c>
      <c r="AH1263">
        <v>0.66412916682642342</v>
      </c>
      <c r="AI1263">
        <v>2.7310504331154806E-3</v>
      </c>
    </row>
    <row r="1264" spans="23:35" x14ac:dyDescent="0.25">
      <c r="W1264">
        <v>1262</v>
      </c>
      <c r="X1264">
        <v>68.968155825409212</v>
      </c>
      <c r="Y1264">
        <v>-3.2681558254092096</v>
      </c>
      <c r="Z1264">
        <v>68.992341148810155</v>
      </c>
      <c r="AA1264">
        <v>0.29654335961188599</v>
      </c>
      <c r="AB1264">
        <v>75.2</v>
      </c>
      <c r="AC1264">
        <v>-0.54051528578164909</v>
      </c>
      <c r="AD1264">
        <v>-0.9088760246186931</v>
      </c>
      <c r="AE1264">
        <v>0.65974610567010505</v>
      </c>
      <c r="AF1264">
        <v>7.3459347946625633E-3</v>
      </c>
      <c r="AG1264">
        <v>-0.91223280198918155</v>
      </c>
      <c r="AH1264">
        <v>0.66494608006355427</v>
      </c>
      <c r="AI1264">
        <v>3.2412080706980092E-4</v>
      </c>
    </row>
    <row r="1265" spans="23:35" x14ac:dyDescent="0.25">
      <c r="W1265">
        <v>1263</v>
      </c>
      <c r="X1265">
        <v>65.278136255088384</v>
      </c>
      <c r="Y1265">
        <v>-7.813625508838129E-2</v>
      </c>
      <c r="Z1265">
        <v>65.278591516293829</v>
      </c>
      <c r="AA1265">
        <v>0.28077622801697999</v>
      </c>
      <c r="AB1265">
        <v>75.2</v>
      </c>
      <c r="AC1265">
        <v>-0.59046081866695443</v>
      </c>
      <c r="AD1265">
        <v>-2.1729737716661077E-2</v>
      </c>
      <c r="AE1265">
        <v>0.66148481912430501</v>
      </c>
      <c r="AF1265">
        <v>5.792752537612576E-3</v>
      </c>
      <c r="AG1265">
        <v>-2.1792949975999985E-2</v>
      </c>
      <c r="AH1265">
        <v>0.66540263054870308</v>
      </c>
      <c r="AI1265">
        <v>1.4564195313861037E-7</v>
      </c>
    </row>
    <row r="1266" spans="23:35" x14ac:dyDescent="0.25">
      <c r="W1266">
        <v>1264</v>
      </c>
      <c r="X1266">
        <v>65.318914358731803</v>
      </c>
      <c r="Y1266">
        <v>-0.71891435873180853</v>
      </c>
      <c r="Z1266">
        <v>65.321533496214656</v>
      </c>
      <c r="AA1266">
        <v>0.25773195876288657</v>
      </c>
      <c r="AB1266">
        <v>75.2</v>
      </c>
      <c r="AC1266">
        <v>-0.66071795340131467</v>
      </c>
      <c r="AD1266">
        <v>-0.19993049882303263</v>
      </c>
      <c r="AE1266">
        <v>0.66357219575180026</v>
      </c>
      <c r="AF1266">
        <v>3.6299596575737857E-3</v>
      </c>
      <c r="AG1266">
        <v>-0.20029435954556174</v>
      </c>
      <c r="AH1266">
        <v>0.66607385092146154</v>
      </c>
      <c r="AI1266">
        <v>7.6924552041703004E-6</v>
      </c>
    </row>
    <row r="1267" spans="23:35" x14ac:dyDescent="0.25">
      <c r="W1267">
        <v>1265</v>
      </c>
      <c r="X1267">
        <v>63.97713818677034</v>
      </c>
      <c r="Y1267">
        <v>-0.17713818677034254</v>
      </c>
      <c r="Z1267">
        <v>63.978061888573727</v>
      </c>
      <c r="AA1267">
        <v>0.23650697392359005</v>
      </c>
      <c r="AB1267">
        <v>75.3</v>
      </c>
      <c r="AC1267">
        <v>-0.72448350403832318</v>
      </c>
      <c r="AD1267">
        <v>-4.9262232158050152E-2</v>
      </c>
      <c r="AE1267">
        <v>0.66374722945067854</v>
      </c>
      <c r="AF1267">
        <v>5.1875323281583459E-3</v>
      </c>
      <c r="AG1267">
        <v>-4.9390506154422177E-2</v>
      </c>
      <c r="AH1267">
        <v>0.66663920122297748</v>
      </c>
      <c r="AI1267">
        <v>6.695036505883293E-7</v>
      </c>
    </row>
    <row r="1268" spans="23:35" x14ac:dyDescent="0.25">
      <c r="W1268">
        <v>1266</v>
      </c>
      <c r="X1268">
        <v>67.003481449644397</v>
      </c>
      <c r="Y1268">
        <v>-4.2034814496444</v>
      </c>
      <c r="Z1268">
        <v>67.036583105239487</v>
      </c>
      <c r="AA1268">
        <v>0.21467556094602788</v>
      </c>
      <c r="AB1268">
        <v>75.3</v>
      </c>
      <c r="AC1268">
        <v>-0.79968509868701798</v>
      </c>
      <c r="AD1268">
        <v>-1.1689906215022232</v>
      </c>
      <c r="AE1268">
        <v>0.66535100929999291</v>
      </c>
      <c r="AF1268">
        <v>7.8132907517252988E-3</v>
      </c>
      <c r="AG1268">
        <v>-1.1735843902424459</v>
      </c>
      <c r="AH1268">
        <v>0.66712346348092766</v>
      </c>
      <c r="AI1268">
        <v>5.7084161787997537E-4</v>
      </c>
    </row>
    <row r="1269" spans="23:35" x14ac:dyDescent="0.25">
      <c r="W1269">
        <v>1267</v>
      </c>
      <c r="X1269">
        <v>62.354493138180182</v>
      </c>
      <c r="Y1269">
        <v>-1.3544931381801817</v>
      </c>
      <c r="Z1269">
        <v>62.360312648981314</v>
      </c>
      <c r="AA1269">
        <v>0.17647058823529413</v>
      </c>
      <c r="AB1269">
        <v>75.3</v>
      </c>
      <c r="AC1269">
        <v>-0.93241539434320697</v>
      </c>
      <c r="AD1269">
        <v>-0.37668532486463019</v>
      </c>
      <c r="AE1269">
        <v>0.66652650457929519</v>
      </c>
      <c r="AF1269">
        <v>4.2780685789318828E-3</v>
      </c>
      <c r="AG1269">
        <v>-0.3774936622094146</v>
      </c>
      <c r="AH1269">
        <v>0.66825744460324377</v>
      </c>
      <c r="AI1269">
        <v>3.2223699401361973E-5</v>
      </c>
    </row>
    <row r="1270" spans="23:35" x14ac:dyDescent="0.25">
      <c r="W1270">
        <v>1268</v>
      </c>
      <c r="X1270">
        <v>62.102464271495663</v>
      </c>
      <c r="Y1270">
        <v>5.8975357285043373</v>
      </c>
      <c r="Z1270">
        <v>62.078474841370245</v>
      </c>
      <c r="AA1270">
        <v>0.38447543966040026</v>
      </c>
      <c r="AB1270">
        <v>75.3</v>
      </c>
      <c r="AC1270">
        <v>-0.31204933220437475</v>
      </c>
      <c r="AD1270">
        <v>1.6401080959163206</v>
      </c>
      <c r="AE1270">
        <v>0.6674896379740235</v>
      </c>
      <c r="AF1270">
        <v>4.0512248927044494E-3</v>
      </c>
      <c r="AG1270">
        <v>1.6434404477941205</v>
      </c>
      <c r="AH1270">
        <v>0.66955912216534763</v>
      </c>
      <c r="AI1270">
        <v>5.7823409084158768E-4</v>
      </c>
    </row>
    <row r="1271" spans="23:35" x14ac:dyDescent="0.25">
      <c r="W1271">
        <v>1269</v>
      </c>
      <c r="X1271">
        <v>60.988222379874486</v>
      </c>
      <c r="Y1271">
        <v>-1.3882223798744846</v>
      </c>
      <c r="Z1271">
        <v>60.995108161839966</v>
      </c>
      <c r="AA1271">
        <v>0.16616130988477865</v>
      </c>
      <c r="AB1271">
        <v>75.3</v>
      </c>
      <c r="AC1271">
        <v>-0.97554401628441823</v>
      </c>
      <c r="AD1271">
        <v>-0.38606544648128616</v>
      </c>
      <c r="AE1271">
        <v>0.66922194349937969</v>
      </c>
      <c r="AF1271">
        <v>4.9356617313464357E-3</v>
      </c>
      <c r="AG1271">
        <v>-0.38702173209259888</v>
      </c>
      <c r="AH1271">
        <v>0.67016914744757528</v>
      </c>
      <c r="AI1271">
        <v>3.9103112639821381E-5</v>
      </c>
    </row>
    <row r="1272" spans="23:35" x14ac:dyDescent="0.25">
      <c r="W1272">
        <v>1270</v>
      </c>
      <c r="X1272">
        <v>58.352208423237762</v>
      </c>
      <c r="Y1272">
        <v>-0.75220842323776083</v>
      </c>
      <c r="Z1272">
        <v>58.3580556736256</v>
      </c>
      <c r="AA1272">
        <v>0.12431776834445118</v>
      </c>
      <c r="AB1272">
        <v>75.3</v>
      </c>
      <c r="AC1272">
        <v>-1.1700898139672218</v>
      </c>
      <c r="AD1272">
        <v>-0.20918959741199886</v>
      </c>
      <c r="AE1272">
        <v>0.66934924528878481</v>
      </c>
      <c r="AF1272">
        <v>7.7134841031787221E-3</v>
      </c>
      <c r="AG1272">
        <v>-0.21000108530763542</v>
      </c>
      <c r="AH1272">
        <v>0.67289128011378707</v>
      </c>
      <c r="AI1272">
        <v>1.8042760174870982E-5</v>
      </c>
    </row>
    <row r="1273" spans="23:35" x14ac:dyDescent="0.25">
      <c r="W1273">
        <v>1271</v>
      </c>
      <c r="X1273">
        <v>62.511328249307653</v>
      </c>
      <c r="Y1273">
        <v>-7.2113282493076554</v>
      </c>
      <c r="Z1273">
        <v>62.581143135730819</v>
      </c>
      <c r="AA1273">
        <v>8.6719223771983017E-2</v>
      </c>
      <c r="AB1273">
        <v>75.3</v>
      </c>
      <c r="AC1273">
        <v>-1.3946242806491973</v>
      </c>
      <c r="AD1273">
        <v>-2.0054745555562858</v>
      </c>
      <c r="AE1273">
        <v>0.66950006276132801</v>
      </c>
      <c r="AF1273">
        <v>9.5884513079499724E-3</v>
      </c>
      <c r="AG1273">
        <v>-2.0151589528139895</v>
      </c>
      <c r="AH1273">
        <v>0.67430078733309573</v>
      </c>
      <c r="AI1273">
        <v>2.0691776896665094E-3</v>
      </c>
    </row>
    <row r="1274" spans="23:35" x14ac:dyDescent="0.25">
      <c r="W1274">
        <v>1272</v>
      </c>
      <c r="X1274">
        <v>55.218817786322866</v>
      </c>
      <c r="Y1274">
        <v>-1.8188177863228674</v>
      </c>
      <c r="Z1274">
        <v>55.22907250962993</v>
      </c>
      <c r="AA1274">
        <v>6.2462098241358399E-2</v>
      </c>
      <c r="AB1274">
        <v>75.3</v>
      </c>
      <c r="AC1274">
        <v>-1.5418711328403236</v>
      </c>
      <c r="AD1274">
        <v>-0.5058142779749234</v>
      </c>
      <c r="AE1274">
        <v>0.67019621016117703</v>
      </c>
      <c r="AF1274">
        <v>5.6065154623835579E-3</v>
      </c>
      <c r="AG1274">
        <v>-0.50723819597918152</v>
      </c>
      <c r="AH1274">
        <v>0.67492588899703188</v>
      </c>
      <c r="AI1274">
        <v>7.6349298624408429E-5</v>
      </c>
    </row>
    <row r="1275" spans="23:35" x14ac:dyDescent="0.25">
      <c r="W1275">
        <v>1273</v>
      </c>
      <c r="X1275">
        <v>60.396597025217069</v>
      </c>
      <c r="Y1275">
        <v>-8.3965970252170692</v>
      </c>
      <c r="Z1275">
        <v>60.490998282076355</v>
      </c>
      <c r="AA1275">
        <v>4.6694966646452396E-2</v>
      </c>
      <c r="AB1275">
        <v>75.3</v>
      </c>
      <c r="AC1275">
        <v>-1.6935133675401242</v>
      </c>
      <c r="AD1275">
        <v>-2.3350984874317886</v>
      </c>
      <c r="AE1275">
        <v>0.67067494047353926</v>
      </c>
      <c r="AF1275">
        <v>1.1117804258488375E-2</v>
      </c>
      <c r="AG1275">
        <v>-2.3481883207284375</v>
      </c>
      <c r="AH1275">
        <v>0.67579102341876796</v>
      </c>
      <c r="AI1275">
        <v>3.2627718907589677E-3</v>
      </c>
    </row>
    <row r="1276" spans="23:35" x14ac:dyDescent="0.25">
      <c r="W1276">
        <v>1274</v>
      </c>
      <c r="X1276">
        <v>53.200633508659251</v>
      </c>
      <c r="Y1276">
        <v>3.7993664913407486</v>
      </c>
      <c r="Z1276">
        <v>53.170466632193992</v>
      </c>
      <c r="AA1276">
        <v>0.11097634930260764</v>
      </c>
      <c r="AB1276">
        <v>75.3</v>
      </c>
      <c r="AC1276">
        <v>-1.2294035019788656</v>
      </c>
      <c r="AD1276">
        <v>1.0566060179480208</v>
      </c>
      <c r="AE1276">
        <v>0.6720097022273851</v>
      </c>
      <c r="AF1276">
        <v>7.8774288060430887E-3</v>
      </c>
      <c r="AG1276">
        <v>1.0607924372550053</v>
      </c>
      <c r="AH1276">
        <v>0.67652364999967007</v>
      </c>
      <c r="AI1276">
        <v>4.7024738097227377E-4</v>
      </c>
    </row>
    <row r="1277" spans="23:35" x14ac:dyDescent="0.25">
      <c r="W1277">
        <v>1275</v>
      </c>
      <c r="X1277">
        <v>73.706122372018697</v>
      </c>
      <c r="Y1277">
        <v>9.3877627981299838E-2</v>
      </c>
      <c r="Z1277">
        <v>73.705497816202566</v>
      </c>
      <c r="AA1277">
        <v>0.66767738023044265</v>
      </c>
      <c r="AB1277">
        <v>75.400000000000006</v>
      </c>
      <c r="AC1277">
        <v>0.4143837514429769</v>
      </c>
      <c r="AD1277">
        <v>2.6107422619480812E-2</v>
      </c>
      <c r="AE1277">
        <v>0.67522303304665321</v>
      </c>
      <c r="AF1277">
        <v>6.608903530432521E-3</v>
      </c>
      <c r="AG1277">
        <v>2.6194123323146204E-2</v>
      </c>
      <c r="AH1277">
        <v>0.67777869156900239</v>
      </c>
      <c r="AI1277">
        <v>2.4024993792681819E-7</v>
      </c>
    </row>
    <row r="1278" spans="23:35" x14ac:dyDescent="0.25">
      <c r="W1278">
        <v>1276</v>
      </c>
      <c r="X1278">
        <v>73.987128984804627</v>
      </c>
      <c r="Y1278">
        <v>-0.38712898480463309</v>
      </c>
      <c r="Z1278">
        <v>73.99182766768179</v>
      </c>
      <c r="AA1278">
        <v>0.65433596118859916</v>
      </c>
      <c r="AB1278">
        <v>75.400000000000006</v>
      </c>
      <c r="AC1278">
        <v>0.3716850598056044</v>
      </c>
      <c r="AD1278">
        <v>-0.10766079450322708</v>
      </c>
      <c r="AE1278">
        <v>0.67542878917207383</v>
      </c>
      <c r="AF1278">
        <v>1.1991707744789746E-2</v>
      </c>
      <c r="AG1278">
        <v>-0.10831217717756166</v>
      </c>
      <c r="AH1278">
        <v>0.68054661634584634</v>
      </c>
      <c r="AI1278">
        <v>7.4941333451609542E-6</v>
      </c>
    </row>
    <row r="1279" spans="23:35" x14ac:dyDescent="0.25">
      <c r="W1279">
        <v>1277</v>
      </c>
      <c r="X1279">
        <v>73.288476310859707</v>
      </c>
      <c r="Y1279">
        <v>-8.8476310859704199E-2</v>
      </c>
      <c r="Z1279">
        <v>73.289011908199797</v>
      </c>
      <c r="AA1279">
        <v>0.62340812613705276</v>
      </c>
      <c r="AB1279">
        <v>75.400000000000006</v>
      </c>
      <c r="AC1279">
        <v>0.29295400660571058</v>
      </c>
      <c r="AD1279">
        <v>-2.4605313205047965E-2</v>
      </c>
      <c r="AE1279">
        <v>0.68003499838711423</v>
      </c>
      <c r="AF1279">
        <v>6.0171425477208145E-3</v>
      </c>
      <c r="AG1279">
        <v>-2.4679675800073325E-2</v>
      </c>
      <c r="AH1279">
        <v>0.68560104224500362</v>
      </c>
      <c r="AI1279">
        <v>1.9406030314992017E-7</v>
      </c>
    </row>
    <row r="1280" spans="23:35" x14ac:dyDescent="0.25">
      <c r="W1280">
        <v>1278</v>
      </c>
      <c r="X1280">
        <v>72.733688340079738</v>
      </c>
      <c r="Y1280">
        <v>0.2663116599202624</v>
      </c>
      <c r="Z1280">
        <v>72.730099708276597</v>
      </c>
      <c r="AA1280">
        <v>0.60946027895694366</v>
      </c>
      <c r="AB1280">
        <v>75.400000000000006</v>
      </c>
      <c r="AC1280">
        <v>0.22222871718700732</v>
      </c>
      <c r="AD1280">
        <v>7.4061426599090263E-2</v>
      </c>
      <c r="AE1280">
        <v>0.68141474183385653</v>
      </c>
      <c r="AF1280">
        <v>1.3296139030574387E-2</v>
      </c>
      <c r="AG1280">
        <v>7.4558757074830243E-2</v>
      </c>
      <c r="AH1280">
        <v>0.68739247978548379</v>
      </c>
      <c r="AI1280">
        <v>3.9425974635492542E-6</v>
      </c>
    </row>
    <row r="1281" spans="23:35" x14ac:dyDescent="0.25">
      <c r="W1281">
        <v>1279</v>
      </c>
      <c r="X1281">
        <v>72.855079512109157</v>
      </c>
      <c r="Y1281">
        <v>-0.25507951210916247</v>
      </c>
      <c r="Z1281">
        <v>72.856286069385106</v>
      </c>
      <c r="AA1281">
        <v>0.56458459672528805</v>
      </c>
      <c r="AB1281">
        <v>75.400000000000006</v>
      </c>
      <c r="AC1281">
        <v>0.14798710972583889</v>
      </c>
      <c r="AD1281">
        <v>-7.0937759798654326E-2</v>
      </c>
      <c r="AE1281">
        <v>0.68163382403648853</v>
      </c>
      <c r="AF1281">
        <v>4.7078535280921183E-3</v>
      </c>
      <c r="AG1281">
        <v>-7.1105334008832302E-2</v>
      </c>
      <c r="AH1281">
        <v>0.69797807853550775</v>
      </c>
      <c r="AI1281">
        <v>1.2587025903796649E-6</v>
      </c>
    </row>
    <row r="1282" spans="23:35" x14ac:dyDescent="0.25">
      <c r="W1282">
        <v>1280</v>
      </c>
      <c r="X1282">
        <v>71.958408946073817</v>
      </c>
      <c r="Y1282">
        <v>4.041591053926183</v>
      </c>
      <c r="Z1282">
        <v>71.931564785567943</v>
      </c>
      <c r="AA1282">
        <v>0.80836870830806551</v>
      </c>
      <c r="AB1282">
        <v>75.400000000000006</v>
      </c>
      <c r="AC1282">
        <v>0.83794453378675593</v>
      </c>
      <c r="AD1282">
        <v>1.1239688088516906</v>
      </c>
      <c r="AE1282">
        <v>0.69366227770878153</v>
      </c>
      <c r="AF1282">
        <v>6.5981536121411406E-3</v>
      </c>
      <c r="AG1282">
        <v>1.1276953195204322</v>
      </c>
      <c r="AH1282">
        <v>0.69860869344198684</v>
      </c>
      <c r="AI1282">
        <v>4.44556960207613E-4</v>
      </c>
    </row>
    <row r="1283" spans="23:35" x14ac:dyDescent="0.25">
      <c r="W1283">
        <v>1281</v>
      </c>
      <c r="X1283">
        <v>72.139057645739612</v>
      </c>
      <c r="Y1283">
        <v>0.36094235426038779</v>
      </c>
      <c r="Z1283">
        <v>72.135296460570771</v>
      </c>
      <c r="AA1283">
        <v>0.55852031534263191</v>
      </c>
      <c r="AB1283">
        <v>75.400000000000006</v>
      </c>
      <c r="AC1283">
        <v>0.12956927093944998</v>
      </c>
      <c r="AD1283">
        <v>0.10037827740836608</v>
      </c>
      <c r="AE1283">
        <v>0.69526199222844975</v>
      </c>
      <c r="AF1283">
        <v>1.031299332802855E-2</v>
      </c>
      <c r="AG1283">
        <v>0.10089991588709231</v>
      </c>
      <c r="AH1283">
        <v>0.70026947405379514</v>
      </c>
      <c r="AI1283">
        <v>5.5836074192934835E-6</v>
      </c>
    </row>
    <row r="1284" spans="23:35" x14ac:dyDescent="0.25">
      <c r="W1284">
        <v>1282</v>
      </c>
      <c r="X1284">
        <v>70.126205345072819</v>
      </c>
      <c r="Y1284">
        <v>2.073794654927184</v>
      </c>
      <c r="Z1284">
        <v>70.106826012340917</v>
      </c>
      <c r="AA1284">
        <v>0.53911461491813217</v>
      </c>
      <c r="AB1284">
        <v>75.400000000000006</v>
      </c>
      <c r="AC1284">
        <v>7.9127168877726875E-2</v>
      </c>
      <c r="AD1284">
        <v>0.57672349255553401</v>
      </c>
      <c r="AE1284">
        <v>0.69780709079544234</v>
      </c>
      <c r="AF1284">
        <v>9.2583477752720099E-3</v>
      </c>
      <c r="AG1284">
        <v>0.5794119282117175</v>
      </c>
      <c r="AH1284">
        <v>0.70279544690154172</v>
      </c>
      <c r="AI1284">
        <v>1.6511796632286686E-4</v>
      </c>
    </row>
    <row r="1285" spans="23:35" x14ac:dyDescent="0.25">
      <c r="W1285">
        <v>1283</v>
      </c>
      <c r="X1285">
        <v>69.548966533961107</v>
      </c>
      <c r="Y1285">
        <v>2.4510334660388935</v>
      </c>
      <c r="Z1285">
        <v>69.520352691028393</v>
      </c>
      <c r="AA1285">
        <v>0.52516676773802307</v>
      </c>
      <c r="AB1285">
        <v>75.400000000000006</v>
      </c>
      <c r="AC1285">
        <v>4.1053957112594373E-2</v>
      </c>
      <c r="AD1285">
        <v>0.68163382403648853</v>
      </c>
      <c r="AE1285">
        <v>0.70120150501617085</v>
      </c>
      <c r="AF1285">
        <v>1.1539480969406459E-2</v>
      </c>
      <c r="AG1285">
        <v>0.68560104224500362</v>
      </c>
      <c r="AH1285">
        <v>0.70334409362690486</v>
      </c>
      <c r="AI1285">
        <v>2.8881269900327057E-4</v>
      </c>
    </row>
    <row r="1286" spans="23:35" x14ac:dyDescent="0.25">
      <c r="W1286">
        <v>1284</v>
      </c>
      <c r="X1286">
        <v>74.159768581738192</v>
      </c>
      <c r="Y1286">
        <v>-2.5597685817381972</v>
      </c>
      <c r="Z1286">
        <v>74.176514911707173</v>
      </c>
      <c r="AA1286">
        <v>0.49787750151607035</v>
      </c>
      <c r="AB1286">
        <v>75.400000000000006</v>
      </c>
      <c r="AC1286">
        <v>-2.1282865457297767E-2</v>
      </c>
      <c r="AD1286">
        <v>-0.7118731225806032</v>
      </c>
      <c r="AE1286">
        <v>0.70137525062566752</v>
      </c>
      <c r="AF1286">
        <v>6.499605297406826E-3</v>
      </c>
      <c r="AG1286">
        <v>-0.71419790854143772</v>
      </c>
      <c r="AH1286">
        <v>0.70413537320773678</v>
      </c>
      <c r="AI1286">
        <v>1.756315310138628E-4</v>
      </c>
    </row>
    <row r="1287" spans="23:35" x14ac:dyDescent="0.25">
      <c r="W1287">
        <v>1285</v>
      </c>
      <c r="X1287">
        <v>71.223787287491149</v>
      </c>
      <c r="Y1287">
        <v>0.17621271250885684</v>
      </c>
      <c r="Z1287">
        <v>71.222374525239942</v>
      </c>
      <c r="AA1287">
        <v>0.4887810794420861</v>
      </c>
      <c r="AB1287">
        <v>75.400000000000006</v>
      </c>
      <c r="AC1287">
        <v>-4.7140240828996732E-2</v>
      </c>
      <c r="AD1287">
        <v>4.9004857230843087E-2</v>
      </c>
      <c r="AE1287">
        <v>0.70245787814823812</v>
      </c>
      <c r="AF1287">
        <v>7.9536015490546258E-3</v>
      </c>
      <c r="AG1287">
        <v>4.9200910057824718E-2</v>
      </c>
      <c r="AH1287">
        <v>0.70597584587130169</v>
      </c>
      <c r="AI1287">
        <v>1.0214674133720164E-6</v>
      </c>
    </row>
    <row r="1288" spans="23:35" x14ac:dyDescent="0.25">
      <c r="W1288">
        <v>1286</v>
      </c>
      <c r="X1288">
        <v>71.46835176837439</v>
      </c>
      <c r="Y1288">
        <v>7.5316482316256099</v>
      </c>
      <c r="Z1288">
        <v>71.442396467972898</v>
      </c>
      <c r="AA1288">
        <v>0.89023650697392354</v>
      </c>
      <c r="AB1288">
        <v>75.400000000000006</v>
      </c>
      <c r="AC1288">
        <v>1.2070560687293583</v>
      </c>
      <c r="AD1288">
        <v>2.0945557278405418</v>
      </c>
      <c r="AE1288">
        <v>0.70308401408115517</v>
      </c>
      <c r="AF1288">
        <v>3.4343294526495496E-3</v>
      </c>
      <c r="AG1288">
        <v>2.0981617158295567</v>
      </c>
      <c r="AH1288">
        <v>0.70603744442779914</v>
      </c>
      <c r="AI1288">
        <v>7.9847320653487228E-4</v>
      </c>
    </row>
    <row r="1289" spans="23:35" x14ac:dyDescent="0.25">
      <c r="W1289">
        <v>1287</v>
      </c>
      <c r="X1289">
        <v>71.339832975645848</v>
      </c>
      <c r="Y1289">
        <v>4.660167024354152</v>
      </c>
      <c r="Z1289">
        <v>71.324147554203591</v>
      </c>
      <c r="AA1289">
        <v>0.80836870830806551</v>
      </c>
      <c r="AB1289">
        <v>75.5</v>
      </c>
      <c r="AC1289">
        <v>0.83794453378675593</v>
      </c>
      <c r="AD1289">
        <v>1.2959951438740813</v>
      </c>
      <c r="AE1289">
        <v>0.70520510676611037</v>
      </c>
      <c r="AF1289">
        <v>3.354558687229647E-3</v>
      </c>
      <c r="AG1289">
        <v>1.2981743740602556</v>
      </c>
      <c r="AH1289">
        <v>0.70624424773821337</v>
      </c>
      <c r="AI1289">
        <v>2.9854319231906802E-4</v>
      </c>
    </row>
    <row r="1290" spans="23:35" x14ac:dyDescent="0.25">
      <c r="W1290">
        <v>1288</v>
      </c>
      <c r="X1290">
        <v>71.072923030198069</v>
      </c>
      <c r="Y1290">
        <v>3.9270769698019308</v>
      </c>
      <c r="Z1290">
        <v>71.059920057174537</v>
      </c>
      <c r="AA1290">
        <v>0.76046088538508183</v>
      </c>
      <c r="AB1290">
        <v>75.5</v>
      </c>
      <c r="AC1290">
        <v>0.67020216077934069</v>
      </c>
      <c r="AD1290">
        <v>1.0921223758473313</v>
      </c>
      <c r="AE1290">
        <v>0.70535570712379569</v>
      </c>
      <c r="AF1290">
        <v>3.3001799994460696E-3</v>
      </c>
      <c r="AG1290">
        <v>1.0939289488019062</v>
      </c>
      <c r="AH1290">
        <v>0.70988130063939303</v>
      </c>
      <c r="AI1290">
        <v>2.0854408567443027E-4</v>
      </c>
    </row>
    <row r="1291" spans="23:35" x14ac:dyDescent="0.25">
      <c r="W1291">
        <v>1289</v>
      </c>
      <c r="X1291">
        <v>73.911854406137039</v>
      </c>
      <c r="Y1291">
        <v>-1.9118544061370386</v>
      </c>
      <c r="Z1291">
        <v>73.920072804040004</v>
      </c>
      <c r="AA1291">
        <v>0.52516676773802307</v>
      </c>
      <c r="AB1291">
        <v>75.5</v>
      </c>
      <c r="AC1291">
        <v>4.1053957112594373E-2</v>
      </c>
      <c r="AD1291">
        <v>-0.53168781573687418</v>
      </c>
      <c r="AE1291">
        <v>0.70546145591870812</v>
      </c>
      <c r="AF1291">
        <v>4.28025327251518E-3</v>
      </c>
      <c r="AG1291">
        <v>-0.53282936088017241</v>
      </c>
      <c r="AH1291">
        <v>0.71048012759443047</v>
      </c>
      <c r="AI1291">
        <v>6.4232532186340085E-5</v>
      </c>
    </row>
    <row r="1292" spans="23:35" x14ac:dyDescent="0.25">
      <c r="W1292">
        <v>1290</v>
      </c>
      <c r="X1292">
        <v>67.374316305049476</v>
      </c>
      <c r="Y1292">
        <v>-7.4316305049478615E-2</v>
      </c>
      <c r="Z1292">
        <v>67.374758589412309</v>
      </c>
      <c r="AA1292">
        <v>0.35112189205579136</v>
      </c>
      <c r="AB1292">
        <v>75.5</v>
      </c>
      <c r="AC1292">
        <v>-0.39787592189543292</v>
      </c>
      <c r="AD1292">
        <v>-2.066740740223515E-2</v>
      </c>
      <c r="AE1292">
        <v>0.70869264843695401</v>
      </c>
      <c r="AF1292">
        <v>5.9161678451353852E-3</v>
      </c>
      <c r="AG1292">
        <v>-2.072881593993902E-2</v>
      </c>
      <c r="AH1292">
        <v>0.71148261060986706</v>
      </c>
      <c r="AI1292">
        <v>1.3459002252700774E-7</v>
      </c>
    </row>
    <row r="1293" spans="23:35" x14ac:dyDescent="0.25">
      <c r="W1293">
        <v>1291</v>
      </c>
      <c r="X1293">
        <v>68.245368996346201</v>
      </c>
      <c r="Y1293">
        <v>-1.1453689963462068</v>
      </c>
      <c r="Z1293">
        <v>68.250492278461195</v>
      </c>
      <c r="AA1293">
        <v>0.34141904184354155</v>
      </c>
      <c r="AB1293">
        <v>75.5</v>
      </c>
      <c r="AC1293">
        <v>-0.41272795222137554</v>
      </c>
      <c r="AD1293">
        <v>-0.31852778010984167</v>
      </c>
      <c r="AE1293">
        <v>0.70974023276689024</v>
      </c>
      <c r="AF1293">
        <v>4.4531216861796036E-3</v>
      </c>
      <c r="AG1293">
        <v>-0.31923937910407557</v>
      </c>
      <c r="AH1293">
        <v>0.71404411326362149</v>
      </c>
      <c r="AI1293">
        <v>2.3992867847073691E-5</v>
      </c>
    </row>
    <row r="1294" spans="23:35" x14ac:dyDescent="0.25">
      <c r="W1294">
        <v>1292</v>
      </c>
      <c r="X1294">
        <v>67.604273598209929</v>
      </c>
      <c r="Y1294">
        <v>-0.70427359820992308</v>
      </c>
      <c r="Z1294">
        <v>67.606642413307483</v>
      </c>
      <c r="AA1294">
        <v>0.33474833232261975</v>
      </c>
      <c r="AB1294">
        <v>75.5</v>
      </c>
      <c r="AC1294">
        <v>-0.43267393579163727</v>
      </c>
      <c r="AD1294">
        <v>-0.19585889485694591</v>
      </c>
      <c r="AE1294">
        <v>0.71002863252875781</v>
      </c>
      <c r="AF1294">
        <v>3.3522118867169879E-3</v>
      </c>
      <c r="AG1294">
        <v>-0.196188002775815</v>
      </c>
      <c r="AH1294">
        <v>0.71444899490675129</v>
      </c>
      <c r="AI1294">
        <v>6.8136692091786419E-6</v>
      </c>
    </row>
    <row r="1295" spans="23:35" x14ac:dyDescent="0.25">
      <c r="W1295">
        <v>1293</v>
      </c>
      <c r="X1295">
        <v>66.693452727889664</v>
      </c>
      <c r="Y1295">
        <v>-9.3452727889669518E-2</v>
      </c>
      <c r="Z1295">
        <v>66.693659524357983</v>
      </c>
      <c r="AA1295">
        <v>0.32686476652516677</v>
      </c>
      <c r="AB1295">
        <v>75.5</v>
      </c>
      <c r="AC1295">
        <v>-0.45616451589519369</v>
      </c>
      <c r="AD1295">
        <v>-2.5989257658330978E-2</v>
      </c>
      <c r="AE1295">
        <v>0.71026153250698365</v>
      </c>
      <c r="AF1295">
        <v>2.2079598389355176E-3</v>
      </c>
      <c r="AG1295">
        <v>-2.6017996876954358E-2</v>
      </c>
      <c r="AH1295">
        <v>0.71710944697893453</v>
      </c>
      <c r="AI1295">
        <v>7.883975174721879E-8</v>
      </c>
    </row>
    <row r="1296" spans="23:35" x14ac:dyDescent="0.25">
      <c r="W1296">
        <v>1294</v>
      </c>
      <c r="X1296">
        <v>69.617913825740871</v>
      </c>
      <c r="Y1296">
        <v>-3.4179138257408681</v>
      </c>
      <c r="Z1296">
        <v>69.632241954329515</v>
      </c>
      <c r="AA1296">
        <v>0.3171619163129169</v>
      </c>
      <c r="AB1296">
        <v>75.599999999999994</v>
      </c>
      <c r="AC1296">
        <v>-0.48332360885611292</v>
      </c>
      <c r="AD1296">
        <v>-0.95052381109755235</v>
      </c>
      <c r="AE1296">
        <v>0.71361772933064516</v>
      </c>
      <c r="AF1296">
        <v>4.1745683373417743E-3</v>
      </c>
      <c r="AG1296">
        <v>-0.95251405788862009</v>
      </c>
      <c r="AH1296">
        <v>0.71769281222397541</v>
      </c>
      <c r="AI1296">
        <v>2.0017855442513313E-4</v>
      </c>
    </row>
    <row r="1297" spans="23:35" x14ac:dyDescent="0.25">
      <c r="W1297">
        <v>1295</v>
      </c>
      <c r="X1297">
        <v>69.096977505553411</v>
      </c>
      <c r="Y1297">
        <v>-3.2969775055534143</v>
      </c>
      <c r="Z1297">
        <v>69.111111322630251</v>
      </c>
      <c r="AA1297">
        <v>0.30078835657974529</v>
      </c>
      <c r="AB1297">
        <v>75.599999999999994</v>
      </c>
      <c r="AC1297">
        <v>-0.53349185558387491</v>
      </c>
      <c r="AD1297">
        <v>-0.91689135053082771</v>
      </c>
      <c r="AE1297">
        <v>0.7161680633300892</v>
      </c>
      <c r="AF1297">
        <v>4.268602200186559E-3</v>
      </c>
      <c r="AG1297">
        <v>-0.91885456010998612</v>
      </c>
      <c r="AH1297">
        <v>0.71884430701936641</v>
      </c>
      <c r="AI1297">
        <v>1.904949342888434E-4</v>
      </c>
    </row>
    <row r="1298" spans="23:35" x14ac:dyDescent="0.25">
      <c r="W1298">
        <v>1296</v>
      </c>
      <c r="X1298">
        <v>65.975280628820741</v>
      </c>
      <c r="Y1298">
        <v>-0.57528062882073527</v>
      </c>
      <c r="Z1298">
        <v>65.976492553919883</v>
      </c>
      <c r="AA1298">
        <v>0.28684050939963612</v>
      </c>
      <c r="AB1298">
        <v>75.599999999999994</v>
      </c>
      <c r="AC1298">
        <v>-0.57067028430202504</v>
      </c>
      <c r="AD1298">
        <v>-0.15998587548905019</v>
      </c>
      <c r="AE1298">
        <v>0.71744646777373866</v>
      </c>
      <c r="AF1298">
        <v>2.1022389463606407E-3</v>
      </c>
      <c r="AG1298">
        <v>-0.16015430536466521</v>
      </c>
      <c r="AH1298">
        <v>0.72076443441361404</v>
      </c>
      <c r="AI1298">
        <v>2.8439349909284176E-6</v>
      </c>
    </row>
    <row r="1299" spans="23:35" x14ac:dyDescent="0.25">
      <c r="W1299">
        <v>1297</v>
      </c>
      <c r="X1299">
        <v>65.823769091706325</v>
      </c>
      <c r="Y1299">
        <v>-0.72376909170633041</v>
      </c>
      <c r="Z1299">
        <v>65.825496430375395</v>
      </c>
      <c r="AA1299">
        <v>0.27713765918738631</v>
      </c>
      <c r="AB1299">
        <v>75.599999999999994</v>
      </c>
      <c r="AC1299">
        <v>-0.60317578841021124</v>
      </c>
      <c r="AD1299">
        <v>-0.20128060287014188</v>
      </c>
      <c r="AE1299">
        <v>0.71857560156512656</v>
      </c>
      <c r="AF1299">
        <v>2.3809058139309994E-3</v>
      </c>
      <c r="AG1299">
        <v>-0.2015206466753606</v>
      </c>
      <c r="AH1299">
        <v>0.72143150691079239</v>
      </c>
      <c r="AI1299">
        <v>5.1010896713060504E-6</v>
      </c>
    </row>
    <row r="1300" spans="23:35" x14ac:dyDescent="0.25">
      <c r="W1300">
        <v>1298</v>
      </c>
      <c r="X1300">
        <v>68.952260176134075</v>
      </c>
      <c r="Y1300">
        <v>-4.2522601761340724</v>
      </c>
      <c r="Z1300">
        <v>68.975782591112647</v>
      </c>
      <c r="AA1300">
        <v>0.26197695573074592</v>
      </c>
      <c r="AB1300">
        <v>75.599999999999994</v>
      </c>
      <c r="AC1300">
        <v>-0.64941472986293491</v>
      </c>
      <c r="AD1300">
        <v>-1.1825560135417368</v>
      </c>
      <c r="AE1300">
        <v>0.72013843066662775</v>
      </c>
      <c r="AF1300">
        <v>5.5013122106494445E-3</v>
      </c>
      <c r="AG1300">
        <v>-1.1858223013071747</v>
      </c>
      <c r="AH1300">
        <v>0.72243836329235345</v>
      </c>
      <c r="AI1300">
        <v>4.093998740905595E-4</v>
      </c>
    </row>
    <row r="1301" spans="23:35" x14ac:dyDescent="0.25">
      <c r="W1301">
        <v>1299</v>
      </c>
      <c r="X1301">
        <v>64.478934708318121</v>
      </c>
      <c r="Y1301">
        <v>-0.17893470831812408</v>
      </c>
      <c r="Z1301">
        <v>64.479821835529123</v>
      </c>
      <c r="AA1301">
        <v>0.2498483929654336</v>
      </c>
      <c r="AB1301">
        <v>75.599999999999994</v>
      </c>
      <c r="AC1301">
        <v>-0.68742774275107121</v>
      </c>
      <c r="AD1301">
        <v>-4.9761845839195559E-2</v>
      </c>
      <c r="AE1301">
        <v>0.72113198636283604</v>
      </c>
      <c r="AF1301">
        <v>4.9333675656823284E-3</v>
      </c>
      <c r="AG1301">
        <v>-4.988504861864989E-2</v>
      </c>
      <c r="AH1301">
        <v>0.72303314344121616</v>
      </c>
      <c r="AI1301">
        <v>6.4934949876647456E-7</v>
      </c>
    </row>
    <row r="1302" spans="23:35" x14ac:dyDescent="0.25">
      <c r="W1302">
        <v>1300</v>
      </c>
      <c r="X1302">
        <v>65.347468270383899</v>
      </c>
      <c r="Y1302">
        <v>-1.5474682703839022</v>
      </c>
      <c r="Z1302">
        <v>65.373165639679527</v>
      </c>
      <c r="AA1302">
        <v>0.23650697392359005</v>
      </c>
      <c r="AB1302">
        <v>75.599999999999994</v>
      </c>
      <c r="AC1302">
        <v>-0.72448350403832318</v>
      </c>
      <c r="AD1302">
        <v>-0.43035182070425965</v>
      </c>
      <c r="AE1302">
        <v>0.72136681627097698</v>
      </c>
      <c r="AF1302">
        <v>1.6334814750254653E-2</v>
      </c>
      <c r="AG1302">
        <v>-0.43391033492525694</v>
      </c>
      <c r="AH1302">
        <v>0.72781212370276349</v>
      </c>
      <c r="AI1302">
        <v>1.6455584029772624E-4</v>
      </c>
    </row>
    <row r="1303" spans="23:35" x14ac:dyDescent="0.25">
      <c r="W1303">
        <v>1301</v>
      </c>
      <c r="X1303">
        <v>64.97405192323437</v>
      </c>
      <c r="Y1303">
        <v>-1.5740519232343715</v>
      </c>
      <c r="Z1303">
        <v>64.990763769330826</v>
      </c>
      <c r="AA1303">
        <v>0.22922983626440266</v>
      </c>
      <c r="AB1303">
        <v>75.7</v>
      </c>
      <c r="AC1303">
        <v>-0.74639716414434454</v>
      </c>
      <c r="AD1303">
        <v>-0.43774474993203072</v>
      </c>
      <c r="AE1303">
        <v>0.72537108934425354</v>
      </c>
      <c r="AF1303">
        <v>1.0505548604169723E-2</v>
      </c>
      <c r="AG1303">
        <v>-0.44006240152794474</v>
      </c>
      <c r="AH1303">
        <v>0.73322818944917145</v>
      </c>
      <c r="AI1303">
        <v>1.082132152708503E-4</v>
      </c>
    </row>
    <row r="1304" spans="23:35" x14ac:dyDescent="0.25">
      <c r="W1304">
        <v>1302</v>
      </c>
      <c r="X1304">
        <v>64.553345402814699</v>
      </c>
      <c r="Y1304">
        <v>1.8466545971853066</v>
      </c>
      <c r="Z1304">
        <v>64.54880374197036</v>
      </c>
      <c r="AA1304">
        <v>0.32201334141904187</v>
      </c>
      <c r="AB1304">
        <v>75.7</v>
      </c>
      <c r="AC1304">
        <v>-0.46970075330452549</v>
      </c>
      <c r="AD1304">
        <v>0.51355571117037035</v>
      </c>
      <c r="AE1304">
        <v>0.72948562950727724</v>
      </c>
      <c r="AF1304">
        <v>2.4533653979932199E-3</v>
      </c>
      <c r="AG1304">
        <v>0.51418684261097791</v>
      </c>
      <c r="AH1304">
        <v>0.73333180579374346</v>
      </c>
      <c r="AI1304">
        <v>3.4222942358481313E-5</v>
      </c>
    </row>
    <row r="1305" spans="23:35" x14ac:dyDescent="0.25">
      <c r="W1305">
        <v>1303</v>
      </c>
      <c r="X1305">
        <v>64.092665567841294</v>
      </c>
      <c r="Y1305">
        <v>1.9073344321587058</v>
      </c>
      <c r="Z1305">
        <v>64.087215702274435</v>
      </c>
      <c r="AA1305">
        <v>0.31109763493026077</v>
      </c>
      <c r="AB1305">
        <v>75.7</v>
      </c>
      <c r="AC1305">
        <v>-0.50738317096904828</v>
      </c>
      <c r="AD1305">
        <v>0.5304308083601551</v>
      </c>
      <c r="AE1305">
        <v>0.73142972672948781</v>
      </c>
      <c r="AF1305">
        <v>2.8491793734056734E-3</v>
      </c>
      <c r="AG1305">
        <v>0.53118807319151484</v>
      </c>
      <c r="AH1305">
        <v>0.73454828264296435</v>
      </c>
      <c r="AI1305">
        <v>4.2432827331472614E-5</v>
      </c>
    </row>
    <row r="1306" spans="23:35" x14ac:dyDescent="0.25">
      <c r="W1306">
        <v>1304</v>
      </c>
      <c r="X1306">
        <v>66.770758236212231</v>
      </c>
      <c r="Y1306">
        <v>-1.1707582362122366</v>
      </c>
      <c r="Z1306">
        <v>66.7978639855979</v>
      </c>
      <c r="AA1306">
        <v>0.29411764705882354</v>
      </c>
      <c r="AB1306">
        <v>75.7</v>
      </c>
      <c r="AC1306">
        <v>-0.55287102664223609</v>
      </c>
      <c r="AD1306">
        <v>-0.32558854239605806</v>
      </c>
      <c r="AE1306">
        <v>0.7324866091328196</v>
      </c>
      <c r="AF1306">
        <v>2.2628403317544583E-2</v>
      </c>
      <c r="AG1306">
        <v>-0.32933603801089512</v>
      </c>
      <c r="AH1306">
        <v>0.73747455089315905</v>
      </c>
      <c r="AI1306">
        <v>1.321658060657112E-4</v>
      </c>
    </row>
    <row r="1307" spans="23:35" x14ac:dyDescent="0.25">
      <c r="W1307">
        <v>1305</v>
      </c>
      <c r="X1307">
        <v>66.285543864238448</v>
      </c>
      <c r="Y1307">
        <v>-1.3855438642384428</v>
      </c>
      <c r="Z1307">
        <v>66.296495830213161</v>
      </c>
      <c r="AA1307">
        <v>0.26622195269860521</v>
      </c>
      <c r="AB1307">
        <v>75.7</v>
      </c>
      <c r="AC1307">
        <v>-0.62890421763218984</v>
      </c>
      <c r="AD1307">
        <v>-0.3853205497342469</v>
      </c>
      <c r="AE1307">
        <v>0.73405161338602976</v>
      </c>
      <c r="AF1307">
        <v>7.8424623531032009E-3</v>
      </c>
      <c r="AG1307">
        <v>-0.38684042623294579</v>
      </c>
      <c r="AH1307">
        <v>0.73980958494247473</v>
      </c>
      <c r="AI1307">
        <v>6.2256100099436113E-5</v>
      </c>
    </row>
    <row r="1308" spans="23:35" x14ac:dyDescent="0.25">
      <c r="W1308">
        <v>1306</v>
      </c>
      <c r="X1308">
        <v>62.781288366409107</v>
      </c>
      <c r="Y1308">
        <v>1.5187116335908897</v>
      </c>
      <c r="Z1308">
        <v>62.772854873643674</v>
      </c>
      <c r="AA1308">
        <v>0.2498483929654336</v>
      </c>
      <c r="AB1308">
        <v>75.7</v>
      </c>
      <c r="AC1308">
        <v>-0.68742774275107121</v>
      </c>
      <c r="AD1308">
        <v>0.42235458338569809</v>
      </c>
      <c r="AE1308">
        <v>0.73418847219920347</v>
      </c>
      <c r="AF1308">
        <v>5.5223911728409054E-3</v>
      </c>
      <c r="AG1308">
        <v>0.42352563950801819</v>
      </c>
      <c r="AH1308">
        <v>0.74292358483707577</v>
      </c>
      <c r="AI1308">
        <v>5.2424943348021428E-5</v>
      </c>
    </row>
    <row r="1309" spans="23:35" x14ac:dyDescent="0.25">
      <c r="W1309">
        <v>1307</v>
      </c>
      <c r="X1309">
        <v>62.340970407322779</v>
      </c>
      <c r="Y1309">
        <v>1.1590295926772214</v>
      </c>
      <c r="Z1309">
        <v>62.334745118238416</v>
      </c>
      <c r="AA1309">
        <v>0.23226197695573075</v>
      </c>
      <c r="AB1309">
        <v>75.8</v>
      </c>
      <c r="AC1309">
        <v>-0.74038552290047832</v>
      </c>
      <c r="AD1309">
        <v>0.32232679984773888</v>
      </c>
      <c r="AE1309">
        <v>0.73869932315612041</v>
      </c>
      <c r="AF1309">
        <v>5.3424269503606556E-3</v>
      </c>
      <c r="AG1309">
        <v>0.3231912688570156</v>
      </c>
      <c r="AH1309">
        <v>0.74425261612523375</v>
      </c>
      <c r="AI1309">
        <v>2.9527769177387575E-5</v>
      </c>
    </row>
    <row r="1310" spans="23:35" x14ac:dyDescent="0.25">
      <c r="W1310">
        <v>1308</v>
      </c>
      <c r="X1310">
        <v>61.219879400243592</v>
      </c>
      <c r="Y1310">
        <v>1.5801205997564054</v>
      </c>
      <c r="Z1310">
        <v>61.207371314510326</v>
      </c>
      <c r="AA1310">
        <v>0.21467556094602788</v>
      </c>
      <c r="AB1310">
        <v>75.8</v>
      </c>
      <c r="AC1310">
        <v>-0.79968509868701798</v>
      </c>
      <c r="AD1310">
        <v>0.43943245238157724</v>
      </c>
      <c r="AE1310">
        <v>0.73892539795543</v>
      </c>
      <c r="AF1310">
        <v>7.8537363085471462E-3</v>
      </c>
      <c r="AG1310">
        <v>0.4411682769341625</v>
      </c>
      <c r="AH1310">
        <v>0.74438982860941139</v>
      </c>
      <c r="AI1310">
        <v>8.1087808952017221E-5</v>
      </c>
    </row>
    <row r="1311" spans="23:35" x14ac:dyDescent="0.25">
      <c r="W1311">
        <v>1309</v>
      </c>
      <c r="X1311">
        <v>64.05470808170142</v>
      </c>
      <c r="Y1311">
        <v>-1.9547080817014191</v>
      </c>
      <c r="Z1311">
        <v>64.103530296905149</v>
      </c>
      <c r="AA1311">
        <v>0.20133414190418436</v>
      </c>
      <c r="AB1311">
        <v>75.8</v>
      </c>
      <c r="AC1311">
        <v>-0.84444052159937644</v>
      </c>
      <c r="AD1311">
        <v>-0.54360544768833619</v>
      </c>
      <c r="AE1311">
        <v>0.74219381775750803</v>
      </c>
      <c r="AF1311">
        <v>2.4368094297919259E-2</v>
      </c>
      <c r="AG1311">
        <v>-0.55035232193750461</v>
      </c>
      <c r="AH1311">
        <v>0.74520623314777124</v>
      </c>
      <c r="AI1311">
        <v>3.9816545469169648E-4</v>
      </c>
    </row>
    <row r="1312" spans="23:35" x14ac:dyDescent="0.25">
      <c r="W1312">
        <v>1310</v>
      </c>
      <c r="X1312">
        <v>60.303570266629819</v>
      </c>
      <c r="Y1312">
        <v>0.99642973337017793</v>
      </c>
      <c r="Z1312">
        <v>60.298317659264889</v>
      </c>
      <c r="AA1312">
        <v>0.18253486961795026</v>
      </c>
      <c r="AB1312">
        <v>75.8</v>
      </c>
      <c r="AC1312">
        <v>-0.91148934236618206</v>
      </c>
      <c r="AD1312">
        <v>0.27710768496295812</v>
      </c>
      <c r="AE1312">
        <v>0.74372351603173359</v>
      </c>
      <c r="AF1312">
        <v>5.2437855309246774E-3</v>
      </c>
      <c r="AG1312">
        <v>0.27783710153231433</v>
      </c>
      <c r="AH1312">
        <v>0.74745111426459898</v>
      </c>
      <c r="AI1312">
        <v>2.1416827478868717E-5</v>
      </c>
    </row>
    <row r="1313" spans="23:35" x14ac:dyDescent="0.25">
      <c r="W1313">
        <v>1311</v>
      </c>
      <c r="X1313">
        <v>59.743667101891468</v>
      </c>
      <c r="Y1313">
        <v>5.256332898108532</v>
      </c>
      <c r="Z1313">
        <v>59.715107576910746</v>
      </c>
      <c r="AA1313">
        <v>0.27289266221952696</v>
      </c>
      <c r="AB1313">
        <v>75.8</v>
      </c>
      <c r="AC1313">
        <v>-0.62335641379693996</v>
      </c>
      <c r="AD1313">
        <v>1.4617892180545455</v>
      </c>
      <c r="AE1313">
        <v>0.74577644460489634</v>
      </c>
      <c r="AF1313">
        <v>5.403993628318008E-3</v>
      </c>
      <c r="AG1313">
        <v>1.4657550486150561</v>
      </c>
      <c r="AH1313">
        <v>0.74842797906860181</v>
      </c>
      <c r="AI1313">
        <v>6.1438034536678713E-4</v>
      </c>
    </row>
    <row r="1314" spans="23:35" x14ac:dyDescent="0.25">
      <c r="W1314">
        <v>1312</v>
      </c>
      <c r="X1314">
        <v>59.595813793088716</v>
      </c>
      <c r="Y1314">
        <v>0.10418620691128666</v>
      </c>
      <c r="Z1314">
        <v>59.595038124871095</v>
      </c>
      <c r="AA1314">
        <v>0.16919345057610674</v>
      </c>
      <c r="AB1314">
        <v>75.8</v>
      </c>
      <c r="AC1314">
        <v>-0.96823093621551704</v>
      </c>
      <c r="AD1314">
        <v>2.897424438009295E-2</v>
      </c>
      <c r="AE1314">
        <v>0.74625738780667827</v>
      </c>
      <c r="AF1314">
        <v>7.3899996228600625E-3</v>
      </c>
      <c r="AG1314">
        <v>2.9081901264690721E-2</v>
      </c>
      <c r="AH1314">
        <v>0.74875819705991342</v>
      </c>
      <c r="AI1314">
        <v>3.3140401087706948E-7</v>
      </c>
    </row>
    <row r="1315" spans="23:35" x14ac:dyDescent="0.25">
      <c r="W1315">
        <v>1313</v>
      </c>
      <c r="X1315">
        <v>74.354168471492741</v>
      </c>
      <c r="Y1315">
        <v>1.0458315285072644</v>
      </c>
      <c r="Z1315">
        <v>74.347673983957179</v>
      </c>
      <c r="AA1315">
        <v>0.77986658580958157</v>
      </c>
      <c r="AB1315">
        <v>75.8</v>
      </c>
      <c r="AC1315">
        <v>0.74840704313415274</v>
      </c>
      <c r="AD1315">
        <v>0.29084635275356147</v>
      </c>
      <c r="AE1315">
        <v>0.7480720540709529</v>
      </c>
      <c r="AF1315">
        <v>6.1715546670497584E-3</v>
      </c>
      <c r="AG1315">
        <v>0.29174801548511814</v>
      </c>
      <c r="AH1315">
        <v>0.75308592975054367</v>
      </c>
      <c r="AI1315">
        <v>2.7819247451475027E-5</v>
      </c>
    </row>
    <row r="1316" spans="23:35" x14ac:dyDescent="0.25">
      <c r="W1316">
        <v>1314</v>
      </c>
      <c r="X1316">
        <v>74.583711130186103</v>
      </c>
      <c r="Y1316">
        <v>0.71628886981389428</v>
      </c>
      <c r="Z1316">
        <v>74.579448069851793</v>
      </c>
      <c r="AA1316">
        <v>0.77258944815039421</v>
      </c>
      <c r="AB1316">
        <v>75.900000000000006</v>
      </c>
      <c r="AC1316">
        <v>0.72844171022016913</v>
      </c>
      <c r="AD1316">
        <v>0.19920034883696347</v>
      </c>
      <c r="AE1316">
        <v>0.74918208024229416</v>
      </c>
      <c r="AF1316">
        <v>5.9163818122470015E-3</v>
      </c>
      <c r="AG1316">
        <v>0.19979224922767844</v>
      </c>
      <c r="AH1316">
        <v>0.75424960022145038</v>
      </c>
      <c r="AI1316">
        <v>1.2503654006246554E-5</v>
      </c>
    </row>
    <row r="1317" spans="23:35" x14ac:dyDescent="0.25">
      <c r="W1317">
        <v>1315</v>
      </c>
      <c r="X1317">
        <v>74.925813587296972</v>
      </c>
      <c r="Y1317">
        <v>-2.5813587296966034E-2</v>
      </c>
      <c r="Z1317">
        <v>74.925911874022788</v>
      </c>
      <c r="AA1317">
        <v>0.74833232261976956</v>
      </c>
      <c r="AB1317">
        <v>75.900000000000006</v>
      </c>
      <c r="AC1317">
        <v>0.64941472986293525</v>
      </c>
      <c r="AD1317">
        <v>-7.1787735521076203E-3</v>
      </c>
      <c r="AE1317">
        <v>0.74943403305254597</v>
      </c>
      <c r="AF1317">
        <v>3.79311530027768E-3</v>
      </c>
      <c r="AG1317">
        <v>-7.1924273651732167E-3</v>
      </c>
      <c r="AH1317">
        <v>0.7548097284559232</v>
      </c>
      <c r="AI1317">
        <v>1.0366779804388958E-8</v>
      </c>
    </row>
    <row r="1318" spans="23:35" x14ac:dyDescent="0.25">
      <c r="W1318">
        <v>1316</v>
      </c>
      <c r="X1318">
        <v>74.462480254501173</v>
      </c>
      <c r="Y1318">
        <v>0.13751974549882107</v>
      </c>
      <c r="Z1318">
        <v>74.46196078820573</v>
      </c>
      <c r="AA1318">
        <v>0.73013947847180105</v>
      </c>
      <c r="AB1318">
        <v>75.900000000000006</v>
      </c>
      <c r="AC1318">
        <v>0.59589828697336056</v>
      </c>
      <c r="AD1318">
        <v>3.8244320733970195E-2</v>
      </c>
      <c r="AE1318">
        <v>0.75189726649456612</v>
      </c>
      <c r="AF1318">
        <v>3.7631792350313279E-3</v>
      </c>
      <c r="AG1318">
        <v>3.8316484588924858E-2</v>
      </c>
      <c r="AH1318">
        <v>0.75596787706120516</v>
      </c>
      <c r="AI1318">
        <v>2.9188382433275006E-7</v>
      </c>
    </row>
    <row r="1319" spans="23:35" x14ac:dyDescent="0.25">
      <c r="W1319">
        <v>1317</v>
      </c>
      <c r="X1319">
        <v>73.74916338655224</v>
      </c>
      <c r="Y1319">
        <v>0.65083661344776544</v>
      </c>
      <c r="Z1319">
        <v>73.745820831735429</v>
      </c>
      <c r="AA1319">
        <v>0.71376591873862949</v>
      </c>
      <c r="AB1319">
        <v>75.900000000000006</v>
      </c>
      <c r="AC1319">
        <v>0.54051528578164909</v>
      </c>
      <c r="AD1319">
        <v>0.18099803849855658</v>
      </c>
      <c r="AE1319">
        <v>0.75301731122331739</v>
      </c>
      <c r="AF1319">
        <v>5.1095402895139129E-3</v>
      </c>
      <c r="AG1319">
        <v>0.18146222648334254</v>
      </c>
      <c r="AH1319">
        <v>0.75869089544323653</v>
      </c>
      <c r="AI1319">
        <v>8.9007259847051672E-6</v>
      </c>
    </row>
    <row r="1320" spans="23:35" x14ac:dyDescent="0.25">
      <c r="W1320">
        <v>1318</v>
      </c>
      <c r="X1320">
        <v>74.405433816487104</v>
      </c>
      <c r="Y1320">
        <v>-0.30543381648710977</v>
      </c>
      <c r="Z1320">
        <v>74.406659178095197</v>
      </c>
      <c r="AA1320">
        <v>0.69254093389933291</v>
      </c>
      <c r="AB1320">
        <v>76</v>
      </c>
      <c r="AC1320">
        <v>0.48161589062349974</v>
      </c>
      <c r="AD1320">
        <v>-8.494132095985997E-2</v>
      </c>
      <c r="AE1320">
        <v>0.75619686824215138</v>
      </c>
      <c r="AF1320">
        <v>3.9958419496990364E-3</v>
      </c>
      <c r="AG1320">
        <v>-8.5111537295019371E-2</v>
      </c>
      <c r="AH1320">
        <v>0.75984705636034189</v>
      </c>
      <c r="AI1320">
        <v>1.5295737409998025E-6</v>
      </c>
    </row>
    <row r="1321" spans="23:35" x14ac:dyDescent="0.25">
      <c r="W1321">
        <v>1319</v>
      </c>
      <c r="X1321">
        <v>73.212303807886457</v>
      </c>
      <c r="Y1321">
        <v>0.78769619211354325</v>
      </c>
      <c r="Z1321">
        <v>73.207538617045529</v>
      </c>
      <c r="AA1321">
        <v>0.68465736810187994</v>
      </c>
      <c r="AB1321">
        <v>76</v>
      </c>
      <c r="AC1321">
        <v>0.4663087141536239</v>
      </c>
      <c r="AD1321">
        <v>0.21905876645456421</v>
      </c>
      <c r="AE1321">
        <v>0.75871350093216683</v>
      </c>
      <c r="AF1321">
        <v>6.013152114942022E-3</v>
      </c>
      <c r="AG1321">
        <v>0.21972036853206445</v>
      </c>
      <c r="AH1321">
        <v>0.76475093382967407</v>
      </c>
      <c r="AI1321">
        <v>1.537122886742145E-5</v>
      </c>
    </row>
    <row r="1322" spans="23:35" x14ac:dyDescent="0.25">
      <c r="W1322">
        <v>1320</v>
      </c>
      <c r="X1322">
        <v>73.370017529240059</v>
      </c>
      <c r="Y1322">
        <v>0.42998247075993845</v>
      </c>
      <c r="Z1322">
        <v>73.367427025824767</v>
      </c>
      <c r="AA1322">
        <v>0.66767738023044265</v>
      </c>
      <c r="AB1322">
        <v>76</v>
      </c>
      <c r="AC1322">
        <v>0.4143837514429769</v>
      </c>
      <c r="AD1322">
        <v>0.11957837372429563</v>
      </c>
      <c r="AE1322">
        <v>0.75923415751054557</v>
      </c>
      <c r="AF1322">
        <v>5.9885928385321014E-3</v>
      </c>
      <c r="AG1322">
        <v>0.11993804306408919</v>
      </c>
      <c r="AH1322">
        <v>0.76637028744721314</v>
      </c>
      <c r="AI1322">
        <v>4.5613535362792262E-6</v>
      </c>
    </row>
    <row r="1323" spans="23:35" x14ac:dyDescent="0.25">
      <c r="W1323">
        <v>1321</v>
      </c>
      <c r="X1323">
        <v>73.79243082809667</v>
      </c>
      <c r="Y1323">
        <v>-0.19243082809667555</v>
      </c>
      <c r="Z1323">
        <v>73.792985007358126</v>
      </c>
      <c r="AA1323">
        <v>0.65433596118859916</v>
      </c>
      <c r="AB1323">
        <v>76</v>
      </c>
      <c r="AC1323">
        <v>0.3716850598056044</v>
      </c>
      <c r="AD1323">
        <v>-5.3515124552756199E-2</v>
      </c>
      <c r="AE1323">
        <v>0.76413565896094526</v>
      </c>
      <c r="AF1323">
        <v>2.8716182103814799E-3</v>
      </c>
      <c r="AG1323">
        <v>-5.3592127938842396E-2</v>
      </c>
      <c r="AH1323">
        <v>0.7672377119974203</v>
      </c>
      <c r="AI1323">
        <v>4.3533543908199184E-7</v>
      </c>
    </row>
    <row r="1324" spans="23:35" x14ac:dyDescent="0.25">
      <c r="W1324">
        <v>1322</v>
      </c>
      <c r="X1324">
        <v>73.622932090198233</v>
      </c>
      <c r="Y1324">
        <v>-0.62293209019823337</v>
      </c>
      <c r="Z1324">
        <v>73.625660519848481</v>
      </c>
      <c r="AA1324">
        <v>0.60946027895694366</v>
      </c>
      <c r="AB1324">
        <v>76</v>
      </c>
      <c r="AC1324">
        <v>0.22222871718700732</v>
      </c>
      <c r="AD1324">
        <v>-0.17323777444910937</v>
      </c>
      <c r="AE1324">
        <v>0.76636376505879822</v>
      </c>
      <c r="AF1324">
        <v>4.3608787252615525E-3</v>
      </c>
      <c r="AG1324">
        <v>-0.17361674885912015</v>
      </c>
      <c r="AH1324">
        <v>0.76865947438229965</v>
      </c>
      <c r="AI1324">
        <v>6.9486701145293404E-6</v>
      </c>
    </row>
    <row r="1325" spans="23:35" x14ac:dyDescent="0.25">
      <c r="W1325">
        <v>1323</v>
      </c>
      <c r="X1325">
        <v>73.198323319323492</v>
      </c>
      <c r="Y1325">
        <v>-0.19832331932349234</v>
      </c>
      <c r="Z1325">
        <v>73.198755301572163</v>
      </c>
      <c r="AA1325">
        <v>0.60946027895694366</v>
      </c>
      <c r="AB1325">
        <v>76</v>
      </c>
      <c r="AC1325">
        <v>0.22222871718700732</v>
      </c>
      <c r="AD1325">
        <v>-5.5153829769836599E-2</v>
      </c>
      <c r="AE1325">
        <v>0.76753305523053517</v>
      </c>
      <c r="AF1325">
        <v>2.1734376153019867E-3</v>
      </c>
      <c r="AG1325">
        <v>-5.5213864352770897E-2</v>
      </c>
      <c r="AH1325">
        <v>0.76902610765896873</v>
      </c>
      <c r="AI1325">
        <v>3.4949004143757741E-7</v>
      </c>
    </row>
    <row r="1326" spans="23:35" x14ac:dyDescent="0.25">
      <c r="W1326">
        <v>1324</v>
      </c>
      <c r="X1326">
        <v>74.920197749082263</v>
      </c>
      <c r="Y1326">
        <v>-1.9201977490822628</v>
      </c>
      <c r="Z1326">
        <v>74.930947123056598</v>
      </c>
      <c r="AA1326">
        <v>0.60946027895694366</v>
      </c>
      <c r="AB1326">
        <v>76</v>
      </c>
      <c r="AC1326">
        <v>0.22222871718700732</v>
      </c>
      <c r="AD1326">
        <v>-0.53400810423386968</v>
      </c>
      <c r="AE1326">
        <v>0.76777731422430406</v>
      </c>
      <c r="AF1326">
        <v>5.5668919391834272E-3</v>
      </c>
      <c r="AG1326">
        <v>-0.53550072176883701</v>
      </c>
      <c r="AH1326">
        <v>0.76930545088321212</v>
      </c>
      <c r="AI1326">
        <v>8.4489693810887957E-5</v>
      </c>
    </row>
    <row r="1327" spans="23:35" x14ac:dyDescent="0.25">
      <c r="W1327">
        <v>1325</v>
      </c>
      <c r="X1327">
        <v>73.205722141785259</v>
      </c>
      <c r="Y1327">
        <v>-0.30572214178525314</v>
      </c>
      <c r="Z1327">
        <v>73.207715608379559</v>
      </c>
      <c r="AA1327">
        <v>0.58762886597938147</v>
      </c>
      <c r="AB1327">
        <v>76</v>
      </c>
      <c r="AC1327">
        <v>0.206674078513852</v>
      </c>
      <c r="AD1327">
        <v>-8.5021504391976685E-2</v>
      </c>
      <c r="AE1327">
        <v>0.76797883113950727</v>
      </c>
      <c r="AF1327">
        <v>6.4782758495581308E-3</v>
      </c>
      <c r="AG1327">
        <v>-8.5298246106403713E-2</v>
      </c>
      <c r="AH1327">
        <v>0.77384608747510486</v>
      </c>
      <c r="AI1327">
        <v>2.4969432425642278E-6</v>
      </c>
    </row>
    <row r="1328" spans="23:35" x14ac:dyDescent="0.25">
      <c r="W1328">
        <v>1326</v>
      </c>
      <c r="X1328">
        <v>72.630006114079833</v>
      </c>
      <c r="Y1328">
        <v>6.9993885920169419E-2</v>
      </c>
      <c r="Z1328">
        <v>72.62927565313754</v>
      </c>
      <c r="AA1328">
        <v>0.57246816252274102</v>
      </c>
      <c r="AB1328">
        <v>76</v>
      </c>
      <c r="AC1328">
        <v>0.16337348484333708</v>
      </c>
      <c r="AD1328">
        <v>1.9465340143251124E-2</v>
      </c>
      <c r="AE1328">
        <v>0.77258128959849515</v>
      </c>
      <c r="AF1328">
        <v>1.0328281202946252E-2</v>
      </c>
      <c r="AG1328">
        <v>1.9566647322315757E-2</v>
      </c>
      <c r="AH1328">
        <v>0.77520284710876808</v>
      </c>
      <c r="AI1328">
        <v>2.1028879248911483E-7</v>
      </c>
    </row>
    <row r="1329" spans="23:35" x14ac:dyDescent="0.25">
      <c r="W1329">
        <v>1327</v>
      </c>
      <c r="X1329">
        <v>72.004258432374144</v>
      </c>
      <c r="Y1329">
        <v>0.59574156762585062</v>
      </c>
      <c r="Z1329">
        <v>72.001508606100288</v>
      </c>
      <c r="AA1329">
        <v>0.56458459672528805</v>
      </c>
      <c r="AB1329">
        <v>76</v>
      </c>
      <c r="AC1329">
        <v>0.14798710972583889</v>
      </c>
      <c r="AD1329">
        <v>0.1656760744007961</v>
      </c>
      <c r="AE1329">
        <v>0.77311679316742288</v>
      </c>
      <c r="AF1329">
        <v>4.5945961828176667E-3</v>
      </c>
      <c r="AG1329">
        <v>0.16605799832503182</v>
      </c>
      <c r="AH1329">
        <v>0.77558968340026235</v>
      </c>
      <c r="AI1329">
        <v>6.6990520102760922E-6</v>
      </c>
    </row>
    <row r="1330" spans="23:35" x14ac:dyDescent="0.25">
      <c r="W1330">
        <v>1328</v>
      </c>
      <c r="X1330">
        <v>74.140827920352336</v>
      </c>
      <c r="Y1330">
        <v>-1.7408279203523307</v>
      </c>
      <c r="Z1330">
        <v>74.14819101130594</v>
      </c>
      <c r="AA1330">
        <v>0.55124317768344455</v>
      </c>
      <c r="AB1330">
        <v>76</v>
      </c>
      <c r="AC1330">
        <v>0.11578501997911882</v>
      </c>
      <c r="AD1330">
        <v>-0.48412525115657373</v>
      </c>
      <c r="AE1330">
        <v>0.77427583959129898</v>
      </c>
      <c r="AF1330">
        <v>4.2118343510417046E-3</v>
      </c>
      <c r="AG1330">
        <v>-0.48514801074491309</v>
      </c>
      <c r="AH1330">
        <v>0.77576654105572973</v>
      </c>
      <c r="AI1330">
        <v>5.2396132373918228E-5</v>
      </c>
    </row>
    <row r="1331" spans="23:35" x14ac:dyDescent="0.25">
      <c r="W1331">
        <v>1329</v>
      </c>
      <c r="X1331">
        <v>71.367086930635764</v>
      </c>
      <c r="Y1331">
        <v>0.93291306936423268</v>
      </c>
      <c r="Z1331">
        <v>71.363783560011981</v>
      </c>
      <c r="AA1331">
        <v>0.54578532443905392</v>
      </c>
      <c r="AB1331">
        <v>76</v>
      </c>
      <c r="AC1331">
        <v>9.896716322379942E-2</v>
      </c>
      <c r="AD1331">
        <v>0.25944366397903318</v>
      </c>
      <c r="AE1331">
        <v>0.77455350099069198</v>
      </c>
      <c r="AF1331">
        <v>3.5284262086097847E-3</v>
      </c>
      <c r="AG1331">
        <v>0.25990259272073329</v>
      </c>
      <c r="AH1331">
        <v>0.77576721647057556</v>
      </c>
      <c r="AI1331">
        <v>1.2588783017928596E-5</v>
      </c>
    </row>
    <row r="1332" spans="23:35" x14ac:dyDescent="0.25">
      <c r="W1332">
        <v>1330</v>
      </c>
      <c r="X1332">
        <v>71.608689073789563</v>
      </c>
      <c r="Y1332">
        <v>0.5913109262104399</v>
      </c>
      <c r="Z1332">
        <v>71.605827888777242</v>
      </c>
      <c r="AA1332">
        <v>0.53911461491813217</v>
      </c>
      <c r="AB1332">
        <v>76</v>
      </c>
      <c r="AC1332">
        <v>7.9127168877726875E-2</v>
      </c>
      <c r="AD1332">
        <v>0.16444391046147561</v>
      </c>
      <c r="AE1332">
        <v>0.77516968319220159</v>
      </c>
      <c r="AF1332">
        <v>4.8154145209491749E-3</v>
      </c>
      <c r="AG1332">
        <v>0.16484127895643255</v>
      </c>
      <c r="AH1332">
        <v>0.77658229082408514</v>
      </c>
      <c r="AI1332">
        <v>6.9200365355034195E-6</v>
      </c>
    </row>
    <row r="1333" spans="23:35" x14ac:dyDescent="0.25">
      <c r="W1333">
        <v>1331</v>
      </c>
      <c r="X1333">
        <v>71.475655645977909</v>
      </c>
      <c r="Y1333">
        <v>0.72434435402209374</v>
      </c>
      <c r="Z1333">
        <v>71.472286248820353</v>
      </c>
      <c r="AA1333">
        <v>0.53911461491813217</v>
      </c>
      <c r="AB1333">
        <v>76</v>
      </c>
      <c r="AC1333">
        <v>7.9127168877726875E-2</v>
      </c>
      <c r="AD1333">
        <v>0.20144058365275908</v>
      </c>
      <c r="AE1333">
        <v>0.77536158037450809</v>
      </c>
      <c r="AF1333">
        <v>4.6301133544612667E-3</v>
      </c>
      <c r="AG1333">
        <v>0.20190855572228453</v>
      </c>
      <c r="AH1333">
        <v>0.77661631205995352</v>
      </c>
      <c r="AI1333">
        <v>9.9807452182827933E-6</v>
      </c>
    </row>
    <row r="1334" spans="23:35" x14ac:dyDescent="0.25">
      <c r="W1334">
        <v>1332</v>
      </c>
      <c r="X1334">
        <v>70.080751825020783</v>
      </c>
      <c r="Y1334">
        <v>2.1192481749792194</v>
      </c>
      <c r="Z1334">
        <v>70.066691724493609</v>
      </c>
      <c r="AA1334">
        <v>0.53911461491813217</v>
      </c>
      <c r="AB1334">
        <v>76</v>
      </c>
      <c r="AC1334">
        <v>7.9127168877726875E-2</v>
      </c>
      <c r="AD1334">
        <v>0.58936414276218296</v>
      </c>
      <c r="AE1334">
        <v>0.77536995537780695</v>
      </c>
      <c r="AF1334">
        <v>6.5907495361084761E-3</v>
      </c>
      <c r="AG1334">
        <v>0.59131597181626572</v>
      </c>
      <c r="AH1334">
        <v>0.77802363028429167</v>
      </c>
      <c r="AI1334">
        <v>1.2209341083884516E-4</v>
      </c>
    </row>
    <row r="1335" spans="23:35" x14ac:dyDescent="0.25">
      <c r="W1335">
        <v>1333</v>
      </c>
      <c r="X1335">
        <v>69.018970768978562</v>
      </c>
      <c r="Y1335">
        <v>3.1810292310214408</v>
      </c>
      <c r="Z1335">
        <v>68.99888826718454</v>
      </c>
      <c r="AA1335">
        <v>0.53911461491813217</v>
      </c>
      <c r="AB1335">
        <v>76</v>
      </c>
      <c r="AC1335">
        <v>7.9127168877726875E-2</v>
      </c>
      <c r="AD1335">
        <v>0.88464606834486526</v>
      </c>
      <c r="AE1335">
        <v>0.77623213532445434</v>
      </c>
      <c r="AF1335">
        <v>6.2736022576606858E-3</v>
      </c>
      <c r="AG1335">
        <v>0.88743415250894597</v>
      </c>
      <c r="AH1335">
        <v>0.77898024838793112</v>
      </c>
      <c r="AI1335">
        <v>2.6167897513778871E-4</v>
      </c>
    </row>
    <row r="1336" spans="23:35" x14ac:dyDescent="0.25">
      <c r="W1336">
        <v>1334</v>
      </c>
      <c r="X1336">
        <v>70.093927518894262</v>
      </c>
      <c r="Y1336">
        <v>2.0060724811057327</v>
      </c>
      <c r="Z1336">
        <v>70.087360939866613</v>
      </c>
      <c r="AA1336">
        <v>0.5312310491206792</v>
      </c>
      <c r="AB1336">
        <v>76.099999999999994</v>
      </c>
      <c r="AC1336">
        <v>6.3887210036911155E-2</v>
      </c>
      <c r="AD1336">
        <v>0.55788991686038802</v>
      </c>
      <c r="AE1336">
        <v>0.77800808927944731</v>
      </c>
      <c r="AF1336">
        <v>3.2626709665554902E-3</v>
      </c>
      <c r="AG1336">
        <v>0.55880225558130137</v>
      </c>
      <c r="AH1336">
        <v>0.78368691089706122</v>
      </c>
      <c r="AI1336">
        <v>5.3796652790810805E-5</v>
      </c>
    </row>
    <row r="1337" spans="23:35" x14ac:dyDescent="0.25">
      <c r="W1337">
        <v>1335</v>
      </c>
      <c r="X1337">
        <v>70.372609427306656</v>
      </c>
      <c r="Y1337">
        <v>1.7273905726933378</v>
      </c>
      <c r="Z1337">
        <v>70.367613854144295</v>
      </c>
      <c r="AA1337">
        <v>0.5312310491206792</v>
      </c>
      <c r="AB1337">
        <v>76.099999999999994</v>
      </c>
      <c r="AC1337">
        <v>6.3887210036911155E-2</v>
      </c>
      <c r="AD1337">
        <v>0.48038831700344303</v>
      </c>
      <c r="AE1337">
        <v>0.77829284524230791</v>
      </c>
      <c r="AF1337">
        <v>2.8836372158193902E-3</v>
      </c>
      <c r="AG1337">
        <v>0.48108245140303146</v>
      </c>
      <c r="AH1337">
        <v>0.78423276743727799</v>
      </c>
      <c r="AI1337">
        <v>3.5227368981136017E-5</v>
      </c>
    </row>
    <row r="1338" spans="23:35" x14ac:dyDescent="0.25">
      <c r="W1338">
        <v>1336</v>
      </c>
      <c r="X1338">
        <v>69.974401224012468</v>
      </c>
      <c r="Y1338">
        <v>2.1255987759875268</v>
      </c>
      <c r="Z1338">
        <v>69.961440740081699</v>
      </c>
      <c r="AA1338">
        <v>0.5312310491206792</v>
      </c>
      <c r="AB1338">
        <v>76.099999999999994</v>
      </c>
      <c r="AC1338">
        <v>6.3887210036911155E-2</v>
      </c>
      <c r="AD1338">
        <v>0.59113024857436447</v>
      </c>
      <c r="AE1338">
        <v>0.78280772343134031</v>
      </c>
      <c r="AF1338">
        <v>6.0603810114997839E-3</v>
      </c>
      <c r="AG1338">
        <v>0.59292966886382936</v>
      </c>
      <c r="AH1338">
        <v>0.78475112307582406</v>
      </c>
      <c r="AI1338">
        <v>1.1282171306123294E-4</v>
      </c>
    </row>
    <row r="1339" spans="23:35" x14ac:dyDescent="0.25">
      <c r="W1339">
        <v>1337</v>
      </c>
      <c r="X1339">
        <v>70.278886023931634</v>
      </c>
      <c r="Y1339">
        <v>1.7211139760683665</v>
      </c>
      <c r="Z1339">
        <v>70.274227743544628</v>
      </c>
      <c r="AA1339">
        <v>0.52516676773802307</v>
      </c>
      <c r="AB1339">
        <v>76.099999999999994</v>
      </c>
      <c r="AC1339">
        <v>4.1053957112594373E-2</v>
      </c>
      <c r="AD1339">
        <v>0.47864279185305497</v>
      </c>
      <c r="AE1339">
        <v>0.78351318004063508</v>
      </c>
      <c r="AF1339">
        <v>2.6992439874862963E-3</v>
      </c>
      <c r="AG1339">
        <v>0.47929008939774898</v>
      </c>
      <c r="AH1339">
        <v>0.78857842661573063</v>
      </c>
      <c r="AI1339">
        <v>3.2723465565852856E-5</v>
      </c>
    </row>
    <row r="1340" spans="23:35" x14ac:dyDescent="0.25">
      <c r="W1340">
        <v>1338</v>
      </c>
      <c r="X1340">
        <v>63.259827922529034</v>
      </c>
      <c r="Y1340">
        <v>8.5401720774709631</v>
      </c>
      <c r="Z1340">
        <v>63.027330297324966</v>
      </c>
      <c r="AA1340">
        <v>0.51061249241964823</v>
      </c>
      <c r="AB1340">
        <v>76.2</v>
      </c>
      <c r="AC1340">
        <v>1.0640830227304372E-2</v>
      </c>
      <c r="AD1340">
        <v>2.3750267924753836</v>
      </c>
      <c r="AE1340">
        <v>0.78505731628393949</v>
      </c>
      <c r="AF1340">
        <v>2.6502493891132604E-2</v>
      </c>
      <c r="AG1340">
        <v>2.4071385692980343</v>
      </c>
      <c r="AH1340">
        <v>0.78869963246884911</v>
      </c>
      <c r="AI1340">
        <v>8.3023393735982016E-3</v>
      </c>
    </row>
    <row r="1341" spans="23:35" x14ac:dyDescent="0.25">
      <c r="W1341">
        <v>1339</v>
      </c>
      <c r="X1341">
        <v>60.303794862651472</v>
      </c>
      <c r="Y1341">
        <v>-12.203794862651471</v>
      </c>
      <c r="Z1341">
        <v>60.459632033096966</v>
      </c>
      <c r="AA1341">
        <v>2.1224984839296544E-2</v>
      </c>
      <c r="AB1341">
        <v>76.2</v>
      </c>
      <c r="AC1341">
        <v>-2.0597982810364517</v>
      </c>
      <c r="AD1341">
        <v>-3.393882407256358</v>
      </c>
      <c r="AE1341">
        <v>0.78517756623134405</v>
      </c>
      <c r="AF1341">
        <v>1.2608560677873934E-2</v>
      </c>
      <c r="AG1341">
        <v>-3.4154828724569519</v>
      </c>
      <c r="AH1341">
        <v>0.78945610642516406</v>
      </c>
      <c r="AI1341">
        <v>7.8401934369167516E-3</v>
      </c>
    </row>
    <row r="1342" spans="23:35" x14ac:dyDescent="0.25">
      <c r="W1342">
        <v>1340</v>
      </c>
      <c r="X1342">
        <v>66.972708355293122</v>
      </c>
      <c r="Y1342">
        <v>-12.972708355293122</v>
      </c>
      <c r="Z1342">
        <v>67.088446464596615</v>
      </c>
      <c r="AA1342">
        <v>6.9739235900545787E-2</v>
      </c>
      <c r="AB1342">
        <v>76.2</v>
      </c>
      <c r="AC1342">
        <v>-1.4984336523422108</v>
      </c>
      <c r="AD1342">
        <v>-3.6077176941280653</v>
      </c>
      <c r="AE1342">
        <v>0.78851094216168627</v>
      </c>
      <c r="AF1342">
        <v>8.8427690495242444E-3</v>
      </c>
      <c r="AG1342">
        <v>-3.6237753759145934</v>
      </c>
      <c r="AH1342">
        <v>0.78957057582757295</v>
      </c>
      <c r="AI1342">
        <v>6.1661582586797891E-3</v>
      </c>
    </row>
    <row r="1343" spans="23:35" x14ac:dyDescent="0.25">
      <c r="W1343">
        <v>1341</v>
      </c>
      <c r="X1343">
        <v>60.478893651205681</v>
      </c>
      <c r="Y1343">
        <v>-10.778893651205678</v>
      </c>
      <c r="Z1343">
        <v>60.588081156721159</v>
      </c>
      <c r="AA1343">
        <v>3.1534263189812006E-2</v>
      </c>
      <c r="AB1343">
        <v>76.2</v>
      </c>
      <c r="AC1343">
        <v>-1.8630011940066851</v>
      </c>
      <c r="AD1343">
        <v>-2.9976165565082358</v>
      </c>
      <c r="AE1343">
        <v>0.78975260323935315</v>
      </c>
      <c r="AF1343">
        <v>1.0028167860236321E-2</v>
      </c>
      <c r="AG1343">
        <v>-3.0127608553572469</v>
      </c>
      <c r="AH1343">
        <v>0.79153256036126707</v>
      </c>
      <c r="AI1343">
        <v>4.8392100805053975E-3</v>
      </c>
    </row>
    <row r="1344" spans="23:35" x14ac:dyDescent="0.25">
      <c r="W1344">
        <v>1342</v>
      </c>
      <c r="X1344">
        <v>59.571922746798037</v>
      </c>
      <c r="Y1344">
        <v>-10.671922746798039</v>
      </c>
      <c r="Z1344">
        <v>59.690710861155175</v>
      </c>
      <c r="AA1344">
        <v>2.6076409945421469E-2</v>
      </c>
      <c r="AB1344">
        <v>76.3</v>
      </c>
      <c r="AC1344">
        <v>-1.94690277624242</v>
      </c>
      <c r="AD1344">
        <v>-2.9678678861443593</v>
      </c>
      <c r="AE1344">
        <v>0.79364965690625022</v>
      </c>
      <c r="AF1344">
        <v>1.100836783466768E-2</v>
      </c>
      <c r="AG1344">
        <v>-2.984339698104892</v>
      </c>
      <c r="AH1344">
        <v>0.79703960112791605</v>
      </c>
      <c r="AI1344">
        <v>5.2176293769756292E-3</v>
      </c>
    </row>
    <row r="1345" spans="23:35" x14ac:dyDescent="0.25">
      <c r="W1345">
        <v>1343</v>
      </c>
      <c r="X1345">
        <v>58.084330561354058</v>
      </c>
      <c r="Y1345">
        <v>-9.9843305613540565</v>
      </c>
      <c r="Z1345">
        <v>58.158371525694925</v>
      </c>
      <c r="AA1345">
        <v>2.1224984839296544E-2</v>
      </c>
      <c r="AB1345">
        <v>76.3</v>
      </c>
      <c r="AC1345">
        <v>-2.0597982810364517</v>
      </c>
      <c r="AD1345">
        <v>-2.7766481018224303</v>
      </c>
      <c r="AE1345">
        <v>0.79462955399006463</v>
      </c>
      <c r="AF1345">
        <v>7.3611284045060135E-3</v>
      </c>
      <c r="AG1345">
        <v>-2.7869245027896805</v>
      </c>
      <c r="AH1345">
        <v>0.79798115167619343</v>
      </c>
      <c r="AI1345">
        <v>3.0314465990037994E-3</v>
      </c>
    </row>
    <row r="1346" spans="23:35" x14ac:dyDescent="0.25">
      <c r="W1346">
        <v>1344</v>
      </c>
      <c r="X1346">
        <v>58.473288084686892</v>
      </c>
      <c r="Y1346">
        <v>-11.373288084686891</v>
      </c>
      <c r="Z1346">
        <v>58.629853242400415</v>
      </c>
      <c r="AA1346">
        <v>1.758641600970285E-2</v>
      </c>
      <c r="AB1346">
        <v>76.3</v>
      </c>
      <c r="AC1346">
        <v>-2.1426564926871321</v>
      </c>
      <c r="AD1346">
        <v>-3.1629179921245263</v>
      </c>
      <c r="AE1346">
        <v>0.79518675780247505</v>
      </c>
      <c r="AF1346">
        <v>1.3579111062555901E-2</v>
      </c>
      <c r="AG1346">
        <v>-3.1846140107056757</v>
      </c>
      <c r="AH1346">
        <v>0.79881175267637272</v>
      </c>
      <c r="AI1346">
        <v>7.3479988865385757E-3</v>
      </c>
    </row>
    <row r="1347" spans="23:35" x14ac:dyDescent="0.25">
      <c r="W1347">
        <v>1345</v>
      </c>
      <c r="X1347">
        <v>56.236588118902695</v>
      </c>
      <c r="Y1347">
        <v>-10.036588118902692</v>
      </c>
      <c r="Z1347">
        <v>56.319624774145659</v>
      </c>
      <c r="AA1347">
        <v>1.3341419041843541E-2</v>
      </c>
      <c r="AB1347">
        <v>76.3</v>
      </c>
      <c r="AC1347">
        <v>-2.2435160869312201</v>
      </c>
      <c r="AD1347">
        <v>-2.7911809587908212</v>
      </c>
      <c r="AE1347">
        <v>0.79578558059270532</v>
      </c>
      <c r="AF1347">
        <v>8.2055073282079199E-3</v>
      </c>
      <c r="AG1347">
        <v>-2.8027034462765874</v>
      </c>
      <c r="AH1347">
        <v>0.79981524261897985</v>
      </c>
      <c r="AI1347">
        <v>3.4204593969745403E-3</v>
      </c>
    </row>
    <row r="1348" spans="23:35" x14ac:dyDescent="0.25">
      <c r="W1348">
        <v>1346</v>
      </c>
      <c r="X1348">
        <v>62.317624399133031</v>
      </c>
      <c r="Y1348">
        <v>-17.017624399133034</v>
      </c>
      <c r="Z1348">
        <v>62.483808823256716</v>
      </c>
      <c r="AA1348">
        <v>7.2771376591873865E-3</v>
      </c>
      <c r="AB1348">
        <v>76.3</v>
      </c>
      <c r="AC1348">
        <v>-2.5264513477970261</v>
      </c>
      <c r="AD1348">
        <v>-4.7326111845971965</v>
      </c>
      <c r="AE1348">
        <v>0.79658497378195858</v>
      </c>
      <c r="AF1348">
        <v>9.6709888845346696E-3</v>
      </c>
      <c r="AG1348">
        <v>-4.7556630357299623</v>
      </c>
      <c r="AH1348">
        <v>0.79994364841586407</v>
      </c>
      <c r="AI1348">
        <v>1.1624115897417825E-2</v>
      </c>
    </row>
    <row r="1349" spans="23:35" x14ac:dyDescent="0.25">
      <c r="W1349">
        <v>1347</v>
      </c>
      <c r="X1349">
        <v>67.154402797264822</v>
      </c>
      <c r="Y1349">
        <v>1.6455972027351748</v>
      </c>
      <c r="Z1349">
        <v>67.147852498714045</v>
      </c>
      <c r="AA1349">
        <v>0.41115827774408731</v>
      </c>
      <c r="AB1349">
        <v>76.3</v>
      </c>
      <c r="AC1349">
        <v>-0.23002600999886993</v>
      </c>
      <c r="AD1349">
        <v>0.45764153352703613</v>
      </c>
      <c r="AE1349">
        <v>0.7969686300859623</v>
      </c>
      <c r="AF1349">
        <v>3.964717766229444E-3</v>
      </c>
      <c r="AG1349">
        <v>0.4585514498530851</v>
      </c>
      <c r="AH1349">
        <v>0.80080444497004943</v>
      </c>
      <c r="AI1349">
        <v>4.4051438541492951E-5</v>
      </c>
    </row>
    <row r="1350" spans="23:35" x14ac:dyDescent="0.25">
      <c r="W1350">
        <v>1348</v>
      </c>
      <c r="X1350">
        <v>67.122611683958951</v>
      </c>
      <c r="Y1350">
        <v>1.6773883160410463</v>
      </c>
      <c r="Z1350">
        <v>67.115216215765116</v>
      </c>
      <c r="AA1350">
        <v>0.41115827774408731</v>
      </c>
      <c r="AB1350">
        <v>76.400000000000006</v>
      </c>
      <c r="AC1350">
        <v>-0.23002600999886993</v>
      </c>
      <c r="AD1350">
        <v>0.46648266051828818</v>
      </c>
      <c r="AE1350">
        <v>0.79768881165961936</v>
      </c>
      <c r="AF1350">
        <v>4.3895651555002331E-3</v>
      </c>
      <c r="AG1350">
        <v>0.4675098715314287</v>
      </c>
      <c r="AH1350">
        <v>0.80101265904459262</v>
      </c>
      <c r="AI1350">
        <v>5.0717756005710138E-5</v>
      </c>
    </row>
    <row r="1351" spans="23:35" x14ac:dyDescent="0.25">
      <c r="W1351">
        <v>1349</v>
      </c>
      <c r="X1351">
        <v>67.090272451813249</v>
      </c>
      <c r="Y1351">
        <v>1.6097275481867541</v>
      </c>
      <c r="Z1351">
        <v>67.082767705119267</v>
      </c>
      <c r="AA1351">
        <v>0.40873256519102485</v>
      </c>
      <c r="AB1351">
        <v>76.400000000000006</v>
      </c>
      <c r="AC1351">
        <v>-0.23783731322627524</v>
      </c>
      <c r="AD1351">
        <v>0.44766616185811259</v>
      </c>
      <c r="AE1351">
        <v>0.79845096382129166</v>
      </c>
      <c r="AF1351">
        <v>4.6404877751568315E-3</v>
      </c>
      <c r="AG1351">
        <v>0.44870848560791371</v>
      </c>
      <c r="AH1351">
        <v>0.80222657672457864</v>
      </c>
      <c r="AI1351">
        <v>4.9403603331703141E-5</v>
      </c>
    </row>
    <row r="1352" spans="23:35" x14ac:dyDescent="0.25">
      <c r="W1352">
        <v>1350</v>
      </c>
      <c r="X1352">
        <v>66.910131495999252</v>
      </c>
      <c r="Y1352">
        <v>1.5898685040007479</v>
      </c>
      <c r="Z1352">
        <v>66.903290074351034</v>
      </c>
      <c r="AA1352">
        <v>0.40388114008489995</v>
      </c>
      <c r="AB1352">
        <v>76.400000000000006</v>
      </c>
      <c r="AC1352">
        <v>-0.25193465741015014</v>
      </c>
      <c r="AD1352">
        <v>0.44214335018794249</v>
      </c>
      <c r="AE1352">
        <v>0.79879762553305333</v>
      </c>
      <c r="AF1352">
        <v>4.2846991418512091E-3</v>
      </c>
      <c r="AG1352">
        <v>0.44309363064661328</v>
      </c>
      <c r="AH1352">
        <v>0.80650668296600359</v>
      </c>
      <c r="AI1352">
        <v>4.4465437029343773E-5</v>
      </c>
    </row>
    <row r="1353" spans="23:35" x14ac:dyDescent="0.25">
      <c r="W1353">
        <v>1351</v>
      </c>
      <c r="X1353">
        <v>65.927670859244657</v>
      </c>
      <c r="Y1353">
        <v>2.3723291407553404</v>
      </c>
      <c r="Z1353">
        <v>65.881945743730356</v>
      </c>
      <c r="AA1353">
        <v>0.39599757428744692</v>
      </c>
      <c r="AB1353">
        <v>76.5</v>
      </c>
      <c r="AC1353">
        <v>-0.27396491687072577</v>
      </c>
      <c r="AD1353">
        <v>0.65974610567010505</v>
      </c>
      <c r="AE1353">
        <v>0.80226955056949012</v>
      </c>
      <c r="AF1353">
        <v>1.8909879873763705E-2</v>
      </c>
      <c r="AG1353">
        <v>0.66607385092146154</v>
      </c>
      <c r="AH1353">
        <v>0.80657283304924843</v>
      </c>
      <c r="AI1353">
        <v>4.5006064185635855E-4</v>
      </c>
    </row>
    <row r="1354" spans="23:35" x14ac:dyDescent="0.25">
      <c r="W1354">
        <v>1352</v>
      </c>
      <c r="X1354">
        <v>66.721382039611029</v>
      </c>
      <c r="Y1354">
        <v>1.378617960388965</v>
      </c>
      <c r="Z1354">
        <v>66.715094999625265</v>
      </c>
      <c r="AA1354">
        <v>0.38932686476652517</v>
      </c>
      <c r="AB1354">
        <v>76.5</v>
      </c>
      <c r="AC1354">
        <v>-0.29295400660571042</v>
      </c>
      <c r="AD1354">
        <v>0.38339445186930909</v>
      </c>
      <c r="AE1354">
        <v>0.80405720707760042</v>
      </c>
      <c r="AF1354">
        <v>4.5396904365721941E-3</v>
      </c>
      <c r="AG1354">
        <v>0.38426767217230712</v>
      </c>
      <c r="AH1354">
        <v>0.80706109040826524</v>
      </c>
      <c r="AI1354">
        <v>3.5441850427106335E-5</v>
      </c>
    </row>
    <row r="1355" spans="23:35" x14ac:dyDescent="0.25">
      <c r="W1355">
        <v>1353</v>
      </c>
      <c r="X1355">
        <v>66.23485113595197</v>
      </c>
      <c r="Y1355">
        <v>1.7651488640480295</v>
      </c>
      <c r="Z1355">
        <v>66.228208632670956</v>
      </c>
      <c r="AA1355">
        <v>0.38447543966040026</v>
      </c>
      <c r="AB1355">
        <v>76.5</v>
      </c>
      <c r="AC1355">
        <v>-0.31204933220437475</v>
      </c>
      <c r="AD1355">
        <v>0.4908889196601568</v>
      </c>
      <c r="AE1355">
        <v>0.80465464024266931</v>
      </c>
      <c r="AF1355">
        <v>3.7490324219278536E-3</v>
      </c>
      <c r="AG1355">
        <v>0.49181169434413569</v>
      </c>
      <c r="AH1355">
        <v>0.80712841557163273</v>
      </c>
      <c r="AI1355">
        <v>4.7906510880070668E-5</v>
      </c>
    </row>
    <row r="1356" spans="23:35" x14ac:dyDescent="0.25">
      <c r="W1356">
        <v>1354</v>
      </c>
      <c r="X1356">
        <v>68.52631091175769</v>
      </c>
      <c r="Y1356">
        <v>-0.92631091175769598</v>
      </c>
      <c r="Z1356">
        <v>68.545299827948753</v>
      </c>
      <c r="AA1356">
        <v>0.36264402668283807</v>
      </c>
      <c r="AB1356">
        <v>76.599999999999994</v>
      </c>
      <c r="AC1356">
        <v>-0.36030729595554811</v>
      </c>
      <c r="AD1356">
        <v>-0.25760760013143996</v>
      </c>
      <c r="AE1356">
        <v>0.8053144036008637</v>
      </c>
      <c r="AF1356">
        <v>2.0087717811466121E-2</v>
      </c>
      <c r="AG1356">
        <v>-0.2602346195657641</v>
      </c>
      <c r="AH1356">
        <v>0.80902800202932945</v>
      </c>
      <c r="AI1356">
        <v>7.306677502429929E-5</v>
      </c>
    </row>
    <row r="1357" spans="23:35" x14ac:dyDescent="0.25">
      <c r="W1357">
        <v>1355</v>
      </c>
      <c r="X1357">
        <v>68.790462399579638</v>
      </c>
      <c r="Y1357">
        <v>-1.1904623995796442</v>
      </c>
      <c r="Z1357">
        <v>68.799373372995902</v>
      </c>
      <c r="AA1357">
        <v>0.36264402668283807</v>
      </c>
      <c r="AB1357">
        <v>76.599999999999994</v>
      </c>
      <c r="AC1357">
        <v>-0.36030729595554811</v>
      </c>
      <c r="AD1357">
        <v>-0.3310682816210273</v>
      </c>
      <c r="AE1357">
        <v>0.80537985904966325</v>
      </c>
      <c r="AF1357">
        <v>7.4296908843369518E-3</v>
      </c>
      <c r="AG1357">
        <v>-0.3323050449779148</v>
      </c>
      <c r="AH1357">
        <v>0.8092895459478302</v>
      </c>
      <c r="AI1357">
        <v>4.350405442788386E-5</v>
      </c>
    </row>
    <row r="1358" spans="23:35" x14ac:dyDescent="0.25">
      <c r="W1358">
        <v>1356</v>
      </c>
      <c r="X1358">
        <v>67.497017900133898</v>
      </c>
      <c r="Y1358">
        <v>-9.7017900133891999E-2</v>
      </c>
      <c r="Z1358">
        <v>67.498754153977956</v>
      </c>
      <c r="AA1358">
        <v>0.3547604608853851</v>
      </c>
      <c r="AB1358">
        <v>76.599999999999994</v>
      </c>
      <c r="AC1358">
        <v>-0.38147581702590427</v>
      </c>
      <c r="AD1358">
        <v>-2.6980734120749691E-2</v>
      </c>
      <c r="AE1358">
        <v>0.80638007101182085</v>
      </c>
      <c r="AF1358">
        <v>1.7581577828589091E-2</v>
      </c>
      <c r="AG1358">
        <v>-2.7221090122299386E-2</v>
      </c>
      <c r="AH1358">
        <v>0.81010925870292483</v>
      </c>
      <c r="AI1358">
        <v>6.979411032882245E-7</v>
      </c>
    </row>
    <row r="1359" spans="23:35" x14ac:dyDescent="0.25">
      <c r="W1359">
        <v>1357</v>
      </c>
      <c r="X1359">
        <v>66.522638776379438</v>
      </c>
      <c r="Y1359">
        <v>0.57736122362055653</v>
      </c>
      <c r="Z1359">
        <v>66.510188745123628</v>
      </c>
      <c r="AA1359">
        <v>0.34141904184354155</v>
      </c>
      <c r="AB1359">
        <v>76.599999999999994</v>
      </c>
      <c r="AC1359">
        <v>-0.41272795222137554</v>
      </c>
      <c r="AD1359">
        <v>0.16056449010583243</v>
      </c>
      <c r="AE1359">
        <v>0.80827752892960869</v>
      </c>
      <c r="AF1359">
        <v>2.1108500648098945E-2</v>
      </c>
      <c r="AG1359">
        <v>0.1622864371840777</v>
      </c>
      <c r="AH1359">
        <v>0.8104728680175548</v>
      </c>
      <c r="AI1359">
        <v>2.9890534415375343E-5</v>
      </c>
    </row>
    <row r="1360" spans="23:35" x14ac:dyDescent="0.25">
      <c r="W1360">
        <v>1358</v>
      </c>
      <c r="X1360">
        <v>63.009877310728875</v>
      </c>
      <c r="Y1360">
        <v>3.7901226892711222</v>
      </c>
      <c r="Z1360">
        <v>62.983912253635381</v>
      </c>
      <c r="AA1360">
        <v>0.33232261976955729</v>
      </c>
      <c r="AB1360">
        <v>76.599999999999994</v>
      </c>
      <c r="AC1360">
        <v>-0.44438857281516719</v>
      </c>
      <c r="AD1360">
        <v>1.0540353112479042</v>
      </c>
      <c r="AE1360">
        <v>0.80829915260505547</v>
      </c>
      <c r="AF1360">
        <v>6.8041037888163982E-3</v>
      </c>
      <c r="AG1360">
        <v>1.0576395974931763</v>
      </c>
      <c r="AH1360">
        <v>0.8109238765184158</v>
      </c>
      <c r="AI1360">
        <v>4.0332748353580318E-4</v>
      </c>
    </row>
    <row r="1361" spans="23:35" x14ac:dyDescent="0.25">
      <c r="W1361">
        <v>1359</v>
      </c>
      <c r="X1361">
        <v>66.778325007471494</v>
      </c>
      <c r="Y1361">
        <v>-0.27832500747149425</v>
      </c>
      <c r="Z1361">
        <v>66.780402309926188</v>
      </c>
      <c r="AA1361">
        <v>0.32383262583383871</v>
      </c>
      <c r="AB1361">
        <v>76.599999999999994</v>
      </c>
      <c r="AC1361">
        <v>-0.46123068213767926</v>
      </c>
      <c r="AD1361">
        <v>-7.7402345498928576E-2</v>
      </c>
      <c r="AE1361">
        <v>0.80942248779675952</v>
      </c>
      <c r="AF1361">
        <v>7.4082929460724117E-3</v>
      </c>
      <c r="AG1361">
        <v>-7.7690658044504285E-2</v>
      </c>
      <c r="AH1361">
        <v>0.81166107988003555</v>
      </c>
      <c r="AI1361">
        <v>2.3709997264744967E-6</v>
      </c>
    </row>
    <row r="1362" spans="23:35" x14ac:dyDescent="0.25">
      <c r="W1362">
        <v>1360</v>
      </c>
      <c r="X1362">
        <v>62.801882763263663</v>
      </c>
      <c r="Y1362">
        <v>3.3981172367363399</v>
      </c>
      <c r="Z1362">
        <v>62.777928623560577</v>
      </c>
      <c r="AA1362">
        <v>0.3171619163129169</v>
      </c>
      <c r="AB1362">
        <v>76.7</v>
      </c>
      <c r="AC1362">
        <v>-0.48332360885611292</v>
      </c>
      <c r="AD1362">
        <v>0.94501836824946139</v>
      </c>
      <c r="AE1362">
        <v>0.81077679743331565</v>
      </c>
      <c r="AF1362">
        <v>6.9998948204313544E-3</v>
      </c>
      <c r="AG1362">
        <v>0.94834334894462413</v>
      </c>
      <c r="AH1362">
        <v>0.81314154267891525</v>
      </c>
      <c r="AI1362">
        <v>3.3367204599650795E-4</v>
      </c>
    </row>
    <row r="1363" spans="23:35" x14ac:dyDescent="0.25">
      <c r="W1363">
        <v>1361</v>
      </c>
      <c r="X1363">
        <v>63.052304673474211</v>
      </c>
      <c r="Y1363">
        <v>2.7476953265257862</v>
      </c>
      <c r="Z1363">
        <v>63.036210525376205</v>
      </c>
      <c r="AA1363">
        <v>0.30078835657974529</v>
      </c>
      <c r="AB1363">
        <v>76.7</v>
      </c>
      <c r="AC1363">
        <v>-0.53349185558387491</v>
      </c>
      <c r="AD1363">
        <v>0.76413565896094526</v>
      </c>
      <c r="AE1363">
        <v>0.81410369889552026</v>
      </c>
      <c r="AF1363">
        <v>5.8232178122735977E-3</v>
      </c>
      <c r="AG1363">
        <v>0.76637028744721314</v>
      </c>
      <c r="AH1363">
        <v>0.82152930187098028</v>
      </c>
      <c r="AI1363">
        <v>1.8106025785792379E-4</v>
      </c>
    </row>
    <row r="1364" spans="23:35" x14ac:dyDescent="0.25">
      <c r="W1364">
        <v>1362</v>
      </c>
      <c r="X1364">
        <v>66.17260068234863</v>
      </c>
      <c r="Y1364">
        <v>-4.1726006823486301</v>
      </c>
      <c r="Z1364">
        <v>66.232565615685772</v>
      </c>
      <c r="AA1364">
        <v>0.19890842935112188</v>
      </c>
      <c r="AB1364">
        <v>76.8</v>
      </c>
      <c r="AC1364">
        <v>-0.85973834429501084</v>
      </c>
      <c r="AD1364">
        <v>-1.1604026622627215</v>
      </c>
      <c r="AE1364">
        <v>0.81644618911895739</v>
      </c>
      <c r="AF1364">
        <v>1.4167514170344613E-2</v>
      </c>
      <c r="AG1364">
        <v>-1.1687110598212613</v>
      </c>
      <c r="AH1364">
        <v>0.82289084808144597</v>
      </c>
      <c r="AI1364">
        <v>1.0331211139224523E-3</v>
      </c>
    </row>
    <row r="1365" spans="23:35" x14ac:dyDescent="0.25">
      <c r="W1365">
        <v>1363</v>
      </c>
      <c r="X1365">
        <v>66.505714363285506</v>
      </c>
      <c r="Y1365">
        <v>2.4942856367144941</v>
      </c>
      <c r="Z1365">
        <v>66.474580111098831</v>
      </c>
      <c r="AA1365">
        <v>0.42086112795633718</v>
      </c>
      <c r="AB1365">
        <v>76.8</v>
      </c>
      <c r="AC1365">
        <v>-0.21444491222324932</v>
      </c>
      <c r="AD1365">
        <v>0.69366227770878153</v>
      </c>
      <c r="AE1365">
        <v>0.82068177300453493</v>
      </c>
      <c r="AF1365">
        <v>1.2328346792353411E-2</v>
      </c>
      <c r="AG1365">
        <v>0.69797807853550775</v>
      </c>
      <c r="AH1365">
        <v>0.82537279901294769</v>
      </c>
      <c r="AI1365">
        <v>3.2005323250468797E-4</v>
      </c>
    </row>
    <row r="1366" spans="23:35" x14ac:dyDescent="0.25">
      <c r="W1366">
        <v>1364</v>
      </c>
      <c r="X1366">
        <v>69.874280364867786</v>
      </c>
      <c r="Y1366">
        <v>-10.674280364867784</v>
      </c>
      <c r="Z1366">
        <v>69.941756391223876</v>
      </c>
      <c r="AA1366">
        <v>0.15767131594906003</v>
      </c>
      <c r="AB1366">
        <v>76.8</v>
      </c>
      <c r="AC1366">
        <v>-1.0205681915260707</v>
      </c>
      <c r="AD1366">
        <v>-2.9685235410926758</v>
      </c>
      <c r="AE1366">
        <v>0.82445320747385853</v>
      </c>
      <c r="AF1366">
        <v>6.2816567327123249E-3</v>
      </c>
      <c r="AG1366">
        <v>-2.9778913210961564</v>
      </c>
      <c r="AH1366">
        <v>0.83713631389866427</v>
      </c>
      <c r="AI1366">
        <v>2.9503597915757082E-3</v>
      </c>
    </row>
    <row r="1367" spans="23:35" x14ac:dyDescent="0.25">
      <c r="W1367">
        <v>1365</v>
      </c>
      <c r="X1367">
        <v>62.587406859463854</v>
      </c>
      <c r="Y1367">
        <v>-3.6874068594638558</v>
      </c>
      <c r="Z1367">
        <v>62.613269559262136</v>
      </c>
      <c r="AA1367">
        <v>0.14918132201334142</v>
      </c>
      <c r="AB1367">
        <v>76.8</v>
      </c>
      <c r="AC1367">
        <v>-1.0491313979639725</v>
      </c>
      <c r="AD1367">
        <v>-1.0254699795905775</v>
      </c>
      <c r="AE1367">
        <v>0.83305523750020272</v>
      </c>
      <c r="AF1367">
        <v>6.9649400307536316E-3</v>
      </c>
      <c r="AG1367">
        <v>-1.0290599117150248</v>
      </c>
      <c r="AH1367">
        <v>0.83753298971623358</v>
      </c>
      <c r="AI1367">
        <v>3.9091336485050723E-4</v>
      </c>
    </row>
    <row r="1368" spans="23:35" x14ac:dyDescent="0.25">
      <c r="W1368">
        <v>1366</v>
      </c>
      <c r="X1368">
        <v>61.253934731257218</v>
      </c>
      <c r="Y1368">
        <v>-3.2539347312572175</v>
      </c>
      <c r="Z1368">
        <v>61.280725036410999</v>
      </c>
      <c r="AA1368">
        <v>0.13159490600363857</v>
      </c>
      <c r="AB1368">
        <v>76.8</v>
      </c>
      <c r="AC1368">
        <v>-1.1375552391677688</v>
      </c>
      <c r="AD1368">
        <v>-0.90492113011271513</v>
      </c>
      <c r="AE1368">
        <v>0.83578148194950963</v>
      </c>
      <c r="AF1368">
        <v>8.1659708925477786E-3</v>
      </c>
      <c r="AG1368">
        <v>-0.90863869361072469</v>
      </c>
      <c r="AH1368">
        <v>0.83795411713295775</v>
      </c>
      <c r="AI1368">
        <v>3.577648554024933E-4</v>
      </c>
    </row>
    <row r="1369" spans="23:35" x14ac:dyDescent="0.25">
      <c r="W1369">
        <v>1367</v>
      </c>
      <c r="X1369">
        <v>56.930481852177294</v>
      </c>
      <c r="Y1369">
        <v>-0.4304818521772944</v>
      </c>
      <c r="Z1369">
        <v>56.934644532497522</v>
      </c>
      <c r="AA1369">
        <v>0.10066707095209218</v>
      </c>
      <c r="AB1369">
        <v>76.900000000000006</v>
      </c>
      <c r="AC1369">
        <v>-1.2898891601746336</v>
      </c>
      <c r="AD1369">
        <v>-0.11971725198519315</v>
      </c>
      <c r="AE1369">
        <v>0.83644413963286945</v>
      </c>
      <c r="AF1369">
        <v>9.5772062202394374E-3</v>
      </c>
      <c r="AG1369">
        <v>-0.12029468133653046</v>
      </c>
      <c r="AH1369">
        <v>0.83916797813796518</v>
      </c>
      <c r="AI1369">
        <v>7.3647407446159577E-6</v>
      </c>
    </row>
    <row r="1370" spans="23:35" x14ac:dyDescent="0.25">
      <c r="W1370">
        <v>1368</v>
      </c>
      <c r="X1370">
        <v>54.970371137842761</v>
      </c>
      <c r="Y1370">
        <v>0.32962886215723586</v>
      </c>
      <c r="Z1370">
        <v>54.96292722405056</v>
      </c>
      <c r="AA1370">
        <v>8.6719223771983017E-2</v>
      </c>
      <c r="AB1370">
        <v>76.900000000000006</v>
      </c>
      <c r="AC1370">
        <v>-1.3946242806491973</v>
      </c>
      <c r="AD1370">
        <v>9.1669977149739929E-2</v>
      </c>
      <c r="AE1370">
        <v>0.83684022829161753</v>
      </c>
      <c r="AF1370">
        <v>2.2083995870724051E-2</v>
      </c>
      <c r="AG1370">
        <v>9.2699276861928359E-2</v>
      </c>
      <c r="AH1370">
        <v>0.84179748210931327</v>
      </c>
      <c r="AI1370">
        <v>1.0213514156597059E-5</v>
      </c>
    </row>
    <row r="1371" spans="23:35" x14ac:dyDescent="0.25">
      <c r="W1371">
        <v>1369</v>
      </c>
      <c r="X1371">
        <v>52.71090074452033</v>
      </c>
      <c r="Y1371">
        <v>1.7890992554796696</v>
      </c>
      <c r="Z1371">
        <v>52.683595901350166</v>
      </c>
      <c r="AA1371">
        <v>7.4590661006670708E-2</v>
      </c>
      <c r="AB1371">
        <v>76.900000000000006</v>
      </c>
      <c r="AC1371">
        <v>-1.4445835579455348</v>
      </c>
      <c r="AD1371">
        <v>0.49754953736486041</v>
      </c>
      <c r="AE1371">
        <v>0.83725096545526279</v>
      </c>
      <c r="AF1371">
        <v>1.5032361571117871E-2</v>
      </c>
      <c r="AG1371">
        <v>0.50133190692219964</v>
      </c>
      <c r="AH1371">
        <v>0.8450871312007715</v>
      </c>
      <c r="AI1371">
        <v>2.0188420511747844E-4</v>
      </c>
    </row>
    <row r="1372" spans="23:35" x14ac:dyDescent="0.25">
      <c r="W1372">
        <v>1370</v>
      </c>
      <c r="X1372">
        <v>51.825146378179625</v>
      </c>
      <c r="Y1372">
        <v>2.1748536218203753</v>
      </c>
      <c r="Z1372">
        <v>51.740503804853404</v>
      </c>
      <c r="AA1372">
        <v>6.9739235900545787E-2</v>
      </c>
      <c r="AB1372">
        <v>76.900000000000006</v>
      </c>
      <c r="AC1372">
        <v>-1.4984336523422108</v>
      </c>
      <c r="AD1372">
        <v>0.60482804967849657</v>
      </c>
      <c r="AE1372">
        <v>0.84042982669478217</v>
      </c>
      <c r="AF1372">
        <v>3.7460816932569627E-2</v>
      </c>
      <c r="AG1372">
        <v>0.61648528531091051</v>
      </c>
      <c r="AH1372">
        <v>0.8470430704577766</v>
      </c>
      <c r="AI1372">
        <v>7.7848572857217848E-4</v>
      </c>
    </row>
    <row r="1373" spans="23:35" x14ac:dyDescent="0.25">
      <c r="W1373">
        <v>1371</v>
      </c>
      <c r="X1373">
        <v>50.904233263807036</v>
      </c>
      <c r="Y1373">
        <v>2.8957667361929609</v>
      </c>
      <c r="Z1373">
        <v>50.847669724720276</v>
      </c>
      <c r="AA1373">
        <v>6.6707095209217707E-2</v>
      </c>
      <c r="AB1373">
        <v>77</v>
      </c>
      <c r="AC1373">
        <v>-1.5078422496152202</v>
      </c>
      <c r="AD1373">
        <v>0.8053144036008637</v>
      </c>
      <c r="AE1373">
        <v>0.8406577957812823</v>
      </c>
      <c r="AF1373">
        <v>1.9158946937737668E-2</v>
      </c>
      <c r="AG1373">
        <v>0.81314154267891525</v>
      </c>
      <c r="AH1373">
        <v>0.84806908760488453</v>
      </c>
      <c r="AI1373">
        <v>6.7975388349144738E-4</v>
      </c>
    </row>
    <row r="1374" spans="23:35" x14ac:dyDescent="0.25">
      <c r="W1374">
        <v>1372</v>
      </c>
      <c r="X1374">
        <v>50.82891296718833</v>
      </c>
      <c r="Y1374">
        <v>2.8710870328116727</v>
      </c>
      <c r="Z1374">
        <v>50.770206313353079</v>
      </c>
      <c r="AA1374">
        <v>6.549423893268648E-2</v>
      </c>
      <c r="AB1374">
        <v>77</v>
      </c>
      <c r="AC1374">
        <v>-1.5125970273974985</v>
      </c>
      <c r="AD1374">
        <v>0.79845096382129166</v>
      </c>
      <c r="AE1374">
        <v>0.84401497903950873</v>
      </c>
      <c r="AF1374">
        <v>2.0037811571106581E-2</v>
      </c>
      <c r="AG1374">
        <v>0.80657283304924843</v>
      </c>
      <c r="AH1374">
        <v>0.85034442573270475</v>
      </c>
      <c r="AI1374">
        <v>7.0012332805791523E-4</v>
      </c>
    </row>
    <row r="1375" spans="23:35" x14ac:dyDescent="0.25">
      <c r="W1375">
        <v>1373</v>
      </c>
      <c r="X1375">
        <v>50.770486629821818</v>
      </c>
      <c r="Y1375">
        <v>3.2295133701781822</v>
      </c>
      <c r="Z1375">
        <v>50.67010349844309</v>
      </c>
      <c r="AA1375">
        <v>6.9739235900545787E-2</v>
      </c>
      <c r="AB1375">
        <v>77</v>
      </c>
      <c r="AC1375">
        <v>-1.4984336523422108</v>
      </c>
      <c r="AD1375">
        <v>0.89812953547676722</v>
      </c>
      <c r="AE1375">
        <v>0.84608371100159485</v>
      </c>
      <c r="AF1375">
        <v>3.0146021454959628E-2</v>
      </c>
      <c r="AG1375">
        <v>0.91198102593256725</v>
      </c>
      <c r="AH1375">
        <v>0.85235183913481016</v>
      </c>
      <c r="AI1375">
        <v>1.3606350581449153E-3</v>
      </c>
    </row>
    <row r="1376" spans="23:35" x14ac:dyDescent="0.25">
      <c r="W1376">
        <v>1374</v>
      </c>
      <c r="X1376">
        <v>51.382445338153666</v>
      </c>
      <c r="Y1376">
        <v>3.5175546618463329</v>
      </c>
      <c r="Z1376">
        <v>51.253427490212943</v>
      </c>
      <c r="AA1376">
        <v>7.9442086112795629E-2</v>
      </c>
      <c r="AB1376">
        <v>77</v>
      </c>
      <c r="AC1376">
        <v>-1.4191611772342045</v>
      </c>
      <c r="AD1376">
        <v>0.97823398522851757</v>
      </c>
      <c r="AE1376">
        <v>0.84726641441189243</v>
      </c>
      <c r="AF1376">
        <v>3.538057932331054E-2</v>
      </c>
      <c r="AG1376">
        <v>0.99601240188096185</v>
      </c>
      <c r="AH1376">
        <v>0.85440055341570265</v>
      </c>
      <c r="AI1376">
        <v>1.9150707791163535E-3</v>
      </c>
    </row>
    <row r="1377" spans="23:35" x14ac:dyDescent="0.25">
      <c r="W1377">
        <v>1375</v>
      </c>
      <c r="X1377">
        <v>53.306075071280205</v>
      </c>
      <c r="Y1377">
        <v>2.6939249287197953</v>
      </c>
      <c r="Z1377">
        <v>53.257053034693158</v>
      </c>
      <c r="AA1377">
        <v>9.2783505154639179E-2</v>
      </c>
      <c r="AB1377">
        <v>77</v>
      </c>
      <c r="AC1377">
        <v>-1.3329906577816031</v>
      </c>
      <c r="AD1377">
        <v>0.74918208024229416</v>
      </c>
      <c r="AE1377">
        <v>0.85325237593490733</v>
      </c>
      <c r="AF1377">
        <v>1.7872032236526232E-2</v>
      </c>
      <c r="AG1377">
        <v>0.75596787706120516</v>
      </c>
      <c r="AH1377">
        <v>0.85535201862982713</v>
      </c>
      <c r="AI1377">
        <v>5.4734221198619859E-4</v>
      </c>
    </row>
    <row r="1378" spans="23:35" x14ac:dyDescent="0.25">
      <c r="W1378">
        <v>1376</v>
      </c>
      <c r="X1378">
        <v>55.024130681176246</v>
      </c>
      <c r="Y1378">
        <v>2.2758693188237515</v>
      </c>
      <c r="Z1378">
        <v>54.982862527848766</v>
      </c>
      <c r="AA1378">
        <v>0.11643420254699818</v>
      </c>
      <c r="AB1378">
        <v>77</v>
      </c>
      <c r="AC1378">
        <v>-1.207056068729359</v>
      </c>
      <c r="AD1378">
        <v>0.63292057342008379</v>
      </c>
      <c r="AE1378">
        <v>0.8534116263191287</v>
      </c>
      <c r="AF1378">
        <v>1.7809971925905096E-2</v>
      </c>
      <c r="AG1378">
        <v>0.63863314202671484</v>
      </c>
      <c r="AH1378">
        <v>0.86361262731897526</v>
      </c>
      <c r="AI1378">
        <v>3.8923960091777088E-4</v>
      </c>
    </row>
    <row r="1379" spans="23:35" x14ac:dyDescent="0.25">
      <c r="W1379">
        <v>1377</v>
      </c>
      <c r="X1379">
        <v>80.912826506353028</v>
      </c>
      <c r="Y1379">
        <v>1.6871734936469664</v>
      </c>
      <c r="Z1379">
        <v>80.894085888331759</v>
      </c>
      <c r="AA1379">
        <v>0.97271073377804729</v>
      </c>
      <c r="AB1379">
        <v>77</v>
      </c>
      <c r="AC1379">
        <v>1.917417123160428</v>
      </c>
      <c r="AD1379">
        <v>0.46920392406805878</v>
      </c>
      <c r="AE1379">
        <v>0.85388640115097858</v>
      </c>
      <c r="AF1379">
        <v>1.0985675007369598E-2</v>
      </c>
      <c r="AG1379">
        <v>0.47180261597749429</v>
      </c>
      <c r="AH1379">
        <v>0.86379718434158625</v>
      </c>
      <c r="AI1379">
        <v>1.301341420414238E-4</v>
      </c>
    </row>
    <row r="1380" spans="23:35" x14ac:dyDescent="0.25">
      <c r="W1380">
        <v>1378</v>
      </c>
      <c r="X1380">
        <v>81.231572369370681</v>
      </c>
      <c r="Y1380">
        <v>1.1684276306293242</v>
      </c>
      <c r="Z1380">
        <v>81.225360951659113</v>
      </c>
      <c r="AA1380">
        <v>0.97089144936325045</v>
      </c>
      <c r="AB1380">
        <v>77</v>
      </c>
      <c r="AC1380">
        <v>1.8895099603334296</v>
      </c>
      <c r="AD1380">
        <v>0.32494039963594762</v>
      </c>
      <c r="AE1380">
        <v>0.85832318877233715</v>
      </c>
      <c r="AF1380">
        <v>5.2879373628310026E-3</v>
      </c>
      <c r="AG1380">
        <v>0.32580295423837996</v>
      </c>
      <c r="AH1380">
        <v>0.86659492201784094</v>
      </c>
      <c r="AI1380">
        <v>2.9699241141964634E-5</v>
      </c>
    </row>
    <row r="1381" spans="23:35" x14ac:dyDescent="0.25">
      <c r="W1381">
        <v>1379</v>
      </c>
      <c r="X1381">
        <v>81.813803006114128</v>
      </c>
      <c r="Y1381">
        <v>0.18619699388587208</v>
      </c>
      <c r="Z1381">
        <v>81.812904766695397</v>
      </c>
      <c r="AA1381">
        <v>0.96604002425712554</v>
      </c>
      <c r="AB1381">
        <v>77</v>
      </c>
      <c r="AC1381">
        <v>1.7539324289023792</v>
      </c>
      <c r="AD1381">
        <v>5.1781491654472454E-2</v>
      </c>
      <c r="AE1381">
        <v>0.86227903998395106</v>
      </c>
      <c r="AF1381">
        <v>4.8009743640679056E-3</v>
      </c>
      <c r="AG1381">
        <v>5.190624183340975E-2</v>
      </c>
      <c r="AH1381">
        <v>0.86757336283853048</v>
      </c>
      <c r="AI1381">
        <v>6.8407704193167926E-7</v>
      </c>
    </row>
    <row r="1382" spans="23:35" x14ac:dyDescent="0.25">
      <c r="W1382">
        <v>1380</v>
      </c>
      <c r="X1382">
        <v>81.667900500040588</v>
      </c>
      <c r="Y1382">
        <v>0.43209949995940633</v>
      </c>
      <c r="Z1382">
        <v>81.665341555791898</v>
      </c>
      <c r="AA1382">
        <v>0.96725288053365677</v>
      </c>
      <c r="AB1382">
        <v>77</v>
      </c>
      <c r="AC1382">
        <v>1.8295749434197284</v>
      </c>
      <c r="AD1382">
        <v>0.12016712076868515</v>
      </c>
      <c r="AE1382">
        <v>0.86346982718543608</v>
      </c>
      <c r="AF1382">
        <v>5.8872530438378286E-3</v>
      </c>
      <c r="AG1382">
        <v>0.12052241745549795</v>
      </c>
      <c r="AH1382">
        <v>0.86780683864311525</v>
      </c>
      <c r="AI1382">
        <v>4.5275069729739953E-6</v>
      </c>
    </row>
    <row r="1383" spans="23:35" x14ac:dyDescent="0.25">
      <c r="W1383">
        <v>1381</v>
      </c>
      <c r="X1383">
        <v>79.140088243390323</v>
      </c>
      <c r="Y1383">
        <v>2.7599117566096822</v>
      </c>
      <c r="Z1383">
        <v>79.127327089983609</v>
      </c>
      <c r="AA1383">
        <v>0.95997574287446941</v>
      </c>
      <c r="AB1383">
        <v>77</v>
      </c>
      <c r="AC1383">
        <v>1.7330844772440364</v>
      </c>
      <c r="AD1383">
        <v>0.76753305523053517</v>
      </c>
      <c r="AE1383">
        <v>0.86453952463303718</v>
      </c>
      <c r="AF1383">
        <v>4.6024734329864082E-3</v>
      </c>
      <c r="AG1383">
        <v>0.76930545088321212</v>
      </c>
      <c r="AH1383">
        <v>0.86860125871961114</v>
      </c>
      <c r="AI1383">
        <v>1.4402528767084712E-4</v>
      </c>
    </row>
    <row r="1384" spans="23:35" x14ac:dyDescent="0.25">
      <c r="W1384">
        <v>1382</v>
      </c>
      <c r="X1384">
        <v>81.126833100361651</v>
      </c>
      <c r="Y1384">
        <v>0.47316689963834335</v>
      </c>
      <c r="Z1384">
        <v>81.124089846404601</v>
      </c>
      <c r="AA1384">
        <v>0.95148574893875071</v>
      </c>
      <c r="AB1384">
        <v>77.099999999999994</v>
      </c>
      <c r="AC1384">
        <v>1.6445597025796697</v>
      </c>
      <c r="AD1384">
        <v>0.13158798836362173</v>
      </c>
      <c r="AE1384">
        <v>0.86601865497255237</v>
      </c>
      <c r="AF1384">
        <v>5.7642265800143221E-3</v>
      </c>
      <c r="AG1384">
        <v>0.13196888733796364</v>
      </c>
      <c r="AH1384">
        <v>0.87055480533020912</v>
      </c>
      <c r="AI1384">
        <v>5.3142400434736841E-6</v>
      </c>
    </row>
    <row r="1385" spans="23:35" x14ac:dyDescent="0.25">
      <c r="W1385">
        <v>1383</v>
      </c>
      <c r="X1385">
        <v>82.112855579865965</v>
      </c>
      <c r="Y1385">
        <v>-0.81285557986596757</v>
      </c>
      <c r="Z1385">
        <v>82.118100015675935</v>
      </c>
      <c r="AA1385">
        <v>0.94481503941782896</v>
      </c>
      <c r="AB1385">
        <v>77.099999999999994</v>
      </c>
      <c r="AC1385">
        <v>1.5725296242490356</v>
      </c>
      <c r="AD1385">
        <v>-0.22605560673509167</v>
      </c>
      <c r="AE1385">
        <v>0.86731089300628295</v>
      </c>
      <c r="AF1385">
        <v>6.4105069178263113E-3</v>
      </c>
      <c r="AG1385">
        <v>-0.22678367458949542</v>
      </c>
      <c r="AH1385">
        <v>0.87368302012386334</v>
      </c>
      <c r="AI1385">
        <v>1.7464467878664324E-5</v>
      </c>
    </row>
    <row r="1386" spans="23:35" x14ac:dyDescent="0.25">
      <c r="W1386">
        <v>1384</v>
      </c>
      <c r="X1386">
        <v>78.395069105087813</v>
      </c>
      <c r="Y1386">
        <v>10.604930894912187</v>
      </c>
      <c r="Z1386">
        <v>78.352762791235719</v>
      </c>
      <c r="AA1386">
        <v>1</v>
      </c>
      <c r="AB1386">
        <v>77.2</v>
      </c>
      <c r="AC1386">
        <v>2.6570161854420777</v>
      </c>
      <c r="AD1386">
        <v>2.9492374134017587</v>
      </c>
      <c r="AE1386">
        <v>0.86902923357243611</v>
      </c>
      <c r="AF1386">
        <v>3.9734546176232117E-3</v>
      </c>
      <c r="AG1386">
        <v>2.9551142632689715</v>
      </c>
      <c r="AH1386">
        <v>0.87701664460400219</v>
      </c>
      <c r="AI1386">
        <v>1.8335480656607238E-3</v>
      </c>
    </row>
    <row r="1387" spans="23:35" x14ac:dyDescent="0.25">
      <c r="W1387">
        <v>1385</v>
      </c>
      <c r="X1387">
        <v>80.017479460170648</v>
      </c>
      <c r="Y1387">
        <v>7.9825205398293519</v>
      </c>
      <c r="Z1387">
        <v>79.978534272191169</v>
      </c>
      <c r="AA1387">
        <v>0.99575500303214071</v>
      </c>
      <c r="AB1387">
        <v>77.2</v>
      </c>
      <c r="AC1387">
        <v>2.428517260365656</v>
      </c>
      <c r="AD1387">
        <v>2.2199435774359819</v>
      </c>
      <c r="AE1387">
        <v>0.87026707568105288</v>
      </c>
      <c r="AF1387">
        <v>4.8551211587764247E-3</v>
      </c>
      <c r="AG1387">
        <v>2.2253523280455898</v>
      </c>
      <c r="AH1387">
        <v>0.87803915928077025</v>
      </c>
      <c r="AI1387">
        <v>1.271621081717751E-3</v>
      </c>
    </row>
    <row r="1388" spans="23:35" x14ac:dyDescent="0.25">
      <c r="W1388">
        <v>1386</v>
      </c>
      <c r="X1388">
        <v>76.028077109205967</v>
      </c>
      <c r="Y1388">
        <v>4.9719228907940334</v>
      </c>
      <c r="Z1388">
        <v>75.970060437266582</v>
      </c>
      <c r="AA1388">
        <v>0.93571861734384476</v>
      </c>
      <c r="AB1388">
        <v>77.2</v>
      </c>
      <c r="AC1388">
        <v>1.4576525936309466</v>
      </c>
      <c r="AD1388">
        <v>1.3826946305810708</v>
      </c>
      <c r="AE1388">
        <v>0.872428199966641</v>
      </c>
      <c r="AF1388">
        <v>1.1534268198612875E-2</v>
      </c>
      <c r="AG1388">
        <v>1.3907384680406882</v>
      </c>
      <c r="AH1388">
        <v>0.87868480100337309</v>
      </c>
      <c r="AI1388">
        <v>1.1878613775235839E-3</v>
      </c>
    </row>
    <row r="1389" spans="23:35" x14ac:dyDescent="0.25">
      <c r="W1389">
        <v>1387</v>
      </c>
      <c r="X1389">
        <v>79.171491741437137</v>
      </c>
      <c r="Y1389">
        <v>1.8285082585628629</v>
      </c>
      <c r="Z1389">
        <v>79.163783256823763</v>
      </c>
      <c r="AA1389">
        <v>0.93571861734384476</v>
      </c>
      <c r="AB1389">
        <v>77.2</v>
      </c>
      <c r="AC1389">
        <v>1.4576525936309466</v>
      </c>
      <c r="AD1389">
        <v>0.50850920390767396</v>
      </c>
      <c r="AE1389">
        <v>0.8726864537492165</v>
      </c>
      <c r="AF1389">
        <v>4.1980254466243584E-3</v>
      </c>
      <c r="AG1389">
        <v>0.50957994362288872</v>
      </c>
      <c r="AH1389">
        <v>0.88099201288439932</v>
      </c>
      <c r="AI1389">
        <v>5.7616004182753609E-5</v>
      </c>
    </row>
    <row r="1390" spans="23:35" x14ac:dyDescent="0.25">
      <c r="W1390">
        <v>1388</v>
      </c>
      <c r="X1390">
        <v>78.884436866300547</v>
      </c>
      <c r="Y1390">
        <v>0.51556313369945883</v>
      </c>
      <c r="Z1390">
        <v>78.882542899931607</v>
      </c>
      <c r="AA1390">
        <v>0.90661006670709521</v>
      </c>
      <c r="AB1390">
        <v>77.3</v>
      </c>
      <c r="AC1390">
        <v>1.2933897637306977</v>
      </c>
      <c r="AD1390">
        <v>0.14337840556854356</v>
      </c>
      <c r="AE1390">
        <v>0.87304096966121525</v>
      </c>
      <c r="AF1390">
        <v>3.660141814053264E-3</v>
      </c>
      <c r="AG1390">
        <v>0.14364152071704589</v>
      </c>
      <c r="AH1390">
        <v>0.88190078397058103</v>
      </c>
      <c r="AI1390">
        <v>3.989300908524955E-6</v>
      </c>
    </row>
    <row r="1391" spans="23:35" x14ac:dyDescent="0.25">
      <c r="W1391">
        <v>1389</v>
      </c>
      <c r="X1391">
        <v>77.45855546640891</v>
      </c>
      <c r="Y1391">
        <v>2.0414445335910898</v>
      </c>
      <c r="Z1391">
        <v>77.448952193229943</v>
      </c>
      <c r="AA1391">
        <v>0.90964220739842327</v>
      </c>
      <c r="AB1391">
        <v>77.3</v>
      </c>
      <c r="AC1391">
        <v>1.3219841213691266</v>
      </c>
      <c r="AD1391">
        <v>0.56772690510787149</v>
      </c>
      <c r="AE1391">
        <v>0.87335189901378052</v>
      </c>
      <c r="AF1391">
        <v>4.6821303468775489E-3</v>
      </c>
      <c r="AG1391">
        <v>0.56906067629310308</v>
      </c>
      <c r="AH1391">
        <v>0.88200288827535933</v>
      </c>
      <c r="AI1391">
        <v>8.0176159429250197E-5</v>
      </c>
    </row>
    <row r="1392" spans="23:35" x14ac:dyDescent="0.25">
      <c r="W1392">
        <v>1390</v>
      </c>
      <c r="X1392">
        <v>78.366746155889118</v>
      </c>
      <c r="Y1392">
        <v>1.0332538441108881</v>
      </c>
      <c r="Z1392">
        <v>78.364558633517404</v>
      </c>
      <c r="AA1392">
        <v>0.90661006670709521</v>
      </c>
      <c r="AB1392">
        <v>77.3</v>
      </c>
      <c r="AC1392">
        <v>1.2933897637306977</v>
      </c>
      <c r="AD1392">
        <v>0.28734849145080193</v>
      </c>
      <c r="AE1392">
        <v>0.87569841412341587</v>
      </c>
      <c r="AF1392">
        <v>2.1126472657214692E-3</v>
      </c>
      <c r="AG1392">
        <v>0.2876525062451023</v>
      </c>
      <c r="AH1392">
        <v>0.88288612550649093</v>
      </c>
      <c r="AI1392">
        <v>9.2199421717802073E-6</v>
      </c>
    </row>
    <row r="1393" spans="23:35" x14ac:dyDescent="0.25">
      <c r="W1393">
        <v>1391</v>
      </c>
      <c r="X1393">
        <v>78.157444219114907</v>
      </c>
      <c r="Y1393">
        <v>0.94255578088508685</v>
      </c>
      <c r="Z1393">
        <v>78.154965363198258</v>
      </c>
      <c r="AA1393">
        <v>0.89326864766525171</v>
      </c>
      <c r="AB1393">
        <v>77.3</v>
      </c>
      <c r="AC1393">
        <v>1.2294035019788656</v>
      </c>
      <c r="AD1393">
        <v>0.26212530762817637</v>
      </c>
      <c r="AE1393">
        <v>0.87720917271165155</v>
      </c>
      <c r="AF1393">
        <v>2.6230318129206085E-3</v>
      </c>
      <c r="AG1393">
        <v>0.26246976693272051</v>
      </c>
      <c r="AH1393">
        <v>0.88352304698801554</v>
      </c>
      <c r="AI1393">
        <v>9.5356256468246847E-6</v>
      </c>
    </row>
    <row r="1394" spans="23:35" x14ac:dyDescent="0.25">
      <c r="W1394">
        <v>1392</v>
      </c>
      <c r="X1394">
        <v>72.354223253739448</v>
      </c>
      <c r="Y1394">
        <v>2.3457767462605545</v>
      </c>
      <c r="Z1394">
        <v>72.330956051059331</v>
      </c>
      <c r="AA1394">
        <v>0.7362037598544573</v>
      </c>
      <c r="AB1394">
        <v>77.3</v>
      </c>
      <c r="AC1394">
        <v>0.61415241452626612</v>
      </c>
      <c r="AD1394">
        <v>0.65236186940912244</v>
      </c>
      <c r="AE1394">
        <v>0.88059276282484333</v>
      </c>
      <c r="AF1394">
        <v>9.8213469997128974E-3</v>
      </c>
      <c r="AG1394">
        <v>0.65558919763902723</v>
      </c>
      <c r="AH1394">
        <v>0.88395669754727768</v>
      </c>
      <c r="AI1394">
        <v>2.2437138725198534E-4</v>
      </c>
    </row>
    <row r="1395" spans="23:35" x14ac:dyDescent="0.25">
      <c r="W1395">
        <v>1393</v>
      </c>
      <c r="X1395">
        <v>72.099962075641386</v>
      </c>
      <c r="Y1395">
        <v>2.5000379243586082</v>
      </c>
      <c r="Z1395">
        <v>72.075835868875913</v>
      </c>
      <c r="AA1395">
        <v>0.73013947847180105</v>
      </c>
      <c r="AB1395">
        <v>77.5</v>
      </c>
      <c r="AC1395">
        <v>0.59589828697336056</v>
      </c>
      <c r="AD1395">
        <v>0.69526199222844975</v>
      </c>
      <c r="AE1395">
        <v>0.88109315542309741</v>
      </c>
      <c r="AF1395">
        <v>9.5580974580801586E-3</v>
      </c>
      <c r="AG1395">
        <v>0.69860869344198684</v>
      </c>
      <c r="AH1395">
        <v>0.88743415250894597</v>
      </c>
      <c r="AI1395">
        <v>2.4788875090555576E-4</v>
      </c>
    </row>
    <row r="1396" spans="23:35" x14ac:dyDescent="0.25">
      <c r="W1396">
        <v>1394</v>
      </c>
      <c r="X1396">
        <v>71.805169093982698</v>
      </c>
      <c r="Y1396">
        <v>2.6948309060173017</v>
      </c>
      <c r="Z1396">
        <v>71.778841969199306</v>
      </c>
      <c r="AA1396">
        <v>0.72407519708914492</v>
      </c>
      <c r="AB1396">
        <v>77.5</v>
      </c>
      <c r="AC1396">
        <v>0.56531175535073552</v>
      </c>
      <c r="AD1396">
        <v>0.74943403305254597</v>
      </c>
      <c r="AE1396">
        <v>0.88464606834486526</v>
      </c>
      <c r="AF1396">
        <v>9.6749709077545449E-3</v>
      </c>
      <c r="AG1396">
        <v>0.75308592975054367</v>
      </c>
      <c r="AH1396">
        <v>0.89270841694194558</v>
      </c>
      <c r="AI1396">
        <v>2.9161333425343523E-4</v>
      </c>
    </row>
    <row r="1397" spans="23:35" x14ac:dyDescent="0.25">
      <c r="W1397">
        <v>1395</v>
      </c>
      <c r="X1397">
        <v>71.053487321894949</v>
      </c>
      <c r="Y1397">
        <v>3.4465126781050515</v>
      </c>
      <c r="Z1397">
        <v>71.015454757384205</v>
      </c>
      <c r="AA1397">
        <v>0.72407519708914492</v>
      </c>
      <c r="AB1397">
        <v>77.5</v>
      </c>
      <c r="AC1397">
        <v>0.56531175535073552</v>
      </c>
      <c r="AD1397">
        <v>0.95847716847522912</v>
      </c>
      <c r="AE1397">
        <v>0.8853998791687937</v>
      </c>
      <c r="AF1397">
        <v>1.0914642187912514E-2</v>
      </c>
      <c r="AG1397">
        <v>0.96375109791769231</v>
      </c>
      <c r="AH1397">
        <v>0.89450409813942988</v>
      </c>
      <c r="AI1397">
        <v>5.3945087375257845E-4</v>
      </c>
    </row>
    <row r="1398" spans="23:35" x14ac:dyDescent="0.25">
      <c r="W1398">
        <v>1396</v>
      </c>
      <c r="X1398">
        <v>71.677074131128194</v>
      </c>
      <c r="Y1398">
        <v>2.8229258688718062</v>
      </c>
      <c r="Z1398">
        <v>71.650819129639032</v>
      </c>
      <c r="AA1398">
        <v>0.72407519708914492</v>
      </c>
      <c r="AB1398">
        <v>77.599999999999994</v>
      </c>
      <c r="AC1398">
        <v>0.56531175535073552</v>
      </c>
      <c r="AD1398">
        <v>0.78505731628393949</v>
      </c>
      <c r="AE1398">
        <v>0.88776360003092514</v>
      </c>
      <c r="AF1398">
        <v>9.2149297232368196E-3</v>
      </c>
      <c r="AG1398">
        <v>0.78869963246884911</v>
      </c>
      <c r="AH1398">
        <v>0.8953963322681987</v>
      </c>
      <c r="AI1398">
        <v>3.0449646115133502E-4</v>
      </c>
    </row>
    <row r="1399" spans="23:35" x14ac:dyDescent="0.25">
      <c r="W1399">
        <v>1397</v>
      </c>
      <c r="X1399">
        <v>70.731621097403121</v>
      </c>
      <c r="Y1399">
        <v>1.0683789025968764</v>
      </c>
      <c r="Z1399">
        <v>70.721533042764193</v>
      </c>
      <c r="AA1399">
        <v>0.51061249241964823</v>
      </c>
      <c r="AB1399">
        <v>77.599999999999994</v>
      </c>
      <c r="AC1399">
        <v>1.0640830227304372E-2</v>
      </c>
      <c r="AD1399">
        <v>0.29711679052425471</v>
      </c>
      <c r="AE1399">
        <v>0.89141989839905289</v>
      </c>
      <c r="AF1399">
        <v>9.3540692844126215E-3</v>
      </c>
      <c r="AG1399">
        <v>0.29851624165759549</v>
      </c>
      <c r="AH1399">
        <v>0.8958333057041773</v>
      </c>
      <c r="AI1399">
        <v>4.4285795661037721E-5</v>
      </c>
    </row>
    <row r="1400" spans="23:35" x14ac:dyDescent="0.25">
      <c r="W1400">
        <v>1398</v>
      </c>
      <c r="X1400">
        <v>70.787547509405428</v>
      </c>
      <c r="Y1400">
        <v>1.5124524905945691</v>
      </c>
      <c r="Z1400">
        <v>70.773404764573101</v>
      </c>
      <c r="AA1400">
        <v>0.54578532443905392</v>
      </c>
      <c r="AB1400">
        <v>77.599999999999994</v>
      </c>
      <c r="AC1400">
        <v>9.896716322379942E-2</v>
      </c>
      <c r="AD1400">
        <v>0.42061391209952909</v>
      </c>
      <c r="AE1400">
        <v>0.89193046889084282</v>
      </c>
      <c r="AF1400">
        <v>9.264240123459588E-3</v>
      </c>
      <c r="AG1400">
        <v>0.42257588898206638</v>
      </c>
      <c r="AH1400">
        <v>0.89648691165023042</v>
      </c>
      <c r="AI1400">
        <v>8.7883590331812959E-5</v>
      </c>
    </row>
    <row r="1401" spans="23:35" x14ac:dyDescent="0.25">
      <c r="W1401">
        <v>1399</v>
      </c>
      <c r="X1401">
        <v>71.059989407386155</v>
      </c>
      <c r="Y1401">
        <v>2.640010592613848</v>
      </c>
      <c r="Z1401">
        <v>71.036304216751731</v>
      </c>
      <c r="AA1401">
        <v>0.66040024257125529</v>
      </c>
      <c r="AB1401">
        <v>77.599999999999994</v>
      </c>
      <c r="AC1401">
        <v>0.39787592189543292</v>
      </c>
      <c r="AD1401">
        <v>0.73418847219920347</v>
      </c>
      <c r="AE1401">
        <v>0.89301347791486607</v>
      </c>
      <c r="AF1401">
        <v>8.8918527346025754E-3</v>
      </c>
      <c r="AG1401">
        <v>0.73747455089315905</v>
      </c>
      <c r="AH1401">
        <v>0.89824462701327668</v>
      </c>
      <c r="AI1401">
        <v>2.568098577977091E-4</v>
      </c>
    </row>
    <row r="1402" spans="23:35" x14ac:dyDescent="0.25">
      <c r="W1402">
        <v>1400</v>
      </c>
      <c r="X1402">
        <v>70.976641733798445</v>
      </c>
      <c r="Y1402">
        <v>2.8233582662015522</v>
      </c>
      <c r="Z1402">
        <v>70.952130993655089</v>
      </c>
      <c r="AA1402">
        <v>0.66767738023044265</v>
      </c>
      <c r="AB1402">
        <v>77.7</v>
      </c>
      <c r="AC1402">
        <v>0.4143837514429769</v>
      </c>
      <c r="AD1402">
        <v>0.78517756623134405</v>
      </c>
      <c r="AE1402">
        <v>0.89492261558360486</v>
      </c>
      <c r="AF1402">
        <v>8.6066950722612848E-3</v>
      </c>
      <c r="AG1402">
        <v>0.78857842661573063</v>
      </c>
      <c r="AH1402">
        <v>0.90006981168187461</v>
      </c>
      <c r="AI1402">
        <v>2.8413623237230428E-4</v>
      </c>
    </row>
    <row r="1403" spans="23:35" x14ac:dyDescent="0.25">
      <c r="W1403">
        <v>1401</v>
      </c>
      <c r="X1403">
        <v>70.845108743439653</v>
      </c>
      <c r="Y1403">
        <v>3.3548912565603501</v>
      </c>
      <c r="Z1403">
        <v>70.816337668956905</v>
      </c>
      <c r="AA1403">
        <v>0.7010309278350515</v>
      </c>
      <c r="AB1403">
        <v>77.7</v>
      </c>
      <c r="AC1403">
        <v>0.5039283835636299</v>
      </c>
      <c r="AD1403">
        <v>0.93299719817025295</v>
      </c>
      <c r="AE1403">
        <v>0.89643878197842808</v>
      </c>
      <c r="AF1403">
        <v>8.5029390252080138E-3</v>
      </c>
      <c r="AG1403">
        <v>0.93698928377531432</v>
      </c>
      <c r="AH1403">
        <v>0.90197539239753188</v>
      </c>
      <c r="AI1403">
        <v>3.9627190299882243E-4</v>
      </c>
    </row>
    <row r="1404" spans="23:35" x14ac:dyDescent="0.25">
      <c r="W1404">
        <v>1402</v>
      </c>
      <c r="X1404">
        <v>69.622821633101836</v>
      </c>
      <c r="Y1404">
        <v>-0.5228216331018416</v>
      </c>
      <c r="Z1404">
        <v>69.628189338675824</v>
      </c>
      <c r="AA1404">
        <v>0.42510612492419647</v>
      </c>
      <c r="AB1404">
        <v>77.7</v>
      </c>
      <c r="AC1404">
        <v>-0.198915705174462</v>
      </c>
      <c r="AD1404">
        <v>-0.1453969984490433</v>
      </c>
      <c r="AE1404">
        <v>0.89812953547676722</v>
      </c>
      <c r="AF1404">
        <v>1.0162464822639031E-2</v>
      </c>
      <c r="AG1404">
        <v>-0.14614147349613868</v>
      </c>
      <c r="AH1404">
        <v>0.90833650658748943</v>
      </c>
      <c r="AI1404">
        <v>1.1540602952138325E-5</v>
      </c>
    </row>
    <row r="1405" spans="23:35" x14ac:dyDescent="0.25">
      <c r="W1405">
        <v>1403</v>
      </c>
      <c r="X1405">
        <v>70.762904041100171</v>
      </c>
      <c r="Y1405">
        <v>3.1370959588998346</v>
      </c>
      <c r="Z1405">
        <v>70.717747460547642</v>
      </c>
      <c r="AA1405">
        <v>0.67919951485748942</v>
      </c>
      <c r="AB1405">
        <v>77.8</v>
      </c>
      <c r="AC1405">
        <v>0.43434378704136062</v>
      </c>
      <c r="AD1405">
        <v>0.872428199966641</v>
      </c>
      <c r="AE1405">
        <v>0.89821360478712964</v>
      </c>
      <c r="AF1405">
        <v>1.419013104481516E-2</v>
      </c>
      <c r="AG1405">
        <v>0.87868480100337309</v>
      </c>
      <c r="AH1405">
        <v>0.90925492924220941</v>
      </c>
      <c r="AI1405">
        <v>5.8493266150354706E-4</v>
      </c>
    </row>
    <row r="1406" spans="23:35" x14ac:dyDescent="0.25">
      <c r="W1406">
        <v>1404</v>
      </c>
      <c r="X1406">
        <v>72.155734438579202</v>
      </c>
      <c r="Y1406">
        <v>-0.75573443857919642</v>
      </c>
      <c r="Z1406">
        <v>72.157131781399116</v>
      </c>
      <c r="AA1406">
        <v>0.4887810794420861</v>
      </c>
      <c r="AB1406">
        <v>77.8</v>
      </c>
      <c r="AC1406">
        <v>-4.7140240828996732E-2</v>
      </c>
      <c r="AD1406">
        <v>-0.21017018431711293</v>
      </c>
      <c r="AE1406">
        <v>0.90037128212124129</v>
      </c>
      <c r="AF1406">
        <v>1.8455741183356885E-3</v>
      </c>
      <c r="AG1406">
        <v>-0.2103643955081671</v>
      </c>
      <c r="AH1406">
        <v>0.91064202130283523</v>
      </c>
      <c r="AI1406">
        <v>4.3065017380080048E-6</v>
      </c>
    </row>
    <row r="1407" spans="23:35" x14ac:dyDescent="0.25">
      <c r="W1407">
        <v>1405</v>
      </c>
      <c r="X1407">
        <v>72.136068805805934</v>
      </c>
      <c r="Y1407">
        <v>-0.93606880580593099</v>
      </c>
      <c r="Z1407">
        <v>72.137677841897741</v>
      </c>
      <c r="AA1407">
        <v>0.47907822922983628</v>
      </c>
      <c r="AB1407">
        <v>77.8</v>
      </c>
      <c r="AC1407">
        <v>-6.3887210036911155E-2</v>
      </c>
      <c r="AD1407">
        <v>-0.26032127610804362</v>
      </c>
      <c r="AE1407">
        <v>0.90593386546384203</v>
      </c>
      <c r="AF1407">
        <v>1.715979646646566E-3</v>
      </c>
      <c r="AG1407">
        <v>-0.26054491697731719</v>
      </c>
      <c r="AH1407">
        <v>0.91128408123744653</v>
      </c>
      <c r="AI1407">
        <v>6.1414316346771727E-6</v>
      </c>
    </row>
    <row r="1408" spans="23:35" x14ac:dyDescent="0.25">
      <c r="W1408">
        <v>1406</v>
      </c>
      <c r="X1408">
        <v>71.879053321195812</v>
      </c>
      <c r="Y1408">
        <v>-0.57905332119581487</v>
      </c>
      <c r="Z1408">
        <v>71.879961698620804</v>
      </c>
      <c r="AA1408">
        <v>0.48089751364463312</v>
      </c>
      <c r="AB1408">
        <v>77.900000000000006</v>
      </c>
      <c r="AC1408">
        <v>-5.1706087511076533E-2</v>
      </c>
      <c r="AD1408">
        <v>-0.16103506341984361</v>
      </c>
      <c r="AE1408">
        <v>0.90753768185622063</v>
      </c>
      <c r="AF1408">
        <v>1.5662714057656478E-3</v>
      </c>
      <c r="AG1408">
        <v>-0.16116132406562719</v>
      </c>
      <c r="AH1408">
        <v>0.91198102593256725</v>
      </c>
      <c r="AI1408">
        <v>2.1444495243424176E-6</v>
      </c>
    </row>
    <row r="1409" spans="23:35" x14ac:dyDescent="0.25">
      <c r="W1409">
        <v>1407</v>
      </c>
      <c r="X1409">
        <v>71.715551261781954</v>
      </c>
      <c r="Y1409">
        <v>4.2844487382180461</v>
      </c>
      <c r="Z1409">
        <v>71.708613711683356</v>
      </c>
      <c r="AA1409">
        <v>0.80836870830806551</v>
      </c>
      <c r="AB1409">
        <v>78</v>
      </c>
      <c r="AC1409">
        <v>0.83794453378675593</v>
      </c>
      <c r="AD1409">
        <v>1.1915076712679749</v>
      </c>
      <c r="AE1409">
        <v>0.90894209667359593</v>
      </c>
      <c r="AF1409">
        <v>1.6166221431727491E-3</v>
      </c>
      <c r="AG1409">
        <v>1.1924719494232385</v>
      </c>
      <c r="AH1409">
        <v>0.91649214905815424</v>
      </c>
      <c r="AI1409">
        <v>1.2118641110018983E-4</v>
      </c>
    </row>
    <row r="1410" spans="23:35" x14ac:dyDescent="0.25">
      <c r="W1410">
        <v>1408</v>
      </c>
      <c r="X1410">
        <v>73.933057337045113</v>
      </c>
      <c r="Y1410">
        <v>-0.9330573370451134</v>
      </c>
      <c r="Z1410">
        <v>73.935731249571845</v>
      </c>
      <c r="AA1410">
        <v>0.60946027895694366</v>
      </c>
      <c r="AB1410">
        <v>78</v>
      </c>
      <c r="AC1410">
        <v>0.22222871718700732</v>
      </c>
      <c r="AD1410">
        <v>-0.25948378490449836</v>
      </c>
      <c r="AE1410">
        <v>0.91297407736287295</v>
      </c>
      <c r="AF1410">
        <v>2.8575646351032369E-3</v>
      </c>
      <c r="AG1410">
        <v>-0.25985532721758181</v>
      </c>
      <c r="AH1410">
        <v>0.91757143899228155</v>
      </c>
      <c r="AI1410">
        <v>1.0184706351031513E-5</v>
      </c>
    </row>
    <row r="1411" spans="23:35" x14ac:dyDescent="0.25">
      <c r="W1411">
        <v>1409</v>
      </c>
      <c r="X1411">
        <v>70.861943815202977</v>
      </c>
      <c r="Y1411">
        <v>-0.86194381520297725</v>
      </c>
      <c r="Z1411">
        <v>70.863351258101346</v>
      </c>
      <c r="AA1411">
        <v>0.46088538508186777</v>
      </c>
      <c r="AB1411">
        <v>78</v>
      </c>
      <c r="AC1411">
        <v>-0.10660788786182936</v>
      </c>
      <c r="AD1411">
        <v>-0.23970707336400063</v>
      </c>
      <c r="AE1411">
        <v>0.91363953142384968</v>
      </c>
      <c r="AF1411">
        <v>1.630208892570496E-3</v>
      </c>
      <c r="AG1411">
        <v>-0.23990269888066798</v>
      </c>
      <c r="AH1411">
        <v>0.92007127306490888</v>
      </c>
      <c r="AI1411">
        <v>4.946163779866459E-6</v>
      </c>
    </row>
    <row r="1412" spans="23:35" x14ac:dyDescent="0.25">
      <c r="W1412">
        <v>1410</v>
      </c>
      <c r="X1412">
        <v>70.293406379686402</v>
      </c>
      <c r="Y1412">
        <v>-0.49340637968640522</v>
      </c>
      <c r="Z1412">
        <v>70.294179803679512</v>
      </c>
      <c r="AA1412">
        <v>0.4530018192844148</v>
      </c>
      <c r="AB1412">
        <v>78</v>
      </c>
      <c r="AC1412">
        <v>-0.12344005334831042</v>
      </c>
      <c r="AD1412">
        <v>-0.13721659946698872</v>
      </c>
      <c r="AE1412">
        <v>0.92008945590151603</v>
      </c>
      <c r="AF1412">
        <v>1.5650659686067474E-3</v>
      </c>
      <c r="AG1412">
        <v>-0.13732410218517035</v>
      </c>
      <c r="AH1412">
        <v>0.92650961208380045</v>
      </c>
      <c r="AI1412">
        <v>1.5557965916202966E-6</v>
      </c>
    </row>
    <row r="1413" spans="23:35" x14ac:dyDescent="0.25">
      <c r="W1413">
        <v>1411</v>
      </c>
      <c r="X1413">
        <v>73.065105434612576</v>
      </c>
      <c r="Y1413">
        <v>-3.5651054346125761</v>
      </c>
      <c r="Z1413">
        <v>73.07416674433604</v>
      </c>
      <c r="AA1413">
        <v>0.44269254093389931</v>
      </c>
      <c r="AB1413">
        <v>78</v>
      </c>
      <c r="AC1413">
        <v>-0.15567569037416348</v>
      </c>
      <c r="AD1413">
        <v>-0.99145788262757095</v>
      </c>
      <c r="AE1413">
        <v>0.92983153662709661</v>
      </c>
      <c r="AF1413">
        <v>2.5352229964701791E-3</v>
      </c>
      <c r="AG1413">
        <v>-0.99271706076910748</v>
      </c>
      <c r="AH1413">
        <v>0.93150301889335529</v>
      </c>
      <c r="AI1413">
        <v>1.3183052069981005E-4</v>
      </c>
    </row>
    <row r="1414" spans="23:35" x14ac:dyDescent="0.25">
      <c r="W1414">
        <v>1412</v>
      </c>
      <c r="X1414">
        <v>69.63325874571612</v>
      </c>
      <c r="Y1414">
        <v>-0.33325874571612246</v>
      </c>
      <c r="Z1414">
        <v>69.63387213721002</v>
      </c>
      <c r="AA1414">
        <v>0.4329896907216495</v>
      </c>
      <c r="AB1414">
        <v>78</v>
      </c>
      <c r="AC1414">
        <v>-0.17879863688351211</v>
      </c>
      <c r="AD1414">
        <v>-9.2679449866181332E-2</v>
      </c>
      <c r="AE1414">
        <v>0.93299719817025295</v>
      </c>
      <c r="AF1414">
        <v>1.8372048024916992E-3</v>
      </c>
      <c r="AG1414">
        <v>-9.2764702919865605E-2</v>
      </c>
      <c r="AH1414">
        <v>0.93606538719705012</v>
      </c>
      <c r="AI1414">
        <v>8.3361996813019316E-7</v>
      </c>
    </row>
    <row r="1415" spans="23:35" x14ac:dyDescent="0.25">
      <c r="W1415">
        <v>1413</v>
      </c>
      <c r="X1415">
        <v>72.525195459026691</v>
      </c>
      <c r="Y1415">
        <v>-3.6251954590266848</v>
      </c>
      <c r="Z1415">
        <v>72.535129339430966</v>
      </c>
      <c r="AA1415">
        <v>0.41479684657368104</v>
      </c>
      <c r="AB1415">
        <v>78</v>
      </c>
      <c r="AC1415">
        <v>-0.22378708008709278</v>
      </c>
      <c r="AD1415">
        <v>-1.0081689531598019</v>
      </c>
      <c r="AE1415">
        <v>0.93487639126121713</v>
      </c>
      <c r="AF1415">
        <v>2.7327446912331294E-3</v>
      </c>
      <c r="AG1415">
        <v>-1.0095493171189773</v>
      </c>
      <c r="AH1415">
        <v>0.93698928377531432</v>
      </c>
      <c r="AI1415">
        <v>1.4699040198080238E-4</v>
      </c>
    </row>
    <row r="1416" spans="23:35" x14ac:dyDescent="0.25">
      <c r="W1416">
        <v>1414</v>
      </c>
      <c r="X1416">
        <v>62.375027906569599</v>
      </c>
      <c r="Y1416">
        <v>-3.9750279065696006</v>
      </c>
      <c r="Z1416">
        <v>62.401085257743588</v>
      </c>
      <c r="AA1416">
        <v>0.1406913280776228</v>
      </c>
      <c r="AB1416">
        <v>78</v>
      </c>
      <c r="AC1416">
        <v>-1.0895196306228982</v>
      </c>
      <c r="AD1416">
        <v>-1.105457559086547</v>
      </c>
      <c r="AE1416">
        <v>0.94493803766014306</v>
      </c>
      <c r="AF1416">
        <v>6.5125708390134426E-3</v>
      </c>
      <c r="AG1416">
        <v>-1.1090749227915548</v>
      </c>
      <c r="AH1416">
        <v>0.94834334894462413</v>
      </c>
      <c r="AI1416">
        <v>4.2438326944762753E-4</v>
      </c>
    </row>
    <row r="1417" spans="23:35" x14ac:dyDescent="0.25">
      <c r="W1417">
        <v>1415</v>
      </c>
      <c r="X1417">
        <v>61.121250604168928</v>
      </c>
      <c r="Y1417">
        <v>-3.5212506041689267</v>
      </c>
      <c r="Z1417">
        <v>61.14717759289141</v>
      </c>
      <c r="AA1417">
        <v>0.12431776834445118</v>
      </c>
      <c r="AB1417">
        <v>78</v>
      </c>
      <c r="AC1417">
        <v>-1.1700898139672218</v>
      </c>
      <c r="AD1417">
        <v>-0.97926182892533953</v>
      </c>
      <c r="AE1417">
        <v>0.94501836824946139</v>
      </c>
      <c r="AF1417">
        <v>7.3091882330455823E-3</v>
      </c>
      <c r="AG1417">
        <v>-0.98286037232688295</v>
      </c>
      <c r="AH1417">
        <v>0.94847137068110299</v>
      </c>
      <c r="AI1417">
        <v>3.7435634098024426E-4</v>
      </c>
    </row>
    <row r="1418" spans="23:35" x14ac:dyDescent="0.25">
      <c r="W1418">
        <v>1416</v>
      </c>
      <c r="X1418">
        <v>58.534890215652041</v>
      </c>
      <c r="Y1418">
        <v>-2.034890215652041</v>
      </c>
      <c r="Z1418">
        <v>58.554006475304746</v>
      </c>
      <c r="AA1418">
        <v>0.10066707095209218</v>
      </c>
      <c r="AB1418">
        <v>78</v>
      </c>
      <c r="AC1418">
        <v>-1.2898891601746336</v>
      </c>
      <c r="AD1418">
        <v>-0.56590414549946644</v>
      </c>
      <c r="AE1418">
        <v>0.94576977901646897</v>
      </c>
      <c r="AF1418">
        <v>9.3068156710028604E-3</v>
      </c>
      <c r="AG1418">
        <v>-0.56855605332066284</v>
      </c>
      <c r="AH1418">
        <v>0.95287301557724668</v>
      </c>
      <c r="AI1418">
        <v>1.5982875327657034E-4</v>
      </c>
    </row>
    <row r="1419" spans="23:35" x14ac:dyDescent="0.25">
      <c r="W1419">
        <v>1417</v>
      </c>
      <c r="X1419">
        <v>55.983494587541827</v>
      </c>
      <c r="Y1419">
        <v>-0.98349458754182706</v>
      </c>
      <c r="Z1419">
        <v>55.991666952869501</v>
      </c>
      <c r="AA1419">
        <v>8.1261370527592483E-2</v>
      </c>
      <c r="AB1419">
        <v>78</v>
      </c>
      <c r="AC1419">
        <v>-1.4067868590764927</v>
      </c>
      <c r="AD1419">
        <v>-0.2735104134292905</v>
      </c>
      <c r="AE1419">
        <v>0.94691128895289089</v>
      </c>
      <c r="AF1419">
        <v>8.2410382881307025E-3</v>
      </c>
      <c r="AG1419">
        <v>-0.27464443227695667</v>
      </c>
      <c r="AH1419">
        <v>0.95455837478715422</v>
      </c>
      <c r="AI1419">
        <v>3.2988593232024217E-5</v>
      </c>
    </row>
    <row r="1420" spans="23:35" x14ac:dyDescent="0.25">
      <c r="W1420">
        <v>1418</v>
      </c>
      <c r="X1420">
        <v>53.341505688857545</v>
      </c>
      <c r="Y1420">
        <v>0.25849431114245647</v>
      </c>
      <c r="Z1420">
        <v>53.339275416555857</v>
      </c>
      <c r="AA1420">
        <v>6.4887810794420867E-2</v>
      </c>
      <c r="AB1420">
        <v>78</v>
      </c>
      <c r="AC1420">
        <v>-1.5319668124298669</v>
      </c>
      <c r="AD1420">
        <v>7.1887417384171495E-2</v>
      </c>
      <c r="AE1420">
        <v>0.9496021456172431</v>
      </c>
      <c r="AF1420">
        <v>8.554131230078206E-3</v>
      </c>
      <c r="AG1420">
        <v>7.219687133884109E-2</v>
      </c>
      <c r="AH1420">
        <v>0.9556266881572677</v>
      </c>
      <c r="AI1420">
        <v>2.366955296277535E-6</v>
      </c>
    </row>
    <row r="1421" spans="23:35" x14ac:dyDescent="0.25">
      <c r="W1421">
        <v>1419</v>
      </c>
      <c r="X1421">
        <v>54.850031384026828</v>
      </c>
      <c r="Y1421">
        <v>-2.2500313840268262</v>
      </c>
      <c r="Z1421">
        <v>54.924854824608133</v>
      </c>
      <c r="AA1421">
        <v>5.5184960582171011E-2</v>
      </c>
      <c r="AB1421">
        <v>78</v>
      </c>
      <c r="AC1421">
        <v>-1.6158584342289828</v>
      </c>
      <c r="AD1421">
        <v>-0.62573502881416032</v>
      </c>
      <c r="AE1421">
        <v>0.95319380736993076</v>
      </c>
      <c r="AF1421">
        <v>3.218413459167991E-2</v>
      </c>
      <c r="AG1421">
        <v>-0.63605416231155265</v>
      </c>
      <c r="AH1421">
        <v>0.96060260255749907</v>
      </c>
      <c r="AI1421">
        <v>7.0808223004603492E-4</v>
      </c>
    </row>
    <row r="1422" spans="23:35" x14ac:dyDescent="0.25">
      <c r="W1422">
        <v>1420</v>
      </c>
      <c r="X1422">
        <v>45.054189688178752</v>
      </c>
      <c r="Y1422">
        <v>6.3458103118212463</v>
      </c>
      <c r="Z1422">
        <v>44.828014810472801</v>
      </c>
      <c r="AA1422">
        <v>4.1237113402061855E-2</v>
      </c>
      <c r="AB1422">
        <v>78</v>
      </c>
      <c r="AC1422">
        <v>-1.739949995904148</v>
      </c>
      <c r="AD1422">
        <v>1.7647735167187879</v>
      </c>
      <c r="AE1422">
        <v>0.95847716847522912</v>
      </c>
      <c r="AF1422">
        <v>3.4415001127265268E-2</v>
      </c>
      <c r="AG1422">
        <v>1.7959478549153238</v>
      </c>
      <c r="AH1422">
        <v>0.9629451685138174</v>
      </c>
      <c r="AI1422">
        <v>6.0504980151135845E-3</v>
      </c>
    </row>
    <row r="1423" spans="23:35" x14ac:dyDescent="0.25">
      <c r="W1423">
        <v>1421</v>
      </c>
      <c r="X1423">
        <v>51.093763266928264</v>
      </c>
      <c r="Y1423">
        <v>-1.0937632669282635</v>
      </c>
      <c r="Z1423">
        <v>51.145427756342492</v>
      </c>
      <c r="AA1423">
        <v>3.5779260157671314E-2</v>
      </c>
      <c r="AB1423">
        <v>78</v>
      </c>
      <c r="AC1423">
        <v>-1.8215296776288319</v>
      </c>
      <c r="AD1423">
        <v>-0.30417619692146802</v>
      </c>
      <c r="AE1423">
        <v>0.95851237971023007</v>
      </c>
      <c r="AF1423">
        <v>4.5104974214350342E-2</v>
      </c>
      <c r="AG1423">
        <v>-0.31127727088297735</v>
      </c>
      <c r="AH1423">
        <v>0.96375109791769231</v>
      </c>
      <c r="AI1423">
        <v>2.4088514977152605E-4</v>
      </c>
    </row>
    <row r="1424" spans="23:35" x14ac:dyDescent="0.25">
      <c r="W1424">
        <v>1422</v>
      </c>
      <c r="X1424">
        <v>40.620807621889931</v>
      </c>
      <c r="Y1424">
        <v>7.1791923781100664</v>
      </c>
      <c r="Z1424">
        <v>40.383698860782737</v>
      </c>
      <c r="AA1424">
        <v>1.9405700424499697E-2</v>
      </c>
      <c r="AB1424">
        <v>78</v>
      </c>
      <c r="AC1424">
        <v>-2.0994271873972417</v>
      </c>
      <c r="AD1424">
        <v>1.9965375511960162</v>
      </c>
      <c r="AE1424">
        <v>0.95868488440662469</v>
      </c>
      <c r="AF1424">
        <v>3.1971296291269276E-2</v>
      </c>
      <c r="AG1424">
        <v>2.0292397705253591</v>
      </c>
      <c r="AH1424">
        <v>0.96603538845071513</v>
      </c>
      <c r="AI1424">
        <v>7.1578919771174395E-3</v>
      </c>
    </row>
    <row r="1425" spans="23:35" x14ac:dyDescent="0.25">
      <c r="W1425">
        <v>1423</v>
      </c>
      <c r="X1425">
        <v>46.406064570479721</v>
      </c>
      <c r="Y1425">
        <v>-0.406064570479721</v>
      </c>
      <c r="Z1425">
        <v>46.433656040350918</v>
      </c>
      <c r="AA1425">
        <v>1.2128562765312311E-2</v>
      </c>
      <c r="AB1425">
        <v>78</v>
      </c>
      <c r="AC1425">
        <v>-2.3261203997549518</v>
      </c>
      <c r="AD1425">
        <v>-0.11292679182758833</v>
      </c>
      <c r="AE1425">
        <v>0.96475806156470201</v>
      </c>
      <c r="AF1425">
        <v>6.3625240522120291E-2</v>
      </c>
      <c r="AG1425">
        <v>-0.11670034529535306</v>
      </c>
      <c r="AH1425">
        <v>0.97046206439872162</v>
      </c>
      <c r="AI1425">
        <v>4.8704649209059199E-5</v>
      </c>
    </row>
    <row r="1426" spans="23:35" x14ac:dyDescent="0.25">
      <c r="W1426">
        <v>1424</v>
      </c>
      <c r="X1426">
        <v>45.21707806144088</v>
      </c>
      <c r="Y1426">
        <v>0.3829219385591216</v>
      </c>
      <c r="Z1426">
        <v>45.189562450017299</v>
      </c>
      <c r="AA1426">
        <v>9.0964220739842335E-3</v>
      </c>
      <c r="AB1426">
        <v>78.099999999999994</v>
      </c>
      <c r="AC1426">
        <v>-2.3742127090260081</v>
      </c>
      <c r="AD1426">
        <v>0.10649081250993313</v>
      </c>
      <c r="AE1426">
        <v>0.96749990566181265</v>
      </c>
      <c r="AF1426">
        <v>6.7039702933468115E-2</v>
      </c>
      <c r="AG1426">
        <v>0.11025049790518522</v>
      </c>
      <c r="AH1426">
        <v>0.97420493759427995</v>
      </c>
      <c r="AI1426">
        <v>4.5970204614602167E-5</v>
      </c>
    </row>
    <row r="1427" spans="23:35" x14ac:dyDescent="0.25">
      <c r="W1427">
        <v>1425</v>
      </c>
      <c r="X1427">
        <v>46.245222343365597</v>
      </c>
      <c r="Y1427">
        <v>-0.34522234336559876</v>
      </c>
      <c r="Z1427">
        <v>46.274661467799547</v>
      </c>
      <c r="AA1427">
        <v>9.7028502122498486E-3</v>
      </c>
      <c r="AB1427">
        <v>78.099999999999994</v>
      </c>
      <c r="AC1427">
        <v>-2.3494875599978426</v>
      </c>
      <c r="AD1427">
        <v>-9.6006533289577173E-2</v>
      </c>
      <c r="AE1427">
        <v>0.96965680194912274</v>
      </c>
      <c r="AF1427">
        <v>7.857526584426347E-2</v>
      </c>
      <c r="AG1427">
        <v>-0.10001631629427141</v>
      </c>
      <c r="AH1427">
        <v>0.97780975779653934</v>
      </c>
      <c r="AI1427">
        <v>4.4896667065626706E-5</v>
      </c>
    </row>
    <row r="1428" spans="23:35" x14ac:dyDescent="0.25">
      <c r="W1428">
        <v>1426</v>
      </c>
      <c r="X1428">
        <v>36.470134768746007</v>
      </c>
      <c r="Y1428">
        <v>9.9298652312539915</v>
      </c>
      <c r="Z1428">
        <v>36.027107400566216</v>
      </c>
      <c r="AA1428">
        <v>1.4554275318374773E-2</v>
      </c>
      <c r="AB1428">
        <v>78.099999999999994</v>
      </c>
      <c r="AC1428">
        <v>-2.2073550198913567</v>
      </c>
      <c r="AD1428">
        <v>2.7615012620310031</v>
      </c>
      <c r="AE1428">
        <v>0.96999922164875674</v>
      </c>
      <c r="AF1428">
        <v>4.2710108480634584E-2</v>
      </c>
      <c r="AG1428">
        <v>2.8224321438290354</v>
      </c>
      <c r="AH1428">
        <v>0.97934673810554418</v>
      </c>
      <c r="AI1428">
        <v>1.8705986629803727E-2</v>
      </c>
    </row>
    <row r="1429" spans="23:35" x14ac:dyDescent="0.25">
      <c r="W1429">
        <v>1427</v>
      </c>
      <c r="X1429">
        <v>37.296573529398366</v>
      </c>
      <c r="Y1429">
        <v>9.8034264706016359</v>
      </c>
      <c r="Z1429">
        <v>36.877205763695819</v>
      </c>
      <c r="AA1429">
        <v>1.758641600970285E-2</v>
      </c>
      <c r="AB1429">
        <v>78.2</v>
      </c>
      <c r="AC1429">
        <v>-2.1426564926871321</v>
      </c>
      <c r="AD1429">
        <v>2.726338569589605</v>
      </c>
      <c r="AE1429">
        <v>0.97578022531265174</v>
      </c>
      <c r="AF1429">
        <v>4.1022811963997451E-2</v>
      </c>
      <c r="AG1429">
        <v>2.7840411451629197</v>
      </c>
      <c r="AH1429">
        <v>0.97990239860732287</v>
      </c>
      <c r="AI1429">
        <v>1.7450780175236161E-2</v>
      </c>
    </row>
    <row r="1430" spans="23:35" x14ac:dyDescent="0.25">
      <c r="W1430">
        <v>1428</v>
      </c>
      <c r="X1430">
        <v>38.999194305547618</v>
      </c>
      <c r="Y1430">
        <v>9.4008056944523801</v>
      </c>
      <c r="Z1430">
        <v>38.635134011223194</v>
      </c>
      <c r="AA1430">
        <v>2.3044269254093391E-2</v>
      </c>
      <c r="AB1430">
        <v>78.2</v>
      </c>
      <c r="AC1430">
        <v>-2.0001681446016244</v>
      </c>
      <c r="AD1430">
        <v>2.6143694989564419</v>
      </c>
      <c r="AE1430">
        <v>0.97823398522851757</v>
      </c>
      <c r="AF1430">
        <v>3.7282671850577237E-2</v>
      </c>
      <c r="AG1430">
        <v>2.6645113447166495</v>
      </c>
      <c r="AH1430">
        <v>0.98179153486517157</v>
      </c>
      <c r="AI1430">
        <v>1.4470708193987934E-2</v>
      </c>
    </row>
    <row r="1431" spans="23:35" x14ac:dyDescent="0.25">
      <c r="W1431">
        <v>1429</v>
      </c>
      <c r="X1431">
        <v>79.872018593154436</v>
      </c>
      <c r="Y1431">
        <v>2.4279814068455607</v>
      </c>
      <c r="Z1431">
        <v>79.853604427976535</v>
      </c>
      <c r="AA1431">
        <v>0.97028502122498483</v>
      </c>
      <c r="AB1431">
        <v>78.2</v>
      </c>
      <c r="AC1431">
        <v>1.8630011940066851</v>
      </c>
      <c r="AD1431">
        <v>0.67522303304665321</v>
      </c>
      <c r="AE1431">
        <v>0.97880173741587273</v>
      </c>
      <c r="AF1431">
        <v>7.5270595599854391E-3</v>
      </c>
      <c r="AG1431">
        <v>0.67777869156900239</v>
      </c>
      <c r="AH1431">
        <v>0.98192388012533027</v>
      </c>
      <c r="AI1431">
        <v>1.8337025929838404E-4</v>
      </c>
    </row>
    <row r="1432" spans="23:35" x14ac:dyDescent="0.25">
      <c r="W1432">
        <v>1430</v>
      </c>
      <c r="X1432">
        <v>79.821060143241681</v>
      </c>
      <c r="Y1432">
        <v>2.0789398567583248</v>
      </c>
      <c r="Z1432">
        <v>79.805290637385738</v>
      </c>
      <c r="AA1432">
        <v>0.95997574287446941</v>
      </c>
      <c r="AB1432">
        <v>78.3</v>
      </c>
      <c r="AC1432">
        <v>1.7330844772440364</v>
      </c>
      <c r="AD1432">
        <v>0.57815437615961141</v>
      </c>
      <c r="AE1432">
        <v>0.97953226753911038</v>
      </c>
      <c r="AF1432">
        <v>7.5282548201615904E-3</v>
      </c>
      <c r="AG1432">
        <v>0.58034298799662132</v>
      </c>
      <c r="AH1432">
        <v>0.98452262802109847</v>
      </c>
      <c r="AI1432">
        <v>1.3445967004529664E-4</v>
      </c>
    </row>
    <row r="1433" spans="23:35" x14ac:dyDescent="0.25">
      <c r="W1433">
        <v>1431</v>
      </c>
      <c r="X1433">
        <v>84.230576095873658</v>
      </c>
      <c r="Y1433">
        <v>-2.5305760958736556</v>
      </c>
      <c r="Z1433">
        <v>84.321701933016598</v>
      </c>
      <c r="AA1433">
        <v>0.95573074590661011</v>
      </c>
      <c r="AB1433">
        <v>78.3</v>
      </c>
      <c r="AC1433">
        <v>1.6624525291871317</v>
      </c>
      <c r="AD1433">
        <v>-0.70375467538325154</v>
      </c>
      <c r="AE1433">
        <v>0.98213235376552199</v>
      </c>
      <c r="AF1433">
        <v>3.4758275147656906E-2</v>
      </c>
      <c r="AG1433">
        <v>-0.71631368705368381</v>
      </c>
      <c r="AH1433">
        <v>0.99136498452954991</v>
      </c>
      <c r="AI1433">
        <v>9.724673474591517E-4</v>
      </c>
    </row>
    <row r="1434" spans="23:35" x14ac:dyDescent="0.25">
      <c r="W1434">
        <v>1432</v>
      </c>
      <c r="X1434">
        <v>84.644245196608949</v>
      </c>
      <c r="Y1434">
        <v>-2.9442451966089465</v>
      </c>
      <c r="Z1434">
        <v>84.764379767767608</v>
      </c>
      <c r="AA1434">
        <v>0.95573074590661011</v>
      </c>
      <c r="AB1434">
        <v>78.3</v>
      </c>
      <c r="AC1434">
        <v>1.6624525291871317</v>
      </c>
      <c r="AD1434">
        <v>-0.81879629147167798</v>
      </c>
      <c r="AE1434">
        <v>0.98685354110943446</v>
      </c>
      <c r="AF1434">
        <v>3.9203551864648134E-2</v>
      </c>
      <c r="AG1434">
        <v>-0.83533402688257419</v>
      </c>
      <c r="AH1434">
        <v>0.99601240188096185</v>
      </c>
      <c r="AI1434">
        <v>1.4985138846978095E-3</v>
      </c>
    </row>
    <row r="1435" spans="23:35" x14ac:dyDescent="0.25">
      <c r="W1435">
        <v>1433</v>
      </c>
      <c r="X1435">
        <v>69.578127404303274</v>
      </c>
      <c r="Y1435">
        <v>4.2218725956967234</v>
      </c>
      <c r="Z1435">
        <v>69.500052678774225</v>
      </c>
      <c r="AA1435">
        <v>0.66767738023044265</v>
      </c>
      <c r="AB1435">
        <v>78.3</v>
      </c>
      <c r="AC1435">
        <v>0.4143837514429769</v>
      </c>
      <c r="AD1435">
        <v>1.1741052098527112</v>
      </c>
      <c r="AE1435">
        <v>0.99452850453315866</v>
      </c>
      <c r="AF1435">
        <v>1.8157135354577775E-2</v>
      </c>
      <c r="AG1435">
        <v>1.1849117905878828</v>
      </c>
      <c r="AH1435">
        <v>0.99914276860580131</v>
      </c>
      <c r="AI1435">
        <v>1.3665445164320192E-3</v>
      </c>
    </row>
    <row r="1436" spans="23:35" x14ac:dyDescent="0.25">
      <c r="W1436">
        <v>1434</v>
      </c>
      <c r="X1436">
        <v>69.316987124569096</v>
      </c>
      <c r="Y1436">
        <v>4.3830128754309072</v>
      </c>
      <c r="Z1436">
        <v>69.236812027232816</v>
      </c>
      <c r="AA1436">
        <v>0.66040024257125529</v>
      </c>
      <c r="AB1436">
        <v>78.400000000000006</v>
      </c>
      <c r="AC1436">
        <v>0.39787592189543292</v>
      </c>
      <c r="AD1436">
        <v>1.2189184148143846</v>
      </c>
      <c r="AE1436">
        <v>0.99526228400886874</v>
      </c>
      <c r="AF1436">
        <v>1.7963638956161924E-2</v>
      </c>
      <c r="AG1436">
        <v>1.2300162641513999</v>
      </c>
      <c r="AH1436">
        <v>0.99947571888077891</v>
      </c>
      <c r="AI1436">
        <v>1.4565817241691504E-3</v>
      </c>
    </row>
    <row r="1437" spans="23:35" x14ac:dyDescent="0.25">
      <c r="W1437">
        <v>1435</v>
      </c>
      <c r="X1437">
        <v>68.868605269738453</v>
      </c>
      <c r="Y1437">
        <v>4.6313947302615475</v>
      </c>
      <c r="Z1437">
        <v>68.784729309225781</v>
      </c>
      <c r="AA1437">
        <v>0.64463311097634934</v>
      </c>
      <c r="AB1437">
        <v>78.400000000000006</v>
      </c>
      <c r="AC1437">
        <v>0.35220887014201224</v>
      </c>
      <c r="AD1437">
        <v>1.2879935522514507</v>
      </c>
      <c r="AE1437">
        <v>0.99531526060039133</v>
      </c>
      <c r="AF1437">
        <v>1.7788153854406408E-2</v>
      </c>
      <c r="AG1437">
        <v>1.2996041966121459</v>
      </c>
      <c r="AH1437">
        <v>1.0079057049132947</v>
      </c>
      <c r="AI1437">
        <v>1.6098830157502187E-3</v>
      </c>
    </row>
    <row r="1438" spans="23:35" x14ac:dyDescent="0.25">
      <c r="W1438">
        <v>1436</v>
      </c>
      <c r="X1438">
        <v>69.33136231584281</v>
      </c>
      <c r="Y1438">
        <v>3.8686376841571928</v>
      </c>
      <c r="Z1438">
        <v>69.322705310562284</v>
      </c>
      <c r="AA1438">
        <v>0.62340812613705276</v>
      </c>
      <c r="AB1438">
        <v>78.5</v>
      </c>
      <c r="AC1438">
        <v>0.29295400660571058</v>
      </c>
      <c r="AD1438">
        <v>1.0758703767212814</v>
      </c>
      <c r="AE1438">
        <v>0.99852504439788337</v>
      </c>
      <c r="AF1438">
        <v>2.2327436973274494E-3</v>
      </c>
      <c r="AG1438">
        <v>1.0770734631356373</v>
      </c>
      <c r="AH1438">
        <v>1.0089352997307846</v>
      </c>
      <c r="AI1438">
        <v>1.3663019096635576E-4</v>
      </c>
    </row>
    <row r="1439" spans="23:35" x14ac:dyDescent="0.25">
      <c r="W1439">
        <v>1437</v>
      </c>
      <c r="X1439">
        <v>68.910671529104107</v>
      </c>
      <c r="Y1439">
        <v>4.089328470895893</v>
      </c>
      <c r="Z1439">
        <v>68.90203653884538</v>
      </c>
      <c r="AA1439">
        <v>0.60946027895694366</v>
      </c>
      <c r="AB1439">
        <v>78.5</v>
      </c>
      <c r="AC1439">
        <v>0.22222871718700732</v>
      </c>
      <c r="AD1439">
        <v>1.1372446121116415</v>
      </c>
      <c r="AE1439">
        <v>1.0042097281954554</v>
      </c>
      <c r="AF1439">
        <v>2.1071418377893196E-3</v>
      </c>
      <c r="AG1439">
        <v>1.1384446768259304</v>
      </c>
      <c r="AH1439">
        <v>1.0104201275968969</v>
      </c>
      <c r="AI1439">
        <v>1.4403900621306394E-4</v>
      </c>
    </row>
    <row r="1440" spans="23:35" x14ac:dyDescent="0.25">
      <c r="W1440">
        <v>1438</v>
      </c>
      <c r="X1440">
        <v>69.178641734915928</v>
      </c>
      <c r="Y1440">
        <v>3.6213582650840692</v>
      </c>
      <c r="Z1440">
        <v>69.140216802411928</v>
      </c>
      <c r="AA1440">
        <v>0.58156458459672533</v>
      </c>
      <c r="AB1440">
        <v>78.5</v>
      </c>
      <c r="AC1440">
        <v>0.18343432307636306</v>
      </c>
      <c r="AD1440">
        <v>1.0071018273057835</v>
      </c>
      <c r="AE1440">
        <v>1.0045617701835377</v>
      </c>
      <c r="AF1440">
        <v>1.0499237367207811E-2</v>
      </c>
      <c r="AG1440">
        <v>1.0124307268184907</v>
      </c>
      <c r="AH1440">
        <v>1.0124307268184907</v>
      </c>
      <c r="AI1440">
        <v>5.7242508173273971E-4</v>
      </c>
    </row>
    <row r="1441" spans="23:35" x14ac:dyDescent="0.25">
      <c r="W1441">
        <v>1439</v>
      </c>
      <c r="X1441">
        <v>69.026638903897847</v>
      </c>
      <c r="Y1441">
        <v>3.6733610961021554</v>
      </c>
      <c r="Z1441">
        <v>68.989342253192589</v>
      </c>
      <c r="AA1441">
        <v>0.57246816252274102</v>
      </c>
      <c r="AB1441">
        <v>78.5</v>
      </c>
      <c r="AC1441">
        <v>0.16337348484333708</v>
      </c>
      <c r="AD1441">
        <v>1.0215638446787518</v>
      </c>
      <c r="AE1441">
        <v>1.0055765465141122</v>
      </c>
      <c r="AF1441">
        <v>1.0051223597042807E-2</v>
      </c>
      <c r="AG1441">
        <v>1.0267368571468463</v>
      </c>
      <c r="AH1441">
        <v>1.0147533608584087</v>
      </c>
      <c r="AI1441">
        <v>5.633404220671608E-4</v>
      </c>
    </row>
    <row r="1442" spans="23:35" x14ac:dyDescent="0.25">
      <c r="W1442">
        <v>1440</v>
      </c>
      <c r="X1442">
        <v>68.4677298097901</v>
      </c>
      <c r="Y1442">
        <v>4.1322701902098942</v>
      </c>
      <c r="Z1442">
        <v>68.458883245731286</v>
      </c>
      <c r="AA1442">
        <v>0.56458459672528805</v>
      </c>
      <c r="AB1442">
        <v>78.599999999999994</v>
      </c>
      <c r="AC1442">
        <v>0.14798710972583889</v>
      </c>
      <c r="AD1442">
        <v>1.1491867290807778</v>
      </c>
      <c r="AE1442">
        <v>1.0064338062286449</v>
      </c>
      <c r="AF1442">
        <v>2.1362749673014322E-3</v>
      </c>
      <c r="AG1442">
        <v>1.1504161887007331</v>
      </c>
      <c r="AH1442">
        <v>1.0150084289163475</v>
      </c>
      <c r="AI1442">
        <v>1.4912219387003514E-4</v>
      </c>
    </row>
    <row r="1443" spans="23:35" x14ac:dyDescent="0.25">
      <c r="W1443">
        <v>1441</v>
      </c>
      <c r="X1443">
        <v>69.909094924467624</v>
      </c>
      <c r="Y1443">
        <v>-0.30909492446762954</v>
      </c>
      <c r="Z1443">
        <v>69.909909935728493</v>
      </c>
      <c r="AA1443">
        <v>0.44815039417828989</v>
      </c>
      <c r="AB1443">
        <v>78.599999999999994</v>
      </c>
      <c r="AC1443">
        <v>-0.14337818601426075</v>
      </c>
      <c r="AD1443">
        <v>-8.5959477206010798E-2</v>
      </c>
      <c r="AE1443">
        <v>1.0071018273057835</v>
      </c>
      <c r="AF1443">
        <v>2.6298326284739972E-3</v>
      </c>
      <c r="AG1443">
        <v>-8.607273015118834E-2</v>
      </c>
      <c r="AH1443">
        <v>1.0153330976880512</v>
      </c>
      <c r="AI1443">
        <v>1.0281329833817057E-6</v>
      </c>
    </row>
    <row r="1444" spans="23:35" x14ac:dyDescent="0.25">
      <c r="W1444">
        <v>1442</v>
      </c>
      <c r="X1444">
        <v>69.730698683398558</v>
      </c>
      <c r="Y1444">
        <v>-0.43069868339856043</v>
      </c>
      <c r="Z1444">
        <v>69.731841439485791</v>
      </c>
      <c r="AA1444">
        <v>0.4329896907216495</v>
      </c>
      <c r="AB1444">
        <v>78.599999999999994</v>
      </c>
      <c r="AC1444">
        <v>-0.17879863688351211</v>
      </c>
      <c r="AD1444">
        <v>-0.11977755287319404</v>
      </c>
      <c r="AE1444">
        <v>1.0115942777710023</v>
      </c>
      <c r="AF1444">
        <v>2.6462399916745939E-3</v>
      </c>
      <c r="AG1444">
        <v>-0.11993634817590412</v>
      </c>
      <c r="AH1444">
        <v>1.0156005956745628</v>
      </c>
      <c r="AI1444">
        <v>2.0087599493805948E-6</v>
      </c>
    </row>
    <row r="1445" spans="23:35" x14ac:dyDescent="0.25">
      <c r="W1445">
        <v>1443</v>
      </c>
      <c r="X1445">
        <v>69.474758762747797</v>
      </c>
      <c r="Y1445">
        <v>-0.67475876274779978</v>
      </c>
      <c r="Z1445">
        <v>69.476412254059895</v>
      </c>
      <c r="AA1445">
        <v>0.41115827774408731</v>
      </c>
      <c r="AB1445">
        <v>78.599999999999994</v>
      </c>
      <c r="AC1445">
        <v>-0.23002600999886993</v>
      </c>
      <c r="AD1445">
        <v>-0.18765080205013163</v>
      </c>
      <c r="AE1445">
        <v>1.0119532653610002</v>
      </c>
      <c r="AF1445">
        <v>2.4445023019264052E-3</v>
      </c>
      <c r="AG1445">
        <v>-0.18788057981404235</v>
      </c>
      <c r="AH1445">
        <v>1.0209155595718671</v>
      </c>
      <c r="AI1445">
        <v>4.5526426930723002E-6</v>
      </c>
    </row>
    <row r="1446" spans="23:35" x14ac:dyDescent="0.25">
      <c r="W1446">
        <v>1444</v>
      </c>
      <c r="X1446">
        <v>69.326340971185473</v>
      </c>
      <c r="Y1446">
        <v>-1.2263409711854791</v>
      </c>
      <c r="Z1446">
        <v>69.329170261988381</v>
      </c>
      <c r="AA1446">
        <v>0.38932686476652517</v>
      </c>
      <c r="AB1446">
        <v>78.7</v>
      </c>
      <c r="AC1446">
        <v>-0.29295400660571042</v>
      </c>
      <c r="AD1446">
        <v>-0.34104613312877335</v>
      </c>
      <c r="AE1446">
        <v>1.0155354482532146</v>
      </c>
      <c r="AF1446">
        <v>2.3017891747040609E-3</v>
      </c>
      <c r="AG1446">
        <v>-0.34143932018305734</v>
      </c>
      <c r="AH1446">
        <v>1.0249468104699595</v>
      </c>
      <c r="AI1446">
        <v>1.4155975913132942E-5</v>
      </c>
    </row>
    <row r="1447" spans="23:35" x14ac:dyDescent="0.25">
      <c r="W1447">
        <v>1445</v>
      </c>
      <c r="X1447">
        <v>69.152548350110735</v>
      </c>
      <c r="Y1447">
        <v>-1.8525483501107374</v>
      </c>
      <c r="Z1447">
        <v>69.156646721229521</v>
      </c>
      <c r="AA1447">
        <v>0.35112189205579136</v>
      </c>
      <c r="AB1447">
        <v>78.7</v>
      </c>
      <c r="AC1447">
        <v>-0.39787592189543292</v>
      </c>
      <c r="AD1447">
        <v>-0.51519476726656477</v>
      </c>
      <c r="AE1447">
        <v>1.0195050054014627</v>
      </c>
      <c r="AF1447">
        <v>2.2074049262690376E-3</v>
      </c>
      <c r="AG1447">
        <v>-0.51576433211903372</v>
      </c>
      <c r="AH1447">
        <v>1.0267368571468463</v>
      </c>
      <c r="AI1447">
        <v>3.0973532567478178E-5</v>
      </c>
    </row>
    <row r="1448" spans="23:35" x14ac:dyDescent="0.25">
      <c r="W1448">
        <v>1446</v>
      </c>
      <c r="X1448">
        <v>68.998200672827835</v>
      </c>
      <c r="Y1448">
        <v>-2.2982006728278321</v>
      </c>
      <c r="Z1448">
        <v>69.003081892193265</v>
      </c>
      <c r="AA1448">
        <v>0.328077622801698</v>
      </c>
      <c r="AB1448">
        <v>78.7</v>
      </c>
      <c r="AC1448">
        <v>-0.44774677320100181</v>
      </c>
      <c r="AD1448">
        <v>-0.63913093588009295</v>
      </c>
      <c r="AE1448">
        <v>1.0215638446787518</v>
      </c>
      <c r="AF1448">
        <v>2.1194293533252804E-3</v>
      </c>
      <c r="AG1448">
        <v>-0.63980931082964476</v>
      </c>
      <c r="AH1448">
        <v>1.0295729752900569</v>
      </c>
      <c r="AI1448">
        <v>4.5760197365588047E-5</v>
      </c>
    </row>
    <row r="1449" spans="23:35" x14ac:dyDescent="0.25">
      <c r="W1449">
        <v>1447</v>
      </c>
      <c r="X1449">
        <v>68.360852421942525</v>
      </c>
      <c r="Y1449">
        <v>-1.9608524219425192</v>
      </c>
      <c r="Z1449">
        <v>68.364581360202322</v>
      </c>
      <c r="AA1449">
        <v>0.32201334141904187</v>
      </c>
      <c r="AB1449">
        <v>78.7</v>
      </c>
      <c r="AC1449">
        <v>-0.46970075330452549</v>
      </c>
      <c r="AD1449">
        <v>-0.54531419226190203</v>
      </c>
      <c r="AE1449">
        <v>1.0221307370599939</v>
      </c>
      <c r="AF1449">
        <v>1.8980828869405808E-3</v>
      </c>
      <c r="AG1449">
        <v>-0.54583245592742524</v>
      </c>
      <c r="AH1449">
        <v>1.0337667206866887</v>
      </c>
      <c r="AI1449">
        <v>2.9819845881998286E-5</v>
      </c>
    </row>
    <row r="1450" spans="23:35" x14ac:dyDescent="0.25">
      <c r="W1450">
        <v>1448</v>
      </c>
      <c r="X1450">
        <v>68.288992764226961</v>
      </c>
      <c r="Y1450">
        <v>-2.1889927642269669</v>
      </c>
      <c r="Z1450">
        <v>68.293025926318904</v>
      </c>
      <c r="AA1450">
        <v>0.31412977562158884</v>
      </c>
      <c r="AB1450">
        <v>78.7</v>
      </c>
      <c r="AC1450">
        <v>-0.4918835074548818</v>
      </c>
      <c r="AD1450">
        <v>-0.60876015335669598</v>
      </c>
      <c r="AE1450">
        <v>1.0277694003460784</v>
      </c>
      <c r="AF1450">
        <v>1.8390854588353511E-3</v>
      </c>
      <c r="AG1450">
        <v>-0.60932070762868662</v>
      </c>
      <c r="AH1450">
        <v>1.0351057349289861</v>
      </c>
      <c r="AI1450">
        <v>3.6003077486567151E-5</v>
      </c>
    </row>
    <row r="1451" spans="23:35" x14ac:dyDescent="0.25">
      <c r="W1451">
        <v>1449</v>
      </c>
      <c r="X1451">
        <v>67.880771823652111</v>
      </c>
      <c r="Y1451">
        <v>-1.9807718236521055</v>
      </c>
      <c r="Z1451">
        <v>67.884608383990937</v>
      </c>
      <c r="AA1451">
        <v>0.30563978168587025</v>
      </c>
      <c r="AB1451">
        <v>78.7</v>
      </c>
      <c r="AC1451">
        <v>-0.52126361871264315</v>
      </c>
      <c r="AD1451">
        <v>-0.55085378939427709</v>
      </c>
      <c r="AE1451">
        <v>1.0283437741303398</v>
      </c>
      <c r="AF1451">
        <v>1.9331573774333827E-3</v>
      </c>
      <c r="AG1451">
        <v>-0.5513870061462911</v>
      </c>
      <c r="AH1451">
        <v>1.03671505503467</v>
      </c>
      <c r="AI1451">
        <v>3.0993244130935261E-5</v>
      </c>
    </row>
    <row r="1452" spans="23:35" x14ac:dyDescent="0.25">
      <c r="W1452">
        <v>1450</v>
      </c>
      <c r="X1452">
        <v>67.616813053714822</v>
      </c>
      <c r="Y1452">
        <v>-2.1168130537148215</v>
      </c>
      <c r="Z1452">
        <v>67.620673996151041</v>
      </c>
      <c r="AA1452">
        <v>0.28987265009096425</v>
      </c>
      <c r="AB1452">
        <v>78.8</v>
      </c>
      <c r="AC1452">
        <v>-0.56174840893422073</v>
      </c>
      <c r="AD1452">
        <v>-0.5886869341306229</v>
      </c>
      <c r="AE1452">
        <v>1.0332870318024625</v>
      </c>
      <c r="AF1452">
        <v>1.8206204457741886E-3</v>
      </c>
      <c r="AG1452">
        <v>-0.58922355471291588</v>
      </c>
      <c r="AH1452">
        <v>1.0439599214159914</v>
      </c>
      <c r="AI1452">
        <v>3.3328626801076432E-5</v>
      </c>
    </row>
    <row r="1453" spans="23:35" x14ac:dyDescent="0.25">
      <c r="W1453">
        <v>1451</v>
      </c>
      <c r="X1453">
        <v>67.75910424330047</v>
      </c>
      <c r="Y1453">
        <v>-1.8591042433004645</v>
      </c>
      <c r="Z1453">
        <v>67.762428185970691</v>
      </c>
      <c r="AA1453">
        <v>0.30563978168587025</v>
      </c>
      <c r="AB1453">
        <v>78.8</v>
      </c>
      <c r="AC1453">
        <v>-0.52126361871264315</v>
      </c>
      <c r="AD1453">
        <v>-0.51701796495309427</v>
      </c>
      <c r="AE1453">
        <v>1.0368402563022612</v>
      </c>
      <c r="AF1453">
        <v>1.7847360211031317E-3</v>
      </c>
      <c r="AG1453">
        <v>-0.51747995373396782</v>
      </c>
      <c r="AH1453">
        <v>1.050748171923666</v>
      </c>
      <c r="AI1453">
        <v>2.5198996307480224E-5</v>
      </c>
    </row>
    <row r="1454" spans="23:35" x14ac:dyDescent="0.25">
      <c r="W1454">
        <v>1452</v>
      </c>
      <c r="X1454">
        <v>67.136674602941895</v>
      </c>
      <c r="Y1454">
        <v>-1.936674602941892</v>
      </c>
      <c r="Z1454">
        <v>67.141934097390802</v>
      </c>
      <c r="AA1454">
        <v>0.28077622801697999</v>
      </c>
      <c r="AB1454">
        <v>78.8</v>
      </c>
      <c r="AC1454">
        <v>-0.59046081866695443</v>
      </c>
      <c r="AD1454">
        <v>-0.53859032681876984</v>
      </c>
      <c r="AE1454">
        <v>1.0420204441197245</v>
      </c>
      <c r="AF1454">
        <v>2.708379473833707E-3</v>
      </c>
      <c r="AG1454">
        <v>-0.53932116518799167</v>
      </c>
      <c r="AH1454">
        <v>1.051436480506917</v>
      </c>
      <c r="AI1454">
        <v>4.1574656630004254E-5</v>
      </c>
    </row>
    <row r="1455" spans="23:35" x14ac:dyDescent="0.25">
      <c r="W1455">
        <v>1453</v>
      </c>
      <c r="X1455">
        <v>66.718229638034501</v>
      </c>
      <c r="Y1455">
        <v>-2.4182296380345036</v>
      </c>
      <c r="Z1455">
        <v>66.729603663212586</v>
      </c>
      <c r="AA1455">
        <v>0.2498483929654336</v>
      </c>
      <c r="AB1455">
        <v>78.8</v>
      </c>
      <c r="AC1455">
        <v>-0.68742774275107121</v>
      </c>
      <c r="AD1455">
        <v>-0.67251106050205023</v>
      </c>
      <c r="AE1455">
        <v>1.0455827379147444</v>
      </c>
      <c r="AF1455">
        <v>4.6814323464759826E-3</v>
      </c>
      <c r="AG1455">
        <v>-0.67409076665251522</v>
      </c>
      <c r="AH1455">
        <v>1.0515371285136725</v>
      </c>
      <c r="AI1455">
        <v>1.1248634397677474E-4</v>
      </c>
    </row>
    <row r="1456" spans="23:35" x14ac:dyDescent="0.25">
      <c r="W1456">
        <v>1454</v>
      </c>
      <c r="X1456">
        <v>72.480140665992877</v>
      </c>
      <c r="Y1456">
        <v>2.119859334007117</v>
      </c>
      <c r="Z1456">
        <v>72.472435166359531</v>
      </c>
      <c r="AA1456">
        <v>0.73013947847180105</v>
      </c>
      <c r="AB1456">
        <v>78.8</v>
      </c>
      <c r="AC1456">
        <v>0.59589828697336056</v>
      </c>
      <c r="AD1456">
        <v>0.58953410644119941</v>
      </c>
      <c r="AE1456">
        <v>1.0484941528947296</v>
      </c>
      <c r="AF1456">
        <v>3.6217460974694404E-3</v>
      </c>
      <c r="AG1456">
        <v>0.59060458650028469</v>
      </c>
      <c r="AH1456">
        <v>1.0549061834722149</v>
      </c>
      <c r="AI1456">
        <v>6.6731946046691583E-5</v>
      </c>
    </row>
    <row r="1457" spans="23:35" x14ac:dyDescent="0.25">
      <c r="W1457">
        <v>1455</v>
      </c>
      <c r="X1457">
        <v>72.483225327865654</v>
      </c>
      <c r="Y1457">
        <v>2.0167746721343462</v>
      </c>
      <c r="Z1457">
        <v>72.477327513547863</v>
      </c>
      <c r="AA1457">
        <v>0.72407519708914492</v>
      </c>
      <c r="AB1457">
        <v>78.900000000000006</v>
      </c>
      <c r="AC1457">
        <v>0.56531175535073552</v>
      </c>
      <c r="AD1457">
        <v>0.56086620237320561</v>
      </c>
      <c r="AE1457">
        <v>1.0485630810493809</v>
      </c>
      <c r="AF1457">
        <v>2.9158523474731636E-3</v>
      </c>
      <c r="AG1457">
        <v>0.56168569646855071</v>
      </c>
      <c r="AH1457">
        <v>1.0560669152577069</v>
      </c>
      <c r="AI1457">
        <v>4.8558676922580094E-5</v>
      </c>
    </row>
    <row r="1458" spans="23:35" x14ac:dyDescent="0.25">
      <c r="W1458">
        <v>1456</v>
      </c>
      <c r="X1458">
        <v>71.440650468923181</v>
      </c>
      <c r="Y1458">
        <v>2.8593495310768162</v>
      </c>
      <c r="Z1458">
        <v>71.420518876021234</v>
      </c>
      <c r="AA1458">
        <v>0.7052759248029109</v>
      </c>
      <c r="AB1458">
        <v>78.900000000000006</v>
      </c>
      <c r="AC1458">
        <v>0.52824151828033117</v>
      </c>
      <c r="AD1458">
        <v>0.79518675780247505</v>
      </c>
      <c r="AE1458">
        <v>1.0523687388741219</v>
      </c>
      <c r="AF1458">
        <v>6.9913960311459187E-3</v>
      </c>
      <c r="AG1458">
        <v>0.79798115167619343</v>
      </c>
      <c r="AH1458">
        <v>1.0564754618288306</v>
      </c>
      <c r="AI1458">
        <v>2.3596226596831642E-4</v>
      </c>
    </row>
    <row r="1459" spans="23:35" x14ac:dyDescent="0.25">
      <c r="W1459">
        <v>1457</v>
      </c>
      <c r="X1459">
        <v>71.957204022317029</v>
      </c>
      <c r="Y1459">
        <v>2.1427959776829653</v>
      </c>
      <c r="Z1459">
        <v>71.95106867348548</v>
      </c>
      <c r="AA1459">
        <v>0.69254093389933291</v>
      </c>
      <c r="AB1459">
        <v>78.900000000000006</v>
      </c>
      <c r="AC1459">
        <v>0.48161589062349974</v>
      </c>
      <c r="AD1459">
        <v>0.5959128003088916</v>
      </c>
      <c r="AE1459">
        <v>1.0527929670374512</v>
      </c>
      <c r="AF1459">
        <v>2.8550697529710341E-3</v>
      </c>
      <c r="AG1459">
        <v>0.59676531253602738</v>
      </c>
      <c r="AH1459">
        <v>1.0565282046083206</v>
      </c>
      <c r="AI1459">
        <v>5.3667575948463821E-5</v>
      </c>
    </row>
    <row r="1460" spans="23:35" x14ac:dyDescent="0.25">
      <c r="W1460">
        <v>1458</v>
      </c>
      <c r="X1460">
        <v>71.192284265787592</v>
      </c>
      <c r="Y1460">
        <v>2.7077157342124138</v>
      </c>
      <c r="Z1460">
        <v>71.183414832238114</v>
      </c>
      <c r="AA1460">
        <v>0.67919951485748942</v>
      </c>
      <c r="AB1460">
        <v>78.900000000000006</v>
      </c>
      <c r="AC1460">
        <v>0.43434378704136062</v>
      </c>
      <c r="AD1460">
        <v>0.75301731122331739</v>
      </c>
      <c r="AE1460">
        <v>1.0540353112479042</v>
      </c>
      <c r="AF1460">
        <v>3.2649201117388089E-3</v>
      </c>
      <c r="AG1460">
        <v>0.75424960022145038</v>
      </c>
      <c r="AH1460">
        <v>1.0576395974931763</v>
      </c>
      <c r="AI1460">
        <v>9.8077501112382062E-5</v>
      </c>
    </row>
    <row r="1461" spans="23:35" x14ac:dyDescent="0.25">
      <c r="W1461">
        <v>1459</v>
      </c>
      <c r="X1461">
        <v>73.637194448451524</v>
      </c>
      <c r="Y1461">
        <v>6.2805551548478888E-2</v>
      </c>
      <c r="Z1461">
        <v>73.63685915566063</v>
      </c>
      <c r="AA1461">
        <v>0.66040024257125529</v>
      </c>
      <c r="AB1461">
        <v>78.900000000000006</v>
      </c>
      <c r="AC1461">
        <v>0.39787592189543292</v>
      </c>
      <c r="AD1461">
        <v>1.7466260198354691E-2</v>
      </c>
      <c r="AE1461">
        <v>1.0543908609031312</v>
      </c>
      <c r="AF1461">
        <v>5.3102360984571117E-3</v>
      </c>
      <c r="AG1461">
        <v>1.7512820698774866E-2</v>
      </c>
      <c r="AH1461">
        <v>1.0607924372550053</v>
      </c>
      <c r="AI1461">
        <v>8.6175692790885738E-8</v>
      </c>
    </row>
    <row r="1462" spans="23:35" x14ac:dyDescent="0.25">
      <c r="W1462">
        <v>1460</v>
      </c>
      <c r="X1462">
        <v>70.946026408276509</v>
      </c>
      <c r="Y1462">
        <v>2.5539735917234907</v>
      </c>
      <c r="Z1462">
        <v>70.937237302215649</v>
      </c>
      <c r="AA1462">
        <v>0.64463311097634934</v>
      </c>
      <c r="AB1462">
        <v>78.900000000000006</v>
      </c>
      <c r="AC1462">
        <v>0.35220887014201224</v>
      </c>
      <c r="AD1462">
        <v>0.71026153250698365</v>
      </c>
      <c r="AE1462">
        <v>1.0566060179480208</v>
      </c>
      <c r="AF1462">
        <v>3.429543464346891E-3</v>
      </c>
      <c r="AG1462">
        <v>0.71148261060986706</v>
      </c>
      <c r="AH1462">
        <v>1.0608606350248884</v>
      </c>
      <c r="AI1462">
        <v>9.1686053994765272E-5</v>
      </c>
    </row>
    <row r="1463" spans="23:35" x14ac:dyDescent="0.25">
      <c r="W1463">
        <v>1461</v>
      </c>
      <c r="X1463">
        <v>70.070184331599663</v>
      </c>
      <c r="Y1463">
        <v>3.2298156684003345</v>
      </c>
      <c r="Z1463">
        <v>70.056821361390874</v>
      </c>
      <c r="AA1463">
        <v>0.63007883565797451</v>
      </c>
      <c r="AB1463">
        <v>78.900000000000006</v>
      </c>
      <c r="AC1463">
        <v>0.3152427890443939</v>
      </c>
      <c r="AD1463">
        <v>0.89821360478712964</v>
      </c>
      <c r="AE1463">
        <v>1.0579022280889854</v>
      </c>
      <c r="AF1463">
        <v>4.120331223727825E-3</v>
      </c>
      <c r="AG1463">
        <v>0.90006981168187461</v>
      </c>
      <c r="AH1463">
        <v>1.0638020668545507</v>
      </c>
      <c r="AI1463">
        <v>1.7641034676287002E-4</v>
      </c>
    </row>
    <row r="1464" spans="23:35" x14ac:dyDescent="0.25">
      <c r="W1464">
        <v>1462</v>
      </c>
      <c r="X1464">
        <v>69.994679092620601</v>
      </c>
      <c r="Y1464">
        <v>3.0053209073793994</v>
      </c>
      <c r="Z1464">
        <v>69.982069675881831</v>
      </c>
      <c r="AA1464">
        <v>0.60946027895694366</v>
      </c>
      <c r="AB1464">
        <v>79</v>
      </c>
      <c r="AC1464">
        <v>0.22222871718700732</v>
      </c>
      <c r="AD1464">
        <v>0.83578148194950963</v>
      </c>
      <c r="AE1464">
        <v>1.0586119321377658</v>
      </c>
      <c r="AF1464">
        <v>4.1781669503786565E-3</v>
      </c>
      <c r="AG1464">
        <v>0.83753298971623358</v>
      </c>
      <c r="AH1464">
        <v>1.0664192253398381</v>
      </c>
      <c r="AI1464">
        <v>1.5490106003140101E-4</v>
      </c>
    </row>
    <row r="1465" spans="23:35" x14ac:dyDescent="0.25">
      <c r="W1465">
        <v>1463</v>
      </c>
      <c r="X1465">
        <v>69.399398607379823</v>
      </c>
      <c r="Y1465">
        <v>3.1006013926201774</v>
      </c>
      <c r="Z1465">
        <v>69.388471044380466</v>
      </c>
      <c r="AA1465">
        <v>0.55852031534263191</v>
      </c>
      <c r="AB1465">
        <v>79</v>
      </c>
      <c r="AC1465">
        <v>0.12956927093944998</v>
      </c>
      <c r="AD1465">
        <v>0.86227903998395106</v>
      </c>
      <c r="AE1465">
        <v>1.0626212886219251</v>
      </c>
      <c r="AF1465">
        <v>3.5119592827880363E-3</v>
      </c>
      <c r="AG1465">
        <v>0.86379718434158625</v>
      </c>
      <c r="AH1465">
        <v>1.0686408179169016</v>
      </c>
      <c r="AI1465">
        <v>1.3840358780750544E-4</v>
      </c>
    </row>
    <row r="1466" spans="23:35" x14ac:dyDescent="0.25">
      <c r="W1466">
        <v>1464</v>
      </c>
      <c r="X1466">
        <v>69.006938198078913</v>
      </c>
      <c r="Y1466">
        <v>2.5930618019210812</v>
      </c>
      <c r="Z1466">
        <v>68.997534692117412</v>
      </c>
      <c r="AA1466">
        <v>0.49787750151607035</v>
      </c>
      <c r="AB1466">
        <v>79</v>
      </c>
      <c r="AC1466">
        <v>-2.1282865457297767E-2</v>
      </c>
      <c r="AD1466">
        <v>0.72113198636283604</v>
      </c>
      <c r="AE1466">
        <v>1.0639357059305703</v>
      </c>
      <c r="AF1466">
        <v>3.6133069413137545E-3</v>
      </c>
      <c r="AG1466">
        <v>0.72243836329235345</v>
      </c>
      <c r="AH1466">
        <v>1.074446641298513</v>
      </c>
      <c r="AI1466">
        <v>9.9615045045561737E-5</v>
      </c>
    </row>
    <row r="1467" spans="23:35" x14ac:dyDescent="0.25">
      <c r="W1467">
        <v>1465</v>
      </c>
      <c r="X1467">
        <v>68.062487685562033</v>
      </c>
      <c r="Y1467">
        <v>3.63751231443797</v>
      </c>
      <c r="Z1467">
        <v>68.03973321435673</v>
      </c>
      <c r="AA1467">
        <v>0.50394178289872649</v>
      </c>
      <c r="AB1467">
        <v>79</v>
      </c>
      <c r="AC1467">
        <v>-4.5602855597810616E-3</v>
      </c>
      <c r="AD1467">
        <v>1.0115942777710023</v>
      </c>
      <c r="AE1467">
        <v>1.0716989375456525</v>
      </c>
      <c r="AF1467">
        <v>6.2166154922237791E-3</v>
      </c>
      <c r="AG1467">
        <v>1.0147533608584087</v>
      </c>
      <c r="AH1467">
        <v>1.0763583581028449</v>
      </c>
      <c r="AI1467">
        <v>3.3902339675310697E-4</v>
      </c>
    </row>
    <row r="1468" spans="23:35" x14ac:dyDescent="0.25">
      <c r="W1468">
        <v>1466</v>
      </c>
      <c r="X1468">
        <v>67.460002424188332</v>
      </c>
      <c r="Y1468">
        <v>3.9399975758116739</v>
      </c>
      <c r="Z1468">
        <v>67.436664851129379</v>
      </c>
      <c r="AA1468">
        <v>0.4887810794420861</v>
      </c>
      <c r="AB1468">
        <v>79</v>
      </c>
      <c r="AC1468">
        <v>-4.7140240828996732E-2</v>
      </c>
      <c r="AD1468">
        <v>1.0957156038490377</v>
      </c>
      <c r="AE1468">
        <v>1.0758703767212814</v>
      </c>
      <c r="AF1468">
        <v>5.888367292279555E-3</v>
      </c>
      <c r="AG1468">
        <v>1.0989559089332335</v>
      </c>
      <c r="AH1468">
        <v>1.0770734631356373</v>
      </c>
      <c r="AI1468">
        <v>3.7650146634140002E-4</v>
      </c>
    </row>
    <row r="1469" spans="23:35" x14ac:dyDescent="0.25">
      <c r="W1469">
        <v>1467</v>
      </c>
      <c r="X1469">
        <v>67.668427501288463</v>
      </c>
      <c r="Y1469">
        <v>3.5315724987115402</v>
      </c>
      <c r="Z1469">
        <v>67.651216584662691</v>
      </c>
      <c r="AA1469">
        <v>0.47907822922983628</v>
      </c>
      <c r="AB1469">
        <v>79</v>
      </c>
      <c r="AC1469">
        <v>-6.3887210036911155E-2</v>
      </c>
      <c r="AD1469">
        <v>0.98213235376552199</v>
      </c>
      <c r="AE1469">
        <v>1.0770410454242585</v>
      </c>
      <c r="AF1469">
        <v>4.8498075569756906E-3</v>
      </c>
      <c r="AG1469">
        <v>0.98452262802109847</v>
      </c>
      <c r="AH1469">
        <v>1.0786496507530914</v>
      </c>
      <c r="AI1469">
        <v>2.4861863530291323E-4</v>
      </c>
    </row>
    <row r="1470" spans="23:35" x14ac:dyDescent="0.25">
      <c r="W1470">
        <v>1468</v>
      </c>
      <c r="X1470">
        <v>67.308598817683091</v>
      </c>
      <c r="Y1470">
        <v>3.7914011823169034</v>
      </c>
      <c r="Z1470">
        <v>67.293212226171804</v>
      </c>
      <c r="AA1470">
        <v>0.47422680412371132</v>
      </c>
      <c r="AB1470">
        <v>79</v>
      </c>
      <c r="AC1470">
        <v>-7.6077819866612773E-2</v>
      </c>
      <c r="AD1470">
        <v>1.0543908609031312</v>
      </c>
      <c r="AE1470">
        <v>1.0772624705479923</v>
      </c>
      <c r="AF1470">
        <v>4.0418831900916313E-3</v>
      </c>
      <c r="AG1470">
        <v>1.0565282046083206</v>
      </c>
      <c r="AH1470">
        <v>1.0843896129106505</v>
      </c>
      <c r="AI1470">
        <v>2.3842471520824611E-4</v>
      </c>
    </row>
    <row r="1471" spans="23:35" x14ac:dyDescent="0.25">
      <c r="W1471">
        <v>1469</v>
      </c>
      <c r="X1471">
        <v>69.05887526548041</v>
      </c>
      <c r="Y1471">
        <v>-1.0588752654804097</v>
      </c>
      <c r="Z1471">
        <v>69.082163320789647</v>
      </c>
      <c r="AA1471">
        <v>0.38447543966040026</v>
      </c>
      <c r="AB1471">
        <v>79.099999999999994</v>
      </c>
      <c r="AC1471">
        <v>-0.31204933220437475</v>
      </c>
      <c r="AD1471">
        <v>-0.29447382354738133</v>
      </c>
      <c r="AE1471">
        <v>1.0808221092768635</v>
      </c>
      <c r="AF1471">
        <v>2.1519908189309649E-2</v>
      </c>
      <c r="AG1471">
        <v>-0.29769442285614045</v>
      </c>
      <c r="AH1471">
        <v>1.0866581409824747</v>
      </c>
      <c r="AI1471">
        <v>1.0258319380918664E-4</v>
      </c>
    </row>
    <row r="1472" spans="23:35" x14ac:dyDescent="0.25">
      <c r="W1472">
        <v>1470</v>
      </c>
      <c r="X1472">
        <v>69.041121490142771</v>
      </c>
      <c r="Y1472">
        <v>-1.3411214901427684</v>
      </c>
      <c r="Z1472">
        <v>69.050189275682897</v>
      </c>
      <c r="AA1472">
        <v>0.36749545178896303</v>
      </c>
      <c r="AB1472">
        <v>79.099999999999994</v>
      </c>
      <c r="AC1472">
        <v>-0.35059197017921911</v>
      </c>
      <c r="AD1472">
        <v>-0.37296666181424676</v>
      </c>
      <c r="AE1472">
        <v>1.0810845966866827</v>
      </c>
      <c r="AF1472">
        <v>6.7159365752932883E-3</v>
      </c>
      <c r="AG1472">
        <v>-0.37422541588170716</v>
      </c>
      <c r="AH1472">
        <v>1.0888974459126886</v>
      </c>
      <c r="AI1472">
        <v>4.9836332753812875E-5</v>
      </c>
    </row>
    <row r="1473" spans="23:35" x14ac:dyDescent="0.25">
      <c r="W1473">
        <v>1471</v>
      </c>
      <c r="X1473">
        <v>69.011276103932261</v>
      </c>
      <c r="Y1473">
        <v>-1.611276103932255</v>
      </c>
      <c r="Z1473">
        <v>69.022439497661878</v>
      </c>
      <c r="AA1473">
        <v>0.3547604608853851</v>
      </c>
      <c r="AB1473">
        <v>79.099999999999994</v>
      </c>
      <c r="AC1473">
        <v>-0.38147581702590427</v>
      </c>
      <c r="AD1473">
        <v>-0.44809681610627561</v>
      </c>
      <c r="AE1473">
        <v>1.0834524103256633</v>
      </c>
      <c r="AF1473">
        <v>6.8806225105526014E-3</v>
      </c>
      <c r="AG1473">
        <v>-0.44964640985438886</v>
      </c>
      <c r="AH1473">
        <v>1.0889916036610754</v>
      </c>
      <c r="AI1473">
        <v>7.3725026199050419E-5</v>
      </c>
    </row>
    <row r="1474" spans="23:35" x14ac:dyDescent="0.25">
      <c r="W1474">
        <v>1472</v>
      </c>
      <c r="X1474">
        <v>68.420320953628391</v>
      </c>
      <c r="Y1474">
        <v>-1.2203209536283879</v>
      </c>
      <c r="Z1474">
        <v>68.429950601208475</v>
      </c>
      <c r="AA1474">
        <v>0.34505761067313523</v>
      </c>
      <c r="AB1474">
        <v>79.099999999999994</v>
      </c>
      <c r="AC1474">
        <v>-0.40776731506460179</v>
      </c>
      <c r="AD1474">
        <v>-0.33937196276551085</v>
      </c>
      <c r="AE1474">
        <v>1.0878105050433133</v>
      </c>
      <c r="AF1474">
        <v>7.8292962096395517E-3</v>
      </c>
      <c r="AG1474">
        <v>-0.34070833686784741</v>
      </c>
      <c r="AH1474">
        <v>1.0908278507204283</v>
      </c>
      <c r="AI1474">
        <v>4.8211233710365693E-5</v>
      </c>
    </row>
    <row r="1475" spans="23:35" x14ac:dyDescent="0.25">
      <c r="W1475">
        <v>1473</v>
      </c>
      <c r="X1475">
        <v>68.359318973556711</v>
      </c>
      <c r="Y1475">
        <v>-1.4593189735567051</v>
      </c>
      <c r="Z1475">
        <v>68.370160272956923</v>
      </c>
      <c r="AA1475">
        <v>0.33474833232261975</v>
      </c>
      <c r="AB1475">
        <v>79.099999999999994</v>
      </c>
      <c r="AC1475">
        <v>-0.43267393579163727</v>
      </c>
      <c r="AD1475">
        <v>-0.40583745029072393</v>
      </c>
      <c r="AE1475">
        <v>1.0892703984089589</v>
      </c>
      <c r="AF1475">
        <v>7.3742295990659058E-3</v>
      </c>
      <c r="AG1475">
        <v>-0.40734214667531904</v>
      </c>
      <c r="AH1475">
        <v>1.0926851340045647</v>
      </c>
      <c r="AI1475">
        <v>6.4877813343124739E-5</v>
      </c>
    </row>
    <row r="1476" spans="23:35" x14ac:dyDescent="0.25">
      <c r="W1476">
        <v>1474</v>
      </c>
      <c r="X1476">
        <v>68.110778152571129</v>
      </c>
      <c r="Y1476">
        <v>-1.5107781525711346</v>
      </c>
      <c r="Z1476">
        <v>68.121094554106591</v>
      </c>
      <c r="AA1476">
        <v>0.32686476652516677</v>
      </c>
      <c r="AB1476">
        <v>79.2</v>
      </c>
      <c r="AC1476">
        <v>-0.45616451589519369</v>
      </c>
      <c r="AD1476">
        <v>-0.4201482777271483</v>
      </c>
      <c r="AE1476">
        <v>1.0897548793107308</v>
      </c>
      <c r="AF1476">
        <v>6.7822223855897755E-3</v>
      </c>
      <c r="AG1476">
        <v>-0.42158033578761578</v>
      </c>
      <c r="AH1476">
        <v>1.0931339363169847</v>
      </c>
      <c r="AI1476">
        <v>6.3875546885554726E-5</v>
      </c>
    </row>
    <row r="1477" spans="23:35" x14ac:dyDescent="0.25">
      <c r="W1477">
        <v>1475</v>
      </c>
      <c r="X1477">
        <v>67.398320314374502</v>
      </c>
      <c r="Y1477">
        <v>-1.1983203143744987</v>
      </c>
      <c r="Z1477">
        <v>67.406501371929025</v>
      </c>
      <c r="AA1477">
        <v>0.3171619163129169</v>
      </c>
      <c r="AB1477">
        <v>79.2</v>
      </c>
      <c r="AC1477">
        <v>-0.48332360885611292</v>
      </c>
      <c r="AD1477">
        <v>-0.33325357226874164</v>
      </c>
      <c r="AE1477">
        <v>1.0921223758473313</v>
      </c>
      <c r="AF1477">
        <v>6.780810817848826E-3</v>
      </c>
      <c r="AG1477">
        <v>-0.33438921569475033</v>
      </c>
      <c r="AH1477">
        <v>1.0939289488019062</v>
      </c>
      <c r="AI1477">
        <v>4.0177920089541928E-5</v>
      </c>
    </row>
    <row r="1478" spans="23:35" x14ac:dyDescent="0.25">
      <c r="W1478">
        <v>1476</v>
      </c>
      <c r="X1478">
        <v>65.297093214698876</v>
      </c>
      <c r="Y1478">
        <v>-5.597093214698873</v>
      </c>
      <c r="Z1478">
        <v>65.318895700333442</v>
      </c>
      <c r="AA1478">
        <v>0.16919345057610674</v>
      </c>
      <c r="AB1478">
        <v>79.2</v>
      </c>
      <c r="AC1478">
        <v>-0.96823093621551704</v>
      </c>
      <c r="AD1478">
        <v>-1.5565548591180824</v>
      </c>
      <c r="AE1478">
        <v>1.0925272177014187</v>
      </c>
      <c r="AF1478">
        <v>3.8802082824327998E-3</v>
      </c>
      <c r="AG1478">
        <v>-1.5595835544784531</v>
      </c>
      <c r="AH1478">
        <v>1.0945989418102215</v>
      </c>
      <c r="AI1478">
        <v>4.9866301930035623E-4</v>
      </c>
    </row>
    <row r="1479" spans="23:35" x14ac:dyDescent="0.25">
      <c r="W1479">
        <v>1477</v>
      </c>
      <c r="X1479">
        <v>65.040354704217791</v>
      </c>
      <c r="Y1479">
        <v>-5.6403547042177919</v>
      </c>
      <c r="Z1479">
        <v>65.062003788744363</v>
      </c>
      <c r="AA1479">
        <v>0.16312916919345058</v>
      </c>
      <c r="AB1479">
        <v>79.2</v>
      </c>
      <c r="AC1479">
        <v>-0.99032898964496086</v>
      </c>
      <c r="AD1479">
        <v>-1.5685859043660904</v>
      </c>
      <c r="AE1479">
        <v>1.0931326695008643</v>
      </c>
      <c r="AF1479">
        <v>3.8235729494927708E-3</v>
      </c>
      <c r="AG1479">
        <v>-1.5715933327772247</v>
      </c>
      <c r="AH1479">
        <v>1.0989559089332335</v>
      </c>
      <c r="AI1479">
        <v>4.989532712752991E-4</v>
      </c>
    </row>
    <row r="1480" spans="23:35" x14ac:dyDescent="0.25">
      <c r="W1480">
        <v>1478</v>
      </c>
      <c r="X1480">
        <v>64.671202129195137</v>
      </c>
      <c r="Y1480">
        <v>-5.7712021291951388</v>
      </c>
      <c r="Z1480">
        <v>64.694181364557195</v>
      </c>
      <c r="AA1480">
        <v>0.14918132201334142</v>
      </c>
      <c r="AB1480">
        <v>79.2</v>
      </c>
      <c r="AC1480">
        <v>-1.0491313979639725</v>
      </c>
      <c r="AD1480">
        <v>-1.6049746489052565</v>
      </c>
      <c r="AE1480">
        <v>1.0957156038490377</v>
      </c>
      <c r="AF1480">
        <v>3.965915789694751E-3</v>
      </c>
      <c r="AG1480">
        <v>-1.6081667438854106</v>
      </c>
      <c r="AH1480">
        <v>1.0992084253326686</v>
      </c>
      <c r="AI1480">
        <v>5.4197323655606018E-4</v>
      </c>
    </row>
    <row r="1481" spans="23:35" x14ac:dyDescent="0.25">
      <c r="W1481">
        <v>1479</v>
      </c>
      <c r="X1481">
        <v>68.075098252539888</v>
      </c>
      <c r="Y1481">
        <v>-9.7750982525398911</v>
      </c>
      <c r="Z1481">
        <v>68.117447871246213</v>
      </c>
      <c r="AA1481">
        <v>0.13765918738629473</v>
      </c>
      <c r="AB1481">
        <v>79.3</v>
      </c>
      <c r="AC1481">
        <v>-1.0950400512086547</v>
      </c>
      <c r="AD1481">
        <v>-2.7184604757679112</v>
      </c>
      <c r="AE1481">
        <v>1.1071290628978645</v>
      </c>
      <c r="AF1481">
        <v>4.3137095568757007E-3</v>
      </c>
      <c r="AG1481">
        <v>-2.7243428381933401</v>
      </c>
      <c r="AH1481">
        <v>1.1091458225250623</v>
      </c>
      <c r="AI1481">
        <v>1.6923815848822281E-3</v>
      </c>
    </row>
    <row r="1482" spans="23:35" x14ac:dyDescent="0.25">
      <c r="W1482">
        <v>1480</v>
      </c>
      <c r="X1482">
        <v>62.11529456576185</v>
      </c>
      <c r="Y1482">
        <v>-4.7152945657618517</v>
      </c>
      <c r="Z1482">
        <v>62.128171384943734</v>
      </c>
      <c r="AA1482">
        <v>0.11825348696179502</v>
      </c>
      <c r="AB1482">
        <v>79.3</v>
      </c>
      <c r="AC1482">
        <v>-1.1914554566319386</v>
      </c>
      <c r="AD1482">
        <v>-1.3113261450130369</v>
      </c>
      <c r="AE1482">
        <v>1.1127925592750665</v>
      </c>
      <c r="AF1482">
        <v>2.7234247943907623E-3</v>
      </c>
      <c r="AG1482">
        <v>-1.3131154496895989</v>
      </c>
      <c r="AH1482">
        <v>1.116180574937554</v>
      </c>
      <c r="AI1482">
        <v>2.4782892336969376E-4</v>
      </c>
    </row>
    <row r="1483" spans="23:35" x14ac:dyDescent="0.25">
      <c r="W1483">
        <v>1481</v>
      </c>
      <c r="X1483">
        <v>60.581585475903054</v>
      </c>
      <c r="Y1483">
        <v>-3.8815854759030515</v>
      </c>
      <c r="Z1483">
        <v>60.598329462146133</v>
      </c>
      <c r="AA1483">
        <v>0.10491206791995149</v>
      </c>
      <c r="AB1483">
        <v>79.3</v>
      </c>
      <c r="AC1483">
        <v>-1.2726185683477402</v>
      </c>
      <c r="AD1483">
        <v>-1.0794711650919195</v>
      </c>
      <c r="AE1483">
        <v>1.114703567913182</v>
      </c>
      <c r="AF1483">
        <v>4.2951696119245446E-3</v>
      </c>
      <c r="AG1483">
        <v>-1.0817969157722156</v>
      </c>
      <c r="AH1483">
        <v>1.1176843640485132</v>
      </c>
      <c r="AI1483">
        <v>2.6569756925025827E-4</v>
      </c>
    </row>
    <row r="1484" spans="23:35" x14ac:dyDescent="0.25">
      <c r="W1484">
        <v>1482</v>
      </c>
      <c r="X1484">
        <v>59.463712818017328</v>
      </c>
      <c r="Y1484">
        <v>-3.2637128180173249</v>
      </c>
      <c r="Z1484">
        <v>59.51809879949176</v>
      </c>
      <c r="AA1484">
        <v>9.5815645845967259E-2</v>
      </c>
      <c r="AB1484">
        <v>79.3</v>
      </c>
      <c r="AC1484">
        <v>-1.3147344895569</v>
      </c>
      <c r="AD1484">
        <v>-0.90764042169416548</v>
      </c>
      <c r="AE1484">
        <v>1.1183242715294643</v>
      </c>
      <c r="AF1484">
        <v>1.6390705871315196E-2</v>
      </c>
      <c r="AG1484">
        <v>-0.9151715633363926</v>
      </c>
      <c r="AH1484">
        <v>1.1214239676633204</v>
      </c>
      <c r="AI1484">
        <v>7.3455863165641626E-4</v>
      </c>
    </row>
    <row r="1485" spans="23:35" x14ac:dyDescent="0.25">
      <c r="W1485">
        <v>1483</v>
      </c>
      <c r="X1485">
        <v>74.449065822231759</v>
      </c>
      <c r="Y1485">
        <v>-1.149065822231762</v>
      </c>
      <c r="Z1485">
        <v>74.472453842773049</v>
      </c>
      <c r="AA1485">
        <v>0.63007883565797451</v>
      </c>
      <c r="AB1485">
        <v>79.3</v>
      </c>
      <c r="AC1485">
        <v>0.3152427890443939</v>
      </c>
      <c r="AD1485">
        <v>-0.3195558695260341</v>
      </c>
      <c r="AE1485">
        <v>1.1186241599672149</v>
      </c>
      <c r="AF1485">
        <v>1.994792433447087E-2</v>
      </c>
      <c r="AG1485">
        <v>-0.32279159852218631</v>
      </c>
      <c r="AH1485">
        <v>1.1276953195204322</v>
      </c>
      <c r="AI1485">
        <v>1.1161932801307794E-4</v>
      </c>
    </row>
    <row r="1486" spans="23:35" x14ac:dyDescent="0.25">
      <c r="W1486">
        <v>1484</v>
      </c>
      <c r="X1486">
        <v>75.077779724593597</v>
      </c>
      <c r="Y1486">
        <v>-1.8777797245935943</v>
      </c>
      <c r="Z1486">
        <v>75.089627255455667</v>
      </c>
      <c r="AA1486">
        <v>0.62340812613705276</v>
      </c>
      <c r="AB1486">
        <v>79.3</v>
      </c>
      <c r="AC1486">
        <v>0.29295400660571058</v>
      </c>
      <c r="AD1486">
        <v>-0.52221162709844671</v>
      </c>
      <c r="AE1486">
        <v>1.1188170755218578</v>
      </c>
      <c r="AF1486">
        <v>6.2697713677986999E-3</v>
      </c>
      <c r="AG1486">
        <v>-0.52385643935361026</v>
      </c>
      <c r="AH1486">
        <v>1.1285522929162761</v>
      </c>
      <c r="AI1486">
        <v>9.1128490348822743E-5</v>
      </c>
    </row>
    <row r="1487" spans="23:35" x14ac:dyDescent="0.25">
      <c r="W1487">
        <v>1485</v>
      </c>
      <c r="X1487">
        <v>74.751855839611352</v>
      </c>
      <c r="Y1487">
        <v>-1.7518558396113519</v>
      </c>
      <c r="Z1487">
        <v>74.763672198729097</v>
      </c>
      <c r="AA1487">
        <v>0.60946027895694366</v>
      </c>
      <c r="AB1487">
        <v>79.3</v>
      </c>
      <c r="AC1487">
        <v>0.22222871718700732</v>
      </c>
      <c r="AD1487">
        <v>-0.48719212187859634</v>
      </c>
      <c r="AE1487">
        <v>1.1231107263694469</v>
      </c>
      <c r="AF1487">
        <v>6.6998613043024293E-3</v>
      </c>
      <c r="AG1487">
        <v>-0.48883242868963805</v>
      </c>
      <c r="AH1487">
        <v>1.1294438227259591</v>
      </c>
      <c r="AI1487">
        <v>8.4830442623168477E-5</v>
      </c>
    </row>
    <row r="1488" spans="23:35" x14ac:dyDescent="0.25">
      <c r="W1488">
        <v>1486</v>
      </c>
      <c r="X1488">
        <v>76.797396297345671</v>
      </c>
      <c r="Y1488">
        <v>-3.8973962973456651</v>
      </c>
      <c r="Z1488">
        <v>76.821461734837726</v>
      </c>
      <c r="AA1488">
        <v>0.58762886597938147</v>
      </c>
      <c r="AB1488">
        <v>79.3</v>
      </c>
      <c r="AC1488">
        <v>0.206674078513852</v>
      </c>
      <c r="AD1488">
        <v>-1.083868163676563</v>
      </c>
      <c r="AE1488">
        <v>1.1239688088516906</v>
      </c>
      <c r="AF1488">
        <v>6.1368538364829969E-3</v>
      </c>
      <c r="AG1488">
        <v>-1.0872093199552832</v>
      </c>
      <c r="AH1488">
        <v>1.131172088313724</v>
      </c>
      <c r="AI1488">
        <v>3.8414211697297527E-4</v>
      </c>
    </row>
    <row r="1489" spans="23:35" x14ac:dyDescent="0.25">
      <c r="W1489">
        <v>1487</v>
      </c>
      <c r="X1489">
        <v>74.768890624885415</v>
      </c>
      <c r="Y1489">
        <v>-1.9688906248854181</v>
      </c>
      <c r="Z1489">
        <v>74.77956167648486</v>
      </c>
      <c r="AA1489">
        <v>0.58156458459672533</v>
      </c>
      <c r="AB1489">
        <v>79.3</v>
      </c>
      <c r="AC1489">
        <v>0.18343432307636306</v>
      </c>
      <c r="AD1489">
        <v>-0.54754962114782602</v>
      </c>
      <c r="AE1489">
        <v>1.1254709620883601</v>
      </c>
      <c r="AF1489">
        <v>5.3906133495170748E-3</v>
      </c>
      <c r="AG1489">
        <v>-0.54903142888438405</v>
      </c>
      <c r="AH1489">
        <v>1.133415731838767</v>
      </c>
      <c r="AI1489">
        <v>8.5985741343082338E-5</v>
      </c>
    </row>
    <row r="1490" spans="23:35" x14ac:dyDescent="0.25">
      <c r="W1490">
        <v>1488</v>
      </c>
      <c r="X1490">
        <v>74.536311362901188</v>
      </c>
      <c r="Y1490">
        <v>-2.0363113629011877</v>
      </c>
      <c r="Z1490">
        <v>74.548053561717666</v>
      </c>
      <c r="AA1490">
        <v>0.55852031534263191</v>
      </c>
      <c r="AB1490">
        <v>79.400000000000006</v>
      </c>
      <c r="AC1490">
        <v>0.12956927093944998</v>
      </c>
      <c r="AD1490">
        <v>-0.56629936737112874</v>
      </c>
      <c r="AE1490">
        <v>1.1290326242624804</v>
      </c>
      <c r="AF1490">
        <v>5.7333455706277013E-3</v>
      </c>
      <c r="AG1490">
        <v>-0.56792977648932008</v>
      </c>
      <c r="AH1490">
        <v>1.1353479921505021</v>
      </c>
      <c r="AI1490">
        <v>9.7890584669411775E-5</v>
      </c>
    </row>
    <row r="1491" spans="23:35" x14ac:dyDescent="0.25">
      <c r="W1491">
        <v>1489</v>
      </c>
      <c r="X1491">
        <v>74.840656338022882</v>
      </c>
      <c r="Y1491">
        <v>-2.2406563380228874</v>
      </c>
      <c r="Z1491">
        <v>74.852886750962213</v>
      </c>
      <c r="AA1491">
        <v>0.56458459672528805</v>
      </c>
      <c r="AB1491">
        <v>79.400000000000006</v>
      </c>
      <c r="AC1491">
        <v>0.14798710972583889</v>
      </c>
      <c r="AD1491">
        <v>-0.62312782310002945</v>
      </c>
      <c r="AE1491">
        <v>1.1303075696938381</v>
      </c>
      <c r="AF1491">
        <v>5.4287739648271214E-3</v>
      </c>
      <c r="AG1491">
        <v>-0.62482615116762641</v>
      </c>
      <c r="AH1491">
        <v>1.1384446768259304</v>
      </c>
      <c r="AI1491">
        <v>1.121581052950191E-4</v>
      </c>
    </row>
    <row r="1492" spans="23:35" x14ac:dyDescent="0.25">
      <c r="W1492">
        <v>1490</v>
      </c>
      <c r="X1492">
        <v>72.684319203999792</v>
      </c>
      <c r="Y1492">
        <v>-0.18431920399979163</v>
      </c>
      <c r="Z1492">
        <v>72.68605161903848</v>
      </c>
      <c r="AA1492">
        <v>0.55852031534263191</v>
      </c>
      <c r="AB1492">
        <v>79.400000000000006</v>
      </c>
      <c r="AC1492">
        <v>0.12956927093944998</v>
      </c>
      <c r="AD1492">
        <v>-5.1259277201458633E-2</v>
      </c>
      <c r="AE1492">
        <v>1.1372446121116415</v>
      </c>
      <c r="AF1492">
        <v>9.3114752112361671E-3</v>
      </c>
      <c r="AG1492">
        <v>-5.1499606620470553E-2</v>
      </c>
      <c r="AH1492">
        <v>1.1504161887007331</v>
      </c>
      <c r="AI1492">
        <v>1.3120052755071134E-6</v>
      </c>
    </row>
    <row r="1493" spans="23:35" x14ac:dyDescent="0.25">
      <c r="W1493">
        <v>1491</v>
      </c>
      <c r="X1493">
        <v>72.668691939491183</v>
      </c>
      <c r="Y1493">
        <v>-0.26869193949117687</v>
      </c>
      <c r="Z1493">
        <v>72.671346214070823</v>
      </c>
      <c r="AA1493">
        <v>0.55124317768344455</v>
      </c>
      <c r="AB1493">
        <v>79.400000000000006</v>
      </c>
      <c r="AC1493">
        <v>0.11578501997911882</v>
      </c>
      <c r="AD1493">
        <v>-7.4723383723984377E-2</v>
      </c>
      <c r="AE1493">
        <v>1.1490355938373265</v>
      </c>
      <c r="AF1493">
        <v>9.781874380435502E-3</v>
      </c>
      <c r="AG1493">
        <v>-7.5091554362231389E-2</v>
      </c>
      <c r="AH1493">
        <v>1.1507154930282464</v>
      </c>
      <c r="AI1493">
        <v>2.9317018217910512E-6</v>
      </c>
    </row>
    <row r="1494" spans="23:35" x14ac:dyDescent="0.25">
      <c r="W1494">
        <v>1492</v>
      </c>
      <c r="X1494">
        <v>76.530252846727578</v>
      </c>
      <c r="Y1494">
        <v>-4.2302528467275806</v>
      </c>
      <c r="Z1494">
        <v>76.610430054767718</v>
      </c>
      <c r="AA1494">
        <v>0.54578532443905392</v>
      </c>
      <c r="AB1494">
        <v>79.400000000000006</v>
      </c>
      <c r="AC1494">
        <v>9.896716322379942E-2</v>
      </c>
      <c r="AD1494">
        <v>-1.1764357625096606</v>
      </c>
      <c r="AE1494">
        <v>1.1491867290807778</v>
      </c>
      <c r="AF1494">
        <v>1.8600744478259698E-2</v>
      </c>
      <c r="AG1494">
        <v>-1.1875320952616182</v>
      </c>
      <c r="AH1494">
        <v>1.1550417260941084</v>
      </c>
      <c r="AI1494">
        <v>1.4067655156212349E-3</v>
      </c>
    </row>
    <row r="1495" spans="23:35" x14ac:dyDescent="0.25">
      <c r="W1495">
        <v>1493</v>
      </c>
      <c r="X1495">
        <v>73.885767241988432</v>
      </c>
      <c r="Y1495">
        <v>-1.6857672419884295</v>
      </c>
      <c r="Z1495">
        <v>73.920419492751932</v>
      </c>
      <c r="AA1495">
        <v>0.53911461491813217</v>
      </c>
      <c r="AB1495">
        <v>79.400000000000006</v>
      </c>
      <c r="AC1495">
        <v>7.9127168877726875E-2</v>
      </c>
      <c r="AD1495">
        <v>-0.46881284466875733</v>
      </c>
      <c r="AE1495">
        <v>1.149303671819822</v>
      </c>
      <c r="AF1495">
        <v>2.0141745027588732E-2</v>
      </c>
      <c r="AG1495">
        <v>-0.47360673991397956</v>
      </c>
      <c r="AH1495">
        <v>1.1661884325709231</v>
      </c>
      <c r="AI1495">
        <v>2.4266994164497374E-4</v>
      </c>
    </row>
    <row r="1496" spans="23:35" x14ac:dyDescent="0.25">
      <c r="W1496">
        <v>1494</v>
      </c>
      <c r="X1496">
        <v>72.423822399157032</v>
      </c>
      <c r="Y1496">
        <v>-0.42382239915703224</v>
      </c>
      <c r="Z1496">
        <v>72.432862638294736</v>
      </c>
      <c r="AA1496">
        <v>0.52516676773802307</v>
      </c>
      <c r="AB1496">
        <v>79.400000000000006</v>
      </c>
      <c r="AC1496">
        <v>4.1053957112594373E-2</v>
      </c>
      <c r="AD1496">
        <v>-0.11786525424991595</v>
      </c>
      <c r="AE1496">
        <v>1.1582777127434019</v>
      </c>
      <c r="AF1496">
        <v>2.0884775764699791E-2</v>
      </c>
      <c r="AG1496">
        <v>-0.11911566938042409</v>
      </c>
      <c r="AH1496">
        <v>1.1672954323985461</v>
      </c>
      <c r="AI1496">
        <v>1.5928695257582674E-5</v>
      </c>
    </row>
    <row r="1497" spans="23:35" x14ac:dyDescent="0.25">
      <c r="W1497">
        <v>1495</v>
      </c>
      <c r="X1497">
        <v>73.253435826676437</v>
      </c>
      <c r="Y1497">
        <v>-1.3534358266764315</v>
      </c>
      <c r="Z1497">
        <v>73.258995954098438</v>
      </c>
      <c r="AA1497">
        <v>0.51607034566403887</v>
      </c>
      <c r="AB1497">
        <v>79.400000000000006</v>
      </c>
      <c r="AC1497">
        <v>2.7365033500434649E-2</v>
      </c>
      <c r="AD1497">
        <v>-0.37639128592412407</v>
      </c>
      <c r="AE1497">
        <v>1.1680729743999978</v>
      </c>
      <c r="AF1497">
        <v>4.091349503460729E-3</v>
      </c>
      <c r="AG1497">
        <v>-0.37716363083391435</v>
      </c>
      <c r="AH1497">
        <v>1.1743264961319577</v>
      </c>
      <c r="AI1497">
        <v>3.0757645763220746E-5</v>
      </c>
    </row>
    <row r="1498" spans="23:35" x14ac:dyDescent="0.25">
      <c r="W1498">
        <v>1496</v>
      </c>
      <c r="X1498">
        <v>73.027047011856553</v>
      </c>
      <c r="Y1498">
        <v>-1.2270470118565555</v>
      </c>
      <c r="Z1498">
        <v>73.032018159653219</v>
      </c>
      <c r="AA1498">
        <v>0.51061249241964823</v>
      </c>
      <c r="AB1498">
        <v>79.5</v>
      </c>
      <c r="AC1498">
        <v>1.0640830227304372E-2</v>
      </c>
      <c r="AD1498">
        <v>-0.34124248344761615</v>
      </c>
      <c r="AE1498">
        <v>1.1741052098527112</v>
      </c>
      <c r="AF1498">
        <v>4.0349630869603512E-3</v>
      </c>
      <c r="AG1498">
        <v>-0.34193302429402861</v>
      </c>
      <c r="AH1498">
        <v>1.1816574695398494</v>
      </c>
      <c r="AI1498">
        <v>2.4930096934788613E-5</v>
      </c>
    </row>
    <row r="1499" spans="23:35" x14ac:dyDescent="0.25">
      <c r="W1499">
        <v>1497</v>
      </c>
      <c r="X1499">
        <v>73.265475141298865</v>
      </c>
      <c r="Y1499">
        <v>-1.6654751412988702</v>
      </c>
      <c r="Z1499">
        <v>73.273155942070389</v>
      </c>
      <c r="AA1499">
        <v>0.49787750151607035</v>
      </c>
      <c r="AB1499">
        <v>79.5</v>
      </c>
      <c r="AC1499">
        <v>-2.1282865457297767E-2</v>
      </c>
      <c r="AD1499">
        <v>-0.46316959973456584</v>
      </c>
      <c r="AE1499">
        <v>1.1789149395278395</v>
      </c>
      <c r="AF1499">
        <v>4.5906066364755404E-3</v>
      </c>
      <c r="AG1499">
        <v>-0.46423638876866502</v>
      </c>
      <c r="AH1499">
        <v>1.1824175574653653</v>
      </c>
      <c r="AI1499">
        <v>5.2311009725942105E-5</v>
      </c>
    </row>
    <row r="1500" spans="23:35" x14ac:dyDescent="0.25">
      <c r="W1500">
        <v>1498</v>
      </c>
      <c r="X1500">
        <v>72.748687714412682</v>
      </c>
      <c r="Y1500">
        <v>-1.6486877144126879</v>
      </c>
      <c r="Z1500">
        <v>72.758917682916461</v>
      </c>
      <c r="AA1500">
        <v>0.47422680412371132</v>
      </c>
      <c r="AB1500">
        <v>79.5</v>
      </c>
      <c r="AC1500">
        <v>-7.6077819866612773E-2</v>
      </c>
      <c r="AD1500">
        <v>-0.45850100661141513</v>
      </c>
      <c r="AE1500">
        <v>1.1794694568598532</v>
      </c>
      <c r="AF1500">
        <v>6.166652275235102E-3</v>
      </c>
      <c r="AG1500">
        <v>-0.45992128691636874</v>
      </c>
      <c r="AH1500">
        <v>1.1849117905878828</v>
      </c>
      <c r="AI1500">
        <v>6.9079520706050781E-5</v>
      </c>
    </row>
    <row r="1501" spans="23:35" x14ac:dyDescent="0.25">
      <c r="W1501">
        <v>1499</v>
      </c>
      <c r="X1501">
        <v>71.892432627028001</v>
      </c>
      <c r="Y1501">
        <v>-0.89243262702800052</v>
      </c>
      <c r="Z1501">
        <v>71.894483005860394</v>
      </c>
      <c r="AA1501">
        <v>0.46937537901758641</v>
      </c>
      <c r="AB1501">
        <v>79.5</v>
      </c>
      <c r="AC1501">
        <v>-9.743972564826138E-2</v>
      </c>
      <c r="AD1501">
        <v>-0.24818602956046804</v>
      </c>
      <c r="AE1501">
        <v>1.180092413191776</v>
      </c>
      <c r="AF1501">
        <v>2.2922501813434906E-3</v>
      </c>
      <c r="AG1501">
        <v>-0.2484709717588886</v>
      </c>
      <c r="AH1501">
        <v>1.1914336218293742</v>
      </c>
      <c r="AI1501">
        <v>7.4654567903079465E-6</v>
      </c>
    </row>
    <row r="1502" spans="23:35" x14ac:dyDescent="0.25">
      <c r="W1502">
        <v>1500</v>
      </c>
      <c r="X1502">
        <v>72.37463251689644</v>
      </c>
      <c r="Y1502">
        <v>5.6253674831035596</v>
      </c>
      <c r="Z1502">
        <v>72.337981692845943</v>
      </c>
      <c r="AA1502">
        <v>0.86294724075197093</v>
      </c>
      <c r="AB1502">
        <v>79.5</v>
      </c>
      <c r="AC1502">
        <v>1.0491313979639725</v>
      </c>
      <c r="AD1502">
        <v>1.5644179495089563</v>
      </c>
      <c r="AE1502">
        <v>1.1879083920664635</v>
      </c>
      <c r="AF1502">
        <v>6.4731023571915226E-3</v>
      </c>
      <c r="AG1502">
        <v>1.5695059831571314</v>
      </c>
      <c r="AH1502">
        <v>1.1924719494232385</v>
      </c>
      <c r="AI1502">
        <v>8.4470525410973668E-4</v>
      </c>
    </row>
    <row r="1503" spans="23:35" x14ac:dyDescent="0.25">
      <c r="W1503">
        <v>1501</v>
      </c>
      <c r="X1503">
        <v>70.842998641877628</v>
      </c>
      <c r="Y1503">
        <v>5.1570013581223719</v>
      </c>
      <c r="Z1503">
        <v>70.745916730861396</v>
      </c>
      <c r="AA1503">
        <v>0.80836870830806551</v>
      </c>
      <c r="AB1503">
        <v>79.599999999999994</v>
      </c>
      <c r="AC1503">
        <v>0.83794453378675593</v>
      </c>
      <c r="AD1503">
        <v>1.4341650593531869</v>
      </c>
      <c r="AE1503">
        <v>1.1899408844434554</v>
      </c>
      <c r="AF1503">
        <v>1.8477421472643227E-2</v>
      </c>
      <c r="AG1503">
        <v>1.4476013863830079</v>
      </c>
      <c r="AH1503">
        <v>1.1946709624053899</v>
      </c>
      <c r="AI1503">
        <v>2.076277753271823E-3</v>
      </c>
    </row>
    <row r="1504" spans="23:35" x14ac:dyDescent="0.25">
      <c r="W1504">
        <v>1502</v>
      </c>
      <c r="X1504">
        <v>71.296311746550458</v>
      </c>
      <c r="Y1504">
        <v>2.7036882534495419</v>
      </c>
      <c r="Z1504">
        <v>71.238837458816747</v>
      </c>
      <c r="AA1504">
        <v>0.68465736810187994</v>
      </c>
      <c r="AB1504">
        <v>79.599999999999994</v>
      </c>
      <c r="AC1504">
        <v>0.4663087141536239</v>
      </c>
      <c r="AD1504">
        <v>0.75189726649456612</v>
      </c>
      <c r="AE1504">
        <v>1.1915076712679749</v>
      </c>
      <c r="AF1504">
        <v>2.0815249691558357E-2</v>
      </c>
      <c r="AG1504">
        <v>0.75984705636034189</v>
      </c>
      <c r="AH1504">
        <v>1.2040843910900216</v>
      </c>
      <c r="AI1504">
        <v>6.4597506369136535E-4</v>
      </c>
    </row>
    <row r="1505" spans="23:35" x14ac:dyDescent="0.25">
      <c r="W1505">
        <v>1503</v>
      </c>
      <c r="X1505">
        <v>70.060668089013774</v>
      </c>
      <c r="Y1505">
        <v>0.93933191098622615</v>
      </c>
      <c r="Z1505">
        <v>70.045922724431193</v>
      </c>
      <c r="AA1505">
        <v>0.46937537901758641</v>
      </c>
      <c r="AB1505">
        <v>79.599999999999994</v>
      </c>
      <c r="AC1505">
        <v>-9.743972564826138E-2</v>
      </c>
      <c r="AD1505">
        <v>0.26122874754533593</v>
      </c>
      <c r="AE1505">
        <v>1.1981455504577141</v>
      </c>
      <c r="AF1505">
        <v>1.5455105115879199E-2</v>
      </c>
      <c r="AG1505">
        <v>0.26327111085423499</v>
      </c>
      <c r="AH1505">
        <v>1.2047156984784795</v>
      </c>
      <c r="AI1505">
        <v>5.7264997947905355E-5</v>
      </c>
    </row>
    <row r="1506" spans="23:35" x14ac:dyDescent="0.25">
      <c r="W1506">
        <v>1504</v>
      </c>
      <c r="X1506">
        <v>70.0178100910952</v>
      </c>
      <c r="Y1506">
        <v>-0.11781009109519403</v>
      </c>
      <c r="Z1506">
        <v>70.020904534478717</v>
      </c>
      <c r="AA1506">
        <v>0.45724681625227409</v>
      </c>
      <c r="AB1506">
        <v>79.599999999999994</v>
      </c>
      <c r="AC1506">
        <v>-0.11731546960548965</v>
      </c>
      <c r="AD1506">
        <v>-3.2763054448653496E-2</v>
      </c>
      <c r="AE1506">
        <v>1.2033288449050874</v>
      </c>
      <c r="AF1506">
        <v>2.5594105273693851E-2</v>
      </c>
      <c r="AG1506">
        <v>-3.3190548710559709E-2</v>
      </c>
      <c r="AH1506">
        <v>1.2143801125673199</v>
      </c>
      <c r="AI1506">
        <v>1.5229137680713579E-6</v>
      </c>
    </row>
    <row r="1507" spans="23:35" x14ac:dyDescent="0.25">
      <c r="W1507">
        <v>1505</v>
      </c>
      <c r="X1507">
        <v>70.057578256456338</v>
      </c>
      <c r="Y1507">
        <v>-0.35757825645633545</v>
      </c>
      <c r="Z1507">
        <v>70.063058504754594</v>
      </c>
      <c r="AA1507">
        <v>0.45057610673135234</v>
      </c>
      <c r="AB1507">
        <v>79.7</v>
      </c>
      <c r="AC1507">
        <v>-0.12956927093944987</v>
      </c>
      <c r="AD1507">
        <v>-9.9442719864015289E-2</v>
      </c>
      <c r="AE1507">
        <v>1.2112733501917292</v>
      </c>
      <c r="AF1507">
        <v>1.509466994019785E-2</v>
      </c>
      <c r="AG1507">
        <v>-0.10020185241549144</v>
      </c>
      <c r="AH1507">
        <v>1.2236917709877888</v>
      </c>
      <c r="AI1507">
        <v>8.0989185841052745E-6</v>
      </c>
    </row>
    <row r="1508" spans="23:35" x14ac:dyDescent="0.25">
      <c r="W1508">
        <v>1506</v>
      </c>
      <c r="X1508">
        <v>70.516450994526423</v>
      </c>
      <c r="Y1508">
        <v>-0.91645099452642853</v>
      </c>
      <c r="Z1508">
        <v>70.518680192877966</v>
      </c>
      <c r="AA1508">
        <v>0.44815039417828989</v>
      </c>
      <c r="AB1508">
        <v>79.7</v>
      </c>
      <c r="AC1508">
        <v>-0.14337818601426075</v>
      </c>
      <c r="AD1508">
        <v>-0.25486555144864753</v>
      </c>
      <c r="AE1508">
        <v>1.2138314658958915</v>
      </c>
      <c r="AF1508">
        <v>2.4265227103206443E-3</v>
      </c>
      <c r="AG1508">
        <v>-0.2551753338576585</v>
      </c>
      <c r="AH1508">
        <v>1.2251947264989356</v>
      </c>
      <c r="AI1508">
        <v>8.3361063906457722E-6</v>
      </c>
    </row>
    <row r="1509" spans="23:35" x14ac:dyDescent="0.25">
      <c r="W1509">
        <v>1507</v>
      </c>
      <c r="X1509">
        <v>71.144836945350349</v>
      </c>
      <c r="Y1509">
        <v>-1.6448369453503489</v>
      </c>
      <c r="Z1509">
        <v>71.149484146869057</v>
      </c>
      <c r="AA1509">
        <v>0.44269254093389931</v>
      </c>
      <c r="AB1509">
        <v>79.7</v>
      </c>
      <c r="AC1509">
        <v>-0.15567569037416348</v>
      </c>
      <c r="AD1509">
        <v>-0.45743010550875274</v>
      </c>
      <c r="AE1509">
        <v>1.2189184148143846</v>
      </c>
      <c r="AF1509">
        <v>2.8173665855074606E-3</v>
      </c>
      <c r="AG1509">
        <v>-0.45807584443925109</v>
      </c>
      <c r="AH1509">
        <v>1.2273354837292088</v>
      </c>
      <c r="AI1509">
        <v>3.1202531759009862E-5</v>
      </c>
    </row>
    <row r="1510" spans="23:35" x14ac:dyDescent="0.25">
      <c r="W1510">
        <v>1508</v>
      </c>
      <c r="X1510">
        <v>72.968994465702494</v>
      </c>
      <c r="Y1510">
        <v>-3.5689944657024881</v>
      </c>
      <c r="Z1510">
        <v>72.981927371200072</v>
      </c>
      <c r="AA1510">
        <v>0.43784111582777441</v>
      </c>
      <c r="AB1510">
        <v>79.7</v>
      </c>
      <c r="AC1510">
        <v>-0.16799678341230881</v>
      </c>
      <c r="AD1510">
        <v>-0.99253942442222365</v>
      </c>
      <c r="AE1510">
        <v>1.2215872795625611</v>
      </c>
      <c r="AF1510">
        <v>3.610599589919555E-3</v>
      </c>
      <c r="AG1510">
        <v>-0.9943361224761218</v>
      </c>
      <c r="AH1510">
        <v>1.2300162641513999</v>
      </c>
      <c r="AI1510">
        <v>1.8856585836087231E-4</v>
      </c>
    </row>
    <row r="1511" spans="23:35" x14ac:dyDescent="0.25">
      <c r="W1511">
        <v>1509</v>
      </c>
      <c r="X1511">
        <v>70.013714786793628</v>
      </c>
      <c r="Y1511">
        <v>-0.71371478679363065</v>
      </c>
      <c r="Z1511">
        <v>70.015338459392936</v>
      </c>
      <c r="AA1511">
        <v>0.4329896907216495</v>
      </c>
      <c r="AB1511">
        <v>79.7</v>
      </c>
      <c r="AC1511">
        <v>-0.17879863688351211</v>
      </c>
      <c r="AD1511">
        <v>-0.19848449486075267</v>
      </c>
      <c r="AE1511">
        <v>1.2229210795304759</v>
      </c>
      <c r="AF1511">
        <v>2.2697963152753901E-3</v>
      </c>
      <c r="AG1511">
        <v>-0.19871013874527257</v>
      </c>
      <c r="AH1511">
        <v>1.2409387984369507</v>
      </c>
      <c r="AI1511">
        <v>4.7278122253645601E-6</v>
      </c>
    </row>
    <row r="1512" spans="23:35" x14ac:dyDescent="0.25">
      <c r="W1512">
        <v>1510</v>
      </c>
      <c r="X1512">
        <v>69.654378291259306</v>
      </c>
      <c r="Y1512">
        <v>-0.45437829125930307</v>
      </c>
      <c r="Z1512">
        <v>69.660373558948365</v>
      </c>
      <c r="AA1512">
        <v>0.42874469375379015</v>
      </c>
      <c r="AB1512">
        <v>79.8</v>
      </c>
      <c r="AC1512">
        <v>-0.1880739545732803</v>
      </c>
      <c r="AD1512">
        <v>-0.12636286551027021</v>
      </c>
      <c r="AE1512">
        <v>1.2396191032072015</v>
      </c>
      <c r="AF1512">
        <v>1.3022615162247871E-2</v>
      </c>
      <c r="AG1512">
        <v>-0.12719377734309936</v>
      </c>
      <c r="AH1512">
        <v>1.2538804598248807</v>
      </c>
      <c r="AI1512">
        <v>1.123489800784338E-5</v>
      </c>
    </row>
    <row r="1513" spans="23:35" x14ac:dyDescent="0.25">
      <c r="W1513">
        <v>1511</v>
      </c>
      <c r="X1513">
        <v>75.333122480500521</v>
      </c>
      <c r="Y1513">
        <v>-0.23312248050052631</v>
      </c>
      <c r="Z1513">
        <v>75.335129440959633</v>
      </c>
      <c r="AA1513">
        <v>0.76288659793814428</v>
      </c>
      <c r="AB1513">
        <v>79.8</v>
      </c>
      <c r="AC1513">
        <v>0.70876261491573156</v>
      </c>
      <c r="AD1513">
        <v>-6.4831496613242875E-2</v>
      </c>
      <c r="AE1513">
        <v>1.2485028017303335</v>
      </c>
      <c r="AF1513">
        <v>8.5355557811975149E-3</v>
      </c>
      <c r="AG1513">
        <v>-6.5109966989123844E-2</v>
      </c>
      <c r="AH1513">
        <v>1.2595729200556354</v>
      </c>
      <c r="AI1513">
        <v>1.9208613142575575E-6</v>
      </c>
    </row>
    <row r="1514" spans="23:35" x14ac:dyDescent="0.25">
      <c r="W1514">
        <v>1512</v>
      </c>
      <c r="X1514">
        <v>77.102623538534218</v>
      </c>
      <c r="Y1514">
        <v>-2.2026235385342119</v>
      </c>
      <c r="Z1514">
        <v>77.114044496568226</v>
      </c>
      <c r="AA1514">
        <v>0.74833232261976956</v>
      </c>
      <c r="AB1514">
        <v>79.8</v>
      </c>
      <c r="AC1514">
        <v>0.64941472986293525</v>
      </c>
      <c r="AD1514">
        <v>-0.6125508795725404</v>
      </c>
      <c r="AE1514">
        <v>1.2534023027169987</v>
      </c>
      <c r="AF1514">
        <v>5.1584139576744664E-3</v>
      </c>
      <c r="AG1514">
        <v>-0.61413691378631852</v>
      </c>
      <c r="AH1514">
        <v>1.2628293630646616</v>
      </c>
      <c r="AI1514">
        <v>1.0292931040677867E-4</v>
      </c>
    </row>
    <row r="1515" spans="23:35" x14ac:dyDescent="0.25">
      <c r="W1515">
        <v>1513</v>
      </c>
      <c r="X1515">
        <v>76.923275414229309</v>
      </c>
      <c r="Y1515">
        <v>-2.0232754142293032</v>
      </c>
      <c r="Z1515">
        <v>76.933316509251696</v>
      </c>
      <c r="AA1515">
        <v>0.74833232261976956</v>
      </c>
      <c r="AB1515">
        <v>79.8</v>
      </c>
      <c r="AC1515">
        <v>0.64941472986293525</v>
      </c>
      <c r="AD1515">
        <v>-0.56267406250839247</v>
      </c>
      <c r="AE1515">
        <v>1.2621319360527585</v>
      </c>
      <c r="AF1515">
        <v>4.9382843136817362E-3</v>
      </c>
      <c r="AG1515">
        <v>-0.56406855167537395</v>
      </c>
      <c r="AH1515">
        <v>1.2692235396671032</v>
      </c>
      <c r="AI1515">
        <v>8.3106739944735909E-5</v>
      </c>
    </row>
    <row r="1516" spans="23:35" x14ac:dyDescent="0.25">
      <c r="W1516">
        <v>1514</v>
      </c>
      <c r="X1516">
        <v>76.806771970372694</v>
      </c>
      <c r="Y1516">
        <v>-2.0067719703726965</v>
      </c>
      <c r="Z1516">
        <v>76.816541153456626</v>
      </c>
      <c r="AA1516">
        <v>0.74166161309884782</v>
      </c>
      <c r="AB1516">
        <v>79.8</v>
      </c>
      <c r="AC1516">
        <v>0.63261352584071384</v>
      </c>
      <c r="AD1516">
        <v>-0.55808444522995915</v>
      </c>
      <c r="AE1516">
        <v>1.2659834153874507</v>
      </c>
      <c r="AF1516">
        <v>4.8445245301255166E-3</v>
      </c>
      <c r="AG1516">
        <v>-0.55944120375480566</v>
      </c>
      <c r="AH1516">
        <v>1.2793820150396442</v>
      </c>
      <c r="AI1516">
        <v>8.0189133539989885E-5</v>
      </c>
    </row>
    <row r="1517" spans="23:35" x14ac:dyDescent="0.25">
      <c r="W1517">
        <v>1515</v>
      </c>
      <c r="X1517">
        <v>76.355276825594487</v>
      </c>
      <c r="Y1517">
        <v>-1.5552768255944898</v>
      </c>
      <c r="Z1517">
        <v>76.362828335524327</v>
      </c>
      <c r="AA1517">
        <v>0.74166161309884782</v>
      </c>
      <c r="AB1517">
        <v>79.900000000000006</v>
      </c>
      <c r="AC1517">
        <v>0.63261352584071384</v>
      </c>
      <c r="AD1517">
        <v>-0.43252338442305077</v>
      </c>
      <c r="AE1517">
        <v>1.2771769997699496</v>
      </c>
      <c r="AF1517">
        <v>4.8319509943498254E-3</v>
      </c>
      <c r="AG1517">
        <v>-0.43357215255303555</v>
      </c>
      <c r="AH1517">
        <v>1.2842046590953333</v>
      </c>
      <c r="AI1517">
        <v>4.8039143667093249E-5</v>
      </c>
    </row>
    <row r="1518" spans="23:35" x14ac:dyDescent="0.25">
      <c r="W1518">
        <v>1516</v>
      </c>
      <c r="X1518">
        <v>76.515411438990583</v>
      </c>
      <c r="Y1518">
        <v>-1.81541143899058</v>
      </c>
      <c r="Z1518">
        <v>76.523669375725603</v>
      </c>
      <c r="AA1518">
        <v>0.7362037598544573</v>
      </c>
      <c r="AB1518">
        <v>79.900000000000006</v>
      </c>
      <c r="AC1518">
        <v>0.61415241452626612</v>
      </c>
      <c r="AD1518">
        <v>-0.50486697081234277</v>
      </c>
      <c r="AE1518">
        <v>1.2816913552420821</v>
      </c>
      <c r="AF1518">
        <v>4.5281983921739988E-3</v>
      </c>
      <c r="AG1518">
        <v>-0.50601393645428716</v>
      </c>
      <c r="AH1518">
        <v>1.291604709085163</v>
      </c>
      <c r="AI1518">
        <v>6.1301039517656388E-5</v>
      </c>
    </row>
    <row r="1519" spans="23:35" x14ac:dyDescent="0.25">
      <c r="W1519">
        <v>1517</v>
      </c>
      <c r="X1519">
        <v>76.054730176769937</v>
      </c>
      <c r="Y1519">
        <v>-1.3547301767699338</v>
      </c>
      <c r="Z1519">
        <v>76.061084872170696</v>
      </c>
      <c r="AA1519">
        <v>0.7362037598544573</v>
      </c>
      <c r="AB1519">
        <v>79.900000000000006</v>
      </c>
      <c r="AC1519">
        <v>0.61415241452626612</v>
      </c>
      <c r="AD1519">
        <v>-0.37675124543349048</v>
      </c>
      <c r="AE1519">
        <v>1.2864713205140825</v>
      </c>
      <c r="AF1519">
        <v>4.6688458087280702E-3</v>
      </c>
      <c r="AG1519">
        <v>-0.37763383387733407</v>
      </c>
      <c r="AH1519">
        <v>1.2920121343924684</v>
      </c>
      <c r="AI1519">
        <v>3.52070898003755E-5</v>
      </c>
    </row>
    <row r="1520" spans="23:35" x14ac:dyDescent="0.25">
      <c r="W1520">
        <v>1518</v>
      </c>
      <c r="X1520">
        <v>76.093340671391061</v>
      </c>
      <c r="Y1520">
        <v>-1.4933406713910671</v>
      </c>
      <c r="Z1520">
        <v>76.100089964308282</v>
      </c>
      <c r="AA1520">
        <v>0.73013947847180105</v>
      </c>
      <c r="AB1520">
        <v>79.900000000000006</v>
      </c>
      <c r="AC1520">
        <v>0.59589828697336056</v>
      </c>
      <c r="AD1520">
        <v>-0.41529890412902171</v>
      </c>
      <c r="AE1520">
        <v>1.2868806969786786</v>
      </c>
      <c r="AF1520">
        <v>4.4992587630105479E-3</v>
      </c>
      <c r="AG1520">
        <v>-0.41623633725021991</v>
      </c>
      <c r="AH1520">
        <v>1.2952922023197804</v>
      </c>
      <c r="AI1520">
        <v>4.1212196796128179E-5</v>
      </c>
    </row>
    <row r="1521" spans="23:35" x14ac:dyDescent="0.25">
      <c r="W1521">
        <v>1519</v>
      </c>
      <c r="X1521">
        <v>75.899398356820583</v>
      </c>
      <c r="Y1521">
        <v>-1.4993983568205778</v>
      </c>
      <c r="Z1521">
        <v>75.905925756170006</v>
      </c>
      <c r="AA1521">
        <v>0.71376591873862949</v>
      </c>
      <c r="AB1521">
        <v>79.900000000000006</v>
      </c>
      <c r="AC1521">
        <v>0.54051528578164909</v>
      </c>
      <c r="AD1521">
        <v>-0.41698354994938275</v>
      </c>
      <c r="AE1521">
        <v>1.2879935522514507</v>
      </c>
      <c r="AF1521">
        <v>4.3344762002248231E-3</v>
      </c>
      <c r="AG1521">
        <v>-0.41789020104608426</v>
      </c>
      <c r="AH1521">
        <v>1.2981743740602556</v>
      </c>
      <c r="AI1521">
        <v>4.0012337891958942E-5</v>
      </c>
    </row>
    <row r="1522" spans="23:35" x14ac:dyDescent="0.25">
      <c r="W1522">
        <v>1520</v>
      </c>
      <c r="X1522">
        <v>75.483270255264813</v>
      </c>
      <c r="Y1522">
        <v>-1.2832702552648101</v>
      </c>
      <c r="Z1522">
        <v>75.488501277056642</v>
      </c>
      <c r="AA1522">
        <v>0.7010309278350515</v>
      </c>
      <c r="AB1522">
        <v>79.900000000000006</v>
      </c>
      <c r="AC1522">
        <v>0.5039283835636299</v>
      </c>
      <c r="AD1522">
        <v>-0.35687819994643555</v>
      </c>
      <c r="AE1522">
        <v>1.289186773159815</v>
      </c>
      <c r="AF1522">
        <v>4.0597722990109711E-3</v>
      </c>
      <c r="AG1522">
        <v>-0.35760483529214049</v>
      </c>
      <c r="AH1522">
        <v>1.2996041966121459</v>
      </c>
      <c r="AI1522">
        <v>2.7436048705839064E-5</v>
      </c>
    </row>
    <row r="1523" spans="23:35" x14ac:dyDescent="0.25">
      <c r="W1523">
        <v>1521</v>
      </c>
      <c r="X1523">
        <v>75.06568208351878</v>
      </c>
      <c r="Y1523">
        <v>-1.0656820835187801</v>
      </c>
      <c r="Z1523">
        <v>75.069741940648996</v>
      </c>
      <c r="AA1523">
        <v>0.68465736810187994</v>
      </c>
      <c r="AB1523">
        <v>80</v>
      </c>
      <c r="AC1523">
        <v>0.4663087141536239</v>
      </c>
      <c r="AD1523">
        <v>-0.29636680357939749</v>
      </c>
      <c r="AE1523">
        <v>1.2907476943552534</v>
      </c>
      <c r="AF1523">
        <v>3.7951743088150921E-3</v>
      </c>
      <c r="AG1523">
        <v>-0.29693079125117705</v>
      </c>
      <c r="AH1523">
        <v>1.304810788089654</v>
      </c>
      <c r="AI1523">
        <v>1.7678277892444423E-5</v>
      </c>
    </row>
    <row r="1524" spans="23:35" x14ac:dyDescent="0.25">
      <c r="W1524">
        <v>1522</v>
      </c>
      <c r="X1524">
        <v>73.368237275423652</v>
      </c>
      <c r="Y1524">
        <v>0.33176272457635037</v>
      </c>
      <c r="Z1524">
        <v>73.365948142330453</v>
      </c>
      <c r="AA1524">
        <v>0.66040024257125529</v>
      </c>
      <c r="AB1524">
        <v>80</v>
      </c>
      <c r="AC1524">
        <v>0.39787592189543292</v>
      </c>
      <c r="AD1524">
        <v>9.2263405522245753E-2</v>
      </c>
      <c r="AE1524">
        <v>1.2907564189804215</v>
      </c>
      <c r="AF1524">
        <v>6.852627939759692E-3</v>
      </c>
      <c r="AG1524">
        <v>9.258116295840671E-2</v>
      </c>
      <c r="AH1524">
        <v>1.3079210632652858</v>
      </c>
      <c r="AI1524">
        <v>3.1126846046839583E-6</v>
      </c>
    </row>
    <row r="1525" spans="23:35" x14ac:dyDescent="0.25">
      <c r="W1525">
        <v>1523</v>
      </c>
      <c r="X1525">
        <v>74.504555536883686</v>
      </c>
      <c r="Y1525">
        <v>-1.0045555368836858</v>
      </c>
      <c r="Z1525">
        <v>74.508188438178976</v>
      </c>
      <c r="AA1525">
        <v>0.64463311097634934</v>
      </c>
      <c r="AB1525">
        <v>80</v>
      </c>
      <c r="AC1525">
        <v>0.35220887014201224</v>
      </c>
      <c r="AD1525">
        <v>-0.27936747561821701</v>
      </c>
      <c r="AE1525">
        <v>1.2959951438740813</v>
      </c>
      <c r="AF1525">
        <v>3.6033951171337798E-3</v>
      </c>
      <c r="AG1525">
        <v>-0.27987217570266443</v>
      </c>
      <c r="AH1525">
        <v>1.3138513491231574</v>
      </c>
      <c r="AI1525">
        <v>1.4908896288719028E-5</v>
      </c>
    </row>
    <row r="1526" spans="23:35" x14ac:dyDescent="0.25">
      <c r="W1526">
        <v>1524</v>
      </c>
      <c r="X1526">
        <v>74.395636738201205</v>
      </c>
      <c r="Y1526">
        <v>-1.1956367382012019</v>
      </c>
      <c r="Z1526">
        <v>74.400090908088188</v>
      </c>
      <c r="AA1526">
        <v>0.62340812613705276</v>
      </c>
      <c r="AB1526">
        <v>80</v>
      </c>
      <c r="AC1526">
        <v>0.29295400660571058</v>
      </c>
      <c r="AD1526">
        <v>-0.33250726818336585</v>
      </c>
      <c r="AE1526">
        <v>1.3002261037131173</v>
      </c>
      <c r="AF1526">
        <v>3.7115270659584523E-3</v>
      </c>
      <c r="AG1526">
        <v>-0.33312604603791407</v>
      </c>
      <c r="AH1526">
        <v>1.3224808054138639</v>
      </c>
      <c r="AI1526">
        <v>2.1758607877299804E-5</v>
      </c>
    </row>
    <row r="1527" spans="23:35" x14ac:dyDescent="0.25">
      <c r="W1527">
        <v>1525</v>
      </c>
      <c r="X1527">
        <v>72.298291548710822</v>
      </c>
      <c r="Y1527">
        <v>0.60170845128918415</v>
      </c>
      <c r="Z1527">
        <v>72.29677746979506</v>
      </c>
      <c r="AA1527">
        <v>0.58762886597938147</v>
      </c>
      <c r="AB1527">
        <v>80</v>
      </c>
      <c r="AC1527">
        <v>0.206674078513852</v>
      </c>
      <c r="AD1527">
        <v>0.16733546819748379</v>
      </c>
      <c r="AE1527">
        <v>1.3275994828717537</v>
      </c>
      <c r="AF1527">
        <v>2.5099840273575891E-3</v>
      </c>
      <c r="AG1527">
        <v>0.16754586903368021</v>
      </c>
      <c r="AH1527">
        <v>1.3415340588717739</v>
      </c>
      <c r="AI1527">
        <v>3.7177163233271885E-6</v>
      </c>
    </row>
    <row r="1528" spans="23:35" x14ac:dyDescent="0.25">
      <c r="W1528">
        <v>1526</v>
      </c>
      <c r="X1528">
        <v>77.388760046405395</v>
      </c>
      <c r="Y1528">
        <v>-1.8887600464053946</v>
      </c>
      <c r="Z1528">
        <v>77.407499580196401</v>
      </c>
      <c r="AA1528">
        <v>0.78411158277744086</v>
      </c>
      <c r="AB1528">
        <v>80</v>
      </c>
      <c r="AC1528">
        <v>0.77276680816182786</v>
      </c>
      <c r="AD1528">
        <v>-0.5252652609428774</v>
      </c>
      <c r="AE1528">
        <v>1.3320824591768821</v>
      </c>
      <c r="AF1528">
        <v>9.824135211120081E-3</v>
      </c>
      <c r="AG1528">
        <v>-0.52786456712378715</v>
      </c>
      <c r="AH1528">
        <v>1.3423427826203533</v>
      </c>
      <c r="AI1528">
        <v>1.4550349184037979E-4</v>
      </c>
    </row>
    <row r="1529" spans="23:35" x14ac:dyDescent="0.25">
      <c r="W1529">
        <v>1527</v>
      </c>
      <c r="X1529">
        <v>77.150382920203384</v>
      </c>
      <c r="Y1529">
        <v>-1.9503829202033813</v>
      </c>
      <c r="Z1529">
        <v>77.173377084758172</v>
      </c>
      <c r="AA1529">
        <v>0.76652516676773808</v>
      </c>
      <c r="AB1529">
        <v>80</v>
      </c>
      <c r="AC1529">
        <v>0.71660092108895201</v>
      </c>
      <c r="AD1529">
        <v>-0.54240261777502319</v>
      </c>
      <c r="AE1529">
        <v>1.3458584213016545</v>
      </c>
      <c r="AF1529">
        <v>1.165218990956666E-2</v>
      </c>
      <c r="AG1529">
        <v>-0.54559059432246759</v>
      </c>
      <c r="AH1529">
        <v>1.3494609615743844</v>
      </c>
      <c r="AI1529">
        <v>1.8470467947322305E-4</v>
      </c>
    </row>
    <row r="1530" spans="23:35" x14ac:dyDescent="0.25">
      <c r="W1530">
        <v>1528</v>
      </c>
      <c r="X1530">
        <v>75.27295122238597</v>
      </c>
      <c r="Y1530">
        <v>-0.47295122238597287</v>
      </c>
      <c r="Z1530">
        <v>75.275165736431759</v>
      </c>
      <c r="AA1530">
        <v>0.74166161309884782</v>
      </c>
      <c r="AB1530">
        <v>80</v>
      </c>
      <c r="AC1530">
        <v>0.63261352584071384</v>
      </c>
      <c r="AD1530">
        <v>-0.13152800839503787</v>
      </c>
      <c r="AE1530">
        <v>1.3532927051390569</v>
      </c>
      <c r="AF1530">
        <v>4.6605086941373082E-3</v>
      </c>
      <c r="AG1530">
        <v>-0.13183557759857961</v>
      </c>
      <c r="AH1530">
        <v>1.3648982343884835</v>
      </c>
      <c r="AI1530">
        <v>4.2832531060215477E-6</v>
      </c>
    </row>
    <row r="1531" spans="23:35" x14ac:dyDescent="0.25">
      <c r="W1531">
        <v>1529</v>
      </c>
      <c r="X1531">
        <v>75.338726943164104</v>
      </c>
      <c r="Y1531">
        <v>-0.83872694316410445</v>
      </c>
      <c r="Z1531">
        <v>75.341950577524656</v>
      </c>
      <c r="AA1531">
        <v>0.72407519708914492</v>
      </c>
      <c r="AB1531">
        <v>80</v>
      </c>
      <c r="AC1531">
        <v>0.56531175535073552</v>
      </c>
      <c r="AD1531">
        <v>-0.23325044782652965</v>
      </c>
      <c r="AE1531">
        <v>1.3562880369616754</v>
      </c>
      <c r="AF1531">
        <v>3.8287691066442209E-3</v>
      </c>
      <c r="AG1531">
        <v>-0.2336982652340811</v>
      </c>
      <c r="AH1531">
        <v>1.3702339518784261</v>
      </c>
      <c r="AI1531">
        <v>1.1047971824913951E-5</v>
      </c>
    </row>
    <row r="1532" spans="23:35" x14ac:dyDescent="0.25">
      <c r="W1532">
        <v>1530</v>
      </c>
      <c r="X1532">
        <v>73.689166704522933</v>
      </c>
      <c r="Y1532">
        <v>0.51083329547707024</v>
      </c>
      <c r="Z1532">
        <v>73.687185418611463</v>
      </c>
      <c r="AA1532">
        <v>0.7010309278350515</v>
      </c>
      <c r="AB1532">
        <v>81</v>
      </c>
      <c r="AC1532">
        <v>0.5039283835636299</v>
      </c>
      <c r="AD1532">
        <v>0.14206303482421381</v>
      </c>
      <c r="AE1532">
        <v>1.3713076657290209</v>
      </c>
      <c r="AF1532">
        <v>3.863552214341042E-3</v>
      </c>
      <c r="AG1532">
        <v>0.14233826658708645</v>
      </c>
      <c r="AH1532">
        <v>1.3763016427409425</v>
      </c>
      <c r="AI1532">
        <v>4.1357825777624415E-6</v>
      </c>
    </row>
    <row r="1533" spans="23:35" x14ac:dyDescent="0.25">
      <c r="W1533">
        <v>1531</v>
      </c>
      <c r="X1533">
        <v>73.279077879404198</v>
      </c>
      <c r="Y1533">
        <v>0.62092212059580731</v>
      </c>
      <c r="Z1533">
        <v>73.276665664969912</v>
      </c>
      <c r="AA1533">
        <v>0.67919951485748942</v>
      </c>
      <c r="AB1533">
        <v>81</v>
      </c>
      <c r="AC1533">
        <v>0.43434378704136062</v>
      </c>
      <c r="AD1533">
        <v>0.17267880074055655</v>
      </c>
      <c r="AE1533">
        <v>1.3796851641878727</v>
      </c>
      <c r="AF1533">
        <v>3.8698565099449028E-3</v>
      </c>
      <c r="AG1533">
        <v>0.17301389471960835</v>
      </c>
      <c r="AH1533">
        <v>1.3907384680406882</v>
      </c>
      <c r="AI1533">
        <v>6.120503409483279E-6</v>
      </c>
    </row>
    <row r="1534" spans="23:35" x14ac:dyDescent="0.25">
      <c r="W1534">
        <v>1532</v>
      </c>
      <c r="X1534">
        <v>71.406495464234752</v>
      </c>
      <c r="Y1534">
        <v>2.0935045357652484</v>
      </c>
      <c r="Z1534">
        <v>71.394459957027976</v>
      </c>
      <c r="AA1534">
        <v>0.64463311097634934</v>
      </c>
      <c r="AB1534">
        <v>81</v>
      </c>
      <c r="AC1534">
        <v>0.35220887014201224</v>
      </c>
      <c r="AD1534">
        <v>0.58220482181239863</v>
      </c>
      <c r="AE1534">
        <v>1.3826946305810708</v>
      </c>
      <c r="AF1534">
        <v>5.7161141375338693E-3</v>
      </c>
      <c r="AG1534">
        <v>0.5838759641716651</v>
      </c>
      <c r="AH1534">
        <v>1.4031116265490602</v>
      </c>
      <c r="AI1534">
        <v>1.031521026546529E-4</v>
      </c>
    </row>
    <row r="1535" spans="23:35" x14ac:dyDescent="0.25">
      <c r="W1535">
        <v>1533</v>
      </c>
      <c r="X1535">
        <v>72.791838228227761</v>
      </c>
      <c r="Y1535">
        <v>0.40816177177224233</v>
      </c>
      <c r="Z1535">
        <v>72.790353631413026</v>
      </c>
      <c r="AA1535">
        <v>0.62340812613705276</v>
      </c>
      <c r="AB1535">
        <v>81</v>
      </c>
      <c r="AC1535">
        <v>0.29295400660571058</v>
      </c>
      <c r="AD1535">
        <v>0.11351002471959198</v>
      </c>
      <c r="AE1535">
        <v>1.3982110214194492</v>
      </c>
      <c r="AF1535">
        <v>3.6240936782843819E-3</v>
      </c>
      <c r="AG1535">
        <v>0.11371627096248542</v>
      </c>
      <c r="AH1535">
        <v>1.4049658419750259</v>
      </c>
      <c r="AI1535">
        <v>2.4755278485644641E-6</v>
      </c>
    </row>
    <row r="1536" spans="23:35" x14ac:dyDescent="0.25">
      <c r="W1536">
        <v>1534</v>
      </c>
      <c r="X1536">
        <v>70.390094150272759</v>
      </c>
      <c r="Y1536">
        <v>2.4099058497272381</v>
      </c>
      <c r="Z1536">
        <v>70.344374654727602</v>
      </c>
      <c r="AA1536">
        <v>0.58156458459672533</v>
      </c>
      <c r="AB1536">
        <v>81</v>
      </c>
      <c r="AC1536">
        <v>0.18343432307636306</v>
      </c>
      <c r="AD1536">
        <v>0.67019621016117703</v>
      </c>
      <c r="AE1536">
        <v>1.4271189815918073</v>
      </c>
      <c r="AF1536">
        <v>1.8618269938116671E-2</v>
      </c>
      <c r="AG1536">
        <v>0.67652364999967007</v>
      </c>
      <c r="AH1536">
        <v>1.4288412674358002</v>
      </c>
      <c r="AI1536">
        <v>4.5699738994980888E-4</v>
      </c>
    </row>
    <row r="1537" spans="23:35" x14ac:dyDescent="0.25">
      <c r="W1537">
        <v>1535</v>
      </c>
      <c r="X1537">
        <v>70.563444199648657</v>
      </c>
      <c r="Y1537">
        <v>1.8365558003513485</v>
      </c>
      <c r="Z1537">
        <v>70.527114835187263</v>
      </c>
      <c r="AA1537">
        <v>0.55124317768344455</v>
      </c>
      <c r="AB1537">
        <v>81</v>
      </c>
      <c r="AC1537">
        <v>0.11578501997911882</v>
      </c>
      <c r="AD1537">
        <v>0.51074722993195498</v>
      </c>
      <c r="AE1537">
        <v>1.4341650593531869</v>
      </c>
      <c r="AF1537">
        <v>1.9397539765885301E-2</v>
      </c>
      <c r="AG1537">
        <v>0.51577410085509778</v>
      </c>
      <c r="AH1537">
        <v>1.4476013863830079</v>
      </c>
      <c r="AI1537">
        <v>2.769613278290837E-4</v>
      </c>
    </row>
    <row r="1538" spans="23:35" x14ac:dyDescent="0.25">
      <c r="W1538">
        <v>1536</v>
      </c>
      <c r="X1538">
        <v>71.86890040818011</v>
      </c>
      <c r="Y1538">
        <v>0.13109959181988984</v>
      </c>
      <c r="Z1538">
        <v>71.868513322147493</v>
      </c>
      <c r="AA1538">
        <v>0.52516676773802307</v>
      </c>
      <c r="AB1538">
        <v>81</v>
      </c>
      <c r="AC1538">
        <v>4.1053957112594373E-2</v>
      </c>
      <c r="AD1538">
        <v>3.6458872283874497E-2</v>
      </c>
      <c r="AE1538">
        <v>1.4603836224310638</v>
      </c>
      <c r="AF1538">
        <v>2.9439182656282995E-3</v>
      </c>
      <c r="AG1538">
        <v>3.6512657036517973E-2</v>
      </c>
      <c r="AH1538">
        <v>1.4657550486150561</v>
      </c>
      <c r="AI1538">
        <v>2.0717599627929142E-7</v>
      </c>
    </row>
    <row r="1539" spans="23:35" x14ac:dyDescent="0.25">
      <c r="W1539">
        <v>1537</v>
      </c>
      <c r="X1539">
        <v>71.469838797492358</v>
      </c>
      <c r="Y1539">
        <v>0.13016120250763663</v>
      </c>
      <c r="Z1539">
        <v>71.469470722768335</v>
      </c>
      <c r="AA1539">
        <v>0.49787750151607035</v>
      </c>
      <c r="AB1539">
        <v>81</v>
      </c>
      <c r="AC1539">
        <v>-2.1282865457297767E-2</v>
      </c>
      <c r="AD1539">
        <v>3.6197905673581804E-2</v>
      </c>
      <c r="AE1539">
        <v>1.4617892180545455</v>
      </c>
      <c r="AF1539">
        <v>2.8198633427944657E-3</v>
      </c>
      <c r="AG1539">
        <v>3.6249050438618979E-2</v>
      </c>
      <c r="AH1539">
        <v>1.4704721542534949</v>
      </c>
      <c r="AI1539">
        <v>1.9556634130519408E-7</v>
      </c>
    </row>
    <row r="1540" spans="23:35" x14ac:dyDescent="0.25">
      <c r="W1540">
        <v>1538</v>
      </c>
      <c r="X1540">
        <v>70.96130219404148</v>
      </c>
      <c r="Y1540">
        <v>0.23869780595852319</v>
      </c>
      <c r="Z1540">
        <v>70.960679600118056</v>
      </c>
      <c r="AA1540">
        <v>0.47907822922983628</v>
      </c>
      <c r="AB1540">
        <v>81</v>
      </c>
      <c r="AC1540">
        <v>-6.3887210036911155E-2</v>
      </c>
      <c r="AD1540">
        <v>6.6381997846636523E-2</v>
      </c>
      <c r="AE1540">
        <v>1.4687365999495141</v>
      </c>
      <c r="AF1540">
        <v>2.6015079522108556E-3</v>
      </c>
      <c r="AG1540">
        <v>6.6468513333966445E-2</v>
      </c>
      <c r="AH1540">
        <v>1.4738258618985216</v>
      </c>
      <c r="AI1540">
        <v>6.0650555095174787E-7</v>
      </c>
    </row>
    <row r="1541" spans="23:35" x14ac:dyDescent="0.25">
      <c r="W1541">
        <v>1539</v>
      </c>
      <c r="X1541">
        <v>72.685726156644108</v>
      </c>
      <c r="Y1541">
        <v>5.3142738433558918</v>
      </c>
      <c r="Z1541">
        <v>72.625279153837255</v>
      </c>
      <c r="AA1541">
        <v>0.86294724075197093</v>
      </c>
      <c r="AB1541">
        <v>81</v>
      </c>
      <c r="AC1541">
        <v>1.0491313979639725</v>
      </c>
      <c r="AD1541">
        <v>1.4779026284279557</v>
      </c>
      <c r="AE1541">
        <v>1.4694108881988244</v>
      </c>
      <c r="AF1541">
        <v>1.1246538106255408E-2</v>
      </c>
      <c r="AG1541">
        <v>1.4862840355354106</v>
      </c>
      <c r="AH1541">
        <v>1.4739318653425919</v>
      </c>
      <c r="AI1541">
        <v>1.3224548905394612E-3</v>
      </c>
    </row>
    <row r="1542" spans="23:35" x14ac:dyDescent="0.25">
      <c r="W1542">
        <v>1540</v>
      </c>
      <c r="X1542">
        <v>70.193420599563936</v>
      </c>
      <c r="Y1542">
        <v>3.806579400436064</v>
      </c>
      <c r="Z1542">
        <v>70.17723155566766</v>
      </c>
      <c r="AA1542">
        <v>0.68465736810187994</v>
      </c>
      <c r="AB1542">
        <v>81</v>
      </c>
      <c r="AC1542">
        <v>0.4663087141536239</v>
      </c>
      <c r="AD1542">
        <v>1.0586119321377658</v>
      </c>
      <c r="AE1542">
        <v>1.4696657245437326</v>
      </c>
      <c r="AF1542">
        <v>4.2349004738389956E-3</v>
      </c>
      <c r="AG1542">
        <v>1.0608606350248884</v>
      </c>
      <c r="AH1542">
        <v>1.4757229257293403</v>
      </c>
      <c r="AI1542">
        <v>2.5191230146988711E-4</v>
      </c>
    </row>
    <row r="1543" spans="23:35" x14ac:dyDescent="0.25">
      <c r="W1543">
        <v>1541</v>
      </c>
      <c r="X1543">
        <v>69.3228042214607</v>
      </c>
      <c r="Y1543">
        <v>-3.3228042214607001</v>
      </c>
      <c r="Z1543">
        <v>69.337895811720671</v>
      </c>
      <c r="AA1543">
        <v>0.31109763493026077</v>
      </c>
      <c r="AB1543">
        <v>81</v>
      </c>
      <c r="AC1543">
        <v>-0.50738317096904828</v>
      </c>
      <c r="AD1543">
        <v>-0.92407377515705591</v>
      </c>
      <c r="AE1543">
        <v>1.4779026284279557</v>
      </c>
      <c r="AF1543">
        <v>4.5212885935443422E-3</v>
      </c>
      <c r="AG1543">
        <v>-0.92616988779841747</v>
      </c>
      <c r="AH1543">
        <v>1.4833503026839843</v>
      </c>
      <c r="AI1543">
        <v>2.0504914591823689E-4</v>
      </c>
    </row>
    <row r="1544" spans="23:35" x14ac:dyDescent="0.25">
      <c r="W1544">
        <v>1542</v>
      </c>
      <c r="X1544">
        <v>68.577110294537832</v>
      </c>
      <c r="Y1544">
        <v>-3.177110294537826</v>
      </c>
      <c r="Z1544">
        <v>68.592355161209284</v>
      </c>
      <c r="AA1544">
        <v>0.28684050939963612</v>
      </c>
      <c r="AB1544">
        <v>81</v>
      </c>
      <c r="AC1544">
        <v>-0.57067028430202504</v>
      </c>
      <c r="AD1544">
        <v>-0.88355620984293326</v>
      </c>
      <c r="AE1544">
        <v>1.4792553393641534</v>
      </c>
      <c r="AF1544">
        <v>4.7754293935360799E-3</v>
      </c>
      <c r="AG1544">
        <v>-0.88567347615739678</v>
      </c>
      <c r="AH1544">
        <v>1.4862840355354106</v>
      </c>
      <c r="AI1544">
        <v>1.9810024619737311E-4</v>
      </c>
    </row>
    <row r="1545" spans="23:35" x14ac:dyDescent="0.25">
      <c r="W1545">
        <v>1543</v>
      </c>
      <c r="X1545">
        <v>72.230041368392023</v>
      </c>
      <c r="Y1545">
        <v>-6.6300413683920283</v>
      </c>
      <c r="Z1545">
        <v>72.268582941606596</v>
      </c>
      <c r="AA1545">
        <v>0.29411764705882354</v>
      </c>
      <c r="AB1545">
        <v>81</v>
      </c>
      <c r="AC1545">
        <v>-0.55287102664223609</v>
      </c>
      <c r="AD1545">
        <v>-1.8438183378869697</v>
      </c>
      <c r="AE1545">
        <v>1.4914825581126292</v>
      </c>
      <c r="AF1545">
        <v>5.7795746940633649E-3</v>
      </c>
      <c r="AG1545">
        <v>-1.8491697888275669</v>
      </c>
      <c r="AH1545">
        <v>1.4929805281638646</v>
      </c>
      <c r="AI1545">
        <v>1.0461962951228581E-3</v>
      </c>
    </row>
    <row r="1546" spans="23:35" x14ac:dyDescent="0.25">
      <c r="W1546">
        <v>1544</v>
      </c>
      <c r="X1546">
        <v>68.71572940512678</v>
      </c>
      <c r="Y1546">
        <v>-3.1157294051267854</v>
      </c>
      <c r="Z1546">
        <v>68.730613597822114</v>
      </c>
      <c r="AA1546">
        <v>0.29411764705882354</v>
      </c>
      <c r="AB1546">
        <v>81.099999999999994</v>
      </c>
      <c r="AC1546">
        <v>-0.55287102664223609</v>
      </c>
      <c r="AD1546">
        <v>-0.86648614900870702</v>
      </c>
      <c r="AE1546">
        <v>1.4968769840704452</v>
      </c>
      <c r="AF1546">
        <v>4.754401087915491E-3</v>
      </c>
      <c r="AG1546">
        <v>-0.86855333445242622</v>
      </c>
      <c r="AH1546">
        <v>1.5033693582290448</v>
      </c>
      <c r="AI1546">
        <v>1.8967274686610685E-4</v>
      </c>
    </row>
    <row r="1547" spans="23:35" x14ac:dyDescent="0.25">
      <c r="W1547">
        <v>1545</v>
      </c>
      <c r="X1547">
        <v>62.189041206680017</v>
      </c>
      <c r="Y1547">
        <v>3.6109587933199805</v>
      </c>
      <c r="Z1547">
        <v>62.106657548796036</v>
      </c>
      <c r="AA1547">
        <v>0.30078835657974529</v>
      </c>
      <c r="AB1547">
        <v>81.099999999999994</v>
      </c>
      <c r="AC1547">
        <v>-0.53349185558387491</v>
      </c>
      <c r="AD1547">
        <v>1.0042097281954554</v>
      </c>
      <c r="AE1547">
        <v>1.49688896918889</v>
      </c>
      <c r="AF1547">
        <v>2.2305989485791398E-2</v>
      </c>
      <c r="AG1547">
        <v>1.0156005956745628</v>
      </c>
      <c r="AH1547">
        <v>1.5040890125600428</v>
      </c>
      <c r="AI1547">
        <v>1.23854226506521E-3</v>
      </c>
    </row>
    <row r="1548" spans="23:35" x14ac:dyDescent="0.25">
      <c r="W1548">
        <v>1546</v>
      </c>
      <c r="X1548">
        <v>61.727152800311941</v>
      </c>
      <c r="Y1548">
        <v>3.8728471996880529</v>
      </c>
      <c r="Z1548">
        <v>61.641416481273104</v>
      </c>
      <c r="AA1548">
        <v>0.29411764705882354</v>
      </c>
      <c r="AB1548">
        <v>81.099999999999994</v>
      </c>
      <c r="AC1548">
        <v>-0.55287102664223609</v>
      </c>
      <c r="AD1548">
        <v>1.0770410454242585</v>
      </c>
      <c r="AE1548">
        <v>1.5010723597025621</v>
      </c>
      <c r="AF1548">
        <v>2.1658332742822223E-2</v>
      </c>
      <c r="AG1548">
        <v>1.0888974459126886</v>
      </c>
      <c r="AH1548">
        <v>1.5044690910866605</v>
      </c>
      <c r="AI1548">
        <v>1.3815125310649677E-3</v>
      </c>
    </row>
    <row r="1549" spans="23:35" x14ac:dyDescent="0.25">
      <c r="W1549">
        <v>1547</v>
      </c>
      <c r="X1549">
        <v>61.359582584333715</v>
      </c>
      <c r="Y1549">
        <v>3.1404174156662847</v>
      </c>
      <c r="Z1549">
        <v>61.290641568257307</v>
      </c>
      <c r="AA1549">
        <v>0.25409338993329289</v>
      </c>
      <c r="AB1549">
        <v>81.099999999999994</v>
      </c>
      <c r="AC1549">
        <v>-0.6664012884495929</v>
      </c>
      <c r="AD1549">
        <v>0.87335189901378052</v>
      </c>
      <c r="AE1549">
        <v>1.5035721480022786</v>
      </c>
      <c r="AF1549">
        <v>2.1481245408595161E-2</v>
      </c>
      <c r="AG1549">
        <v>0.88288612550649093</v>
      </c>
      <c r="AH1549">
        <v>1.5122358303221499</v>
      </c>
      <c r="AI1549">
        <v>9.0062932916225617E-4</v>
      </c>
    </row>
    <row r="1550" spans="23:35" x14ac:dyDescent="0.25">
      <c r="W1550">
        <v>1548</v>
      </c>
      <c r="X1550">
        <v>61.172628528023047</v>
      </c>
      <c r="Y1550">
        <v>2.9273714719769472</v>
      </c>
      <c r="Z1550">
        <v>61.109093443387493</v>
      </c>
      <c r="AA1550">
        <v>0.24257125530624621</v>
      </c>
      <c r="AB1550">
        <v>81.099999999999994</v>
      </c>
      <c r="AC1550">
        <v>-0.70291235686137066</v>
      </c>
      <c r="AD1550">
        <v>0.81410369889552026</v>
      </c>
      <c r="AE1550">
        <v>1.5072254666366955</v>
      </c>
      <c r="AF1550">
        <v>2.1242751464464325E-2</v>
      </c>
      <c r="AG1550">
        <v>0.82289084808144597</v>
      </c>
      <c r="AH1550">
        <v>1.5212780876329783</v>
      </c>
      <c r="AI1550">
        <v>7.7351126012933339E-4</v>
      </c>
    </row>
    <row r="1551" spans="23:35" x14ac:dyDescent="0.25">
      <c r="W1551">
        <v>1549</v>
      </c>
      <c r="X1551">
        <v>61.174086955327155</v>
      </c>
      <c r="Y1551">
        <v>2.5259130446728477</v>
      </c>
      <c r="Z1551">
        <v>61.120418263953425</v>
      </c>
      <c r="AA1551">
        <v>0.23408126137052759</v>
      </c>
      <c r="AB1551">
        <v>81.099999999999994</v>
      </c>
      <c r="AC1551">
        <v>-0.73042509746273321</v>
      </c>
      <c r="AD1551">
        <v>0.70245787814823812</v>
      </c>
      <c r="AE1551">
        <v>1.5140636566706529</v>
      </c>
      <c r="AF1551">
        <v>2.0805191253982353E-2</v>
      </c>
      <c r="AG1551">
        <v>0.70988130063939303</v>
      </c>
      <c r="AH1551">
        <v>1.5243203690666614</v>
      </c>
      <c r="AI1551">
        <v>5.6353446468176971E-4</v>
      </c>
    </row>
    <row r="1552" spans="23:35" x14ac:dyDescent="0.25">
      <c r="W1552">
        <v>1550</v>
      </c>
      <c r="X1552">
        <v>59.821043170769009</v>
      </c>
      <c r="Y1552">
        <v>3.478956829230988</v>
      </c>
      <c r="Z1552">
        <v>59.746503347678022</v>
      </c>
      <c r="AA1552">
        <v>0.22741055184960582</v>
      </c>
      <c r="AB1552">
        <v>81.2</v>
      </c>
      <c r="AC1552">
        <v>-0.75647701124006039</v>
      </c>
      <c r="AD1552">
        <v>0.96749990566181265</v>
      </c>
      <c r="AE1552">
        <v>1.5221869363690843</v>
      </c>
      <c r="AF1552">
        <v>2.0976472017296278E-2</v>
      </c>
      <c r="AG1552">
        <v>0.97780975779653934</v>
      </c>
      <c r="AH1552">
        <v>1.5309698222167498</v>
      </c>
      <c r="AI1552">
        <v>1.0781878932516883E-3</v>
      </c>
    </row>
    <row r="1553" spans="23:35" x14ac:dyDescent="0.25">
      <c r="W1553">
        <v>1551</v>
      </c>
      <c r="X1553">
        <v>60.099180824375459</v>
      </c>
      <c r="Y1553">
        <v>3.4008191756245409</v>
      </c>
      <c r="Z1553">
        <v>60.027924057761233</v>
      </c>
      <c r="AA1553">
        <v>0.23226197695573075</v>
      </c>
      <c r="AB1553">
        <v>81.2</v>
      </c>
      <c r="AC1553">
        <v>-0.74038552290047832</v>
      </c>
      <c r="AD1553">
        <v>0.94576977901646897</v>
      </c>
      <c r="AE1553">
        <v>1.5261245513221506</v>
      </c>
      <c r="AF1553">
        <v>2.0522813383015634E-2</v>
      </c>
      <c r="AG1553">
        <v>0.9556266881572677</v>
      </c>
      <c r="AH1553">
        <v>1.5335310387088927</v>
      </c>
      <c r="AI1553">
        <v>1.0070835679991097E-3</v>
      </c>
    </row>
    <row r="1554" spans="23:35" x14ac:dyDescent="0.25">
      <c r="W1554">
        <v>1552</v>
      </c>
      <c r="X1554">
        <v>60.99359743914826</v>
      </c>
      <c r="Y1554">
        <v>2.4064025608517383</v>
      </c>
      <c r="Z1554">
        <v>60.946123097356072</v>
      </c>
      <c r="AA1554">
        <v>0.22922983626440266</v>
      </c>
      <c r="AB1554">
        <v>81.2</v>
      </c>
      <c r="AC1554">
        <v>-0.74639716414434454</v>
      </c>
      <c r="AD1554">
        <v>0.66922194349937969</v>
      </c>
      <c r="AE1554">
        <v>1.5272639051076669</v>
      </c>
      <c r="AF1554">
        <v>1.9346668017877138E-2</v>
      </c>
      <c r="AG1554">
        <v>0.67579102341876796</v>
      </c>
      <c r="AH1554">
        <v>1.5347239216998678</v>
      </c>
      <c r="AI1554">
        <v>4.7420039081391664E-4</v>
      </c>
    </row>
    <row r="1555" spans="23:35" x14ac:dyDescent="0.25">
      <c r="W1555">
        <v>1553</v>
      </c>
      <c r="X1555">
        <v>61.360368379743576</v>
      </c>
      <c r="Y1555">
        <v>1.9396316202564208</v>
      </c>
      <c r="Z1555">
        <v>61.3215229451311</v>
      </c>
      <c r="AA1555">
        <v>0.22741055184960582</v>
      </c>
      <c r="AB1555">
        <v>81.2</v>
      </c>
      <c r="AC1555">
        <v>-0.75647701124006039</v>
      </c>
      <c r="AD1555">
        <v>0.53941267504361956</v>
      </c>
      <c r="AE1555">
        <v>1.5293969161513159</v>
      </c>
      <c r="AF1555">
        <v>1.9634008146255207E-2</v>
      </c>
      <c r="AG1555">
        <v>0.54478736731716659</v>
      </c>
      <c r="AH1555">
        <v>1.5371247622528588</v>
      </c>
      <c r="AI1555">
        <v>3.1283921349012318E-4</v>
      </c>
    </row>
    <row r="1556" spans="23:35" x14ac:dyDescent="0.25">
      <c r="W1556">
        <v>1554</v>
      </c>
      <c r="X1556">
        <v>66.461729571706911</v>
      </c>
      <c r="Y1556">
        <v>-4.9617295717069112</v>
      </c>
      <c r="Z1556">
        <v>66.486619053290781</v>
      </c>
      <c r="AA1556">
        <v>0.18677986658580958</v>
      </c>
      <c r="AB1556">
        <v>81.3</v>
      </c>
      <c r="AC1556">
        <v>-0.89095501331493132</v>
      </c>
      <c r="AD1556">
        <v>-1.3798598626493999</v>
      </c>
      <c r="AE1556">
        <v>1.5331442327577722</v>
      </c>
      <c r="AF1556">
        <v>4.9912538571492936E-3</v>
      </c>
      <c r="AG1556">
        <v>-1.3833164229030315</v>
      </c>
      <c r="AH1556">
        <v>1.5416459652863319</v>
      </c>
      <c r="AI1556">
        <v>5.0521033420919273E-4</v>
      </c>
    </row>
    <row r="1557" spans="23:35" x14ac:dyDescent="0.25">
      <c r="W1557">
        <v>1555</v>
      </c>
      <c r="X1557">
        <v>61.035136393727747</v>
      </c>
      <c r="Y1557">
        <v>5.9648636062722531</v>
      </c>
      <c r="Z1557">
        <v>61.011193064374261</v>
      </c>
      <c r="AA1557">
        <v>0.33959975742874471</v>
      </c>
      <c r="AB1557">
        <v>81.3</v>
      </c>
      <c r="AC1557">
        <v>-0.42600652312983872</v>
      </c>
      <c r="AD1557">
        <v>1.6588320176510056</v>
      </c>
      <c r="AE1557">
        <v>1.5534620110078907</v>
      </c>
      <c r="AF1557">
        <v>3.9980132288204608E-3</v>
      </c>
      <c r="AG1557">
        <v>1.6621580101774232</v>
      </c>
      <c r="AH1557">
        <v>1.5633210881536634</v>
      </c>
      <c r="AI1557">
        <v>5.8368029907630262E-4</v>
      </c>
    </row>
    <row r="1558" spans="23:35" x14ac:dyDescent="0.25">
      <c r="W1558">
        <v>1556</v>
      </c>
      <c r="X1558">
        <v>60.354321799002825</v>
      </c>
      <c r="Y1558">
        <v>-0.35432179900282534</v>
      </c>
      <c r="Z1558">
        <v>60.355827253747314</v>
      </c>
      <c r="AA1558">
        <v>0.17525773195876287</v>
      </c>
      <c r="AB1558">
        <v>81.3</v>
      </c>
      <c r="AC1558">
        <v>-0.93712127394454381</v>
      </c>
      <c r="AD1558">
        <v>-9.8537097163385462E-2</v>
      </c>
      <c r="AE1558">
        <v>1.5629298037592574</v>
      </c>
      <c r="AF1558">
        <v>4.2308584534692661E-3</v>
      </c>
      <c r="AG1558">
        <v>-9.8746209195641949E-2</v>
      </c>
      <c r="AH1558">
        <v>1.5695059831571314</v>
      </c>
      <c r="AI1558">
        <v>2.1805050462612851E-6</v>
      </c>
    </row>
    <row r="1559" spans="23:35" x14ac:dyDescent="0.25">
      <c r="W1559">
        <v>1557</v>
      </c>
      <c r="X1559">
        <v>59.429826515266576</v>
      </c>
      <c r="Y1559">
        <v>-0.12982651526657918</v>
      </c>
      <c r="Z1559">
        <v>59.430823827521998</v>
      </c>
      <c r="AA1559">
        <v>0.16070345664038813</v>
      </c>
      <c r="AB1559">
        <v>81.3</v>
      </c>
      <c r="AC1559">
        <v>-1.0028172174115717</v>
      </c>
      <c r="AD1559">
        <v>-3.6104828958335271E-2</v>
      </c>
      <c r="AE1559">
        <v>1.5644179495089563</v>
      </c>
      <c r="AF1559">
        <v>7.6233227104916534E-3</v>
      </c>
      <c r="AG1559">
        <v>-3.6243240209500802E-2</v>
      </c>
      <c r="AH1559">
        <v>1.5756659640766657</v>
      </c>
      <c r="AI1559">
        <v>5.3109008017107291E-7</v>
      </c>
    </row>
    <row r="1560" spans="23:35" x14ac:dyDescent="0.25">
      <c r="W1560">
        <v>1558</v>
      </c>
      <c r="X1560">
        <v>58.139671530407192</v>
      </c>
      <c r="Y1560">
        <v>0.26032846959280675</v>
      </c>
      <c r="Z1560">
        <v>58.133872459161672</v>
      </c>
      <c r="AA1560">
        <v>0.1406913280776228</v>
      </c>
      <c r="AB1560">
        <v>81.3</v>
      </c>
      <c r="AC1560">
        <v>-1.0895196306228982</v>
      </c>
      <c r="AD1560">
        <v>7.2397497909682071E-2</v>
      </c>
      <c r="AE1560">
        <v>1.5798346266573859</v>
      </c>
      <c r="AF1560">
        <v>2.1790571645663965E-2</v>
      </c>
      <c r="AG1560">
        <v>7.3199419145212649E-2</v>
      </c>
      <c r="AH1560">
        <v>1.5894097224523007</v>
      </c>
      <c r="AI1560">
        <v>6.2820074607092771E-6</v>
      </c>
    </row>
    <row r="1561" spans="23:35" x14ac:dyDescent="0.25">
      <c r="W1561">
        <v>1559</v>
      </c>
      <c r="X1561">
        <v>57.964979384290956</v>
      </c>
      <c r="Y1561">
        <v>-0.46497938429095598</v>
      </c>
      <c r="Z1561">
        <v>57.96797047473909</v>
      </c>
      <c r="AA1561">
        <v>0.12067919951485749</v>
      </c>
      <c r="AB1561">
        <v>81.400000000000006</v>
      </c>
      <c r="AC1561">
        <v>-1.182232646923248</v>
      </c>
      <c r="AD1561">
        <v>-0.12931103561168059</v>
      </c>
      <c r="AE1561">
        <v>1.5847340966493901</v>
      </c>
      <c r="AF1561">
        <v>6.3916221419831496E-3</v>
      </c>
      <c r="AG1561">
        <v>-0.12972628088268975</v>
      </c>
      <c r="AH1561">
        <v>1.5909887577594832</v>
      </c>
      <c r="AI1561">
        <v>5.6976816751524187E-6</v>
      </c>
    </row>
    <row r="1562" spans="23:35" x14ac:dyDescent="0.25">
      <c r="W1562">
        <v>1560</v>
      </c>
      <c r="X1562">
        <v>62.976241858932369</v>
      </c>
      <c r="Y1562">
        <v>-6.6762418589323715</v>
      </c>
      <c r="Z1562">
        <v>63.053021407297699</v>
      </c>
      <c r="AA1562">
        <v>9.7028502122498486E-2</v>
      </c>
      <c r="AB1562">
        <v>81.400000000000006</v>
      </c>
      <c r="AC1562">
        <v>-1.3039878652542525</v>
      </c>
      <c r="AD1562">
        <v>-1.8566667210182983</v>
      </c>
      <c r="AE1562">
        <v>1.5957618428847609</v>
      </c>
      <c r="AF1562">
        <v>1.1369658666024324E-2</v>
      </c>
      <c r="AG1562">
        <v>-1.8673124194259085</v>
      </c>
      <c r="AH1562">
        <v>1.5995814563921886</v>
      </c>
      <c r="AI1562">
        <v>2.1105413348621407E-3</v>
      </c>
    </row>
    <row r="1563" spans="23:35" x14ac:dyDescent="0.25">
      <c r="W1563">
        <v>1561</v>
      </c>
      <c r="X1563">
        <v>61.94070396805273</v>
      </c>
      <c r="Y1563">
        <v>-6.4407039680527305</v>
      </c>
      <c r="Z1563">
        <v>62.087312873345176</v>
      </c>
      <c r="AA1563">
        <v>8.7932080048514258E-2</v>
      </c>
      <c r="AB1563">
        <v>81.400000000000006</v>
      </c>
      <c r="AC1563">
        <v>-1.3593210527266006</v>
      </c>
      <c r="AD1563">
        <v>-1.7911634973820889</v>
      </c>
      <c r="AE1563">
        <v>1.5968688239803976</v>
      </c>
      <c r="AF1563">
        <v>2.2256253515098634E-2</v>
      </c>
      <c r="AG1563">
        <v>-1.8114347989013382</v>
      </c>
      <c r="AH1563">
        <v>1.602925250404734</v>
      </c>
      <c r="AI1563">
        <v>3.9311428442022449E-3</v>
      </c>
    </row>
    <row r="1564" spans="23:35" x14ac:dyDescent="0.25">
      <c r="W1564">
        <v>1562</v>
      </c>
      <c r="X1564">
        <v>62.276616281523445</v>
      </c>
      <c r="Y1564">
        <v>-7.3766162815234466</v>
      </c>
      <c r="Z1564">
        <v>62.374379764711335</v>
      </c>
      <c r="AA1564">
        <v>7.9442086112795629E-2</v>
      </c>
      <c r="AB1564">
        <v>81.400000000000006</v>
      </c>
      <c r="AC1564">
        <v>-1.4191611772342045</v>
      </c>
      <c r="AD1564">
        <v>-2.0514412528812289</v>
      </c>
      <c r="AE1564">
        <v>1.6002706690210513</v>
      </c>
      <c r="AF1564">
        <v>1.3079812140327444E-2</v>
      </c>
      <c r="AG1564">
        <v>-2.0649905484968976</v>
      </c>
      <c r="AH1564">
        <v>1.6061879588780448</v>
      </c>
      <c r="AI1564">
        <v>2.9744180588369682E-3</v>
      </c>
    </row>
    <row r="1565" spans="23:35" x14ac:dyDescent="0.25">
      <c r="W1565">
        <v>1563</v>
      </c>
      <c r="X1565">
        <v>55.416769868840326</v>
      </c>
      <c r="Y1565">
        <v>-2.2167698688403235</v>
      </c>
      <c r="Z1565">
        <v>55.43919239502371</v>
      </c>
      <c r="AA1565">
        <v>6.0642813826561552E-2</v>
      </c>
      <c r="AB1565">
        <v>81.5</v>
      </c>
      <c r="AC1565">
        <v>-1.5621464731395975</v>
      </c>
      <c r="AD1565">
        <v>-0.61648498220975223</v>
      </c>
      <c r="AE1565">
        <v>1.6041341167595575</v>
      </c>
      <c r="AF1565">
        <v>1.0013666638566846E-2</v>
      </c>
      <c r="AG1565">
        <v>-0.61959499633196957</v>
      </c>
      <c r="AH1565">
        <v>1.6081962879415868</v>
      </c>
      <c r="AI1565">
        <v>2.0437422958642881E-4</v>
      </c>
    </row>
    <row r="1566" spans="23:35" x14ac:dyDescent="0.25">
      <c r="W1566">
        <v>1564</v>
      </c>
      <c r="X1566">
        <v>55.011085023013436</v>
      </c>
      <c r="Y1566">
        <v>-3.7110850230134389</v>
      </c>
      <c r="Z1566">
        <v>55.052163408153994</v>
      </c>
      <c r="AA1566">
        <v>4.0630685263796242E-2</v>
      </c>
      <c r="AB1566">
        <v>81.5</v>
      </c>
      <c r="AC1566">
        <v>-1.7468985212689381</v>
      </c>
      <c r="AD1566">
        <v>-1.0320548905638851</v>
      </c>
      <c r="AE1566">
        <v>1.6065365671795628</v>
      </c>
      <c r="AF1566">
        <v>1.0947920085593352E-2</v>
      </c>
      <c r="AG1566">
        <v>-1.037751132201558</v>
      </c>
      <c r="AH1566">
        <v>1.6087524012823657</v>
      </c>
      <c r="AI1566">
        <v>6.2740111882538354E-4</v>
      </c>
    </row>
    <row r="1567" spans="23:35" x14ac:dyDescent="0.25">
      <c r="W1567">
        <v>1565</v>
      </c>
      <c r="X1567">
        <v>61.408066396010895</v>
      </c>
      <c r="Y1567">
        <v>-10.408066396010895</v>
      </c>
      <c r="Z1567">
        <v>61.61645441951228</v>
      </c>
      <c r="AA1567">
        <v>3.7598544572468161E-2</v>
      </c>
      <c r="AB1567">
        <v>81.5</v>
      </c>
      <c r="AC1567">
        <v>-1.7980761038936304</v>
      </c>
      <c r="AD1567">
        <v>-2.8944892824347925</v>
      </c>
      <c r="AE1567">
        <v>1.6121713589540723</v>
      </c>
      <c r="AF1567">
        <v>1.9628777675377702E-2</v>
      </c>
      <c r="AG1567">
        <v>-2.9233220915481097</v>
      </c>
      <c r="AH1567">
        <v>1.6259499182326036</v>
      </c>
      <c r="AI1567">
        <v>9.0053881730305565E-3</v>
      </c>
    </row>
    <row r="1568" spans="23:35" x14ac:dyDescent="0.25">
      <c r="W1568">
        <v>1566</v>
      </c>
      <c r="X1568">
        <v>52.212317778224467</v>
      </c>
      <c r="Y1568">
        <v>-3.4123177782244696</v>
      </c>
      <c r="Z1568">
        <v>52.328641442448848</v>
      </c>
      <c r="AA1568">
        <v>2.5469981807155852E-2</v>
      </c>
      <c r="AB1568">
        <v>81.5</v>
      </c>
      <c r="AC1568">
        <v>-1.957118520190694</v>
      </c>
      <c r="AD1568">
        <v>-0.94896754704773612</v>
      </c>
      <c r="AE1568">
        <v>1.6206559622586816</v>
      </c>
      <c r="AF1568">
        <v>3.2965566527965215E-2</v>
      </c>
      <c r="AG1568">
        <v>-0.96500683945327348</v>
      </c>
      <c r="AH1568">
        <v>1.6408207787460747</v>
      </c>
      <c r="AI1568">
        <v>1.6708050803362798E-3</v>
      </c>
    </row>
    <row r="1569" spans="23:35" x14ac:dyDescent="0.25">
      <c r="W1569">
        <v>1567</v>
      </c>
      <c r="X1569">
        <v>74.25308062661891</v>
      </c>
      <c r="Y1569">
        <v>3.7469193733810897</v>
      </c>
      <c r="Z1569">
        <v>74.184327501454021</v>
      </c>
      <c r="AA1569">
        <v>0.86294724075197093</v>
      </c>
      <c r="AB1569">
        <v>81.599999999999994</v>
      </c>
      <c r="AC1569">
        <v>1.0491313979639725</v>
      </c>
      <c r="AD1569">
        <v>1.0420204441197245</v>
      </c>
      <c r="AE1569">
        <v>1.6401080959163206</v>
      </c>
      <c r="AF1569">
        <v>1.8018612758585399E-2</v>
      </c>
      <c r="AG1569">
        <v>1.0515371285136725</v>
      </c>
      <c r="AH1569">
        <v>1.6434404477941205</v>
      </c>
      <c r="AI1569">
        <v>1.0678585228522332E-3</v>
      </c>
    </row>
    <row r="1570" spans="23:35" x14ac:dyDescent="0.25">
      <c r="W1570">
        <v>1568</v>
      </c>
      <c r="X1570">
        <v>72.173112401453679</v>
      </c>
      <c r="Y1570">
        <v>-1.1731124014536789</v>
      </c>
      <c r="Z1570">
        <v>72.185150850059358</v>
      </c>
      <c r="AA1570">
        <v>0.46937537901758641</v>
      </c>
      <c r="AB1570">
        <v>81.599999999999994</v>
      </c>
      <c r="AC1570">
        <v>-9.743972564826138E-2</v>
      </c>
      <c r="AD1570">
        <v>-0.3262432371108272</v>
      </c>
      <c r="AE1570">
        <v>1.645989519896113</v>
      </c>
      <c r="AF1570">
        <v>1.0157735283296977E-2</v>
      </c>
      <c r="AG1570">
        <v>-0.32791291425726521</v>
      </c>
      <c r="AH1570">
        <v>1.64997311543179</v>
      </c>
      <c r="AI1570">
        <v>5.8075684595843931E-5</v>
      </c>
    </row>
    <row r="1571" spans="23:35" x14ac:dyDescent="0.25">
      <c r="W1571">
        <v>1569</v>
      </c>
      <c r="X1571">
        <v>76.91603192362625</v>
      </c>
      <c r="Y1571">
        <v>8.3968076373750478E-2</v>
      </c>
      <c r="Z1571">
        <v>76.915521508970002</v>
      </c>
      <c r="AA1571">
        <v>0.83747725894481506</v>
      </c>
      <c r="AB1571">
        <v>81.599999999999994</v>
      </c>
      <c r="AC1571">
        <v>0.95855995741850497</v>
      </c>
      <c r="AD1571">
        <v>2.3351570587946936E-2</v>
      </c>
      <c r="AE1571">
        <v>1.6578399697843205</v>
      </c>
      <c r="AF1571">
        <v>6.0419480748700218E-3</v>
      </c>
      <c r="AG1571">
        <v>2.3422436364106937E-2</v>
      </c>
      <c r="AH1571">
        <v>1.6621580101774232</v>
      </c>
      <c r="AI1571">
        <v>1.7551711300781754E-7</v>
      </c>
    </row>
    <row r="1572" spans="23:35" x14ac:dyDescent="0.25">
      <c r="W1572">
        <v>1570</v>
      </c>
      <c r="X1572">
        <v>75.698648673912516</v>
      </c>
      <c r="Y1572">
        <v>-0.69864867391251551</v>
      </c>
      <c r="Z1572">
        <v>75.709371120721315</v>
      </c>
      <c r="AA1572">
        <v>0.76046088538508183</v>
      </c>
      <c r="AB1572">
        <v>81.7</v>
      </c>
      <c r="AC1572">
        <v>0.67020216077934069</v>
      </c>
      <c r="AD1572">
        <v>-0.19429460015763522</v>
      </c>
      <c r="AE1572">
        <v>1.6588320176510056</v>
      </c>
      <c r="AF1572">
        <v>1.5115426179026472E-2</v>
      </c>
      <c r="AG1572">
        <v>-0.19577988237706995</v>
      </c>
      <c r="AH1572">
        <v>1.6744796653565959</v>
      </c>
      <c r="AI1572">
        <v>3.0961185896892339E-5</v>
      </c>
    </row>
    <row r="1573" spans="23:35" x14ac:dyDescent="0.25">
      <c r="W1573">
        <v>1571</v>
      </c>
      <c r="X1573">
        <v>72.985464061918165</v>
      </c>
      <c r="Y1573">
        <v>-3.185464061918168</v>
      </c>
      <c r="Z1573">
        <v>73.004649896447717</v>
      </c>
      <c r="AA1573">
        <v>0.4530018192844148</v>
      </c>
      <c r="AB1573">
        <v>81.7</v>
      </c>
      <c r="AC1573">
        <v>-0.12344005334831042</v>
      </c>
      <c r="AD1573">
        <v>-0.88587939738136223</v>
      </c>
      <c r="AE1573">
        <v>1.6737593705135139</v>
      </c>
      <c r="AF1573">
        <v>5.9868738082163803E-3</v>
      </c>
      <c r="AG1573">
        <v>-0.88854318828231837</v>
      </c>
      <c r="AH1573">
        <v>1.6799945933592966</v>
      </c>
      <c r="AI1573">
        <v>2.5027154087734242E-4</v>
      </c>
    </row>
    <row r="1574" spans="23:35" x14ac:dyDescent="0.25">
      <c r="W1574">
        <v>1572</v>
      </c>
      <c r="X1574">
        <v>72.920110151345995</v>
      </c>
      <c r="Y1574">
        <v>-3.7201101513459918</v>
      </c>
      <c r="Z1574">
        <v>72.935852801392002</v>
      </c>
      <c r="AA1574">
        <v>0.42874469375379015</v>
      </c>
      <c r="AB1574">
        <v>81.7</v>
      </c>
      <c r="AC1574">
        <v>-0.1880739545732803</v>
      </c>
      <c r="AD1574">
        <v>-1.0345647839712893</v>
      </c>
      <c r="AE1574">
        <v>1.6909295369200879</v>
      </c>
      <c r="AF1574">
        <v>4.2139374549630768E-3</v>
      </c>
      <c r="AG1574">
        <v>-1.0367514930411104</v>
      </c>
      <c r="AH1574">
        <v>1.6940813971086803</v>
      </c>
      <c r="AI1574">
        <v>2.393964907553626E-4</v>
      </c>
    </row>
    <row r="1575" spans="23:35" x14ac:dyDescent="0.25">
      <c r="W1575">
        <v>1573</v>
      </c>
      <c r="X1575">
        <v>71.188551355478168</v>
      </c>
      <c r="Y1575">
        <v>-3.4885513554781653</v>
      </c>
      <c r="Z1575">
        <v>71.267441737841025</v>
      </c>
      <c r="AA1575">
        <v>0.36749545178896303</v>
      </c>
      <c r="AB1575">
        <v>81.7</v>
      </c>
      <c r="AC1575">
        <v>-0.35059197017921911</v>
      </c>
      <c r="AD1575">
        <v>-0.97016814895848669</v>
      </c>
      <c r="AE1575">
        <v>1.7003205059149109</v>
      </c>
      <c r="AF1575">
        <v>2.2113993208645363E-2</v>
      </c>
      <c r="AG1575">
        <v>-0.98107655331799892</v>
      </c>
      <c r="AH1575">
        <v>1.7142639031778741</v>
      </c>
      <c r="AI1575">
        <v>1.1455950612349456E-3</v>
      </c>
    </row>
    <row r="1576" spans="23:35" x14ac:dyDescent="0.25">
      <c r="W1576">
        <v>1574</v>
      </c>
      <c r="X1576">
        <v>71.904341315709132</v>
      </c>
      <c r="Y1576">
        <v>-4.4043413157091322</v>
      </c>
      <c r="Z1576">
        <v>71.923289982211983</v>
      </c>
      <c r="AA1576">
        <v>0.35900545785324439</v>
      </c>
      <c r="AB1576">
        <v>81.7</v>
      </c>
      <c r="AC1576">
        <v>-0.37168505980560429</v>
      </c>
      <c r="AD1576">
        <v>-1.2248498663873715</v>
      </c>
      <c r="AE1576">
        <v>1.7013597950606603</v>
      </c>
      <c r="AF1576">
        <v>4.283839987668403E-3</v>
      </c>
      <c r="AG1576">
        <v>-1.2274818560979668</v>
      </c>
      <c r="AH1576">
        <v>1.7193420366707055</v>
      </c>
      <c r="AI1576">
        <v>3.4117267972323868E-4</v>
      </c>
    </row>
    <row r="1577" spans="23:35" x14ac:dyDescent="0.25">
      <c r="W1577">
        <v>1575</v>
      </c>
      <c r="X1577">
        <v>71.523064355183109</v>
      </c>
      <c r="Y1577">
        <v>-3.8230643551831065</v>
      </c>
      <c r="Z1577">
        <v>71.599794879295303</v>
      </c>
      <c r="AA1577">
        <v>0.36749545178896303</v>
      </c>
      <c r="AB1577">
        <v>81.7</v>
      </c>
      <c r="AC1577">
        <v>-0.35059197017921911</v>
      </c>
      <c r="AD1577">
        <v>-1.0631964075841394</v>
      </c>
      <c r="AE1577">
        <v>1.7156742192805814</v>
      </c>
      <c r="AF1577">
        <v>1.9675528197539503E-2</v>
      </c>
      <c r="AG1577">
        <v>-1.0738128048773372</v>
      </c>
      <c r="AH1577">
        <v>1.7258403223262191</v>
      </c>
      <c r="AI1577">
        <v>1.2180359651202401E-3</v>
      </c>
    </row>
    <row r="1578" spans="23:35" x14ac:dyDescent="0.25">
      <c r="W1578">
        <v>1576</v>
      </c>
      <c r="X1578">
        <v>71.426392708234332</v>
      </c>
      <c r="Y1578">
        <v>-4.4263927082343315</v>
      </c>
      <c r="Z1578">
        <v>71.442321315743769</v>
      </c>
      <c r="AA1578">
        <v>0.33959975742874471</v>
      </c>
      <c r="AB1578">
        <v>81.7</v>
      </c>
      <c r="AC1578">
        <v>-0.42600652312983872</v>
      </c>
      <c r="AD1578">
        <v>-1.2309823713982364</v>
      </c>
      <c r="AE1578">
        <v>1.7209803209262127</v>
      </c>
      <c r="AF1578">
        <v>3.5856495686115014E-3</v>
      </c>
      <c r="AG1578">
        <v>-1.2331952598660307</v>
      </c>
      <c r="AH1578">
        <v>1.7299837869278185</v>
      </c>
      <c r="AI1578">
        <v>2.880301574636105E-4</v>
      </c>
    </row>
    <row r="1579" spans="23:35" x14ac:dyDescent="0.25">
      <c r="W1579">
        <v>1577</v>
      </c>
      <c r="X1579">
        <v>71.689458911624627</v>
      </c>
      <c r="Y1579">
        <v>-4.2894589116246209</v>
      </c>
      <c r="Z1579">
        <v>71.704607809720002</v>
      </c>
      <c r="AA1579">
        <v>0.3547604608853851</v>
      </c>
      <c r="AB1579">
        <v>81.8</v>
      </c>
      <c r="AC1579">
        <v>-0.38147581702590427</v>
      </c>
      <c r="AD1579">
        <v>-1.1929010033891101</v>
      </c>
      <c r="AE1579">
        <v>1.7231657446899209</v>
      </c>
      <c r="AF1579">
        <v>3.5192284094206039E-3</v>
      </c>
      <c r="AG1579">
        <v>-1.1950056055031117</v>
      </c>
      <c r="AH1579">
        <v>1.738550011584886</v>
      </c>
      <c r="AI1579">
        <v>2.6543905102369543E-4</v>
      </c>
    </row>
    <row r="1580" spans="23:35" x14ac:dyDescent="0.25">
      <c r="W1580">
        <v>1578</v>
      </c>
      <c r="X1580">
        <v>71.720485223833748</v>
      </c>
      <c r="Y1580">
        <v>-4.1204852238337537</v>
      </c>
      <c r="Z1580">
        <v>71.735309366342065</v>
      </c>
      <c r="AA1580">
        <v>0.36264402668283807</v>
      </c>
      <c r="AB1580">
        <v>81.8</v>
      </c>
      <c r="AC1580">
        <v>-0.36030729595554811</v>
      </c>
      <c r="AD1580">
        <v>-1.1459093231177773</v>
      </c>
      <c r="AE1580">
        <v>1.7325969102279555</v>
      </c>
      <c r="AF1580">
        <v>3.5847723096539609E-3</v>
      </c>
      <c r="AG1580">
        <v>-1.1479687737765354</v>
      </c>
      <c r="AH1580">
        <v>1.7447079059850026</v>
      </c>
      <c r="AI1580">
        <v>2.4953287420941656E-4</v>
      </c>
    </row>
    <row r="1581" spans="23:35" x14ac:dyDescent="0.25">
      <c r="W1581">
        <v>1579</v>
      </c>
      <c r="X1581">
        <v>71.383709681199491</v>
      </c>
      <c r="Y1581">
        <v>-3.7837096811994968</v>
      </c>
      <c r="Z1581">
        <v>71.408535988006435</v>
      </c>
      <c r="AA1581">
        <v>0.36264402668283807</v>
      </c>
      <c r="AB1581">
        <v>81.8</v>
      </c>
      <c r="AC1581">
        <v>-0.36030729595554811</v>
      </c>
      <c r="AD1581">
        <v>-1.0522518499953317</v>
      </c>
      <c r="AE1581">
        <v>1.7588313345618418</v>
      </c>
      <c r="AF1581">
        <v>6.5185958292444295E-3</v>
      </c>
      <c r="AG1581">
        <v>-1.0556983110033562</v>
      </c>
      <c r="AH1581">
        <v>1.7617187919347066</v>
      </c>
      <c r="AI1581">
        <v>3.848755871731575E-4</v>
      </c>
    </row>
    <row r="1582" spans="23:35" x14ac:dyDescent="0.25">
      <c r="W1582">
        <v>1580</v>
      </c>
      <c r="X1582">
        <v>70.802506407657773</v>
      </c>
      <c r="Y1582">
        <v>-3.1025064076577706</v>
      </c>
      <c r="Z1582">
        <v>70.855160317770171</v>
      </c>
      <c r="AA1582">
        <v>0.36749545178896303</v>
      </c>
      <c r="AB1582">
        <v>81.8</v>
      </c>
      <c r="AC1582">
        <v>-0.35059197017921911</v>
      </c>
      <c r="AD1582">
        <v>-0.86280882576734153</v>
      </c>
      <c r="AE1582">
        <v>1.7597375484332562</v>
      </c>
      <c r="AF1582">
        <v>1.6688188494209281E-2</v>
      </c>
      <c r="AG1582">
        <v>-0.87009956380726283</v>
      </c>
      <c r="AH1582">
        <v>1.7718909633360733</v>
      </c>
      <c r="AI1582">
        <v>6.7624215741007897E-4</v>
      </c>
    </row>
    <row r="1583" spans="23:35" x14ac:dyDescent="0.25">
      <c r="W1583">
        <v>1581</v>
      </c>
      <c r="X1583">
        <v>70.888370022544024</v>
      </c>
      <c r="Y1583">
        <v>-3.3883700225440236</v>
      </c>
      <c r="Z1583">
        <v>70.940608639146376</v>
      </c>
      <c r="AA1583">
        <v>0.35900545785324439</v>
      </c>
      <c r="AB1583">
        <v>81.900000000000006</v>
      </c>
      <c r="AC1583">
        <v>-0.37168505980560429</v>
      </c>
      <c r="AD1583">
        <v>-0.94230766234696361</v>
      </c>
      <c r="AE1583">
        <v>1.7647735167187879</v>
      </c>
      <c r="AF1583">
        <v>1.5182958040621477E-2</v>
      </c>
      <c r="AG1583">
        <v>-0.94954367429860687</v>
      </c>
      <c r="AH1583">
        <v>1.7751175764525999</v>
      </c>
      <c r="AI1583">
        <v>7.3160577572668663E-4</v>
      </c>
    </row>
    <row r="1584" spans="23:35" x14ac:dyDescent="0.25">
      <c r="W1584">
        <v>1582</v>
      </c>
      <c r="X1584">
        <v>77.027809637827573</v>
      </c>
      <c r="Y1584">
        <v>-0.22780963782757624</v>
      </c>
      <c r="Z1584">
        <v>77.03042487129477</v>
      </c>
      <c r="AA1584">
        <v>0.82838083687083086</v>
      </c>
      <c r="AB1584">
        <v>81.900000000000006</v>
      </c>
      <c r="AC1584">
        <v>0.93712127394454448</v>
      </c>
      <c r="AD1584">
        <v>-6.3353991994132247E-2</v>
      </c>
      <c r="AE1584">
        <v>1.7691080572489888</v>
      </c>
      <c r="AF1584">
        <v>1.1349614529468203E-2</v>
      </c>
      <c r="AG1584">
        <v>-6.3716603247631218E-2</v>
      </c>
      <c r="AH1584">
        <v>1.7810192755581478</v>
      </c>
      <c r="AI1584">
        <v>2.4529573745252216E-6</v>
      </c>
    </row>
    <row r="1585" spans="23:35" x14ac:dyDescent="0.25">
      <c r="W1585">
        <v>1583</v>
      </c>
      <c r="X1585">
        <v>76.995917483850349</v>
      </c>
      <c r="Y1585">
        <v>-0.19591748385035146</v>
      </c>
      <c r="Z1585">
        <v>76.998192577371654</v>
      </c>
      <c r="AA1585">
        <v>0.82838083687083086</v>
      </c>
      <c r="AB1585">
        <v>81.900000000000006</v>
      </c>
      <c r="AC1585">
        <v>0.93712127394454448</v>
      </c>
      <c r="AD1585">
        <v>-5.448476553375748E-2</v>
      </c>
      <c r="AE1585">
        <v>1.7718117196169634</v>
      </c>
      <c r="AF1585">
        <v>1.147920649440265E-2</v>
      </c>
      <c r="AG1585">
        <v>-5.480020482843953E-2</v>
      </c>
      <c r="AH1585">
        <v>1.7851683723764424</v>
      </c>
      <c r="AI1585">
        <v>1.8354257560163631E-6</v>
      </c>
    </row>
    <row r="1586" spans="23:35" x14ac:dyDescent="0.25">
      <c r="W1586">
        <v>1584</v>
      </c>
      <c r="X1586">
        <v>76.670785549840758</v>
      </c>
      <c r="Y1586">
        <v>-0.17078554984075822</v>
      </c>
      <c r="Z1586">
        <v>76.671381341013372</v>
      </c>
      <c r="AA1586">
        <v>0.82049727107337778</v>
      </c>
      <c r="AB1586">
        <v>82</v>
      </c>
      <c r="AC1586">
        <v>0.91148934236618206</v>
      </c>
      <c r="AD1586">
        <v>-4.7495560154984462E-2</v>
      </c>
      <c r="AE1586">
        <v>1.7733943783890083</v>
      </c>
      <c r="AF1586">
        <v>3.4764062942749395E-3</v>
      </c>
      <c r="AG1586">
        <v>-4.7578332963686111E-2</v>
      </c>
      <c r="AH1586">
        <v>1.7959478549153238</v>
      </c>
      <c r="AI1586">
        <v>4.1563085792175937E-7</v>
      </c>
    </row>
    <row r="1587" spans="23:35" x14ac:dyDescent="0.25">
      <c r="W1587">
        <v>1585</v>
      </c>
      <c r="X1587">
        <v>76.839936953957732</v>
      </c>
      <c r="Y1587">
        <v>0.16006304604226784</v>
      </c>
      <c r="Z1587">
        <v>76.838593310379721</v>
      </c>
      <c r="AA1587">
        <v>0.83747725894481506</v>
      </c>
      <c r="AB1587">
        <v>82</v>
      </c>
      <c r="AC1587">
        <v>0.95855995741850497</v>
      </c>
      <c r="AD1587">
        <v>4.4513625649119662E-2</v>
      </c>
      <c r="AE1587">
        <v>1.8213586440132341</v>
      </c>
      <c r="AF1587">
        <v>8.3245841988726019E-3</v>
      </c>
      <c r="AG1587">
        <v>4.4700069221284694E-2</v>
      </c>
      <c r="AH1587">
        <v>1.8402121377063636</v>
      </c>
      <c r="AI1587">
        <v>8.8278672493077259E-7</v>
      </c>
    </row>
    <row r="1588" spans="23:35" x14ac:dyDescent="0.25">
      <c r="W1588">
        <v>1586</v>
      </c>
      <c r="X1588">
        <v>77.445241884800083</v>
      </c>
      <c r="Y1588">
        <v>-1.145241884800086</v>
      </c>
      <c r="Z1588">
        <v>77.449846816206986</v>
      </c>
      <c r="AA1588">
        <v>0.8168587022437841</v>
      </c>
      <c r="AB1588">
        <v>82</v>
      </c>
      <c r="AC1588">
        <v>0.89095501331493132</v>
      </c>
      <c r="AD1588">
        <v>-0.3184924303153725</v>
      </c>
      <c r="AE1588">
        <v>1.8660564644929931</v>
      </c>
      <c r="AF1588">
        <v>4.0048216353605146E-3</v>
      </c>
      <c r="AG1588">
        <v>-0.31913210498290134</v>
      </c>
      <c r="AH1588">
        <v>1.8710633191499484</v>
      </c>
      <c r="AI1588">
        <v>2.1553278225747717E-5</v>
      </c>
    </row>
    <row r="1589" spans="23:35" x14ac:dyDescent="0.25">
      <c r="W1589">
        <v>1587</v>
      </c>
      <c r="X1589">
        <v>75.280704760896214</v>
      </c>
      <c r="Y1589">
        <v>1.3192952391037807</v>
      </c>
      <c r="Z1589">
        <v>75.268118916367143</v>
      </c>
      <c r="AA1589">
        <v>0.82413583990297146</v>
      </c>
      <c r="AB1589">
        <v>82</v>
      </c>
      <c r="AC1589">
        <v>0.91841998904288702</v>
      </c>
      <c r="AD1589">
        <v>0.36689676878086885</v>
      </c>
      <c r="AE1589">
        <v>1.8667341622651747</v>
      </c>
      <c r="AF1589">
        <v>9.4496758635112896E-3</v>
      </c>
      <c r="AG1589">
        <v>0.36864268006310502</v>
      </c>
      <c r="AH1589">
        <v>1.8971211674674815</v>
      </c>
      <c r="AI1589">
        <v>6.8233554566642671E-5</v>
      </c>
    </row>
    <row r="1590" spans="23:35" x14ac:dyDescent="0.25">
      <c r="W1590">
        <v>1588</v>
      </c>
      <c r="X1590">
        <v>74.590317204678684</v>
      </c>
      <c r="Y1590">
        <v>1.8096827953213221</v>
      </c>
      <c r="Z1590">
        <v>74.573508219130218</v>
      </c>
      <c r="AA1590">
        <v>0.81867798665858094</v>
      </c>
      <c r="AB1590">
        <v>82</v>
      </c>
      <c r="AC1590">
        <v>0.90460220385671419</v>
      </c>
      <c r="AD1590">
        <v>0.50327383169575235</v>
      </c>
      <c r="AE1590">
        <v>1.8809004384318577</v>
      </c>
      <c r="AF1590">
        <v>9.2028804753029603E-3</v>
      </c>
      <c r="AG1590">
        <v>0.50560572364822465</v>
      </c>
      <c r="AH1590">
        <v>1.9006609503071605</v>
      </c>
      <c r="AI1590">
        <v>1.249710470892617E-4</v>
      </c>
    </row>
    <row r="1591" spans="23:35" x14ac:dyDescent="0.25">
      <c r="W1591">
        <v>1589</v>
      </c>
      <c r="X1591">
        <v>75.836610935121229</v>
      </c>
      <c r="Y1591">
        <v>-0.43661093512122306</v>
      </c>
      <c r="Z1591">
        <v>75.837912630271873</v>
      </c>
      <c r="AA1591">
        <v>0.77986658580958157</v>
      </c>
      <c r="AB1591">
        <v>82</v>
      </c>
      <c r="AC1591">
        <v>0.74840704313415274</v>
      </c>
      <c r="AD1591">
        <v>-0.12142175349559423</v>
      </c>
      <c r="AE1591">
        <v>1.8855607061043629</v>
      </c>
      <c r="AF1591">
        <v>2.9724996738234137E-3</v>
      </c>
      <c r="AG1591">
        <v>-0.12160261987589634</v>
      </c>
      <c r="AH1591">
        <v>1.9069914941091515</v>
      </c>
      <c r="AI1591">
        <v>2.3203149637301701E-6</v>
      </c>
    </row>
    <row r="1592" spans="23:35" x14ac:dyDescent="0.25">
      <c r="W1592">
        <v>1590</v>
      </c>
      <c r="X1592">
        <v>76.781980454136786</v>
      </c>
      <c r="Y1592">
        <v>-0.58198045413678301</v>
      </c>
      <c r="Z1592">
        <v>76.786069182913479</v>
      </c>
      <c r="AA1592">
        <v>0.81322013341419042</v>
      </c>
      <c r="AB1592">
        <v>82</v>
      </c>
      <c r="AC1592">
        <v>0.88194836619248052</v>
      </c>
      <c r="AD1592">
        <v>-0.16184910078312767</v>
      </c>
      <c r="AE1592">
        <v>1.8891103801415576</v>
      </c>
      <c r="AF1592">
        <v>6.9765292151485383E-3</v>
      </c>
      <c r="AG1592">
        <v>-0.16241664462029351</v>
      </c>
      <c r="AH1592">
        <v>1.9097231865521502</v>
      </c>
      <c r="AI1592">
        <v>9.7541037586662861E-6</v>
      </c>
    </row>
    <row r="1593" spans="23:35" x14ac:dyDescent="0.25">
      <c r="W1593">
        <v>1591</v>
      </c>
      <c r="X1593">
        <v>76.25691902480267</v>
      </c>
      <c r="Y1593">
        <v>-0.5569190248026672</v>
      </c>
      <c r="Z1593">
        <v>76.25997048799367</v>
      </c>
      <c r="AA1593">
        <v>0.79199514857489384</v>
      </c>
      <c r="AB1593">
        <v>82</v>
      </c>
      <c r="AC1593">
        <v>0.80177968430189828</v>
      </c>
      <c r="AD1593">
        <v>-0.15487950279536911</v>
      </c>
      <c r="AE1593">
        <v>1.9000429325853356</v>
      </c>
      <c r="AF1593">
        <v>5.4493285921883294E-3</v>
      </c>
      <c r="AG1593">
        <v>-0.1553032300070058</v>
      </c>
      <c r="AH1593">
        <v>1.919138010147744</v>
      </c>
      <c r="AI1593">
        <v>6.9554215601150955E-6</v>
      </c>
    </row>
    <row r="1594" spans="23:35" x14ac:dyDescent="0.25">
      <c r="W1594">
        <v>1592</v>
      </c>
      <c r="X1594">
        <v>76.597939620737108</v>
      </c>
      <c r="Y1594">
        <v>-1.1979396207371025</v>
      </c>
      <c r="Z1594">
        <v>76.605151350916813</v>
      </c>
      <c r="AA1594">
        <v>0.77986658580958157</v>
      </c>
      <c r="AB1594">
        <v>82</v>
      </c>
      <c r="AC1594">
        <v>0.74840704313415274</v>
      </c>
      <c r="AD1594">
        <v>-0.33314770114807341</v>
      </c>
      <c r="AE1594">
        <v>1.9329356267792668</v>
      </c>
      <c r="AF1594">
        <v>5.9840867076255914E-3</v>
      </c>
      <c r="AG1594">
        <v>-0.33414898960855144</v>
      </c>
      <c r="AH1594">
        <v>1.9551134696821983</v>
      </c>
      <c r="AI1594">
        <v>3.5377834353021701E-5</v>
      </c>
    </row>
    <row r="1595" spans="23:35" x14ac:dyDescent="0.25">
      <c r="W1595">
        <v>1593</v>
      </c>
      <c r="X1595">
        <v>75.409102898514092</v>
      </c>
      <c r="Y1595">
        <v>-9.1028985140866325E-3</v>
      </c>
      <c r="Z1595">
        <v>75.409121898676872</v>
      </c>
      <c r="AA1595">
        <v>0.77986658580958157</v>
      </c>
      <c r="AB1595">
        <v>82</v>
      </c>
      <c r="AC1595">
        <v>0.74840704313415274</v>
      </c>
      <c r="AD1595">
        <v>-2.5315213398536601E-3</v>
      </c>
      <c r="AE1595">
        <v>1.9480013982125799</v>
      </c>
      <c r="AF1595">
        <v>2.0829175431679049E-3</v>
      </c>
      <c r="AG1595">
        <v>-2.5341619407907847E-3</v>
      </c>
      <c r="AH1595">
        <v>1.963385897662121</v>
      </c>
      <c r="AI1595">
        <v>7.0549306377626747E-10</v>
      </c>
    </row>
    <row r="1596" spans="23:35" x14ac:dyDescent="0.25">
      <c r="W1596">
        <v>1594</v>
      </c>
      <c r="X1596">
        <v>75.025593021834268</v>
      </c>
      <c r="Y1596">
        <v>0.37440697816573731</v>
      </c>
      <c r="Z1596">
        <v>75.024785987936511</v>
      </c>
      <c r="AA1596">
        <v>0.77986658580958157</v>
      </c>
      <c r="AB1596">
        <v>82.1</v>
      </c>
      <c r="AC1596">
        <v>0.74840704313415274</v>
      </c>
      <c r="AD1596">
        <v>0.10412279710137906</v>
      </c>
      <c r="AE1596">
        <v>1.9607601864419346</v>
      </c>
      <c r="AF1596">
        <v>2.1508628990747724E-3</v>
      </c>
      <c r="AG1596">
        <v>0.10423495499164349</v>
      </c>
      <c r="AH1596">
        <v>1.9646925584740611</v>
      </c>
      <c r="AI1596">
        <v>1.2325967199752006E-6</v>
      </c>
    </row>
    <row r="1597" spans="23:35" x14ac:dyDescent="0.25">
      <c r="W1597">
        <v>1595</v>
      </c>
      <c r="X1597">
        <v>74.761726771066023</v>
      </c>
      <c r="Y1597">
        <v>0.43827322893397991</v>
      </c>
      <c r="Z1597">
        <v>74.760944487966015</v>
      </c>
      <c r="AA1597">
        <v>0.76652516676773808</v>
      </c>
      <c r="AB1597">
        <v>82.1</v>
      </c>
      <c r="AC1597">
        <v>0.71660092108895201</v>
      </c>
      <c r="AD1597">
        <v>0.12188403836602189</v>
      </c>
      <c r="AE1597">
        <v>1.9746606890971055</v>
      </c>
      <c r="AF1597">
        <v>1.7817407561596128E-3</v>
      </c>
      <c r="AG1597">
        <v>0.12199276656104752</v>
      </c>
      <c r="AH1597">
        <v>1.9763835335598512</v>
      </c>
      <c r="AI1597">
        <v>1.3980849622386249E-6</v>
      </c>
    </row>
    <row r="1598" spans="23:35" x14ac:dyDescent="0.25">
      <c r="W1598">
        <v>1596</v>
      </c>
      <c r="X1598">
        <v>73.270994952697436</v>
      </c>
      <c r="Y1598">
        <v>1.8290050473025588</v>
      </c>
      <c r="Z1598">
        <v>73.232093040705593</v>
      </c>
      <c r="AA1598">
        <v>0.76288659793814428</v>
      </c>
      <c r="AB1598">
        <v>82.2</v>
      </c>
      <c r="AC1598">
        <v>0.70876261491573156</v>
      </c>
      <c r="AD1598">
        <v>0.50864736114341513</v>
      </c>
      <c r="AE1598">
        <v>1.9878507455828545</v>
      </c>
      <c r="AF1598">
        <v>2.0826472002941583E-2</v>
      </c>
      <c r="AG1598">
        <v>0.51402822182283725</v>
      </c>
      <c r="AH1598">
        <v>2.0021867105954105</v>
      </c>
      <c r="AI1598">
        <v>2.9578515236235636E-4</v>
      </c>
    </row>
    <row r="1599" spans="23:35" x14ac:dyDescent="0.25">
      <c r="W1599">
        <v>1597</v>
      </c>
      <c r="X1599">
        <v>71.16641043254694</v>
      </c>
      <c r="Y1599">
        <v>-1.9664104325469367</v>
      </c>
      <c r="Z1599">
        <v>71.173144493503898</v>
      </c>
      <c r="AA1599">
        <v>0.42874469375379015</v>
      </c>
      <c r="AB1599">
        <v>82.2</v>
      </c>
      <c r="AC1599">
        <v>-0.1880739545732803</v>
      </c>
      <c r="AD1599">
        <v>-0.54685987822450421</v>
      </c>
      <c r="AE1599">
        <v>1.9893636292471062</v>
      </c>
      <c r="AF1599">
        <v>3.4128574866831209E-3</v>
      </c>
      <c r="AG1599">
        <v>-0.54779545105407668</v>
      </c>
      <c r="AH1599">
        <v>2.0078656339075556</v>
      </c>
      <c r="AI1599">
        <v>5.4086155911588812E-5</v>
      </c>
    </row>
    <row r="1600" spans="23:35" x14ac:dyDescent="0.25">
      <c r="W1600">
        <v>1598</v>
      </c>
      <c r="X1600">
        <v>71.01415078416774</v>
      </c>
      <c r="Y1600">
        <v>-1.9141507841677452</v>
      </c>
      <c r="Z1600">
        <v>71.020614666748415</v>
      </c>
      <c r="AA1600">
        <v>0.42510612492419647</v>
      </c>
      <c r="AB1600">
        <v>82.3</v>
      </c>
      <c r="AC1600">
        <v>-0.198915705174462</v>
      </c>
      <c r="AD1600">
        <v>-0.53232643979492655</v>
      </c>
      <c r="AE1600">
        <v>1.9915898692885461</v>
      </c>
      <c r="AF1600">
        <v>3.3655280742092347E-3</v>
      </c>
      <c r="AG1600">
        <v>-0.53322448702300296</v>
      </c>
      <c r="AH1600">
        <v>2.0084874229488099</v>
      </c>
      <c r="AI1600">
        <v>5.0534024002960963E-5</v>
      </c>
    </row>
    <row r="1601" spans="23:35" x14ac:dyDescent="0.25">
      <c r="W1601">
        <v>1599</v>
      </c>
      <c r="X1601">
        <v>70.890531490557152</v>
      </c>
      <c r="Y1601">
        <v>-2.0905314905571544</v>
      </c>
      <c r="Z1601">
        <v>70.897519397913882</v>
      </c>
      <c r="AA1601">
        <v>0.41115827774408731</v>
      </c>
      <c r="AB1601">
        <v>82.3</v>
      </c>
      <c r="AC1601">
        <v>-0.23002600999886993</v>
      </c>
      <c r="AD1601">
        <v>-0.58137801622108143</v>
      </c>
      <c r="AE1601">
        <v>1.9964524291445922</v>
      </c>
      <c r="AF1601">
        <v>3.3315102419014244E-3</v>
      </c>
      <c r="AG1601">
        <v>-0.58234887612569175</v>
      </c>
      <c r="AH1601">
        <v>2.0160844812297842</v>
      </c>
      <c r="AI1601">
        <v>5.9662755486028905E-5</v>
      </c>
    </row>
    <row r="1602" spans="23:35" x14ac:dyDescent="0.25">
      <c r="W1602">
        <v>1600</v>
      </c>
      <c r="X1602">
        <v>70.657133015424435</v>
      </c>
      <c r="Y1602">
        <v>-2.157133015424435</v>
      </c>
      <c r="Z1602">
        <v>70.661219712080765</v>
      </c>
      <c r="AA1602">
        <v>0.40388114008489995</v>
      </c>
      <c r="AB1602">
        <v>82.3</v>
      </c>
      <c r="AC1602">
        <v>-0.25193465741015014</v>
      </c>
      <c r="AD1602">
        <v>-0.59989993879413928</v>
      </c>
      <c r="AE1602">
        <v>1.9965375511960162</v>
      </c>
      <c r="AF1602">
        <v>1.8909214243623363E-3</v>
      </c>
      <c r="AG1602">
        <v>-0.60046792625930956</v>
      </c>
      <c r="AH1602">
        <v>2.0235038819873807</v>
      </c>
      <c r="AI1602">
        <v>3.5951871687768315E-5</v>
      </c>
    </row>
    <row r="1603" spans="23:35" x14ac:dyDescent="0.25">
      <c r="W1603">
        <v>1601</v>
      </c>
      <c r="X1603">
        <v>69.2237479489348</v>
      </c>
      <c r="Y1603">
        <v>-0.92374794893480328</v>
      </c>
      <c r="Z1603">
        <v>69.229057966951515</v>
      </c>
      <c r="AA1603">
        <v>0.39599757428744692</v>
      </c>
      <c r="AB1603">
        <v>82.4</v>
      </c>
      <c r="AC1603">
        <v>-0.27396491687072577</v>
      </c>
      <c r="AD1603">
        <v>-0.25689483868854746</v>
      </c>
      <c r="AE1603">
        <v>2.0029725323453031</v>
      </c>
      <c r="AF1603">
        <v>5.7154862297050732E-3</v>
      </c>
      <c r="AG1603">
        <v>-0.25763214018209746</v>
      </c>
      <c r="AH1603">
        <v>2.0292397705253591</v>
      </c>
      <c r="AI1603">
        <v>2.0081168907159855E-5</v>
      </c>
    </row>
    <row r="1604" spans="23:35" x14ac:dyDescent="0.25">
      <c r="W1604">
        <v>1602</v>
      </c>
      <c r="X1604">
        <v>69.142345129392041</v>
      </c>
      <c r="Y1604">
        <v>-1.1423451293920408</v>
      </c>
      <c r="Z1604">
        <v>69.149055659514673</v>
      </c>
      <c r="AA1604">
        <v>0.38447543966040026</v>
      </c>
      <c r="AB1604">
        <v>82.5</v>
      </c>
      <c r="AC1604">
        <v>-0.31204933220437475</v>
      </c>
      <c r="AD1604">
        <v>-0.31768684096155791</v>
      </c>
      <c r="AE1604">
        <v>2.0163248176080804</v>
      </c>
      <c r="AF1604">
        <v>5.8400392244430041E-3</v>
      </c>
      <c r="AG1604">
        <v>-0.31861857578558306</v>
      </c>
      <c r="AH1604">
        <v>2.0509059696759508</v>
      </c>
      <c r="AI1604">
        <v>3.1386875081563473E-5</v>
      </c>
    </row>
    <row r="1605" spans="23:35" x14ac:dyDescent="0.25">
      <c r="W1605">
        <v>1603</v>
      </c>
      <c r="X1605">
        <v>70.273490048279612</v>
      </c>
      <c r="Y1605">
        <v>-2.3734900482796064</v>
      </c>
      <c r="Z1605">
        <v>70.27818437845805</v>
      </c>
      <c r="AA1605">
        <v>0.37719830200121285</v>
      </c>
      <c r="AB1605">
        <v>82.5</v>
      </c>
      <c r="AC1605">
        <v>-0.32163939638952632</v>
      </c>
      <c r="AD1605">
        <v>-0.66006895472381344</v>
      </c>
      <c r="AE1605">
        <v>2.0737487787056117</v>
      </c>
      <c r="AF1605">
        <v>1.9739134698573413E-3</v>
      </c>
      <c r="AG1605">
        <v>-0.66072138025689253</v>
      </c>
      <c r="AH1605">
        <v>2.0780551348088401</v>
      </c>
      <c r="AI1605">
        <v>4.5443245159288248E-5</v>
      </c>
    </row>
    <row r="1606" spans="23:35" x14ac:dyDescent="0.25">
      <c r="W1606">
        <v>1604</v>
      </c>
      <c r="X1606">
        <v>69.886053124124913</v>
      </c>
      <c r="Y1606">
        <v>-2.0860531241249163</v>
      </c>
      <c r="Z1606">
        <v>69.890325714915377</v>
      </c>
      <c r="AA1606">
        <v>0.37355973317161917</v>
      </c>
      <c r="AB1606">
        <v>82.6</v>
      </c>
      <c r="AC1606">
        <v>-0.337689309602062</v>
      </c>
      <c r="AD1606">
        <v>-0.58013257992698775</v>
      </c>
      <c r="AE1606">
        <v>2.079960033725698</v>
      </c>
      <c r="AF1606">
        <v>2.0439832701548404E-3</v>
      </c>
      <c r="AG1606">
        <v>-0.58072638101573748</v>
      </c>
      <c r="AH1606">
        <v>2.0849170912718753</v>
      </c>
      <c r="AI1606">
        <v>3.6354271464391227E-5</v>
      </c>
    </row>
    <row r="1607" spans="23:35" x14ac:dyDescent="0.25">
      <c r="W1607">
        <v>1605</v>
      </c>
      <c r="X1607">
        <v>69.764493390524322</v>
      </c>
      <c r="Y1607">
        <v>-2.1644933905243278</v>
      </c>
      <c r="Z1607">
        <v>69.768707997231274</v>
      </c>
      <c r="AA1607">
        <v>0.36264402668283807</v>
      </c>
      <c r="AB1607">
        <v>82.7</v>
      </c>
      <c r="AC1607">
        <v>-0.36030729595554811</v>
      </c>
      <c r="AD1607">
        <v>-0.60194686336501868</v>
      </c>
      <c r="AE1607">
        <v>2.0934722818575131</v>
      </c>
      <c r="AF1607">
        <v>1.9433721424607635E-3</v>
      </c>
      <c r="AG1607">
        <v>-0.60253262064445434</v>
      </c>
      <c r="AH1607">
        <v>2.097812146009979</v>
      </c>
      <c r="AI1607">
        <v>3.7205600416308516E-5</v>
      </c>
    </row>
    <row r="1608" spans="23:35" x14ac:dyDescent="0.25">
      <c r="W1608">
        <v>1606</v>
      </c>
      <c r="X1608">
        <v>69.5897346769423</v>
      </c>
      <c r="Y1608">
        <v>-2.2897346769423024</v>
      </c>
      <c r="Z1608">
        <v>69.595041752115904</v>
      </c>
      <c r="AA1608">
        <v>0.35112189205579136</v>
      </c>
      <c r="AB1608">
        <v>83</v>
      </c>
      <c r="AC1608">
        <v>-0.39787592189543292</v>
      </c>
      <c r="AD1608">
        <v>-0.63677653752948338</v>
      </c>
      <c r="AE1608">
        <v>2.0935426978665959</v>
      </c>
      <c r="AF1608">
        <v>2.3124089872030127E-3</v>
      </c>
      <c r="AG1608">
        <v>-0.63751406076187545</v>
      </c>
      <c r="AH1608">
        <v>2.0981617158295567</v>
      </c>
      <c r="AI1608">
        <v>4.9578800203091315E-5</v>
      </c>
    </row>
    <row r="1609" spans="23:35" x14ac:dyDescent="0.25">
      <c r="W1609">
        <v>1607</v>
      </c>
      <c r="X1609">
        <v>69.508881922325926</v>
      </c>
      <c r="Y1609">
        <v>-1.7088819223259293</v>
      </c>
      <c r="Z1609">
        <v>69.512865661665387</v>
      </c>
      <c r="AA1609">
        <v>0.37355973317161917</v>
      </c>
      <c r="AB1609">
        <v>83</v>
      </c>
      <c r="AC1609">
        <v>-0.337689309602062</v>
      </c>
      <c r="AD1609">
        <v>-0.47524105063499156</v>
      </c>
      <c r="AE1609">
        <v>2.0945557278405418</v>
      </c>
      <c r="AF1609">
        <v>2.3257745359853287E-3</v>
      </c>
      <c r="AG1609">
        <v>-0.47579466828175476</v>
      </c>
      <c r="AH1609">
        <v>2.100108777843503</v>
      </c>
      <c r="AI1609">
        <v>2.7775660803272016E-5</v>
      </c>
    </row>
    <row r="1610" spans="23:35" x14ac:dyDescent="0.25">
      <c r="W1610">
        <v>1608</v>
      </c>
      <c r="X1610">
        <v>69.173437827764403</v>
      </c>
      <c r="Y1610">
        <v>-1.9734378277643998</v>
      </c>
      <c r="Z1610">
        <v>69.178019153761511</v>
      </c>
      <c r="AA1610">
        <v>0.34505761067313523</v>
      </c>
      <c r="AB1610">
        <v>83</v>
      </c>
      <c r="AC1610">
        <v>-0.40776731506460179</v>
      </c>
      <c r="AD1610">
        <v>-0.54881420089755872</v>
      </c>
      <c r="AE1610">
        <v>2.095709130844492</v>
      </c>
      <c r="AF1610">
        <v>2.3161181166502513E-3</v>
      </c>
      <c r="AG1610">
        <v>-0.54945086631217699</v>
      </c>
      <c r="AH1610">
        <v>2.1110972641812791</v>
      </c>
      <c r="AI1610">
        <v>3.6886875643888974E-5</v>
      </c>
    </row>
    <row r="1611" spans="23:35" x14ac:dyDescent="0.25">
      <c r="W1611">
        <v>1609</v>
      </c>
      <c r="X1611">
        <v>69.109338308497001</v>
      </c>
      <c r="Y1611">
        <v>-2.0093383084970071</v>
      </c>
      <c r="Z1611">
        <v>69.116729716249566</v>
      </c>
      <c r="AA1611">
        <v>0.34141904184354155</v>
      </c>
      <c r="AB1611">
        <v>83</v>
      </c>
      <c r="AC1611">
        <v>-0.41272795222137554</v>
      </c>
      <c r="AD1611">
        <v>-0.55879814534612759</v>
      </c>
      <c r="AE1611">
        <v>2.0970713346075112</v>
      </c>
      <c r="AF1611">
        <v>3.665046284093519E-3</v>
      </c>
      <c r="AG1611">
        <v>-0.55982497928829689</v>
      </c>
      <c r="AH1611">
        <v>2.1215023943355344</v>
      </c>
      <c r="AI1611">
        <v>6.0677131488458856E-5</v>
      </c>
    </row>
    <row r="1612" spans="23:35" x14ac:dyDescent="0.25">
      <c r="W1612">
        <v>1610</v>
      </c>
      <c r="X1612">
        <v>69.733710386112747</v>
      </c>
      <c r="Y1612">
        <v>1.9662896138872554</v>
      </c>
      <c r="Z1612">
        <v>69.726903112165857</v>
      </c>
      <c r="AA1612">
        <v>0.50394178289872649</v>
      </c>
      <c r="AB1612">
        <v>83</v>
      </c>
      <c r="AC1612">
        <v>-4.5602855597810616E-3</v>
      </c>
      <c r="AD1612">
        <v>0.54682627848539234</v>
      </c>
      <c r="AE1612">
        <v>2.1035517539554194</v>
      </c>
      <c r="AF1612">
        <v>3.450045453347832E-3</v>
      </c>
      <c r="AG1612">
        <v>0.54777201407116394</v>
      </c>
      <c r="AH1612">
        <v>2.1285201508880149</v>
      </c>
      <c r="AI1612">
        <v>5.467286372784859E-5</v>
      </c>
    </row>
    <row r="1613" spans="23:35" x14ac:dyDescent="0.25">
      <c r="W1613">
        <v>1611</v>
      </c>
      <c r="X1613">
        <v>69.494720104278258</v>
      </c>
      <c r="Y1613">
        <v>2.1052798957217362</v>
      </c>
      <c r="Z1613">
        <v>69.486909488831643</v>
      </c>
      <c r="AA1613">
        <v>0.49787750151607035</v>
      </c>
      <c r="AB1613">
        <v>83</v>
      </c>
      <c r="AC1613">
        <v>-2.1282865457297767E-2</v>
      </c>
      <c r="AD1613">
        <v>0.58547955622453973</v>
      </c>
      <c r="AE1613">
        <v>2.123833320265391</v>
      </c>
      <c r="AF1613">
        <v>3.6962995221160532E-3</v>
      </c>
      <c r="AG1613">
        <v>0.58656461909276858</v>
      </c>
      <c r="AH1613">
        <v>2.1371946694014405</v>
      </c>
      <c r="AI1613">
        <v>6.7182094330576819E-5</v>
      </c>
    </row>
    <row r="1614" spans="23:35" x14ac:dyDescent="0.25">
      <c r="W1614">
        <v>1612</v>
      </c>
      <c r="X1614">
        <v>67.891268620478186</v>
      </c>
      <c r="Y1614">
        <v>3.5087313795218193</v>
      </c>
      <c r="Z1614">
        <v>67.8655726605175</v>
      </c>
      <c r="AA1614">
        <v>0.4887810794420861</v>
      </c>
      <c r="AB1614">
        <v>83</v>
      </c>
      <c r="AC1614">
        <v>-4.7140240828996732E-2</v>
      </c>
      <c r="AD1614">
        <v>0.97578022531265174</v>
      </c>
      <c r="AE1614">
        <v>2.1248775093821144</v>
      </c>
      <c r="AF1614">
        <v>7.2701904700762402E-3</v>
      </c>
      <c r="AG1614">
        <v>0.97934673810554418</v>
      </c>
      <c r="AH1614">
        <v>2.1382257117648678</v>
      </c>
      <c r="AI1614">
        <v>3.6968692206189302E-4</v>
      </c>
    </row>
    <row r="1615" spans="23:35" x14ac:dyDescent="0.25">
      <c r="W1615">
        <v>1613</v>
      </c>
      <c r="X1615">
        <v>69.307276526552329</v>
      </c>
      <c r="Y1615">
        <v>1.8927234734476741</v>
      </c>
      <c r="Z1615">
        <v>69.301064969240983</v>
      </c>
      <c r="AA1615">
        <v>0.47907822922983628</v>
      </c>
      <c r="AB1615">
        <v>83</v>
      </c>
      <c r="AC1615">
        <v>-6.3887210036911155E-2</v>
      </c>
      <c r="AD1615">
        <v>0.52636749229489754</v>
      </c>
      <c r="AE1615">
        <v>2.13249265776596</v>
      </c>
      <c r="AF1615">
        <v>3.2710741603740011E-3</v>
      </c>
      <c r="AG1615">
        <v>0.52723050365505175</v>
      </c>
      <c r="AH1615">
        <v>2.1399414473612799</v>
      </c>
      <c r="AI1615">
        <v>4.8013214761986395E-5</v>
      </c>
    </row>
    <row r="1616" spans="23:35" x14ac:dyDescent="0.25">
      <c r="W1616">
        <v>1614</v>
      </c>
      <c r="X1616">
        <v>69.28280494128947</v>
      </c>
      <c r="Y1616">
        <v>1.71719505871053</v>
      </c>
      <c r="Z1616">
        <v>69.277796716287597</v>
      </c>
      <c r="AA1616">
        <v>0.46937537901758641</v>
      </c>
      <c r="AB1616">
        <v>83</v>
      </c>
      <c r="AC1616">
        <v>-9.743972564826138E-2</v>
      </c>
      <c r="AD1616">
        <v>0.47755293867001292</v>
      </c>
      <c r="AE1616">
        <v>2.1364260575336496</v>
      </c>
      <c r="AF1616">
        <v>2.9080335923406392E-3</v>
      </c>
      <c r="AG1616">
        <v>0.47824882678174502</v>
      </c>
      <c r="AH1616">
        <v>2.1401779218802774</v>
      </c>
      <c r="AI1616">
        <v>3.5108997393836301E-5</v>
      </c>
    </row>
    <row r="1617" spans="23:35" x14ac:dyDescent="0.25">
      <c r="W1617">
        <v>1615</v>
      </c>
      <c r="X1617">
        <v>68.990311815044421</v>
      </c>
      <c r="Y1617">
        <v>9.0096881849555785</v>
      </c>
      <c r="Z1617">
        <v>68.96191312441367</v>
      </c>
      <c r="AA1617">
        <v>0.86294724075197093</v>
      </c>
      <c r="AB1617">
        <v>84</v>
      </c>
      <c r="AC1617">
        <v>1.0491313979639725</v>
      </c>
      <c r="AD1617">
        <v>2.5055994934302497</v>
      </c>
      <c r="AE1617">
        <v>2.1564869617944633</v>
      </c>
      <c r="AF1617">
        <v>3.1421130402564902E-3</v>
      </c>
      <c r="AG1617">
        <v>2.5095452327590513</v>
      </c>
      <c r="AH1617">
        <v>2.1619547538317905</v>
      </c>
      <c r="AI1617">
        <v>1.0447803857457616E-3</v>
      </c>
    </row>
    <row r="1618" spans="23:35" x14ac:dyDescent="0.25">
      <c r="W1618">
        <v>1616</v>
      </c>
      <c r="X1618">
        <v>68.803803803696312</v>
      </c>
      <c r="Y1618">
        <v>6.1961961963036885</v>
      </c>
      <c r="Z1618">
        <v>68.784554269587176</v>
      </c>
      <c r="AA1618">
        <v>0.76046088538508183</v>
      </c>
      <c r="AB1618">
        <v>84</v>
      </c>
      <c r="AC1618">
        <v>0.67020216077934069</v>
      </c>
      <c r="AD1618">
        <v>1.7231657446899209</v>
      </c>
      <c r="AE1618">
        <v>2.1748824249689593</v>
      </c>
      <c r="AF1618">
        <v>3.0970480548071456E-3</v>
      </c>
      <c r="AG1618">
        <v>1.7258403223262191</v>
      </c>
      <c r="AH1618">
        <v>2.1914249061060458</v>
      </c>
      <c r="AI1618">
        <v>4.8701538870958648E-4</v>
      </c>
    </row>
    <row r="1619" spans="23:35" x14ac:dyDescent="0.25">
      <c r="W1619">
        <v>1617</v>
      </c>
      <c r="X1619">
        <v>68.998596743056794</v>
      </c>
      <c r="Y1619">
        <v>4.0014032569432061</v>
      </c>
      <c r="Z1619">
        <v>68.963339305451726</v>
      </c>
      <c r="AA1619">
        <v>0.60946027895694366</v>
      </c>
      <c r="AB1619">
        <v>84</v>
      </c>
      <c r="AC1619">
        <v>0.22222871718700732</v>
      </c>
      <c r="AD1619">
        <v>1.1127925592750665</v>
      </c>
      <c r="AE1619">
        <v>2.1993319651559529</v>
      </c>
      <c r="AF1619">
        <v>8.734307952285086E-3</v>
      </c>
      <c r="AG1619">
        <v>1.1176843640485132</v>
      </c>
      <c r="AH1619">
        <v>2.2253523280455898</v>
      </c>
      <c r="AI1619">
        <v>5.7932620615127868E-4</v>
      </c>
    </row>
    <row r="1620" spans="23:35" x14ac:dyDescent="0.25">
      <c r="W1620">
        <v>1618</v>
      </c>
      <c r="X1620">
        <v>68.343769193151118</v>
      </c>
      <c r="Y1620">
        <v>2.6562308068488818</v>
      </c>
      <c r="Z1620">
        <v>68.335778586638227</v>
      </c>
      <c r="AA1620">
        <v>0.46937537901758641</v>
      </c>
      <c r="AB1620">
        <v>84</v>
      </c>
      <c r="AC1620">
        <v>-9.743972564826138E-2</v>
      </c>
      <c r="AD1620">
        <v>0.73869932315612041</v>
      </c>
      <c r="AE1620">
        <v>2.2199435774359819</v>
      </c>
      <c r="AF1620">
        <v>2.9992276440742862E-3</v>
      </c>
      <c r="AG1620">
        <v>0.73980958494247473</v>
      </c>
      <c r="AH1620">
        <v>2.2957711888144985</v>
      </c>
      <c r="AI1620">
        <v>8.6656320001338502E-5</v>
      </c>
    </row>
    <row r="1621" spans="23:35" x14ac:dyDescent="0.25">
      <c r="W1621">
        <v>1619</v>
      </c>
      <c r="X1621">
        <v>62.752043823087746</v>
      </c>
      <c r="Y1621">
        <v>7.1479561769122597</v>
      </c>
      <c r="Z1621">
        <v>62.607379259778398</v>
      </c>
      <c r="AA1621">
        <v>0.45724681625227409</v>
      </c>
      <c r="AB1621">
        <v>84</v>
      </c>
      <c r="AC1621">
        <v>-0.11731546960548965</v>
      </c>
      <c r="AD1621">
        <v>1.9878507455828545</v>
      </c>
      <c r="AE1621">
        <v>2.2696996973623662</v>
      </c>
      <c r="AF1621">
        <v>1.9837115964562599E-2</v>
      </c>
      <c r="AG1621">
        <v>2.0078656339075556</v>
      </c>
      <c r="AH1621">
        <v>2.297904338772621</v>
      </c>
      <c r="AI1621">
        <v>4.2943355004006105E-3</v>
      </c>
    </row>
    <row r="1622" spans="23:35" x14ac:dyDescent="0.25">
      <c r="W1622">
        <v>1620</v>
      </c>
      <c r="X1622">
        <v>62.767785032879992</v>
      </c>
      <c r="Y1622">
        <v>6.8322149671200023</v>
      </c>
      <c r="Z1622">
        <v>62.629770012022441</v>
      </c>
      <c r="AA1622">
        <v>0.44815039417828989</v>
      </c>
      <c r="AB1622">
        <v>84</v>
      </c>
      <c r="AC1622">
        <v>-0.14337818601426075</v>
      </c>
      <c r="AD1622">
        <v>1.9000429325853356</v>
      </c>
      <c r="AE1622">
        <v>2.278286611867355</v>
      </c>
      <c r="AF1622">
        <v>1.9800640882094378E-2</v>
      </c>
      <c r="AG1622">
        <v>1.919138010147744</v>
      </c>
      <c r="AH1622">
        <v>2.3020025192046263</v>
      </c>
      <c r="AI1622">
        <v>3.9158283491265026E-3</v>
      </c>
    </row>
    <row r="1623" spans="23:35" x14ac:dyDescent="0.25">
      <c r="W1623">
        <v>1621</v>
      </c>
      <c r="X1623">
        <v>62.246603763688483</v>
      </c>
      <c r="Y1623">
        <v>7.1533962363115222</v>
      </c>
      <c r="Z1623">
        <v>62.108411225292443</v>
      </c>
      <c r="AA1623">
        <v>0.43784111582777441</v>
      </c>
      <c r="AB1623">
        <v>85</v>
      </c>
      <c r="AC1623">
        <v>-0.16799678341230881</v>
      </c>
      <c r="AD1623">
        <v>1.9893636292471062</v>
      </c>
      <c r="AE1623">
        <v>2.2924090809601485</v>
      </c>
      <c r="AF1623">
        <v>1.8952322006335915E-2</v>
      </c>
      <c r="AG1623">
        <v>2.0084874229488099</v>
      </c>
      <c r="AH1623">
        <v>2.3107012281771699</v>
      </c>
      <c r="AI1623">
        <v>4.1016343782430504E-3</v>
      </c>
    </row>
    <row r="1624" spans="23:35" x14ac:dyDescent="0.25">
      <c r="W1624">
        <v>1622</v>
      </c>
      <c r="X1624">
        <v>61.107688330595039</v>
      </c>
      <c r="Y1624">
        <v>8.1923116694049583</v>
      </c>
      <c r="Z1624">
        <v>60.872915658860414</v>
      </c>
      <c r="AA1624">
        <v>0.4329896907216495</v>
      </c>
      <c r="AB1624">
        <v>85</v>
      </c>
      <c r="AC1624">
        <v>-0.17879863688351211</v>
      </c>
      <c r="AD1624">
        <v>2.278286611867355</v>
      </c>
      <c r="AE1624">
        <v>2.3118116815474914</v>
      </c>
      <c r="AF1624">
        <v>2.7859300112674339E-2</v>
      </c>
      <c r="AG1624">
        <v>2.3107012281771699</v>
      </c>
      <c r="AH1624">
        <v>2.3159740966498559</v>
      </c>
      <c r="AI1624">
        <v>8.0533220249578395E-3</v>
      </c>
    </row>
    <row r="1625" spans="23:35" x14ac:dyDescent="0.25">
      <c r="W1625">
        <v>1623</v>
      </c>
      <c r="X1625">
        <v>60.938565341212126</v>
      </c>
      <c r="Y1625">
        <v>8.1614346587878686</v>
      </c>
      <c r="Z1625">
        <v>60.704601843696871</v>
      </c>
      <c r="AA1625">
        <v>0.42510612492419647</v>
      </c>
      <c r="AB1625">
        <v>85</v>
      </c>
      <c r="AC1625">
        <v>-0.198915705174462</v>
      </c>
      <c r="AD1625">
        <v>2.2696996973623662</v>
      </c>
      <c r="AE1625">
        <v>2.3121110419923081</v>
      </c>
      <c r="AF1625">
        <v>2.7868064522895801E-2</v>
      </c>
      <c r="AG1625">
        <v>2.3020025192046263</v>
      </c>
      <c r="AH1625">
        <v>2.3243425588087558</v>
      </c>
      <c r="AI1625">
        <v>7.9953887580923831E-3</v>
      </c>
    </row>
    <row r="1626" spans="23:35" x14ac:dyDescent="0.25">
      <c r="W1626">
        <v>1624</v>
      </c>
      <c r="X1626">
        <v>64.372606898501928</v>
      </c>
      <c r="Y1626">
        <v>4.6273931014980718</v>
      </c>
      <c r="Z1626">
        <v>64.242761782133115</v>
      </c>
      <c r="AA1626">
        <v>0.42086112795633718</v>
      </c>
      <c r="AB1626">
        <v>85</v>
      </c>
      <c r="AC1626">
        <v>-0.21444491222324932</v>
      </c>
      <c r="AD1626">
        <v>1.2868806969786786</v>
      </c>
      <c r="AE1626">
        <v>2.3477871053879742</v>
      </c>
      <c r="AF1626">
        <v>2.7294222072199895E-2</v>
      </c>
      <c r="AG1626">
        <v>1.304810788089654</v>
      </c>
      <c r="AH1626">
        <v>2.3647900008226799</v>
      </c>
      <c r="AI1626">
        <v>2.5143787736107955E-3</v>
      </c>
    </row>
    <row r="1627" spans="23:35" x14ac:dyDescent="0.25">
      <c r="W1627">
        <v>1625</v>
      </c>
      <c r="X1627">
        <v>64.661682276088598</v>
      </c>
      <c r="Y1627">
        <v>-3.5616822760885967</v>
      </c>
      <c r="Z1627">
        <v>64.677059140445607</v>
      </c>
      <c r="AA1627">
        <v>0.17889630078835658</v>
      </c>
      <c r="AB1627">
        <v>85</v>
      </c>
      <c r="AC1627">
        <v>-0.9277300733017374</v>
      </c>
      <c r="AD1627">
        <v>-0.99050590026286078</v>
      </c>
      <c r="AE1627">
        <v>2.3585681527927376</v>
      </c>
      <c r="AF1627">
        <v>4.2987447937732053E-3</v>
      </c>
      <c r="AG1627">
        <v>-0.99264175489645157</v>
      </c>
      <c r="AH1627">
        <v>2.391751786979365</v>
      </c>
      <c r="AI1627">
        <v>2.2389484090625376E-4</v>
      </c>
    </row>
    <row r="1628" spans="23:35" x14ac:dyDescent="0.25">
      <c r="W1628">
        <v>1626</v>
      </c>
      <c r="X1628">
        <v>63.850990687816903</v>
      </c>
      <c r="Y1628">
        <v>-0.85099068781690335</v>
      </c>
      <c r="Z1628">
        <v>63.853883906731404</v>
      </c>
      <c r="AA1628">
        <v>0.22195269860521527</v>
      </c>
      <c r="AB1628">
        <v>86</v>
      </c>
      <c r="AC1628">
        <v>-0.78098898173722842</v>
      </c>
      <c r="AD1628">
        <v>-0.2366610023050876</v>
      </c>
      <c r="AE1628">
        <v>2.3750267924753836</v>
      </c>
      <c r="AF1628">
        <v>3.388304770348786E-3</v>
      </c>
      <c r="AG1628">
        <v>-0.2370629638717533</v>
      </c>
      <c r="AH1628">
        <v>2.3933972929986531</v>
      </c>
      <c r="AI1628">
        <v>1.0056116746846155E-5</v>
      </c>
    </row>
    <row r="1629" spans="23:35" x14ac:dyDescent="0.25">
      <c r="W1629">
        <v>1627</v>
      </c>
      <c r="X1629">
        <v>62.286867673988297</v>
      </c>
      <c r="Y1629">
        <v>-3.0868676739882943</v>
      </c>
      <c r="Z1629">
        <v>62.330772159227742</v>
      </c>
      <c r="AA1629">
        <v>0.15767131594906003</v>
      </c>
      <c r="AB1629">
        <v>86</v>
      </c>
      <c r="AC1629">
        <v>-1.0205681915260707</v>
      </c>
      <c r="AD1629">
        <v>-0.85845968489190472</v>
      </c>
      <c r="AE1629">
        <v>2.3783262893728558</v>
      </c>
      <c r="AF1629">
        <v>1.4023532536547617E-2</v>
      </c>
      <c r="AG1629">
        <v>-0.86454306167835204</v>
      </c>
      <c r="AH1629">
        <v>2.3959044910391984</v>
      </c>
      <c r="AI1629">
        <v>5.5951345575513153E-4</v>
      </c>
    </row>
    <row r="1630" spans="23:35" x14ac:dyDescent="0.25">
      <c r="W1630">
        <v>1628</v>
      </c>
      <c r="X1630">
        <v>61.686903812096396</v>
      </c>
      <c r="Y1630">
        <v>-3.4869038120963936</v>
      </c>
      <c r="Z1630">
        <v>61.70354811252593</v>
      </c>
      <c r="AA1630">
        <v>0.13644633110976348</v>
      </c>
      <c r="AB1630">
        <v>86</v>
      </c>
      <c r="AC1630">
        <v>-1.1005940465096573</v>
      </c>
      <c r="AD1630">
        <v>-0.96970996619144434</v>
      </c>
      <c r="AE1630">
        <v>2.3824150670186439</v>
      </c>
      <c r="AF1630">
        <v>4.7506984048613305E-3</v>
      </c>
      <c r="AG1630">
        <v>-0.97202160568125395</v>
      </c>
      <c r="AH1630">
        <v>2.4071385692980343</v>
      </c>
      <c r="AI1630">
        <v>2.3736889858211408E-4</v>
      </c>
    </row>
    <row r="1631" spans="23:35" x14ac:dyDescent="0.25">
      <c r="W1631">
        <v>1629</v>
      </c>
      <c r="X1631">
        <v>60.075357204159531</v>
      </c>
      <c r="Y1631">
        <v>-2.0753572041595305</v>
      </c>
      <c r="Z1631">
        <v>60.113402014184651</v>
      </c>
      <c r="AA1631">
        <v>0.13159490600363857</v>
      </c>
      <c r="AB1631">
        <v>86</v>
      </c>
      <c r="AC1631">
        <v>-1.1375552391677688</v>
      </c>
      <c r="AD1631">
        <v>-0.57715803840047952</v>
      </c>
      <c r="AE1631">
        <v>2.4021792518152361</v>
      </c>
      <c r="AF1631">
        <v>1.8001691003305995E-2</v>
      </c>
      <c r="AG1631">
        <v>-0.58242415562533167</v>
      </c>
      <c r="AH1631">
        <v>2.4073783220574709</v>
      </c>
      <c r="AI1631">
        <v>3.2728621936921017E-4</v>
      </c>
    </row>
    <row r="1632" spans="23:35" x14ac:dyDescent="0.25">
      <c r="W1632">
        <v>1630</v>
      </c>
      <c r="X1632">
        <v>59.401255064924321</v>
      </c>
      <c r="Y1632">
        <v>-2.0012550649243224</v>
      </c>
      <c r="Z1632">
        <v>59.413068129058921</v>
      </c>
      <c r="AA1632">
        <v>0.11825348696179502</v>
      </c>
      <c r="AB1632">
        <v>86</v>
      </c>
      <c r="AC1632">
        <v>-1.1914554566319386</v>
      </c>
      <c r="AD1632">
        <v>-0.55655019063501876</v>
      </c>
      <c r="AE1632">
        <v>2.4033188704284534</v>
      </c>
      <c r="AF1632">
        <v>5.8681889420818542E-3</v>
      </c>
      <c r="AG1632">
        <v>-0.55819038373494112</v>
      </c>
      <c r="AH1632">
        <v>2.4114645667190162</v>
      </c>
      <c r="AI1632">
        <v>9.6799077289964677E-5</v>
      </c>
    </row>
    <row r="1633" spans="23:35" x14ac:dyDescent="0.25">
      <c r="W1633">
        <v>1631</v>
      </c>
      <c r="X1633">
        <v>63.164100161588401</v>
      </c>
      <c r="Y1633">
        <v>-7.464100161588398</v>
      </c>
      <c r="Z1633">
        <v>63.316273758442748</v>
      </c>
      <c r="AA1633">
        <v>8.9751364463311098E-2</v>
      </c>
      <c r="AB1633">
        <v>86</v>
      </c>
      <c r="AC1633">
        <v>-1.3441610904494867</v>
      </c>
      <c r="AD1633">
        <v>-2.0757705705084555</v>
      </c>
      <c r="AE1633">
        <v>2.4207809463381489</v>
      </c>
      <c r="AF1633">
        <v>1.998005871121206E-2</v>
      </c>
      <c r="AG1633">
        <v>-2.0968235904648691</v>
      </c>
      <c r="AH1633">
        <v>2.4599270371080935</v>
      </c>
      <c r="AI1633">
        <v>4.7177186181840353E-3</v>
      </c>
    </row>
    <row r="1634" spans="23:35" x14ac:dyDescent="0.25">
      <c r="W1634">
        <v>1632</v>
      </c>
      <c r="X1634">
        <v>54.219797772514042</v>
      </c>
      <c r="Y1634">
        <v>-1.6197977725140404</v>
      </c>
      <c r="Z1634">
        <v>54.249179234105988</v>
      </c>
      <c r="AA1634">
        <v>5.5184960582171011E-2</v>
      </c>
      <c r="AB1634">
        <v>86</v>
      </c>
      <c r="AC1634">
        <v>-1.6158584342289828</v>
      </c>
      <c r="AD1634">
        <v>-0.45046669706590259</v>
      </c>
      <c r="AE1634">
        <v>2.4817212003332312</v>
      </c>
      <c r="AF1634">
        <v>1.7815808606073881E-2</v>
      </c>
      <c r="AG1634">
        <v>-0.45453383724784496</v>
      </c>
      <c r="AH1634">
        <v>2.5095452327590513</v>
      </c>
      <c r="AI1634">
        <v>1.9723838434670358E-4</v>
      </c>
    </row>
    <row r="1635" spans="23:35" x14ac:dyDescent="0.25">
      <c r="W1635">
        <v>1633</v>
      </c>
      <c r="X1635">
        <v>53.069022600677776</v>
      </c>
      <c r="Y1635">
        <v>4.9309773993222237</v>
      </c>
      <c r="Z1635">
        <v>53.033042305461215</v>
      </c>
      <c r="AA1635">
        <v>0.13159490600363857</v>
      </c>
      <c r="AB1635">
        <v>86</v>
      </c>
      <c r="AC1635">
        <v>-1.1375552391677688</v>
      </c>
      <c r="AD1635">
        <v>1.3713076657290209</v>
      </c>
      <c r="AE1635">
        <v>2.5055994934302497</v>
      </c>
      <c r="AF1635">
        <v>7.2439302746871758E-3</v>
      </c>
      <c r="AG1635">
        <v>1.3763016427409425</v>
      </c>
      <c r="AH1635">
        <v>2.5199319931824578</v>
      </c>
      <c r="AI1635">
        <v>7.274537147371567E-4</v>
      </c>
    </row>
    <row r="1636" spans="23:35" x14ac:dyDescent="0.25">
      <c r="W1636">
        <v>1634</v>
      </c>
      <c r="X1636">
        <v>51.877265660082159</v>
      </c>
      <c r="Y1636">
        <v>-2.577265660082162</v>
      </c>
      <c r="Z1636">
        <v>51.899369578801576</v>
      </c>
      <c r="AA1636">
        <v>2.8502122498483929E-2</v>
      </c>
      <c r="AB1636">
        <v>87</v>
      </c>
      <c r="AC1636">
        <v>-1.907948933309944</v>
      </c>
      <c r="AD1636">
        <v>-0.71673907018446736</v>
      </c>
      <c r="AE1636">
        <v>2.527676134501708</v>
      </c>
      <c r="AF1636">
        <v>8.5035690575430978E-3</v>
      </c>
      <c r="AG1636">
        <v>-0.71980606449294804</v>
      </c>
      <c r="AH1636">
        <v>2.5525024669765601</v>
      </c>
      <c r="AI1636">
        <v>2.3387698657638246E-4</v>
      </c>
    </row>
    <row r="1637" spans="23:35" x14ac:dyDescent="0.25">
      <c r="W1637">
        <v>1635</v>
      </c>
      <c r="X1637">
        <v>60.336082015219802</v>
      </c>
      <c r="Y1637">
        <v>-1.1360820152197988</v>
      </c>
      <c r="Z1637">
        <v>60.340077012440851</v>
      </c>
      <c r="AA1637">
        <v>0.15767131594906003</v>
      </c>
      <c r="AB1637">
        <v>87</v>
      </c>
      <c r="AC1637">
        <v>-1.0205681915260707</v>
      </c>
      <c r="AD1637">
        <v>-0.31594506528906913</v>
      </c>
      <c r="AE1637">
        <v>2.5506789122208624</v>
      </c>
      <c r="AF1637">
        <v>3.5041468053958261E-3</v>
      </c>
      <c r="AG1637">
        <v>-0.3165000833098352</v>
      </c>
      <c r="AH1637">
        <v>2.5591390038416884</v>
      </c>
      <c r="AI1637">
        <v>1.8539621060145819E-5</v>
      </c>
    </row>
    <row r="1638" spans="23:35" x14ac:dyDescent="0.25">
      <c r="W1638">
        <v>1636</v>
      </c>
      <c r="X1638">
        <v>58.850999884208264</v>
      </c>
      <c r="Y1638">
        <v>-0.85099988420826378</v>
      </c>
      <c r="Z1638">
        <v>58.856053873483049</v>
      </c>
      <c r="AA1638">
        <v>0.13159490600363857</v>
      </c>
      <c r="AB1638">
        <v>87</v>
      </c>
      <c r="AC1638">
        <v>-1.1375552391677688</v>
      </c>
      <c r="AD1638">
        <v>-0.23666355982684206</v>
      </c>
      <c r="AE1638">
        <v>2.5649518655148609</v>
      </c>
      <c r="AF1638">
        <v>5.9038215132683437E-3</v>
      </c>
      <c r="AG1638">
        <v>-0.23736527818292694</v>
      </c>
      <c r="AH1638">
        <v>2.5712772024760531</v>
      </c>
      <c r="AI1638">
        <v>1.7611063996655067E-5</v>
      </c>
    </row>
    <row r="1639" spans="23:35" x14ac:dyDescent="0.25">
      <c r="W1639">
        <v>1637</v>
      </c>
      <c r="X1639">
        <v>56.579111842966718</v>
      </c>
      <c r="Y1639">
        <v>2.0888157033283505E-2</v>
      </c>
      <c r="Z1639">
        <v>56.57898210447307</v>
      </c>
      <c r="AA1639">
        <v>0.10127349909035779</v>
      </c>
      <c r="AB1639">
        <v>88</v>
      </c>
      <c r="AC1639">
        <v>-1.2760422901524544</v>
      </c>
      <c r="AD1639">
        <v>5.8090085480072247E-3</v>
      </c>
      <c r="AE1639">
        <v>2.6018910499519157</v>
      </c>
      <c r="AF1639">
        <v>6.1727632760311514E-3</v>
      </c>
      <c r="AG1639">
        <v>5.8270207973663488E-3</v>
      </c>
      <c r="AH1639">
        <v>2.6124622684307339</v>
      </c>
      <c r="AI1639">
        <v>1.1099623883260772E-8</v>
      </c>
    </row>
    <row r="1640" spans="23:35" x14ac:dyDescent="0.25">
      <c r="W1640">
        <v>1638</v>
      </c>
      <c r="X1640">
        <v>54.935791146937646</v>
      </c>
      <c r="Y1640">
        <v>-3.5791146937647511E-2</v>
      </c>
      <c r="Z1640">
        <v>54.935991484060928</v>
      </c>
      <c r="AA1640">
        <v>7.9442086112795629E-2</v>
      </c>
      <c r="AB1640">
        <v>88</v>
      </c>
      <c r="AC1640">
        <v>-1.4191611772342045</v>
      </c>
      <c r="AD1640">
        <v>-9.9535386569762161E-3</v>
      </c>
      <c r="AE1640">
        <v>2.6143694989564419</v>
      </c>
      <c r="AF1640">
        <v>5.5662368059977317E-3</v>
      </c>
      <c r="AG1640">
        <v>-9.9813567190465014E-3</v>
      </c>
      <c r="AH1640">
        <v>2.6607875432501578</v>
      </c>
      <c r="AI1640">
        <v>2.9350220643401815E-8</v>
      </c>
    </row>
    <row r="1641" spans="23:35" x14ac:dyDescent="0.25">
      <c r="W1641">
        <v>1639</v>
      </c>
      <c r="X1641">
        <v>52.766171099805412</v>
      </c>
      <c r="Y1641">
        <v>-0.36617109980541329</v>
      </c>
      <c r="Z1641">
        <v>52.772095375775777</v>
      </c>
      <c r="AA1641">
        <v>5.2759248029108551E-2</v>
      </c>
      <c r="AB1641">
        <v>88</v>
      </c>
      <c r="AC1641">
        <v>-1.6271784104016083</v>
      </c>
      <c r="AD1641">
        <v>-0.10183239456757787</v>
      </c>
      <c r="AE1641">
        <v>2.6220906254623308</v>
      </c>
      <c r="AF1641">
        <v>1.5921391008998496E-2</v>
      </c>
      <c r="AG1641">
        <v>-0.10265286158873253</v>
      </c>
      <c r="AH1641">
        <v>2.6645113447166495</v>
      </c>
      <c r="AI1641">
        <v>8.9730427424975079E-6</v>
      </c>
    </row>
    <row r="1642" spans="23:35" x14ac:dyDescent="0.25">
      <c r="W1642">
        <v>1640</v>
      </c>
      <c r="X1642">
        <v>49.837266571510021</v>
      </c>
      <c r="Y1642">
        <v>0.16273342848997885</v>
      </c>
      <c r="Z1642">
        <v>49.835822676692139</v>
      </c>
      <c r="AA1642">
        <v>3.5779260157671314E-2</v>
      </c>
      <c r="AB1642">
        <v>88</v>
      </c>
      <c r="AC1642">
        <v>-1.8215296776288319</v>
      </c>
      <c r="AD1642">
        <v>4.5256260551781689E-2</v>
      </c>
      <c r="AE1642">
        <v>2.726338569589605</v>
      </c>
      <c r="AF1642">
        <v>8.7947274860594015E-3</v>
      </c>
      <c r="AG1642">
        <v>4.5456591153585413E-2</v>
      </c>
      <c r="AH1642">
        <v>2.7726134862042606</v>
      </c>
      <c r="AI1642">
        <v>9.6493689245605489E-7</v>
      </c>
    </row>
    <row r="1643" spans="23:35" x14ac:dyDescent="0.25">
      <c r="W1643">
        <v>1641</v>
      </c>
      <c r="X1643">
        <v>47.792038849137384</v>
      </c>
      <c r="Y1643">
        <v>0.40796115086261864</v>
      </c>
      <c r="Z1643">
        <v>47.78757821997452</v>
      </c>
      <c r="AA1643">
        <v>2.2437841115827774E-2</v>
      </c>
      <c r="AB1643">
        <v>88</v>
      </c>
      <c r="AC1643">
        <v>-2.0231624874260845</v>
      </c>
      <c r="AD1643">
        <v>0.11345423192863124</v>
      </c>
      <c r="AE1643">
        <v>2.7402253214710988</v>
      </c>
      <c r="AF1643">
        <v>1.0815697373186613E-2</v>
      </c>
      <c r="AG1643">
        <v>0.11407279745801735</v>
      </c>
      <c r="AH1643">
        <v>2.7840411451629197</v>
      </c>
      <c r="AI1643">
        <v>7.4883803388337834E-6</v>
      </c>
    </row>
    <row r="1644" spans="23:35" x14ac:dyDescent="0.25">
      <c r="W1644">
        <v>1642</v>
      </c>
      <c r="X1644">
        <v>55.570421869220723</v>
      </c>
      <c r="Y1644">
        <v>-8.970421869220722</v>
      </c>
      <c r="Z1644">
        <v>55.735538102234749</v>
      </c>
      <c r="AA1644">
        <v>1.5160703456640388E-2</v>
      </c>
      <c r="AB1644">
        <v>88</v>
      </c>
      <c r="AC1644">
        <v>-2.1738689464820578</v>
      </c>
      <c r="AD1644">
        <v>-2.4946795083215068</v>
      </c>
      <c r="AE1644">
        <v>2.7615012620310031</v>
      </c>
      <c r="AF1644">
        <v>1.8074056630953402E-2</v>
      </c>
      <c r="AG1644">
        <v>-2.5175342773589398</v>
      </c>
      <c r="AH1644">
        <v>2.7965404542385945</v>
      </c>
      <c r="AI1644">
        <v>6.1400808231457417E-3</v>
      </c>
    </row>
    <row r="1645" spans="23:35" x14ac:dyDescent="0.25">
      <c r="W1645">
        <v>1643</v>
      </c>
      <c r="X1645">
        <v>54.086355308506882</v>
      </c>
      <c r="Y1645">
        <v>-8.686355308506883</v>
      </c>
      <c r="Z1645">
        <v>54.419511013575402</v>
      </c>
      <c r="AA1645">
        <v>7.8835657974530016E-3</v>
      </c>
      <c r="AB1645">
        <v>89</v>
      </c>
      <c r="AC1645">
        <v>-2.4285172603656537</v>
      </c>
      <c r="AD1645">
        <v>-2.4156804335462487</v>
      </c>
      <c r="AE1645">
        <v>2.7838202832781875</v>
      </c>
      <c r="AF1645">
        <v>3.6937224708421659E-2</v>
      </c>
      <c r="AG1645">
        <v>-2.4615699599494847</v>
      </c>
      <c r="AH1645">
        <v>2.7980681930751596</v>
      </c>
      <c r="AI1645">
        <v>1.2231520019677453E-2</v>
      </c>
    </row>
    <row r="1646" spans="23:35" x14ac:dyDescent="0.25">
      <c r="W1646">
        <v>1644</v>
      </c>
      <c r="X1646">
        <v>41.475126117071696</v>
      </c>
      <c r="Y1646">
        <v>3.1248738829283056</v>
      </c>
      <c r="Z1646">
        <v>41.417419527734602</v>
      </c>
      <c r="AA1646">
        <v>3.6385688295936932E-3</v>
      </c>
      <c r="AB1646">
        <v>89</v>
      </c>
      <c r="AC1646">
        <v>-2.7786903070508315</v>
      </c>
      <c r="AD1646">
        <v>0.86902923357243611</v>
      </c>
      <c r="AE1646">
        <v>2.785136951990566</v>
      </c>
      <c r="AF1646">
        <v>1.8132012635650577E-2</v>
      </c>
      <c r="AG1646">
        <v>0.87701664460400219</v>
      </c>
      <c r="AH1646">
        <v>2.8224321438290354</v>
      </c>
      <c r="AI1646">
        <v>7.4757536753481952E-4</v>
      </c>
    </row>
    <row r="1647" spans="23:35" x14ac:dyDescent="0.25">
      <c r="W1647">
        <v>1645</v>
      </c>
      <c r="X1647">
        <v>39.747749790070927</v>
      </c>
      <c r="Y1647">
        <v>4.5522502099290705</v>
      </c>
      <c r="Z1647">
        <v>39.650881943770123</v>
      </c>
      <c r="AA1647">
        <v>1.2128562765312311E-3</v>
      </c>
      <c r="AB1647">
        <v>89</v>
      </c>
      <c r="AC1647">
        <v>-3.118249953252767</v>
      </c>
      <c r="AD1647">
        <v>1.2659834153874507</v>
      </c>
      <c r="AE1647">
        <v>2.9492374134017587</v>
      </c>
      <c r="AF1647">
        <v>2.0835746722111918E-2</v>
      </c>
      <c r="AG1647">
        <v>1.2793820150396442</v>
      </c>
      <c r="AH1647">
        <v>2.9551142632689715</v>
      </c>
      <c r="AI1647">
        <v>1.8331601216175055E-3</v>
      </c>
    </row>
    <row r="1648" spans="23:35" x14ac:dyDescent="0.25">
      <c r="W1648">
        <v>1646</v>
      </c>
      <c r="X1648">
        <v>38.70291978706986</v>
      </c>
      <c r="Y1648">
        <v>5.7970802129301404</v>
      </c>
      <c r="Z1648">
        <v>38.495052689784956</v>
      </c>
      <c r="AA1648">
        <v>2.4257125530624622E-3</v>
      </c>
      <c r="AB1648">
        <v>89</v>
      </c>
      <c r="AC1648">
        <v>-2.9644605992605717</v>
      </c>
      <c r="AD1648">
        <v>1.6121713589540723</v>
      </c>
      <c r="AE1648">
        <v>3.0049827062625476</v>
      </c>
      <c r="AF1648">
        <v>3.4615973554222516E-2</v>
      </c>
      <c r="AG1648">
        <v>1.6408207787460747</v>
      </c>
      <c r="AH1648">
        <v>3.111017244322241</v>
      </c>
      <c r="AI1648">
        <v>5.0809525034395918E-3</v>
      </c>
    </row>
    <row r="1649" spans="23:35" x14ac:dyDescent="0.25">
      <c r="W1649">
        <v>1647</v>
      </c>
      <c r="X1649">
        <v>49.374482890869309</v>
      </c>
      <c r="Y1649">
        <v>-4.5744828908693123</v>
      </c>
      <c r="Z1649">
        <v>49.587912720782789</v>
      </c>
      <c r="AA1649">
        <v>4.8514251061249243E-3</v>
      </c>
      <c r="AB1649">
        <v>89</v>
      </c>
      <c r="AC1649">
        <v>-2.6570161854420777</v>
      </c>
      <c r="AD1649">
        <v>-1.2721663368113558</v>
      </c>
      <c r="AE1649">
        <v>3.0928896061342828</v>
      </c>
      <c r="AF1649">
        <v>4.4576800447311736E-2</v>
      </c>
      <c r="AG1649">
        <v>-1.301505501104308</v>
      </c>
      <c r="AH1649">
        <v>3.1349969030296054</v>
      </c>
      <c r="AI1649">
        <v>4.159599582021745E-3</v>
      </c>
    </row>
    <row r="1650" spans="23:35" x14ac:dyDescent="0.25">
      <c r="W1650">
        <v>1648</v>
      </c>
      <c r="X1650">
        <v>38.049656146615135</v>
      </c>
      <c r="Y1650">
        <v>7.2503438533848623</v>
      </c>
      <c r="Z1650">
        <v>37.798828220929167</v>
      </c>
      <c r="AA1650">
        <v>7.2771376591873865E-3</v>
      </c>
      <c r="AB1650">
        <v>89</v>
      </c>
      <c r="AC1650">
        <v>-2.5264513477970261</v>
      </c>
      <c r="AD1650">
        <v>2.0163248176080804</v>
      </c>
      <c r="AE1650">
        <v>3.3076292158351168</v>
      </c>
      <c r="AF1650">
        <v>3.343849908701E-2</v>
      </c>
      <c r="AG1650">
        <v>2.0509059696759508</v>
      </c>
      <c r="AH1650">
        <v>3.3338509343308735</v>
      </c>
      <c r="AI1650">
        <v>7.6587021550287588E-3</v>
      </c>
    </row>
    <row r="1651" spans="23:35" x14ac:dyDescent="0.25">
      <c r="W1651">
        <v>1649</v>
      </c>
      <c r="X1651">
        <v>37.295304158635055</v>
      </c>
      <c r="Y1651">
        <v>8.7046958413649449</v>
      </c>
      <c r="Z1651">
        <v>37.011503212576805</v>
      </c>
      <c r="AA1651">
        <v>1.2128562765312311E-2</v>
      </c>
      <c r="AB1651">
        <v>89</v>
      </c>
      <c r="AC1651">
        <v>-2.3261203997549518</v>
      </c>
      <c r="AD1651">
        <v>2.4207809463381489</v>
      </c>
      <c r="AE1651">
        <v>3.313752769609541</v>
      </c>
      <c r="AF1651">
        <v>3.157379401362724E-2</v>
      </c>
      <c r="AG1651">
        <v>2.4599270371080935</v>
      </c>
      <c r="AH1651">
        <v>3.3493587450403712</v>
      </c>
      <c r="AI1651">
        <v>1.0383675056364592E-2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5</vt:i4>
      </vt:variant>
    </vt:vector>
  </HeadingPairs>
  <TitlesOfParts>
    <vt:vector size="8" baseType="lpstr">
      <vt:lpstr>LAMBDA_functions</vt:lpstr>
      <vt:lpstr>Life Expectancy Data</vt:lpstr>
      <vt:lpstr>Regression</vt:lpstr>
      <vt:lpstr>Regression!All_Xs</vt:lpstr>
      <vt:lpstr>Regression!Allow_Intercept</vt:lpstr>
      <vt:lpstr>Regression!alpha</vt:lpstr>
      <vt:lpstr>Regression!fil</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Stephen Colodner</cp:lastModifiedBy>
  <dcterms:created xsi:type="dcterms:W3CDTF">2026-06-06T02:17:54Z</dcterms:created>
  <dcterms:modified xsi:type="dcterms:W3CDTF">2026-06-06T20:10:25Z</dcterms:modified>
</cp:coreProperties>
</file>