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13_ncr:1_{A0568CBE-F716-4F1B-8C71-F3E26F3CD315}" xr6:coauthVersionLast="47" xr6:coauthVersionMax="47" xr10:uidLastSave="{00000000-0000-0000-0000-000000000000}"/>
  <bookViews>
    <workbookView xWindow="-28920" yWindow="-120" windowWidth="29040" windowHeight="15720" activeTab="5" xr2:uid="{92D0E1A5-8335-431C-B56C-E9E74C0E0410}"/>
  </bookViews>
  <sheets>
    <sheet name="Mileage Data" sheetId="12" r:id="rId1"/>
    <sheet name="Life Expectancy Data" sheetId="2" r:id="rId2"/>
    <sheet name="Production Lots" sheetId="13" r:id="rId3"/>
    <sheet name="Version History" sheetId="6" r:id="rId4"/>
    <sheet name="Regression Instructions" sheetId="86" r:id="rId5"/>
    <sheet name="Regression" sheetId="7" r:id="rId6"/>
    <sheet name="Diagnostic Guide" sheetId="8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Regression!$CB$1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C17" i="7" a="1"/>
  <c r="AC17" i="7" s="1"/>
  <c r="AC16" i="7" a="1"/>
  <c r="AC16" i="7" s="1"/>
  <c r="AC15" i="7" a="1"/>
  <c r="AC15" i="7" s="1"/>
  <c r="O15" i="7"/>
  <c r="L15" i="7"/>
  <c r="K15" i="7"/>
  <c r="J15" i="7"/>
  <c r="AK14" i="7" a="1"/>
  <c r="AK14" i="7" s="1"/>
  <c r="O14" i="7"/>
  <c r="O1" i="7" s="1"/>
  <c r="M2" i="7" s="1"/>
  <c r="L14" i="7"/>
  <c r="K14" i="7"/>
  <c r="J14" i="7"/>
  <c r="O13" i="7"/>
  <c r="L13" i="7"/>
  <c r="K13" i="7"/>
  <c r="J13" i="7"/>
  <c r="AK12" i="7"/>
  <c r="AK13" i="7" s="1" a="1"/>
  <c r="AK13" i="7" s="1"/>
  <c r="AE12" i="7" a="1"/>
  <c r="AE12" i="7"/>
  <c r="O12" i="7"/>
  <c r="L12" i="7"/>
  <c r="K12" i="7"/>
  <c r="J12" i="7"/>
  <c r="AE11" i="7" a="1"/>
  <c r="AE11" i="7"/>
  <c r="O11" i="7"/>
  <c r="L11" i="7"/>
  <c r="K11" i="7"/>
  <c r="J11" i="7"/>
  <c r="O10" i="7"/>
  <c r="L10" i="7"/>
  <c r="K10" i="7"/>
  <c r="J10" i="7"/>
  <c r="O9" i="7"/>
  <c r="L9" i="7"/>
  <c r="K9" i="7"/>
  <c r="J9" i="7"/>
  <c r="AB8" i="7" a="1"/>
  <c r="AB8" i="7"/>
  <c r="BD99" i="7" s="1"/>
  <c r="O8" i="7"/>
  <c r="L8" i="7"/>
  <c r="K8" i="7"/>
  <c r="J8" i="7"/>
  <c r="O7" i="7"/>
  <c r="L7" i="7"/>
  <c r="K7" i="7"/>
  <c r="J7" i="7"/>
  <c r="AE6" i="7" a="1"/>
  <c r="AE6" i="7"/>
  <c r="BD100" i="7" s="1"/>
  <c r="O6" i="7"/>
  <c r="L6" i="7"/>
  <c r="K6" i="7"/>
  <c r="J6" i="7"/>
  <c r="BS5" i="7" a="1"/>
  <c r="BS5" i="7"/>
  <c r="AE5" i="7" a="1"/>
  <c r="AE5" i="7"/>
  <c r="O5" i="7"/>
  <c r="L5" i="7"/>
  <c r="K5" i="7"/>
  <c r="J5" i="7"/>
  <c r="BS4" i="7" a="1"/>
  <c r="BS4" i="7"/>
  <c r="AH6" i="7" s="1" a="1"/>
  <c r="AH6" i="7" s="1"/>
  <c r="AE4" i="7" a="1"/>
  <c r="AE4" i="7" s="1"/>
  <c r="BD101" i="7" s="1"/>
  <c r="O4" i="7"/>
  <c r="L4" i="7"/>
  <c r="K4" i="7"/>
  <c r="J4" i="7"/>
  <c r="A4" i="7" a="1"/>
  <c r="A4" i="7"/>
  <c r="BW3" i="7" a="1"/>
  <c r="BW3" i="7" s="1"/>
  <c r="BU3" i="7" a="1"/>
  <c r="BU3" i="7" s="1"/>
  <c r="BS3" i="7" a="1"/>
  <c r="BS3" i="7" s="1"/>
  <c r="AX3" i="7" a="1"/>
  <c r="AX3" i="7" s="1"/>
  <c r="AU3" i="7" a="1"/>
  <c r="AU3" i="7" s="1"/>
  <c r="AR3" i="7" a="1"/>
  <c r="AR3" i="7" s="1"/>
  <c r="AQ3" i="7" a="1"/>
  <c r="AQ3" i="7" s="1"/>
  <c r="AP3" i="7" a="1"/>
  <c r="AP3" i="7" s="1"/>
  <c r="AO3" i="7" a="1"/>
  <c r="AO3" i="7" s="1"/>
  <c r="AN3" i="7" a="1"/>
  <c r="AN3" i="7"/>
  <c r="Y3" i="7" a="1"/>
  <c r="Y3" i="7" s="1"/>
  <c r="X3" i="7" a="1"/>
  <c r="X3" i="7" s="1"/>
  <c r="W3" i="7" a="1"/>
  <c r="W3" i="7" s="1"/>
  <c r="V3" i="7" a="1"/>
  <c r="V3" i="7" s="1"/>
  <c r="U3" i="7" a="1"/>
  <c r="U3" i="7" s="1"/>
  <c r="T3" i="7" a="1"/>
  <c r="T3" i="7" s="1"/>
  <c r="S3" i="7" a="1"/>
  <c r="S3" i="7" s="1"/>
  <c r="BX2" i="7" a="1"/>
  <c r="BX2" i="7"/>
  <c r="BW2" i="7"/>
  <c r="BS2" i="7"/>
  <c r="BS6" i="7" s="1" a="1"/>
  <c r="BS6" i="7" s="1"/>
  <c r="AY2" i="7" a="1"/>
  <c r="AY2" i="7"/>
  <c r="AX2" i="7" a="1"/>
  <c r="AX2" i="7"/>
  <c r="AW2" i="7" a="1"/>
  <c r="AW2" i="7" s="1"/>
  <c r="AV2" i="7" a="1"/>
  <c r="AV2" i="7" s="1"/>
  <c r="AU2" i="7" a="1"/>
  <c r="AU2" i="7" s="1"/>
  <c r="AT2" i="7" a="1"/>
  <c r="AT2" i="7" s="1"/>
  <c r="AS2" i="7" a="1"/>
  <c r="AS2" i="7"/>
  <c r="AR2" i="7" a="1"/>
  <c r="AR2" i="7" s="1"/>
  <c r="AQ2" i="7" a="1"/>
  <c r="AQ2" i="7"/>
  <c r="AP2" i="7" a="1"/>
  <c r="AP2" i="7" s="1"/>
  <c r="AO2" i="7" a="1"/>
  <c r="AO2" i="7"/>
  <c r="AF2" i="7" a="1"/>
  <c r="AF2" i="7"/>
  <c r="BD95" i="7" s="1"/>
  <c r="P2" i="7" a="1"/>
  <c r="P2" i="7" s="1"/>
  <c r="L2" i="7" a="1"/>
  <c r="L2" i="7"/>
  <c r="K2" i="7" a="1"/>
  <c r="K2" i="7"/>
  <c r="J2" i="7" a="1"/>
  <c r="J2" i="7"/>
  <c r="I2" i="7" a="1"/>
  <c r="I2" i="7"/>
  <c r="CB1" i="7" a="1"/>
  <c r="CB1" i="7"/>
  <c r="E1" i="7" a="1"/>
  <c r="E1" i="7" s="1"/>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E10" i="7" l="1" a="1"/>
  <c r="AE10" i="7" s="1"/>
  <c r="BD96" i="7" s="1"/>
  <c r="AG21" i="7" a="1"/>
  <c r="AG21" i="7" s="1"/>
  <c r="AF21" i="7" a="1"/>
  <c r="AF21" i="7" s="1"/>
  <c r="AE9" i="7" a="1"/>
  <c r="AE9" i="7" s="1"/>
  <c r="AW3" i="7" a="1"/>
  <c r="AW3" i="7" s="1"/>
  <c r="AE21" i="7" a="1"/>
  <c r="AE21" i="7" s="1"/>
  <c r="AE7" i="7" a="1"/>
  <c r="AE7" i="7" s="1"/>
  <c r="AV3" i="7" a="1"/>
  <c r="AV3" i="7" s="1"/>
  <c r="AD21" i="7" a="1"/>
  <c r="AD21" i="7" s="1"/>
  <c r="AD16" i="7" a="1"/>
  <c r="AD16" i="7" s="1"/>
  <c r="AB7" i="7" a="1"/>
  <c r="AB7" i="7" s="1"/>
  <c r="AC21" i="7" a="1"/>
  <c r="AC21" i="7" s="1"/>
  <c r="AT3" i="7" a="1"/>
  <c r="AB16" i="7" a="1"/>
  <c r="AB16" i="7" s="1"/>
  <c r="AS3" i="7" a="1"/>
  <c r="AS3" i="7" s="1"/>
  <c r="AE8" i="7" a="1"/>
  <c r="AE8" i="7" s="1"/>
  <c r="AF15" i="7" a="1"/>
  <c r="AF15" i="7" s="1"/>
  <c r="AK23" i="7" a="1"/>
  <c r="AK23" i="7" s="1"/>
  <c r="AK33" i="7" a="1"/>
  <c r="AK33" i="7" s="1"/>
  <c r="AK43" i="7" a="1"/>
  <c r="AK43" i="7" s="1"/>
  <c r="AK53" i="7" a="1"/>
  <c r="AK53" i="7" s="1"/>
  <c r="AB5" i="7" a="1"/>
  <c r="AB5" i="7" s="1"/>
  <c r="AH8" i="7" a="1"/>
  <c r="AH8" i="7" s="1"/>
  <c r="AK24" i="7" a="1"/>
  <c r="AK24" i="7" s="1"/>
  <c r="AK34" i="7" a="1"/>
  <c r="AK34" i="7" s="1"/>
  <c r="AK44" i="7" a="1"/>
  <c r="AK44" i="7" s="1"/>
  <c r="AK54" i="7" a="1"/>
  <c r="AK54" i="7" s="1"/>
  <c r="AK25" i="7" a="1"/>
  <c r="AK25" i="7" s="1"/>
  <c r="AK35" i="7" a="1"/>
  <c r="AK35" i="7" s="1"/>
  <c r="AK45" i="7" a="1"/>
  <c r="AK45" i="7" s="1"/>
  <c r="AK55" i="7" a="1"/>
  <c r="AK55" i="7" s="1"/>
  <c r="AH5" i="7" a="1"/>
  <c r="AH5" i="7" s="1"/>
  <c r="AK26" i="7" a="1"/>
  <c r="AK26" i="7" s="1"/>
  <c r="AK36" i="7" a="1"/>
  <c r="AK36" i="7" s="1"/>
  <c r="AK46" i="7" a="1"/>
  <c r="AK46" i="7" s="1"/>
  <c r="AK56" i="7" a="1"/>
  <c r="AK56" i="7" s="1"/>
  <c r="BE97" i="7"/>
  <c r="BF97" i="7"/>
  <c r="AB17" i="7" a="1"/>
  <c r="AB17" i="7" s="1"/>
  <c r="AK27" i="7" a="1"/>
  <c r="AK27" i="7" s="1"/>
  <c r="AK37" i="7" a="1"/>
  <c r="AK37" i="7" s="1"/>
  <c r="AK47" i="7" a="1"/>
  <c r="AK47" i="7" s="1"/>
  <c r="AK57" i="7" a="1"/>
  <c r="AK57" i="7" s="1"/>
  <c r="AH7" i="7" a="1"/>
  <c r="AH7" i="7" s="1"/>
  <c r="AK28" i="7" a="1"/>
  <c r="AK28" i="7" s="1"/>
  <c r="AK38" i="7" a="1"/>
  <c r="AK38" i="7" s="1"/>
  <c r="AK48" i="7" a="1"/>
  <c r="AK48" i="7" s="1"/>
  <c r="AK58" i="7" a="1"/>
  <c r="AK58" i="7" s="1"/>
  <c r="AB4" i="7" a="1"/>
  <c r="AB4" i="7" s="1"/>
  <c r="AH9" i="7" a="1"/>
  <c r="AH9" i="7" s="1"/>
  <c r="AB15" i="7" a="1"/>
  <c r="AB15" i="7" s="1"/>
  <c r="AK29" i="7" a="1"/>
  <c r="AK29" i="7" s="1"/>
  <c r="AK39" i="7" a="1"/>
  <c r="AK39" i="7" s="1"/>
  <c r="AK49" i="7" a="1"/>
  <c r="AK49" i="7" s="1"/>
  <c r="AK59" i="7" a="1"/>
  <c r="AK59" i="7" s="1"/>
  <c r="AB6" i="7" a="1"/>
  <c r="AB6" i="7" s="1"/>
  <c r="BD97" i="7" s="1"/>
  <c r="AH21" i="7" a="1"/>
  <c r="AH21" i="7" s="1"/>
  <c r="AK30" i="7" a="1"/>
  <c r="AK30" i="7" s="1"/>
  <c r="AK40" i="7" a="1"/>
  <c r="AK40" i="7" s="1"/>
  <c r="AK50" i="7" a="1"/>
  <c r="AK50" i="7" s="1"/>
  <c r="AK60" i="7" a="1"/>
  <c r="AK60" i="7" s="1"/>
  <c r="AZ3" i="7" a="1"/>
  <c r="AZ3" i="7" s="1"/>
  <c r="AL19" i="7"/>
  <c r="AK19" i="7" s="1" a="1"/>
  <c r="AK19" i="7" s="1"/>
  <c r="AK3" i="7" s="1" a="1"/>
  <c r="AK3" i="7" s="1"/>
  <c r="AL3" i="7" s="1" a="1"/>
  <c r="AL3" i="7" s="1"/>
  <c r="AD15" i="7" a="1"/>
  <c r="AD15" i="7" s="1"/>
  <c r="AK21" i="7" a="1"/>
  <c r="AK21" i="7" s="1"/>
  <c r="AK31" i="7" a="1"/>
  <c r="AK31" i="7" s="1"/>
  <c r="AK41" i="7" a="1"/>
  <c r="AK41" i="7" s="1"/>
  <c r="AK51" i="7" a="1"/>
  <c r="AK51" i="7" s="1"/>
  <c r="AK61" i="7" a="1"/>
  <c r="AK61" i="7" s="1"/>
  <c r="BA3" i="7" a="1"/>
  <c r="BA3" i="7" s="1"/>
  <c r="AE15" i="7" a="1"/>
  <c r="AE15" i="7" s="1"/>
  <c r="AK20" i="7" a="1"/>
  <c r="AK20" i="7" s="1"/>
  <c r="AK22" i="7" a="1"/>
  <c r="AK22" i="7" s="1"/>
  <c r="AK32" i="7" a="1"/>
  <c r="AK32" i="7" s="1"/>
  <c r="AK42" i="7" a="1"/>
  <c r="AK42" i="7" s="1"/>
  <c r="AK52" i="7" a="1"/>
  <c r="AK52" i="7" s="1"/>
  <c r="AL9" i="7" l="1" a="1"/>
  <c r="AL9" i="7" s="1"/>
  <c r="AT3" i="7"/>
  <c r="AY3" i="7" s="1" a="1"/>
  <c r="AY3" i="7" s="1"/>
  <c r="AL10" i="7" a="1"/>
  <c r="AL10" i="7" s="1"/>
  <c r="AL7" i="7" a="1"/>
  <c r="AL7" i="7" s="1"/>
  <c r="AL8" i="7" a="1"/>
  <c r="AL8"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4D43326A-8312-438A-B22A-4D072A43BF70}">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5BB0C904-CB46-4E4A-BB24-3AD53C9980FB}">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59C2491E-CF75-4C8E-B1CA-7D473255DA59}">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BB794E82-0E40-4690-BD50-F092FB0A4AFB}">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BB46961D-A08B-44B8-9022-1BB8FD90CA36}">
      <text>
        <r>
          <rPr>
            <b/>
            <sz val="9"/>
            <color indexed="81"/>
            <rFont val="Tahoma"/>
            <family val="2"/>
          </rPr>
          <t>Shows whether the data have a longer tail on one side. Positive means a longer right tail; negative means a longer left tail.</t>
        </r>
      </text>
    </comment>
    <comment ref="W2" authorId="0" shapeId="0" xr:uid="{51D81190-B919-47D9-8D5E-26D0020F872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156CFFB5-9728-4734-A2CD-3BFE21521391}">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E4674350-39E6-4C71-813A-3719E0E761D5}">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E6C3D235-0BE6-4B11-8A8A-9F7A75920CC1}">
      <text>
        <r>
          <rPr>
            <b/>
            <sz val="9"/>
            <color indexed="81"/>
            <rFont val="Tahoma"/>
            <family val="2"/>
          </rPr>
          <t>The actual observed outcome values.</t>
        </r>
      </text>
    </comment>
    <comment ref="AP2" authorId="0" shapeId="0" xr:uid="{A32F7BA2-B55D-42A8-8CE9-0B958107C265}">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ED905107-A532-479E-88B5-578EB3FE88D6}">
      <text>
        <r>
          <rPr>
            <b/>
            <sz val="9"/>
            <color indexed="81"/>
            <rFont val="Tahoma"/>
            <family val="2"/>
          </rPr>
          <t>Actual Y minus predicted Y. Positive means the row came in above the model's prediction; negative means below.</t>
        </r>
      </text>
    </comment>
    <comment ref="AR2" authorId="0" shapeId="0" xr:uid="{94502879-7E21-46E8-B5E7-6ECB128A6421}">
      <text>
        <r>
          <rPr>
            <b/>
            <sz val="9"/>
            <color indexed="81"/>
            <rFont val="Tahoma"/>
            <family val="2"/>
          </rPr>
          <t>Leverage. It shows how unusual a row's predictor values are relative to the rest of the data.</t>
        </r>
      </text>
    </comment>
    <comment ref="AS2" authorId="0" shapeId="0" xr:uid="{05F10D2F-05B6-4F10-A1EB-4261FCB30960}">
      <text>
        <r>
          <rPr>
            <b/>
            <sz val="9"/>
            <color indexed="81"/>
            <rFont val="Tahoma"/>
            <family val="2"/>
          </rPr>
          <t>Residuals scaled to account for overall error size and leverage, making outliers easier to compare fairly.</t>
        </r>
      </text>
    </comment>
    <comment ref="AT2" authorId="0" shapeId="0" xr:uid="{5B7D1849-DF62-46E2-B938-EA016D6A8AB3}">
      <text>
        <r>
          <rPr>
            <b/>
            <sz val="9"/>
            <color indexed="81"/>
            <rFont val="Tahoma"/>
            <family val="2"/>
          </rPr>
          <t>How much a single row can pull the fitted coefficients and predictions around.</t>
        </r>
      </text>
    </comment>
    <comment ref="AU2" authorId="0" shapeId="0" xr:uid="{A0D45814-811C-4A63-AFAA-5C748F4C659D}">
      <text>
        <r>
          <rPr>
            <b/>
            <sz val="9"/>
            <color indexed="81"/>
            <rFont val="Tahoma"/>
            <family val="2"/>
          </rPr>
          <t>Expected bell-curve quantiles used for the Q-Q comparison.</t>
        </r>
      </text>
    </comment>
    <comment ref="AV2" authorId="0" shapeId="0" xr:uid="{AA3A5BBD-9745-497F-A2A7-B47CC33B28BE}">
      <text>
        <r>
          <rPr>
            <b/>
            <sz val="9"/>
            <color indexed="81"/>
            <rFont val="Tahoma"/>
            <family val="2"/>
          </rPr>
          <t>Studentized residuals sorted from smallest to largest for the Q-Q plot.</t>
        </r>
      </text>
    </comment>
    <comment ref="AW2" authorId="0" shapeId="0" xr:uid="{AA08755C-0EAF-49D0-ABFE-DF08CAFBD676}">
      <text>
        <r>
          <rPr>
            <b/>
            <sz val="9"/>
            <color indexed="81"/>
            <rFont val="Tahoma"/>
            <family val="2"/>
          </rPr>
          <t>The square root of the absolute studentized residual. A flat pattern suggests stable error spread.</t>
        </r>
      </text>
    </comment>
    <comment ref="AX2" authorId="0" shapeId="0" xr:uid="{81478644-949E-4221-AA25-60E17DDC8340}">
      <text>
        <r>
          <rPr>
            <b/>
            <sz val="9"/>
            <color indexed="81"/>
            <rFont val="Tahoma"/>
            <family val="2"/>
          </rPr>
          <t>The prediction error for a row when that row is left out of the fitting step (the leave-one-out / LOOCV residual). Summing its squares gives PRESS.</t>
        </r>
      </text>
    </comment>
    <comment ref="AY2" authorId="0" shapeId="0" xr:uid="{156BB513-7DD3-452F-A6B8-F5F0349729FC}">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3A555B77-91DF-4B53-A191-92F218E20352}">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E39CFF54-243D-4ACF-A1E9-32476B54DF6B}">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9966A5C5-5C92-484F-99AB-CA3EC2436545}">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70E6C130-0F8A-43DB-9267-A63B520A589C}">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A89748DE-5D75-4E18-AD0F-37EC15BCC069}">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5A3F4E68-CB81-48AF-B895-9F7A803EA0FB}">
      <text>
        <r>
          <rPr>
            <b/>
            <sz val="9"/>
            <color indexed="81"/>
            <rFont val="Tahoma"/>
            <family val="2"/>
          </rPr>
          <t>Reserved for a future release — not yet used by any formula.</t>
        </r>
      </text>
    </comment>
    <comment ref="G3" authorId="0" shapeId="0" xr:uid="{6CF03E6E-179C-4A34-97A5-5A89DF85548A}">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3F35D6EE-D8FB-42F9-B2F8-EDF67BE77A17}">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3C6D8AF9-7D50-4B5D-9FAC-31C9FD7863D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454B59DB-E9B8-4451-B35C-8AE67B9A3CE7}">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CCE65A87-A104-4CEA-AAC2-62E6FC0614D8}">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525EE3A-B277-417B-ADFE-26DFCDC060F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59FBBD2C-4435-4852-A0EE-3E1FC4DDE296}">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8C5EC987-9354-4973-9BF6-2391BE3C1B3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B3D7D5FA-5A59-4948-827E-C3B0489E38DC}">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4B8A06C9-DC46-4435-8380-CC11C4583BA1}">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2BD5370C-C6CB-4E2A-BEDF-D1ACB8B5719F}">
      <text>
        <r>
          <rPr>
            <b/>
            <sz val="9"/>
            <color indexed="81"/>
            <rFont val="Tahoma"/>
            <family val="2"/>
          </rPr>
          <t>How closely the model's predicted Y values track the actual Y values overall.</t>
        </r>
      </text>
    </comment>
    <comment ref="AD4" authorId="0" shapeId="0" xr:uid="{83A15CAA-7766-474F-8467-6AEDDD4478DF}">
      <text>
        <r>
          <rPr>
            <b/>
            <sz val="9"/>
            <color indexed="81"/>
            <rFont val="Tahoma"/>
            <family val="2"/>
          </rPr>
          <t>A leave-one-out prediction error score. Lower is better because it means the model predicts unseen rows more accurately.</t>
        </r>
      </text>
    </comment>
    <comment ref="AG4" authorId="0" shapeId="0" xr:uid="{5F392EA9-1A89-47BE-864D-E6DCF4AC127F}">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84C121B5-7394-4557-9F2B-50AB45A0D8E6}">
      <text>
        <r>
          <rPr>
            <b/>
            <sz val="9"/>
            <color indexed="81"/>
            <rFont val="Tahoma"/>
            <family val="2"/>
          </rPr>
          <t>Standard error for the MEAN of Y at the chosen X values. Builds the confidence interval — the narrower band — for where the average response sits.</t>
        </r>
      </text>
    </comment>
    <comment ref="AA5" authorId="0" shapeId="0" xr:uid="{E8E4F89E-2D03-4874-8058-886E27F57DF1}">
      <text>
        <r>
          <rPr>
            <b/>
            <sz val="9"/>
            <color indexed="81"/>
            <rFont val="Tahoma"/>
            <family val="2"/>
          </rPr>
          <t>The share of the outcome's variation explained by the model.</t>
        </r>
      </text>
    </comment>
    <comment ref="AD5" authorId="0" shapeId="0" xr:uid="{7752D089-414A-409C-9CB0-07E07B8F5D67}">
      <text>
        <r>
          <rPr>
            <b/>
            <sz val="9"/>
            <color indexed="81"/>
            <rFont val="Tahoma"/>
            <family val="2"/>
          </rPr>
          <t>An out-of-sample version of R Square based on leave-one-out prediction. Negative values mean the model predicts worse than just using the average Y.</t>
        </r>
      </text>
    </comment>
    <comment ref="AJ5" authorId="0" shapeId="0" xr:uid="{FDEC57A6-F8E1-4696-BEF2-E193B7921FA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608A5CD8-5E11-439F-B302-C0BD1B45A9EE}">
      <text>
        <r>
          <rPr>
            <b/>
            <sz val="9"/>
            <color indexed="81"/>
            <rFont val="Tahoma"/>
            <family val="2"/>
          </rPr>
          <t>R Square with a penalty for adding predictors that do not help enough.</t>
        </r>
      </text>
    </comment>
    <comment ref="AD6" authorId="0" shapeId="0" xr:uid="{8CFAE6AD-1200-42B8-89DA-7831580C27C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0B4B1457-4CC9-46ED-B85B-4B8AE0993E9F}">
      <text>
        <r>
          <rPr>
            <b/>
            <sz val="9"/>
            <color indexed="81"/>
            <rFont val="Tahoma"/>
            <family val="2"/>
          </rPr>
          <t>The t-distribution cutoff at the chosen confidence level. Multiply by SE (Mean) to get the CI half-width and by SE (New Obs) to get the PI half-width.</t>
        </r>
      </text>
    </comment>
    <comment ref="AA7" authorId="0" shapeId="0" xr:uid="{94D38316-3836-4B17-B877-22A3142AAD8E}">
      <text>
        <r>
          <rPr>
            <b/>
            <sz val="9"/>
            <color indexed="81"/>
            <rFont val="Tahoma"/>
            <family val="2"/>
          </rPr>
          <t>The typical size of the model's prediction errors, measured in the same units as Y.</t>
        </r>
      </text>
    </comment>
    <comment ref="AD7" authorId="0" shapeId="0" xr:uid="{1B9E4238-75BA-49E3-B338-85A0FE8B8554}">
      <text>
        <r>
          <rPr>
            <b/>
            <sz val="9"/>
            <color indexed="81"/>
            <rFont val="Tahoma"/>
            <family val="2"/>
          </rPr>
          <t>A model-comparison score that balances fit against complexity. Lower is better when comparing models on the same data.</t>
        </r>
      </text>
    </comment>
    <comment ref="AJ7" authorId="0" shapeId="0" xr:uid="{E27DA2C3-F90B-4DE1-9E09-F89A7F5B294A}">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0358B449-B7FE-4217-A8A6-81270F3E2DA1}">
      <text>
        <r>
          <rPr>
            <b/>
            <sz val="9"/>
            <color indexed="81"/>
            <rFont val="Tahoma"/>
            <family val="2"/>
          </rPr>
          <t>The number of rows actually used in the regression after filtering.</t>
        </r>
      </text>
    </comment>
    <comment ref="AD8" authorId="0" shapeId="0" xr:uid="{5F360D07-33FB-4BC4-B8F0-545B7F228A8B}">
      <text>
        <r>
          <rPr>
            <b/>
            <sz val="9"/>
            <color indexed="81"/>
            <rFont val="Tahoma"/>
            <family val="2"/>
          </rPr>
          <t>Another model-comparison score like AIC, but it penalizes extra predictors more strongly.</t>
        </r>
      </text>
    </comment>
    <comment ref="AJ8" authorId="0" shapeId="0" xr:uid="{ED28F1CA-E9AB-4F1F-938A-A526610BDAB4}">
      <text>
        <r>
          <rPr>
            <b/>
            <sz val="9"/>
            <color indexed="81"/>
            <rFont val="Tahoma"/>
            <family val="2"/>
          </rPr>
          <t>Upper bound of the confidence interval for the MEAN response at the chosen X values.</t>
        </r>
      </text>
    </comment>
    <comment ref="AD9" authorId="0" shapeId="0" xr:uid="{5599CEE1-F381-49BB-9B97-E53F53730D33}">
      <text>
        <r>
          <rPr>
            <b/>
            <sz val="9"/>
            <color indexed="81"/>
            <rFont val="Tahoma"/>
            <family val="2"/>
          </rPr>
          <t>AIC with an extra correction for small samples.</t>
        </r>
      </text>
    </comment>
    <comment ref="AJ9" authorId="0" shapeId="0" xr:uid="{93C9396A-8E27-4AAF-8A7B-BF3278829592}">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B2CA8303-5D4D-4015-823F-ED59F86F0316}">
      <text>
        <r>
          <rPr>
            <b/>
            <sz val="9"/>
            <color indexed="81"/>
            <rFont val="Tahoma"/>
            <family val="2"/>
          </rPr>
          <t>A numeric check of how close the residuals are to a normal bell shape. Values closer to 1 are better.</t>
        </r>
      </text>
    </comment>
    <comment ref="AJ10" authorId="0" shapeId="0" xr:uid="{C3CBADB4-A1EF-4748-98FD-A3586A6B294C}">
      <text>
        <r>
          <rPr>
            <b/>
            <sz val="9"/>
            <color indexed="81"/>
            <rFont val="Tahoma"/>
            <family val="2"/>
          </rPr>
          <t>Upper bound of the prediction interval for a SINGLE new observation at the chosen X values.</t>
        </r>
      </text>
    </comment>
    <comment ref="AD11" authorId="0" shapeId="0" xr:uid="{60840B79-6AEF-4349-BC8B-DB70DACA39CE}">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2A5161A5-4058-41D7-B81F-E5A29C4829EF}">
      <text>
        <r>
          <rPr>
            <b/>
            <sz val="9"/>
            <color indexed="81"/>
            <rFont val="Tahoma"/>
            <family val="2"/>
          </rPr>
          <t>The probability level associated with the interval. With alpha 0.05, this is 95%.</t>
        </r>
      </text>
    </comment>
    <comment ref="AA12" authorId="0" shapeId="0" xr:uid="{A5F79A58-F89B-40EC-886D-D47302488A6D}">
      <text>
        <r>
          <rPr>
            <b/>
            <sz val="9"/>
            <color indexed="81"/>
            <rFont val="Tahoma"/>
            <family val="2"/>
          </rPr>
          <t>The cutoff for statistical significance. At 0.05, results with p-values below 0.05 are treated as statistically significant.</t>
        </r>
      </text>
    </comment>
    <comment ref="AD12" authorId="0" shapeId="0" xr:uid="{6552F02C-40B1-4429-84C5-64BBDF270037}">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6E337C9A-4144-4918-BED9-F35DFC752285}">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C065BA84-B861-409A-AE70-28ED6E254A80}">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5E4B34D8-F497-4102-8EA4-758B77430E6E}">
      <text>
        <r>
          <rPr>
            <b/>
            <sz val="9"/>
            <color indexed="81"/>
            <rFont val="Tahoma"/>
            <family val="2"/>
          </rPr>
          <t>The number of independent data points available to estimate each part of the model — total rows minus one for each estimated parameter.</t>
        </r>
      </text>
    </comment>
    <comment ref="AC14" authorId="0" shapeId="0" xr:uid="{53FC9A5A-67A4-4EAD-A192-B00C8C478C4B}">
      <text>
        <r>
          <rPr>
            <b/>
            <sz val="9"/>
            <color indexed="81"/>
            <rFont val="Tahoma"/>
            <family val="2"/>
          </rPr>
          <t>The total variation attributed to that source — regression, residual, or total. The raw material from which MS and F are calculated.</t>
        </r>
      </text>
    </comment>
    <comment ref="AD14" authorId="0" shapeId="0" xr:uid="{5BD48B31-ECE6-4B17-9AC9-666578D5DD16}">
      <text>
        <r>
          <rPr>
            <b/>
            <sz val="9"/>
            <color indexed="81"/>
            <rFont val="Tahoma"/>
            <family val="2"/>
          </rPr>
          <t>Sum of squares averaged over its degrees of freedom — a per-unit measure of variation for that source.</t>
        </r>
      </text>
    </comment>
    <comment ref="AE14" authorId="0" shapeId="0" xr:uid="{5560AFF6-E72C-46BA-BC8B-F429F4730597}">
      <text>
        <r>
          <rPr>
            <b/>
            <sz val="9"/>
            <color indexed="81"/>
            <rFont val="Tahoma"/>
            <family val="2"/>
          </rPr>
          <t>The model-vs-noise ratio used in the overall regression significance test.</t>
        </r>
      </text>
    </comment>
    <comment ref="AF14" authorId="0" shapeId="0" xr:uid="{626C09E5-6AC9-4F91-8184-EEDE7C503C27}">
      <text>
        <r>
          <rPr>
            <b/>
            <sz val="9"/>
            <color indexed="81"/>
            <rFont val="Tahoma"/>
            <family val="2"/>
          </rPr>
          <t>The p-value for the overall F test. Small values mean the model as a whole is unlikely to be pure noise.</t>
        </r>
      </text>
    </comment>
    <comment ref="AJ14" authorId="0" shapeId="0" xr:uid="{41EC1599-9B30-4B49-8535-947C386F8C15}">
      <text>
        <r>
          <rPr>
            <b/>
            <sz val="9"/>
            <color indexed="81"/>
            <rFont val="Tahoma"/>
            <family val="2"/>
          </rPr>
          <t>Number of analysis-sample observations in the selected FE group. The Tᵢ used to scale the within-group mean's standard error.</t>
        </r>
      </text>
    </comment>
    <comment ref="AA15" authorId="0" shapeId="0" xr:uid="{4C49F2B3-33C6-4BCC-870E-FE80A4FE5BC1}">
      <text>
        <r>
          <rPr>
            <b/>
            <sz val="9"/>
            <color indexed="81"/>
            <rFont val="Tahoma"/>
            <family val="2"/>
          </rPr>
          <t>The variation explained by the predictors taken together.</t>
        </r>
      </text>
    </comment>
    <comment ref="AA16" authorId="0" shapeId="0" xr:uid="{5C6D058D-C111-4804-A35C-815C30B7DFD2}">
      <text>
        <r>
          <rPr>
            <b/>
            <sz val="9"/>
            <color indexed="81"/>
            <rFont val="Tahoma"/>
            <family val="2"/>
          </rPr>
          <t>The variation the model does not explain.</t>
        </r>
      </text>
    </comment>
    <comment ref="AA17" authorId="0" shapeId="0" xr:uid="{2CA69C6F-5DEB-443B-A12F-64B38D7DCDA4}">
      <text>
        <r>
          <rPr>
            <b/>
            <sz val="9"/>
            <color indexed="81"/>
            <rFont val="Tahoma"/>
            <family val="2"/>
          </rPr>
          <t>All variation in the outcome before splitting it into explained and unexplained parts.</t>
        </r>
      </text>
    </comment>
    <comment ref="AJ17" authorId="0" shapeId="0" xr:uid="{94D44C48-5A8F-41B0-8B5E-D0439B458BBC}">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422D50AF-5204-4AE6-8D91-96F1D77CFDA0}">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C5067DAE-786B-4101-9D0A-9B90BA3A4A7B}">
      <text>
        <r>
          <rPr>
            <b/>
            <sz val="9"/>
            <color indexed="81"/>
            <rFont val="Tahoma"/>
            <family val="2"/>
          </rPr>
          <t>The fitted weights used to turn predictor values into predictions.</t>
        </r>
      </text>
    </comment>
    <comment ref="AC20" authorId="0" shapeId="0" xr:uid="{AF0BB77B-13C1-4FA5-84C4-A8E1C1B80A2A}">
      <text>
        <r>
          <rPr>
            <b/>
            <sz val="9"/>
            <color indexed="81"/>
            <rFont val="Tahoma"/>
            <family val="2"/>
          </rPr>
          <t>How uncertain each coefficient estimate is.</t>
        </r>
      </text>
    </comment>
    <comment ref="AD20" authorId="0" shapeId="0" xr:uid="{5529AA65-7FE4-414C-BBC2-4386F74CB882}">
      <text>
        <r>
          <rPr>
            <b/>
            <sz val="9"/>
            <color indexed="81"/>
            <rFont val="Tahoma"/>
            <family val="2"/>
          </rPr>
          <t>How many standard errors the coefficient is away from zero.</t>
        </r>
      </text>
    </comment>
    <comment ref="AE20" authorId="0" shapeId="0" xr:uid="{16833F61-5E4A-45F6-B21D-431B6995F1FF}">
      <text>
        <r>
          <rPr>
            <b/>
            <sz val="9"/>
            <color indexed="81"/>
            <rFont val="Tahoma"/>
            <family val="2"/>
          </rPr>
          <t>How surprising this coefficient would be if its true effect were zero. Smaller values mean stronger evidence of a real effect.</t>
        </r>
      </text>
    </comment>
    <comment ref="AF20" authorId="0" shapeId="0" xr:uid="{D903B28A-AA16-4A87-8999-243B964BF209}">
      <text>
        <r>
          <rPr>
            <b/>
            <sz val="9"/>
            <color indexed="81"/>
            <rFont val="Tahoma"/>
            <family val="2"/>
          </rPr>
          <t>The lower bound of the 95% confidence interval.</t>
        </r>
      </text>
    </comment>
    <comment ref="AG20" authorId="0" shapeId="0" xr:uid="{6EB52AD2-59AC-4976-8694-059BFF7E7DCD}">
      <text>
        <r>
          <rPr>
            <b/>
            <sz val="9"/>
            <color indexed="81"/>
            <rFont val="Tahoma"/>
            <family val="2"/>
          </rPr>
          <t>The upper bound of the 95% confidence interval.</t>
        </r>
      </text>
    </comment>
    <comment ref="AH20" authorId="0" shapeId="0" xr:uid="{6438E962-DDF0-40DC-B81B-392D816B4386}">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<sst xmlns="http://schemas.openxmlformats.org/spreadsheetml/2006/main" count="8895" uniqueCount="1944">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</sst>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64" fontId="0" fillId="0" borderId="5" xfId="0" applyNumberFormat="1"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435A-4EEF-A9AA-5B45E9952732}"/>
            </c:ext>
          </c:extLst>
        </c:ser>
        <c:dLbls>
          <c:showLegendKey val="0"/>
          <c:showVal val="0"/>
          <c:showCatName val="0"/>
          <c:showSerName val="0"/>
          <c:showPercent val="0"/>
          <c:showBubbleSize val="0"/>
        </c:dLbls>
        <c:axId val="1388057552"/>
        <c:axId val="1388074352"/>
      </c:scatterChart>
      <c:valAx>
        <c:axId val="1388057552"/>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388074352"/>
        <c:crosses val="autoZero"/>
        <c:crossBetween val="midCat"/>
      </c:valAx>
      <c:valAx>
        <c:axId val="1388074352"/>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3880575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CEB2-4A52-8506-B7282FDE2D69}"/>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CEB2-4A52-8506-B7282FDE2D69}"/>
            </c:ext>
          </c:extLst>
        </c:ser>
        <c:dLbls>
          <c:showLegendKey val="0"/>
          <c:showVal val="0"/>
          <c:showCatName val="0"/>
          <c:showSerName val="0"/>
          <c:showPercent val="0"/>
          <c:showBubbleSize val="0"/>
        </c:dLbls>
        <c:axId val="1388066672"/>
        <c:axId val="1388063312"/>
      </c:scatterChart>
      <c:valAx>
        <c:axId val="1388066672"/>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388063312"/>
        <c:crosses val="autoZero"/>
        <c:crossBetween val="midCat"/>
      </c:valAx>
      <c:valAx>
        <c:axId val="1388063312"/>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3880666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A0AE-49B1-97E8-6A3CB7F2F3C1}"/>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A0AE-49B1-97E8-6A3CB7F2F3C1}"/>
            </c:ext>
          </c:extLst>
        </c:ser>
        <c:dLbls>
          <c:showLegendKey val="0"/>
          <c:showVal val="0"/>
          <c:showCatName val="0"/>
          <c:showSerName val="0"/>
          <c:showPercent val="0"/>
          <c:showBubbleSize val="0"/>
        </c:dLbls>
        <c:axId val="1388080112"/>
        <c:axId val="1388075792"/>
      </c:scatterChart>
      <c:valAx>
        <c:axId val="1388080112"/>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388075792"/>
        <c:crosses val="autoZero"/>
        <c:crossBetween val="midCat"/>
      </c:valAx>
      <c:valAx>
        <c:axId val="1388075792"/>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3880801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230A-4E25-A4C3-6E207EAD3717}"/>
            </c:ext>
          </c:extLst>
        </c:ser>
        <c:dLbls>
          <c:showLegendKey val="0"/>
          <c:showVal val="0"/>
          <c:showCatName val="0"/>
          <c:showSerName val="0"/>
          <c:showPercent val="0"/>
          <c:showBubbleSize val="0"/>
        </c:dLbls>
        <c:axId val="1388080592"/>
        <c:axId val="1388081552"/>
      </c:scatterChart>
      <c:valAx>
        <c:axId val="1388080592"/>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388081552"/>
        <c:crosses val="autoZero"/>
        <c:crossBetween val="midCat"/>
      </c:valAx>
      <c:valAx>
        <c:axId val="1388081552"/>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3880805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728E-4EE1-ABC7-B9086F62AAF5}"/>
            </c:ext>
          </c:extLst>
        </c:ser>
        <c:dLbls>
          <c:showLegendKey val="0"/>
          <c:showVal val="0"/>
          <c:showCatName val="0"/>
          <c:showSerName val="0"/>
          <c:showPercent val="0"/>
          <c:showBubbleSize val="0"/>
        </c:dLbls>
        <c:gapWidth val="150"/>
        <c:axId val="1388082512"/>
        <c:axId val="1388083472"/>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728E-4EE1-ABC7-B9086F62AAF5}"/>
            </c:ext>
          </c:extLst>
        </c:ser>
        <c:dLbls>
          <c:showLegendKey val="0"/>
          <c:showVal val="0"/>
          <c:showCatName val="0"/>
          <c:showSerName val="0"/>
          <c:showPercent val="0"/>
          <c:showBubbleSize val="0"/>
        </c:dLbls>
        <c:marker val="1"/>
        <c:smooth val="0"/>
        <c:axId val="1388082512"/>
        <c:axId val="1388083472"/>
      </c:lineChart>
      <c:catAx>
        <c:axId val="1388082512"/>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388083472"/>
        <c:crosses val="autoZero"/>
        <c:auto val="1"/>
        <c:lblAlgn val="ctr"/>
        <c:lblOffset val="100"/>
        <c:noMultiLvlLbl val="0"/>
      </c:catAx>
      <c:valAx>
        <c:axId val="1388083472"/>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3880825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9CC0-42EF-8278-3DD6C3B3EEB4}"/>
            </c:ext>
          </c:extLst>
        </c:ser>
        <c:dLbls>
          <c:showLegendKey val="0"/>
          <c:showVal val="0"/>
          <c:showCatName val="0"/>
          <c:showSerName val="0"/>
          <c:showPercent val="0"/>
          <c:showBubbleSize val="0"/>
        </c:dLbls>
        <c:axId val="1388098832"/>
        <c:axId val="1388088752"/>
      </c:scatterChart>
      <c:valAx>
        <c:axId val="1388098832"/>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388088752"/>
        <c:crosses val="autoZero"/>
        <c:crossBetween val="midCat"/>
      </c:valAx>
      <c:valAx>
        <c:axId val="1388088752"/>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3880988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FA4E-447F-A8A8-7B3518777A69}"/>
            </c:ext>
          </c:extLst>
        </c:ser>
        <c:dLbls>
          <c:showLegendKey val="0"/>
          <c:showVal val="0"/>
          <c:showCatName val="0"/>
          <c:showSerName val="0"/>
          <c:showPercent val="0"/>
          <c:showBubbleSize val="0"/>
        </c:dLbls>
        <c:gapWidth val="150"/>
        <c:axId val="1388091632"/>
        <c:axId val="1388086352"/>
      </c:barChart>
      <c:catAx>
        <c:axId val="1388091632"/>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388086352"/>
        <c:crosses val="autoZero"/>
        <c:auto val="1"/>
        <c:lblAlgn val="ctr"/>
        <c:lblOffset val="100"/>
        <c:noMultiLvlLbl val="0"/>
      </c:catAx>
      <c:valAx>
        <c:axId val="1388086352"/>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3880916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1D18C529-2500-1888-C281-9EC5667112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940F1B88-7673-D56A-AE21-73CFC47255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5354EAF6-6887-B624-FC2F-8A2252DF0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8B1834D9-D8A4-763E-A58F-50161F0F5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D0455FC5-330B-E203-DAE7-E083BDE65E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3CCB0B94-53A1-FEE5-A349-0417C8BC0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5ECB9765-0752-AD70-8353-FC46ECCA1E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68E4AA-3594-4341-91FE-BBFE77334B47}" name="MileageData" displayName="MileageData" ref="A1:L407" totalsRowShown="0">
  <autoFilter ref="A1:L407" xr:uid="{5668E4AA-3594-4341-91FE-BBFE77334B47}"/>
  <tableColumns count="12">
    <tableColumn id="1" xr3:uid="{CB3774FE-0ACC-480F-AA26-E87D05FF9DFB}" name="MPG"/>
    <tableColumn id="2" xr3:uid="{5802A482-70B4-4B24-9FE3-19587A07CFEC}" name="Cylinders"/>
    <tableColumn id="3" xr3:uid="{690874E6-C310-42DB-B45B-B798EEAE9D05}" name="Displacement"/>
    <tableColumn id="4" xr3:uid="{F2BE7FCC-A1CD-4C4D-9179-4CBE715B95D7}" name="Horsepower"/>
    <tableColumn id="5" xr3:uid="{64F9E617-75F6-4849-BC3A-0BA67A3F07F7}" name="Weight"/>
    <tableColumn id="6" xr3:uid="{85FCCE62-2739-4BAC-91F5-A6BA2A49FF0D}" name="Acceleration"/>
    <tableColumn id="7" xr3:uid="{E52801C4-4DA7-40EA-9F1C-1A4EB90B54CE}" name="Model Year"/>
    <tableColumn id="8" xr3:uid="{58A66818-D198-4486-BBFD-F29F5FFCF09B}" name="Origin"/>
    <tableColumn id="9" xr3:uid="{8B97253F-58F1-4709-9AE0-DADA56AC2F1B}" name="Car Name"/>
    <tableColumn id="10" xr3:uid="{0AA93336-186E-4B2E-AAE3-ADEC6D492544}" name="Make"/>
    <tableColumn id="11" xr3:uid="{4F3103BD-3673-480B-B640-4E161EEB5841}" name="Model?"/>
    <tableColumn id="12" xr3:uid="{36C43E1C-72BB-4CD0-9592-85941B3A272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45091E-FF8D-41D4-8B55-5A8506970B6D}" name="LifeExpectancyData" displayName="LifeExpectancyData" ref="A1:W2939" totalsRowShown="0">
  <autoFilter ref="A1:W2939" xr:uid="{4445091E-FF8D-41D4-8B55-5A8506970B6D}"/>
  <tableColumns count="23">
    <tableColumn id="1" xr3:uid="{D4FFB8CC-E730-470C-A8FD-1EDDBC4A1E75}" name="Country"/>
    <tableColumn id="2" xr3:uid="{D7E26D4B-9589-4A4D-A458-E4B9A79DA678}" name="Year"/>
    <tableColumn id="3" xr3:uid="{A8597ADE-8B09-484F-AC4B-A9C51EDD7AF3}" name="Status"/>
    <tableColumn id="4" xr3:uid="{9D2C063F-6214-479E-92A9-D3FC12FF0BC2}" name="Life expectancy"/>
    <tableColumn id="5" xr3:uid="{99BADC3B-321E-4F8B-97D6-59A36F6375C3}" name="Adult Mortality"/>
    <tableColumn id="6" xr3:uid="{E6F162BE-259B-4D20-B652-77BF35B96785}" name="infant deaths"/>
    <tableColumn id="7" xr3:uid="{8019D690-33E1-46A2-B200-37A53D78AF42}" name="Alcohol"/>
    <tableColumn id="8" xr3:uid="{87CA2FC9-72D5-4606-946D-599FCEE8EA2E}" name="percentage expenditure"/>
    <tableColumn id="9" xr3:uid="{316D4D9B-1ED5-4235-8B57-C4E3E30681D5}" name="Hepatitis B"/>
    <tableColumn id="10" xr3:uid="{253089EF-EED7-4FFC-81E0-83FFE6BF518D}" name="Measles"/>
    <tableColumn id="11" xr3:uid="{7F67E020-B101-4308-BB9A-74F128C631AF}" name="BMI"/>
    <tableColumn id="12" xr3:uid="{B524FC49-A20E-4B32-9AFE-4F38E8DA8DA6}" name="under-five deaths"/>
    <tableColumn id="13" xr3:uid="{37DD7E29-A8E1-4503-AD61-2CC0FCE0A096}" name="Polio"/>
    <tableColumn id="14" xr3:uid="{0495DD9A-82DC-4600-9E83-82AFDFE1A3D7}" name="Total expenditure"/>
    <tableColumn id="15" xr3:uid="{06E64B6B-6478-4B1F-B497-745E85F12519}" name="Diphtheria"/>
    <tableColumn id="16" xr3:uid="{EC754308-B118-410B-8953-07F4AA5EF6A5}" name="HIV/AIDS"/>
    <tableColumn id="17" xr3:uid="{0262B3BF-0A85-4950-ABE9-69EF4D3C99C4}" name="GDP"/>
    <tableColumn id="18" xr3:uid="{C1507D0C-2D5F-4B7A-B688-25FEBECEEF78}" name="Population"/>
    <tableColumn id="19" xr3:uid="{BB4D770B-BDFF-4DAA-B83A-EDC5897D1E6B}" name="thinness 1-19 years"/>
    <tableColumn id="20" xr3:uid="{852706AC-C7E0-4A5C-AD14-9A5B7AA9DAC6}" name="thinness 5-9 years"/>
    <tableColumn id="21" xr3:uid="{1A166B0E-82B0-4422-918B-BEBE75D59625}" name="Income composition of resources"/>
    <tableColumn id="22" xr3:uid="{D7D2A94D-B2A7-462D-8F7D-48E9600D77D7}" name="Schooling"/>
    <tableColumn id="23" xr3:uid="{867769DC-35AD-4E72-9358-8F5B8743EB9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F6AE6D-B766-49C5-80ED-347E0E4FBBD3}" name="ProductionLotsData" displayName="ProductionLotsData" ref="A1:K52" totalsRowShown="0">
  <autoFilter ref="A1:K52" xr:uid="{79F6AE6D-B766-49C5-80ED-347E0E4FBBD3}"/>
  <tableColumns count="11">
    <tableColumn id="1" xr3:uid="{1C016327-84D0-4485-8196-E4BFEC773580}" name="Lot_ID"/>
    <tableColumn id="2" xr3:uid="{61D4FD42-8E94-40A1-9D8E-519D1AF77DDD}" name="Facility"/>
    <tableColumn id="3" xr3:uid="{02C2A84E-3750-4D23-9A91-C4DD4BEE6518}" name="Fiscal_Year"/>
    <tableColumn id="4" xr3:uid="{D5BE9455-C641-4D17-B973-6425D4682591}" name="Lot_Quantity"/>
    <tableColumn id="5" xr3:uid="{9762493B-801B-44D7-8697-03C717B2FB0E}" name="Cumulative_Units"/>
    <tableColumn id="6" xr3:uid="{791018BF-2931-4342-94AB-CF3977FB8172}" name="Experience_Stock"/>
    <tableColumn id="7" xr3:uid="{E956ADAA-ECBE-4614-AFAF-488BE2242AA2}" name="Unit_Cost_BY"/>
    <tableColumn id="8" xr3:uid="{D0BAF060-D9AA-493D-99D2-35B0B96F0A4D}" name="log Cum Units"/>
    <tableColumn id="9" xr3:uid="{52019032-5D46-443A-B6FB-45241F5F1C9D}" name="log experience"/>
    <tableColumn id="10" xr3:uid="{746365EF-9783-4B27-A822-163095F239C5}" name="log Unit Cost"/>
    <tableColumn id="11" xr3:uid="{470B4DE7-6B57-4DC4-B9BC-1AB2A6D75A9B}"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FD097E-67B9-46B5-9867-9D97CE7F65BF}" name="SpecTable" displayName="SpecTable" ref="B3:O15" totalsRowShown="0" headerRowDxfId="60">
  <autoFilter ref="B3:O15" xr:uid="{D2FD097E-67B9-46B5-9867-9D97CE7F65BF}"/>
  <tableColumns count="14">
    <tableColumn id="1" xr3:uid="{C14625DF-8209-4470-AD6F-E99C4005A828}" name="Role"/>
    <tableColumn id="2" xr3:uid="{B85EEF3A-8F9C-4715-A01F-451EE29692F9}" name="Include"/>
    <tableColumn id="3" xr3:uid="{4F811917-8D83-4B8D-A54F-1B161D219640}" name="Type"/>
    <tableColumn id="4" xr3:uid="{CD617CF1-F804-465F-BD58-211A508A4BB5}" name="Reference Level"/>
    <tableColumn id="5" xr3:uid="{EFC6084C-86DE-4FFF-A3C5-C13276D02C18}" name="Order"/>
    <tableColumn id="6" xr3:uid="{10C37A3F-0C3E-4667-A4BD-D2A34B69B9B7}" name="Transform"/>
    <tableColumn id="7" xr3:uid="{1599505C-B56E-4BB0-9737-738DC71794D7}" name="Sequence"/>
    <tableColumn id="8" xr3:uid="{1662382B-EB43-4159-934C-03970509B892}" name="Sequence Period"/>
    <tableColumn id="9" xr3:uid="{C60DD4FE-40C3-48A6-9A42-ED496464031C}" name="Period In Use" dataDxfId="59">
      <calculatedColumnFormula>IF(SpecTable[[#This Row],[Sequence]]&lt;&gt;TRUE,"",IF(N(SpecTable[[#This Row],[Sequence Period]])&lt;&gt;0,SpecTable[[#This Row],[Sequence Period]],IFERROR(Base_Period_Delta_Candidate(),"")))</calculatedColumnFormula>
    </tableColumn>
    <tableColumn id="10" xr3:uid="{F36A3929-98FB-44C9-B9C3-B3DBB2C35E27}"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FBB9BC76-AA17-4C29-8415-A40A359D994E}"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033BD19B-9DE7-4380-9B47-DD10A95847FC}" name="Interaction Term"/>
    <tableColumn id="13" xr3:uid="{484F4EAC-A59E-4758-8BDE-E944DEC943A4}" name="Interaction Operation"/>
    <tableColumn id="14" xr3:uid="{9A92FEB1-5A87-4893-923D-4A90010BF74F}"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BC35C3-7AF4-497B-BFC6-2F1978D20317}" name="LAMBDAFunctionsCatalog" displayName="LAMBDAFunctionsCatalog" ref="A1:G141" totalsRowShown="0" headerRowDxfId="55" dataDxfId="54">
  <autoFilter ref="A1:G141" xr:uid="{DEBC35C3-7AF4-497B-BFC6-2F1978D20317}"/>
  <tableColumns count="7">
    <tableColumn id="1" xr3:uid="{AE39CACE-5900-4A09-B874-9405670C74F5}" name="Function Name" dataDxfId="53"/>
    <tableColumn id="2" xr3:uid="{F5F72276-3114-46C6-A25F-7FC747C54969}" name="Scope" dataDxfId="52"/>
    <tableColumn id="3" xr3:uid="{F235F2B9-E68A-49C2-ADF1-5459444CE9FE}" name="Definition" dataDxfId="51"/>
    <tableColumn id="4" xr3:uid="{86836F50-247A-48CC-8C30-F03BA08134B0}" name="Arguments" dataDxfId="50"/>
    <tableColumn id="5" xr3:uid="{631043EE-7724-4AE5-9EBC-09F602E7FDD1}" name="Yields" dataDxfId="49"/>
    <tableColumn id="6" xr3:uid="{4A66A9E1-6162-4485-B2B7-F8638B61D01F}" name="Plain-Language Summary" dataDxfId="48"/>
    <tableColumn id="7" xr3:uid="{E1AF2100-2D33-41C1-93C4-F01677D07C0B}"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1E5A7-FFBC-4E60-B273-9F3E564A91EE}">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tabSelected="1" zoomScaleNormal="100" workbookViewId="0">
      <pane ySplit="2" topLeftCell="A3" activePane="bottomLeft" state="frozenSplit"/>
      <selection pane="bottomLeft" activeCell="BR1" sqref="BR1:BR1048576"/>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2"/>
    <col min="6" max="6" width="8.42578125" customWidth="1" outlineLevel="2"/>
    <col min="7" max="7" width="11.7109375" customWidth="1" outlineLevel="2"/>
    <col min="8" max="8" width="10.7109375" customWidth="1" outlineLevel="2"/>
    <col min="9" max="9" width="38.7109375" customWidth="1" outlineLevel="2"/>
    <col min="10" max="10" width="14.7109375" customWidth="1" outlineLevel="2"/>
    <col min="11" max="11" width="7.7109375" customWidth="1" outlineLevel="2"/>
    <col min="12" max="12" width="16.7109375" customWidth="1" outlineLevel="2"/>
    <col min="13" max="14" width="18.7109375" customWidth="1" outlineLevel="2"/>
    <col min="15" max="15" width="14.7109375" customWidth="1" outlineLevel="2"/>
    <col min="16" max="16" width="10.7109375" customWidth="1" outlineLevel="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hidden="1" customWidth="1" outlineLevel="1"/>
    <col min="74" max="74" width="2.7109375" customWidth="1" collapsed="1"/>
    <col min="75" max="75" width="24.7109375" customWidth="1" outlineLevel="1"/>
    <col min="76" max="76" width="12.7109375" customWidth="1" outlineLevel="1"/>
    <col min="77" max="77" width="14.7109375" customWidth="1" outlineLevel="1"/>
    <col min="78"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6" t="s">
        <v>634</v>
      </c>
      <c r="AK1" s="37"/>
      <c r="AL1" s="45"/>
      <c r="AN1" s="4" t="s">
        <v>643</v>
      </c>
      <c r="BR1" s="36" t="s">
        <v>1854</v>
      </c>
      <c r="BS1" s="46"/>
      <c r="BU1" s="4" t="s">
        <v>1843</v>
      </c>
      <c r="BW1" s="4" t="s">
        <v>1850</v>
      </c>
      <c r="BY1" s="4" t="s">
        <v>1905</v>
      </c>
      <c r="CB1" t="str" cm="1">
        <f t="array" ref="CB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1906</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1693</v>
      </c>
      <c r="E10" s="16"/>
      <c r="F10" s="16"/>
      <c r="G10" s="16" t="s">
        <v>1695</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1693</v>
      </c>
      <c r="E11" s="16"/>
      <c r="F11" s="16"/>
      <c r="G11" s="16" t="s">
        <v>1695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880</v>
      </c>
      <c r="C12" s="16" t="b">
        <v>0</v>
      </c>
      <c r="D12" s="16" t="s">
        <v>781</v>
      </c>
      <c r="E12" s="16"/>
      <c r="F12" s="16"/>
      <c r="G12" s="16" t="s">
        <v>1695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9"/>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6BFF9990-4CCC-46A5-B9BC-14707160DA28}">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CDB92-100D-4C97-8A12-F5A6F5728B2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1939</v>
      </c>
      <c r="B128" s="2" t="s">
        <v>624</v>
      </c>
      <c r="C128" s="1" t="s">
        <v>1940</v>
      </c>
      <c r="D128" s="2"/>
      <c r="E128" s="2" t="s">
        <v>1941</v>
      </c>
      <c r="F128" s="2" t="s">
        <v>1942</v>
      </c>
      <c r="G128" s="2" t="s">
        <v>1943</v>
      </c>
    </row>
    <row r="129" spans="1:7" ht="225" x14ac:dyDescent="0.25">
      <c r="A129" s="2" t="s">
        <v>1813</v>
      </c>
      <c r="B129" s="2" t="s">
        <v>785</v>
      </c>
      <c r="C129" s="1" t="s">
        <v>1814</v>
      </c>
      <c r="D129" s="2" t="s">
        <v>1815</v>
      </c>
      <c r="E129" s="2" t="s">
        <v>1816</v>
      </c>
      <c r="F129" s="2" t="s">
        <v>1817</v>
      </c>
      <c r="G129" s="2" t="s">
        <v>1818</v>
      </c>
    </row>
    <row r="130" spans="1:7" ht="60" x14ac:dyDescent="0.25">
      <c r="A130" s="2" t="s">
        <v>1819</v>
      </c>
      <c r="B130" s="2" t="s">
        <v>785</v>
      </c>
      <c r="C130" s="1" t="s">
        <v>1820</v>
      </c>
      <c r="D130" s="2" t="s">
        <v>1821</v>
      </c>
      <c r="E130" s="2" t="s">
        <v>1822</v>
      </c>
      <c r="F130" s="2" t="s">
        <v>1823</v>
      </c>
      <c r="G130" s="2" t="s">
        <v>1824</v>
      </c>
    </row>
    <row r="131" spans="1:7" ht="60" x14ac:dyDescent="0.25">
      <c r="A131" s="2" t="s">
        <v>1825</v>
      </c>
      <c r="B131" s="2" t="s">
        <v>785</v>
      </c>
      <c r="C131" s="1" t="s">
        <v>1826</v>
      </c>
      <c r="D131" s="2" t="s">
        <v>1827</v>
      </c>
      <c r="E131" s="2" t="s">
        <v>1828</v>
      </c>
      <c r="F131" s="2" t="s">
        <v>1829</v>
      </c>
      <c r="G131" s="2" t="s">
        <v>1830</v>
      </c>
    </row>
    <row r="132" spans="1:7" ht="60" x14ac:dyDescent="0.25">
      <c r="A132" s="2" t="s">
        <v>1831</v>
      </c>
      <c r="B132" s="2" t="s">
        <v>785</v>
      </c>
      <c r="C132" s="1" t="s">
        <v>1832</v>
      </c>
      <c r="D132" s="2" t="s">
        <v>1833</v>
      </c>
      <c r="E132" s="2" t="s">
        <v>1834</v>
      </c>
      <c r="F132" s="2" t="s">
        <v>1835</v>
      </c>
      <c r="G132" s="2" t="s">
        <v>1836</v>
      </c>
    </row>
    <row r="133" spans="1:7" ht="60" x14ac:dyDescent="0.25">
      <c r="A133" s="2" t="s">
        <v>1837</v>
      </c>
      <c r="B133" s="2" t="s">
        <v>785</v>
      </c>
      <c r="C133" s="1" t="s">
        <v>1838</v>
      </c>
      <c r="D133" s="2" t="s">
        <v>1839</v>
      </c>
      <c r="E133" s="2" t="s">
        <v>1840</v>
      </c>
      <c r="F133" s="2" t="s">
        <v>1841</v>
      </c>
      <c r="G133" s="2" t="s">
        <v>1842</v>
      </c>
    </row>
    <row r="134" spans="1:7" ht="315" x14ac:dyDescent="0.25">
      <c r="A134" s="2" t="s">
        <v>1873</v>
      </c>
      <c r="B134" s="2" t="s">
        <v>785</v>
      </c>
      <c r="C134" s="1" t="s">
        <v>1874</v>
      </c>
      <c r="D134" s="2" t="s">
        <v>1875</v>
      </c>
      <c r="E134" s="2" t="s">
        <v>1876</v>
      </c>
      <c r="F134" s="2" t="s">
        <v>1877</v>
      </c>
      <c r="G134" s="2" t="s">
        <v>1878</v>
      </c>
    </row>
    <row r="135" spans="1:7" ht="360" x14ac:dyDescent="0.25">
      <c r="A135" s="2" t="s">
        <v>1879</v>
      </c>
      <c r="B135" s="2" t="s">
        <v>785</v>
      </c>
      <c r="C135" s="1" t="s">
        <v>1880</v>
      </c>
      <c r="D135" s="2" t="s">
        <v>1881</v>
      </c>
      <c r="E135" s="2" t="s">
        <v>1882</v>
      </c>
      <c r="F135" s="2" t="s">
        <v>1883</v>
      </c>
      <c r="G135" s="2" t="s">
        <v>1884</v>
      </c>
    </row>
    <row r="136" spans="1:7" ht="409.5" x14ac:dyDescent="0.25">
      <c r="A136" s="2" t="s">
        <v>1885</v>
      </c>
      <c r="B136" s="2" t="s">
        <v>785</v>
      </c>
      <c r="C136" s="1" t="s">
        <v>1918</v>
      </c>
      <c r="D136" s="2" t="s">
        <v>1886</v>
      </c>
      <c r="E136" s="2" t="s">
        <v>1887</v>
      </c>
      <c r="F136" s="2" t="s">
        <v>1888</v>
      </c>
      <c r="G136" s="2" t="s">
        <v>1919</v>
      </c>
    </row>
    <row r="137" spans="1:7" ht="300" x14ac:dyDescent="0.25">
      <c r="A137" s="2" t="s">
        <v>1920</v>
      </c>
      <c r="B137" s="2" t="s">
        <v>785</v>
      </c>
      <c r="C137" s="1" t="s">
        <v>1921</v>
      </c>
      <c r="D137" s="2" t="s">
        <v>1922</v>
      </c>
      <c r="E137" s="2" t="s">
        <v>1923</v>
      </c>
      <c r="F137" s="2" t="s">
        <v>1924</v>
      </c>
      <c r="G137" s="2" t="s">
        <v>1925</v>
      </c>
    </row>
    <row r="138" spans="1:7" ht="375" x14ac:dyDescent="0.25">
      <c r="A138" s="2" t="s">
        <v>1889</v>
      </c>
      <c r="B138" s="2" t="s">
        <v>785</v>
      </c>
      <c r="C138" s="1" t="s">
        <v>1926</v>
      </c>
      <c r="D138" s="2" t="s">
        <v>1927</v>
      </c>
      <c r="E138" s="2" t="s">
        <v>1890</v>
      </c>
      <c r="F138" s="2" t="s">
        <v>1891</v>
      </c>
      <c r="G138" s="2" t="s">
        <v>1928</v>
      </c>
    </row>
    <row r="139" spans="1:7" ht="409.5" x14ac:dyDescent="0.25">
      <c r="A139" s="2" t="s">
        <v>1892</v>
      </c>
      <c r="B139" s="2" t="s">
        <v>785</v>
      </c>
      <c r="C139" s="1" t="s">
        <v>1929</v>
      </c>
      <c r="D139" s="2" t="s">
        <v>1930</v>
      </c>
      <c r="E139" s="2" t="s">
        <v>1893</v>
      </c>
      <c r="F139" s="2" t="s">
        <v>1894</v>
      </c>
      <c r="G139" s="2" t="s">
        <v>1931</v>
      </c>
    </row>
    <row r="140" spans="1:7" ht="375" x14ac:dyDescent="0.25">
      <c r="A140" s="2" t="s">
        <v>1895</v>
      </c>
      <c r="B140" s="2" t="s">
        <v>785</v>
      </c>
      <c r="C140" s="1" t="s">
        <v>1896</v>
      </c>
      <c r="D140" s="2" t="s">
        <v>1932</v>
      </c>
      <c r="E140" s="2" t="s">
        <v>1897</v>
      </c>
      <c r="F140" s="2" t="s">
        <v>1898</v>
      </c>
      <c r="G140" s="2" t="s">
        <v>1899</v>
      </c>
    </row>
    <row r="141" spans="1:7" ht="375" x14ac:dyDescent="0.25">
      <c r="A141" s="2" t="s">
        <v>1900</v>
      </c>
      <c r="B141" s="2" t="s">
        <v>785</v>
      </c>
      <c r="C141" s="1" t="s">
        <v>1933</v>
      </c>
      <c r="D141" s="2" t="s">
        <v>1927</v>
      </c>
      <c r="E141" s="2" t="s">
        <v>1901</v>
      </c>
      <c r="F141" s="2" t="s">
        <v>1902</v>
      </c>
      <c r="G141"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2026-08-05T16:11:25Z</dcterms:modified>
</cp:coreProperties>
</file>