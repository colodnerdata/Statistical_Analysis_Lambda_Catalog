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8_{12D90CC6-ECF5-4C6C-9F72-512BDE1FB3B7}" xr6:coauthVersionLast="47" xr6:coauthVersionMax="47" xr10:uidLastSave="{00000000-0000-0000-0000-000000000000}"/>
  <bookViews>
    <workbookView xWindow="-289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90" r:id="rId5"/>
    <sheet name="Regression" sheetId="7" r:id="rId6"/>
    <sheet name="Diagnostic Guide" sheetId="91"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Regression!$BZ$1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MileageData[#All]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B21" i="7" s="1"/>
  <c r="AA21" i="7" a="1"/>
  <c r="AA21" i="7" s="1"/>
  <c r="AL19" i="7" a="1"/>
  <c r="AK62" i="7" s="1" a="1"/>
  <c r="AK62" i="7" s="1"/>
  <c r="AJ19" i="7" a="1"/>
  <c r="AJ19" i="7" s="1"/>
  <c r="AC17" i="7" a="1"/>
  <c r="AC17" i="7" s="1"/>
  <c r="AC16" i="7" a="1"/>
  <c r="AC16" i="7" s="1"/>
  <c r="AC15" i="7" a="1"/>
  <c r="AC15" i="7" s="1"/>
  <c r="AB15" i="7" a="1"/>
  <c r="AB15" i="7" s="1"/>
  <c r="AK12" i="7"/>
  <c r="AK14" i="7" s="1" a="1"/>
  <c r="AK14" i="7" s="1"/>
  <c r="AE12" i="7" a="1"/>
  <c r="AE12" i="7"/>
  <c r="AE11" i="7" a="1"/>
  <c r="AE11" i="7"/>
  <c r="AB8" i="7" a="1"/>
  <c r="AB8" i="7"/>
  <c r="BD99" i="7" s="1"/>
  <c r="AE6" i="7" a="1"/>
  <c r="AE6" i="7"/>
  <c r="BD100" i="7" s="1"/>
  <c r="BS5" i="7" a="1"/>
  <c r="BS5" i="7"/>
  <c r="AE5" i="7" a="1"/>
  <c r="AE5" i="7" s="1"/>
  <c r="BS4" i="7" a="1"/>
  <c r="BS4" i="7" s="1"/>
  <c r="AE4" i="7" a="1"/>
  <c r="AE4" i="7" s="1"/>
  <c r="BD101" i="7" s="1"/>
  <c r="O4" i="7" a="1"/>
  <c r="O4" i="7"/>
  <c r="L4" i="7" a="1"/>
  <c r="L4" i="7"/>
  <c r="K4" i="7" a="1"/>
  <c r="K4" i="7" s="1"/>
  <c r="J4" i="7" a="1"/>
  <c r="J4" i="7"/>
  <c r="A4" i="7" a="1"/>
  <c r="A4" i="7"/>
  <c r="BW3" i="7" a="1"/>
  <c r="BW3" i="7" s="1"/>
  <c r="BU3" i="7" a="1"/>
  <c r="BU3" i="7" s="1"/>
  <c r="BS3" i="7" a="1"/>
  <c r="BS3" i="7" s="1"/>
  <c r="AX3" i="7" a="1"/>
  <c r="AX3" i="7"/>
  <c r="AU3" i="7" a="1"/>
  <c r="AU3" i="7"/>
  <c r="AR3" i="7" a="1"/>
  <c r="AR3" i="7" s="1"/>
  <c r="AQ3" i="7" a="1"/>
  <c r="AQ3" i="7" s="1"/>
  <c r="AP3" i="7" a="1"/>
  <c r="AP3" i="7" s="1"/>
  <c r="AO3" i="7" a="1"/>
  <c r="AO3" i="7"/>
  <c r="AN3" i="7" a="1"/>
  <c r="AN3" i="7"/>
  <c r="Y3" i="7" a="1"/>
  <c r="Y3" i="7" s="1"/>
  <c r="X3" i="7" a="1"/>
  <c r="X3" i="7" s="1"/>
  <c r="W3" i="7" a="1"/>
  <c r="W3" i="7" s="1"/>
  <c r="V3" i="7" a="1"/>
  <c r="V3" i="7" s="1"/>
  <c r="U3" i="7" a="1"/>
  <c r="U3" i="7" s="1"/>
  <c r="T3" i="7" a="1"/>
  <c r="T3" i="7"/>
  <c r="S3" i="7" a="1"/>
  <c r="S3" i="7"/>
  <c r="BX2" i="7" a="1"/>
  <c r="BX2" i="7"/>
  <c r="BW2" i="7"/>
  <c r="BS2" i="7"/>
  <c r="AE15" i="7" s="1" a="1"/>
  <c r="AE15" i="7" s="1"/>
  <c r="AY2" i="7" a="1"/>
  <c r="AY2" i="7"/>
  <c r="AX2" i="7" a="1"/>
  <c r="AX2" i="7"/>
  <c r="AW2" i="7" a="1"/>
  <c r="AW2" i="7" s="1"/>
  <c r="AV2" i="7" a="1"/>
  <c r="AV2" i="7" s="1"/>
  <c r="AU2" i="7" a="1"/>
  <c r="AU2" i="7" s="1"/>
  <c r="AT2" i="7" a="1"/>
  <c r="AT2" i="7" s="1"/>
  <c r="AS2" i="7" a="1"/>
  <c r="AS2" i="7"/>
  <c r="AR2" i="7" a="1"/>
  <c r="AR2" i="7"/>
  <c r="AQ2" i="7" a="1"/>
  <c r="AQ2" i="7"/>
  <c r="AP2" i="7" a="1"/>
  <c r="AP2" i="7" s="1"/>
  <c r="AO2" i="7" a="1"/>
  <c r="AO2" i="7"/>
  <c r="AF2" i="7" a="1"/>
  <c r="AF2" i="7"/>
  <c r="BD95" i="7" s="1"/>
  <c r="P2" i="7" a="1"/>
  <c r="P2" i="7" s="1"/>
  <c r="M2" i="7"/>
  <c r="L2" i="7" a="1"/>
  <c r="L2" i="7"/>
  <c r="K2" i="7" a="1"/>
  <c r="K2" i="7"/>
  <c r="J2" i="7" a="1"/>
  <c r="J2" i="7"/>
  <c r="I2" i="7" a="1"/>
  <c r="I2" i="7" s="1"/>
  <c r="BZ1" i="7" a="1"/>
  <c r="BZ1" i="7"/>
  <c r="O1" i="7"/>
  <c r="E1" i="7" a="1"/>
  <c r="E1" i="7" s="1"/>
  <c r="B1" i="7" a="1"/>
  <c r="B1" i="7"/>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E10" i="7" l="1" a="1"/>
  <c r="AE10" i="7" s="1"/>
  <c r="BD96" i="7" s="1"/>
  <c r="AB7" i="7" a="1"/>
  <c r="AB7" i="7" s="1"/>
  <c r="AT3" i="7" a="1"/>
  <c r="AE9" i="7" a="1"/>
  <c r="AE9" i="7" s="1"/>
  <c r="AG21" i="7" a="1"/>
  <c r="AG21" i="7" s="1"/>
  <c r="AF21" i="7" a="1"/>
  <c r="AF21" i="7" s="1"/>
  <c r="AB6" i="7" a="1"/>
  <c r="AB6" i="7" s="1"/>
  <c r="BD97" i="7" s="1"/>
  <c r="AW3" i="7" a="1"/>
  <c r="AW3" i="7" s="1"/>
  <c r="AE21" i="7" a="1"/>
  <c r="AE21" i="7" s="1"/>
  <c r="AE8" i="7" a="1"/>
  <c r="AE8" i="7" s="1"/>
  <c r="AV3" i="7" a="1"/>
  <c r="AV3" i="7" s="1"/>
  <c r="AD21" i="7" a="1"/>
  <c r="AD21" i="7" s="1"/>
  <c r="AD16" i="7" a="1"/>
  <c r="AD16" i="7" s="1"/>
  <c r="AC21" i="7" a="1"/>
  <c r="AC21" i="7" s="1"/>
  <c r="AB16" i="7" a="1"/>
  <c r="AB16" i="7" s="1"/>
  <c r="AS3" i="7" a="1"/>
  <c r="AS3" i="7" s="1"/>
  <c r="AE7" i="7" a="1"/>
  <c r="AE7" i="7" s="1"/>
  <c r="BA3" i="7" a="1"/>
  <c r="BA3" i="7" s="1"/>
  <c r="AH9" i="7" a="1"/>
  <c r="AH9" i="7" s="1"/>
  <c r="AZ3" i="7" a="1"/>
  <c r="AZ3" i="7" s="1"/>
  <c r="AH6" i="7" a="1"/>
  <c r="AH6" i="7" s="1"/>
  <c r="AH8" i="7" a="1"/>
  <c r="AH8" i="7" s="1"/>
  <c r="AH5" i="7" a="1"/>
  <c r="AH5" i="7" s="1"/>
  <c r="AH7" i="7" a="1"/>
  <c r="AH7" i="7" s="1"/>
  <c r="AF15" i="7" a="1"/>
  <c r="AF15" i="7" s="1"/>
  <c r="AK23" i="7" a="1"/>
  <c r="AK23" i="7" s="1"/>
  <c r="AK33" i="7" a="1"/>
  <c r="AK33" i="7" s="1"/>
  <c r="AK43" i="7" a="1"/>
  <c r="AK43" i="7" s="1"/>
  <c r="AK53" i="7" a="1"/>
  <c r="AK53" i="7" s="1"/>
  <c r="AB5" i="7" a="1"/>
  <c r="AB5" i="7" s="1"/>
  <c r="AK24" i="7" a="1"/>
  <c r="AK24" i="7" s="1"/>
  <c r="AK34" i="7" a="1"/>
  <c r="AK34" i="7" s="1"/>
  <c r="AK44" i="7" a="1"/>
  <c r="AK44" i="7" s="1"/>
  <c r="AK54" i="7" a="1"/>
  <c r="AK54" i="7" s="1"/>
  <c r="AK25" i="7" a="1"/>
  <c r="AK25" i="7" s="1"/>
  <c r="AK35" i="7" a="1"/>
  <c r="AK35" i="7" s="1"/>
  <c r="AK45" i="7" a="1"/>
  <c r="AK45" i="7" s="1"/>
  <c r="AK55" i="7" a="1"/>
  <c r="AK55" i="7" s="1"/>
  <c r="AK26" i="7" a="1"/>
  <c r="AK26" i="7" s="1"/>
  <c r="AK36" i="7" a="1"/>
  <c r="AK36" i="7" s="1"/>
  <c r="AK46" i="7" a="1"/>
  <c r="AK46" i="7" s="1"/>
  <c r="AK56" i="7" a="1"/>
  <c r="AK56" i="7" s="1"/>
  <c r="BE97" i="7"/>
  <c r="BF97" i="7"/>
  <c r="AK13" i="7" a="1"/>
  <c r="AK13" i="7" s="1"/>
  <c r="AB17" i="7" a="1"/>
  <c r="AB17" i="7" s="1"/>
  <c r="AK27" i="7" a="1"/>
  <c r="AK27" i="7" s="1"/>
  <c r="AK37" i="7" a="1"/>
  <c r="AK37" i="7" s="1"/>
  <c r="AK47" i="7" a="1"/>
  <c r="AK47" i="7" s="1"/>
  <c r="AK57" i="7" a="1"/>
  <c r="AK57" i="7" s="1"/>
  <c r="AK28" i="7" a="1"/>
  <c r="AK28" i="7" s="1"/>
  <c r="AK38" i="7" a="1"/>
  <c r="AK38" i="7" s="1"/>
  <c r="AK48" i="7" a="1"/>
  <c r="AK48" i="7" s="1"/>
  <c r="AK58" i="7" a="1"/>
  <c r="AK58" i="7" s="1"/>
  <c r="AK29" i="7" a="1"/>
  <c r="AK29" i="7" s="1"/>
  <c r="AK39" i="7" a="1"/>
  <c r="AK39" i="7" s="1"/>
  <c r="AK49" i="7" a="1"/>
  <c r="AK49" i="7" s="1"/>
  <c r="AK59" i="7" a="1"/>
  <c r="AK59" i="7" s="1"/>
  <c r="AH21" i="7" a="1"/>
  <c r="AH21" i="7" s="1"/>
  <c r="AK30" i="7" a="1"/>
  <c r="AK30" i="7" s="1"/>
  <c r="AK40" i="7" a="1"/>
  <c r="AK40" i="7" s="1"/>
  <c r="AK50" i="7" a="1"/>
  <c r="AK50" i="7" s="1"/>
  <c r="AK60" i="7" a="1"/>
  <c r="AK60" i="7" s="1"/>
  <c r="AB4" i="7" a="1"/>
  <c r="AB4" i="7" s="1"/>
  <c r="BS6" i="7" a="1"/>
  <c r="BS6" i="7" s="1"/>
  <c r="AL19" i="7"/>
  <c r="AK19" i="7" s="1" a="1"/>
  <c r="AK19" i="7" s="1"/>
  <c r="AK3" i="7" s="1" a="1"/>
  <c r="AK3" i="7" s="1"/>
  <c r="AL3" i="7" s="1" a="1"/>
  <c r="AL3" i="7" s="1"/>
  <c r="AD15" i="7" a="1"/>
  <c r="AD15" i="7" s="1"/>
  <c r="AK21" i="7" a="1"/>
  <c r="AK21" i="7" s="1"/>
  <c r="AK31" i="7" a="1"/>
  <c r="AK31" i="7" s="1"/>
  <c r="AK41" i="7" a="1"/>
  <c r="AK41" i="7" s="1"/>
  <c r="AK51" i="7" a="1"/>
  <c r="AK51" i="7" s="1"/>
  <c r="AK61" i="7" a="1"/>
  <c r="AK61" i="7" s="1"/>
  <c r="AK20" i="7" a="1"/>
  <c r="AK20" i="7" s="1"/>
  <c r="AK22" i="7" a="1"/>
  <c r="AK22" i="7" s="1"/>
  <c r="AK32" i="7" a="1"/>
  <c r="AK32" i="7" s="1"/>
  <c r="AK42" i="7" a="1"/>
  <c r="AK42" i="7" s="1"/>
  <c r="AK52" i="7" a="1"/>
  <c r="AK52" i="7" s="1"/>
  <c r="AL9" i="7" l="1" a="1"/>
  <c r="AL9" i="7" s="1"/>
  <c r="AL8" i="7" a="1"/>
  <c r="AL8" i="7" s="1"/>
  <c r="AL10" i="7" a="1"/>
  <c r="AL10" i="7" s="1"/>
  <c r="AL7" i="7" a="1"/>
  <c r="AL7" i="7" s="1"/>
  <c r="AY3" i="7" a="1"/>
  <c r="AY3" i="7" s="1"/>
  <c r="AT3"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U1" authorId="0" shapeId="0" xr:uid="{D3F7BDE9-FD5C-4BE0-B5A5-2F3FFB2698C7}">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EB311E5A-E8CF-40B8-9695-EE301CB7A755}">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Ships collapsed for that reason.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98CBFB02-8B42-4BF8-8461-2BF31F60326E}">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C88552A5-FFDF-4F32-8673-BF1BB005B256}">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52F57BDF-B810-444B-8187-608E956DA943}">
      <text>
        <r>
          <rPr>
            <b/>
            <sz val="9"/>
            <color indexed="81"/>
            <rFont val="Tahoma"/>
            <family val="2"/>
          </rPr>
          <t>Shows whether the data have a longer tail on one side. Positive means a longer right tail; negative means a longer left tail.</t>
        </r>
      </text>
    </comment>
    <comment ref="W2" authorId="0" shapeId="0" xr:uid="{59AFA443-7F60-4C72-A1C0-06A610C1C602}">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57DF6340-32BC-4AC8-B0F4-911C8E3A0017}">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D5D70B6D-E945-4DA2-AF54-8DAF0D622297}">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0735E91D-7415-48DA-A33E-0A750389DA3D}">
      <text>
        <r>
          <rPr>
            <b/>
            <sz val="9"/>
            <color indexed="81"/>
            <rFont val="Tahoma"/>
            <family val="2"/>
          </rPr>
          <t>The actual observed outcome values.</t>
        </r>
      </text>
    </comment>
    <comment ref="AP2" authorId="0" shapeId="0" xr:uid="{8932AE82-667C-415C-8170-5C5F92D01642}">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52917E00-2889-4C49-9D48-21302877EF99}">
      <text>
        <r>
          <rPr>
            <b/>
            <sz val="9"/>
            <color indexed="81"/>
            <rFont val="Tahoma"/>
            <family val="2"/>
          </rPr>
          <t>Actual Y minus predicted Y. Positive means the row came in above the model's prediction; negative means below.</t>
        </r>
      </text>
    </comment>
    <comment ref="AR2" authorId="0" shapeId="0" xr:uid="{E2D11C67-0E42-4193-A1BC-1703B8EFAE3B}">
      <text>
        <r>
          <rPr>
            <b/>
            <sz val="9"/>
            <color indexed="81"/>
            <rFont val="Tahoma"/>
            <family val="2"/>
          </rPr>
          <t>Leverage. It shows how unusual a row's predictor values are relative to the rest of the data.</t>
        </r>
      </text>
    </comment>
    <comment ref="AS2" authorId="0" shapeId="0" xr:uid="{983868AD-1F35-4001-B2F1-1E7EF991F290}">
      <text>
        <r>
          <rPr>
            <b/>
            <sz val="9"/>
            <color indexed="81"/>
            <rFont val="Tahoma"/>
            <family val="2"/>
          </rPr>
          <t>Residuals scaled to account for overall error size and leverage, making outliers easier to compare fairly.</t>
        </r>
      </text>
    </comment>
    <comment ref="AT2" authorId="0" shapeId="0" xr:uid="{9679C4C5-22C6-421B-8DBB-3042AC6D1096}">
      <text>
        <r>
          <rPr>
            <b/>
            <sz val="9"/>
            <color indexed="81"/>
            <rFont val="Tahoma"/>
            <family val="2"/>
          </rPr>
          <t>How much a single row can pull the fitted coefficients and predictions around.</t>
        </r>
      </text>
    </comment>
    <comment ref="AU2" authorId="0" shapeId="0" xr:uid="{E9AB3283-7DAB-4E65-A20E-8B073E3ADDFA}">
      <text>
        <r>
          <rPr>
            <b/>
            <sz val="9"/>
            <color indexed="81"/>
            <rFont val="Tahoma"/>
            <family val="2"/>
          </rPr>
          <t>Expected bell-curve quantiles used for the Q-Q comparison.</t>
        </r>
      </text>
    </comment>
    <comment ref="AV2" authorId="0" shapeId="0" xr:uid="{A24D15FA-4812-4A13-9139-2ECF004552BD}">
      <text>
        <r>
          <rPr>
            <b/>
            <sz val="9"/>
            <color indexed="81"/>
            <rFont val="Tahoma"/>
            <family val="2"/>
          </rPr>
          <t>Studentized residuals sorted from smallest to largest for the Q-Q plot.</t>
        </r>
      </text>
    </comment>
    <comment ref="AW2" authorId="0" shapeId="0" xr:uid="{368B36C6-84B3-4EE4-9A8B-BE9ACDFE1281}">
      <text>
        <r>
          <rPr>
            <b/>
            <sz val="9"/>
            <color indexed="81"/>
            <rFont val="Tahoma"/>
            <family val="2"/>
          </rPr>
          <t>The square root of the absolute studentized residual. A flat pattern suggests stable error spread.</t>
        </r>
      </text>
    </comment>
    <comment ref="AX2" authorId="0" shapeId="0" xr:uid="{FB371C80-986C-4746-84A9-DB7F81DC0A74}">
      <text>
        <r>
          <rPr>
            <b/>
            <sz val="9"/>
            <color indexed="81"/>
            <rFont val="Tahoma"/>
            <family val="2"/>
          </rPr>
          <t>The prediction error for a row when that row is left out of the fitting step (the leave-one-out / LOOCV residual). Summing its squares gives PRESS.</t>
        </r>
      </text>
    </comment>
    <comment ref="AY2" authorId="0" shapeId="0" xr:uid="{D8F9D18D-54BB-4031-8B8F-A5BE9A9C3E78}">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2E581F8B-197F-4F76-8400-867681EA8A46}">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82FCB950-452D-403F-944C-A029C0A40118}">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07A2A018-CFF0-437B-B291-C3B08EC73C82}">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2246FC18-DEF8-4F47-BB8A-937584D03957}">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959BBB63-4ED2-4377-BA3E-D38DF710F879}">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3AD65A16-10FD-4842-9F04-C5F30CC46269}">
      <text>
        <r>
          <rPr>
            <b/>
            <sz val="9"/>
            <color indexed="81"/>
            <rFont val="Tahoma"/>
            <family val="2"/>
          </rPr>
          <t>Reserved for a future release — not yet used by any formula.</t>
        </r>
      </text>
    </comment>
    <comment ref="G3" authorId="0" shapeId="0" xr:uid="{29252D4E-6096-4BBF-914C-B1F9E1AB0423}">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DC631AE7-D1CB-4537-A03E-4274A06D3D61}">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5585F130-F637-47F7-AF09-01A7B8F8A8F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BE9C6094-E382-4997-BDF9-1F65B2EBF95C}">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754EF842-DBB8-464B-AC78-B43BA47E6E79}">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89220C81-349A-46A5-A176-B2793746D460}">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8894893F-2400-47F8-AEDB-B41BE47BDB54}">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14F93C27-43C0-4E1C-9316-1EAE434EDDF9}">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17553A9B-F75C-4114-9E76-ECE92DE05ED5}">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2AAE036C-7EF3-4757-B0ED-EF76FEF0733B}">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9B3C472F-1906-4B3C-9370-7EDBFE64F0D3}">
      <text>
        <r>
          <rPr>
            <b/>
            <sz val="9"/>
            <color indexed="81"/>
            <rFont val="Tahoma"/>
            <family val="2"/>
          </rPr>
          <t>How closely the model's predicted Y values track the actual Y values overall.</t>
        </r>
      </text>
    </comment>
    <comment ref="AD4" authorId="0" shapeId="0" xr:uid="{F042CED1-AFD3-469D-A96A-D38002C1C820}">
      <text>
        <r>
          <rPr>
            <b/>
            <sz val="9"/>
            <color indexed="81"/>
            <rFont val="Tahoma"/>
            <family val="2"/>
          </rPr>
          <t>A leave-one-out prediction error score. Lower is better because it means the model predicts unseen rows more accurately.</t>
        </r>
      </text>
    </comment>
    <comment ref="AG4" authorId="0" shapeId="0" xr:uid="{B62B01D8-1A26-4237-B438-D6B59E62D960}">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FCCC9E31-2722-4394-9D2E-32D6943E3900}">
      <text>
        <r>
          <rPr>
            <b/>
            <sz val="9"/>
            <color indexed="81"/>
            <rFont val="Tahoma"/>
            <family val="2"/>
          </rPr>
          <t>Standard error for the MEAN of Y at the chosen X values. Builds the confidence interval — the narrower band — for where the average response sits.</t>
        </r>
      </text>
    </comment>
    <comment ref="AA5" authorId="0" shapeId="0" xr:uid="{23147629-C74B-456B-92F2-91F72852B907}">
      <text>
        <r>
          <rPr>
            <b/>
            <sz val="9"/>
            <color indexed="81"/>
            <rFont val="Tahoma"/>
            <family val="2"/>
          </rPr>
          <t>The share of the outcome's variation explained by the model.</t>
        </r>
      </text>
    </comment>
    <comment ref="AD5" authorId="0" shapeId="0" xr:uid="{94C84FDA-029E-47E4-B636-5F5593421F00}">
      <text>
        <r>
          <rPr>
            <b/>
            <sz val="9"/>
            <color indexed="81"/>
            <rFont val="Tahoma"/>
            <family val="2"/>
          </rPr>
          <t>An out-of-sample version of R Square based on leave-one-out prediction. Negative values mean the model predicts worse than just using the average Y.</t>
        </r>
      </text>
    </comment>
    <comment ref="AJ5" authorId="0" shapeId="0" xr:uid="{DC70B6FB-2438-461D-B1A7-8762026973CC}">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F5B8C841-40FD-4B2C-8377-D71E69862847}">
      <text>
        <r>
          <rPr>
            <b/>
            <sz val="9"/>
            <color indexed="81"/>
            <rFont val="Tahoma"/>
            <family val="2"/>
          </rPr>
          <t>R Square with a penalty for adding predictors that do not help enough.</t>
        </r>
      </text>
    </comment>
    <comment ref="AD6" authorId="0" shapeId="0" xr:uid="{30E33C3E-4D5F-4F99-9E19-130EAA4D7AD3}">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7661DD5C-A239-4356-82B8-2DE000AD3396}">
      <text>
        <r>
          <rPr>
            <b/>
            <sz val="9"/>
            <color indexed="81"/>
            <rFont val="Tahoma"/>
            <family val="2"/>
          </rPr>
          <t>The t-distribution cutoff at the chosen confidence level. Multiply by SE (Mean) to get the CI half-width and by SE (New Obs) to get the PI half-width.</t>
        </r>
      </text>
    </comment>
    <comment ref="AA7" authorId="0" shapeId="0" xr:uid="{73D267B6-0B72-4E60-ACDE-75BAA0A5A972}">
      <text>
        <r>
          <rPr>
            <b/>
            <sz val="9"/>
            <color indexed="81"/>
            <rFont val="Tahoma"/>
            <family val="2"/>
          </rPr>
          <t>The typical size of the model's prediction errors, measured in the same units as Y.</t>
        </r>
      </text>
    </comment>
    <comment ref="AD7" authorId="0" shapeId="0" xr:uid="{6F42B7EB-ADD4-4A5E-918D-2AD69D024A34}">
      <text>
        <r>
          <rPr>
            <b/>
            <sz val="9"/>
            <color indexed="81"/>
            <rFont val="Tahoma"/>
            <family val="2"/>
          </rPr>
          <t>A model-comparison score that balances fit against complexity. Lower is better when comparing models on the same data.</t>
        </r>
      </text>
    </comment>
    <comment ref="AJ7" authorId="0" shapeId="0" xr:uid="{8A0E27DB-0795-4CAA-8858-FC0544415D91}">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C898AA86-E693-4EBD-8FFA-B1045B7E19EC}">
      <text>
        <r>
          <rPr>
            <b/>
            <sz val="9"/>
            <color indexed="81"/>
            <rFont val="Tahoma"/>
            <family val="2"/>
          </rPr>
          <t>The number of rows actually used in the regression after filtering.</t>
        </r>
      </text>
    </comment>
    <comment ref="AD8" authorId="0" shapeId="0" xr:uid="{999F3647-B72B-41CB-8B7C-61E649761AB0}">
      <text>
        <r>
          <rPr>
            <b/>
            <sz val="9"/>
            <color indexed="81"/>
            <rFont val="Tahoma"/>
            <family val="2"/>
          </rPr>
          <t>Another model-comparison score like AIC, but it penalizes extra predictors more strongly.</t>
        </r>
      </text>
    </comment>
    <comment ref="AJ8" authorId="0" shapeId="0" xr:uid="{5C4B158B-7B33-4F5A-850F-D92E1944230B}">
      <text>
        <r>
          <rPr>
            <b/>
            <sz val="9"/>
            <color indexed="81"/>
            <rFont val="Tahoma"/>
            <family val="2"/>
          </rPr>
          <t>Upper bound of the confidence interval for the MEAN response at the chosen X values.</t>
        </r>
      </text>
    </comment>
    <comment ref="AD9" authorId="0" shapeId="0" xr:uid="{229EAEAB-7EF4-43DD-8BFB-4A8AE222CBDB}">
      <text>
        <r>
          <rPr>
            <b/>
            <sz val="9"/>
            <color indexed="81"/>
            <rFont val="Tahoma"/>
            <family val="2"/>
          </rPr>
          <t>AIC with an extra correction for small samples.</t>
        </r>
      </text>
    </comment>
    <comment ref="AJ9" authorId="0" shapeId="0" xr:uid="{F21D0097-FA32-46CB-8C89-7E75C31280BE}">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EC886BFF-728F-4CF7-A8AC-02F452A48B6A}">
      <text>
        <r>
          <rPr>
            <b/>
            <sz val="9"/>
            <color indexed="81"/>
            <rFont val="Tahoma"/>
            <family val="2"/>
          </rPr>
          <t>A numeric check of how close the residuals are to a normal bell shape. Values closer to 1 are better.</t>
        </r>
      </text>
    </comment>
    <comment ref="AJ10" authorId="0" shapeId="0" xr:uid="{592B3004-02E9-4973-BF45-B96D8619FA29}">
      <text>
        <r>
          <rPr>
            <b/>
            <sz val="9"/>
            <color indexed="81"/>
            <rFont val="Tahoma"/>
            <family val="2"/>
          </rPr>
          <t>Upper bound of the prediction interval for a SINGLE new observation at the chosen X values.</t>
        </r>
      </text>
    </comment>
    <comment ref="AD11" authorId="0" shapeId="0" xr:uid="{FC5C75D2-C056-4125-81F7-E48FF9BA0F1D}">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438E5DE1-3160-47EC-9347-2615B1E1FC6B}">
      <text>
        <r>
          <rPr>
            <b/>
            <sz val="9"/>
            <color indexed="81"/>
            <rFont val="Tahoma"/>
            <family val="2"/>
          </rPr>
          <t>The probability level associated with the interval. With alpha 0.05, this is 95%.</t>
        </r>
      </text>
    </comment>
    <comment ref="AA12" authorId="0" shapeId="0" xr:uid="{336EE19F-3DBB-4780-ACCE-836DCE108110}">
      <text>
        <r>
          <rPr>
            <b/>
            <sz val="9"/>
            <color indexed="81"/>
            <rFont val="Tahoma"/>
            <family val="2"/>
          </rPr>
          <t>The cutoff for statistical significance. At 0.05, results with p-values below 0.05 are treated as statistically significant.</t>
        </r>
      </text>
    </comment>
    <comment ref="AD12" authorId="0" shapeId="0" xr:uid="{1E4B115A-D38C-4046-9628-DFCC899951A9}">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4D9956AB-2A08-4CC9-A412-8D11CD1D1E47}">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C1234A14-64BD-44F6-AC5F-8A921CCB3F34}">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9F154CA5-9FDD-42B6-9543-95A4229FB173}">
      <text>
        <r>
          <rPr>
            <b/>
            <sz val="9"/>
            <color indexed="81"/>
            <rFont val="Tahoma"/>
            <family val="2"/>
          </rPr>
          <t>The number of independent data points available to estimate each part of the model — total rows minus one for each estimated parameter.</t>
        </r>
      </text>
    </comment>
    <comment ref="AC14" authorId="0" shapeId="0" xr:uid="{349668AA-4E1B-4002-B886-C91C0C79ADA8}">
      <text>
        <r>
          <rPr>
            <b/>
            <sz val="9"/>
            <color indexed="81"/>
            <rFont val="Tahoma"/>
            <family val="2"/>
          </rPr>
          <t>The total variation attributed to that source — regression, residual, or total. The raw material from which MS and F are calculated.</t>
        </r>
      </text>
    </comment>
    <comment ref="AD14" authorId="0" shapeId="0" xr:uid="{98BDC9CB-A435-4F7E-86E4-7CF996156C91}">
      <text>
        <r>
          <rPr>
            <b/>
            <sz val="9"/>
            <color indexed="81"/>
            <rFont val="Tahoma"/>
            <family val="2"/>
          </rPr>
          <t>Sum of squares averaged over its degrees of freedom — a per-unit measure of variation for that source.</t>
        </r>
      </text>
    </comment>
    <comment ref="AE14" authorId="0" shapeId="0" xr:uid="{6D47C2D5-7559-42E5-9424-7BFE31F78872}">
      <text>
        <r>
          <rPr>
            <b/>
            <sz val="9"/>
            <color indexed="81"/>
            <rFont val="Tahoma"/>
            <family val="2"/>
          </rPr>
          <t>The model-vs-noise ratio used in the overall regression significance test.</t>
        </r>
      </text>
    </comment>
    <comment ref="AF14" authorId="0" shapeId="0" xr:uid="{D693E874-0C4A-41C4-9BED-DE7DA48928B6}">
      <text>
        <r>
          <rPr>
            <b/>
            <sz val="9"/>
            <color indexed="81"/>
            <rFont val="Tahoma"/>
            <family val="2"/>
          </rPr>
          <t>The p-value for the overall F test. Small values mean the model as a whole is unlikely to be pure noise.</t>
        </r>
      </text>
    </comment>
    <comment ref="AJ14" authorId="0" shapeId="0" xr:uid="{61CCD5E9-DB2F-42FC-BB53-B639B2925CA2}">
      <text>
        <r>
          <rPr>
            <b/>
            <sz val="9"/>
            <color indexed="81"/>
            <rFont val="Tahoma"/>
            <family val="2"/>
          </rPr>
          <t>Number of analysis-sample observations in the selected FE group. The Tᵢ used to scale the within-group mean's standard error.</t>
        </r>
      </text>
    </comment>
    <comment ref="AA15" authorId="0" shapeId="0" xr:uid="{A0160107-3EB4-4462-B3FD-A3C6AC990803}">
      <text>
        <r>
          <rPr>
            <b/>
            <sz val="9"/>
            <color indexed="81"/>
            <rFont val="Tahoma"/>
            <family val="2"/>
          </rPr>
          <t>The variation explained by the predictors taken together.</t>
        </r>
      </text>
    </comment>
    <comment ref="AA16" authorId="0" shapeId="0" xr:uid="{2A7230C4-BE3D-46FF-A0DC-ABBDC60E01A6}">
      <text>
        <r>
          <rPr>
            <b/>
            <sz val="9"/>
            <color indexed="81"/>
            <rFont val="Tahoma"/>
            <family val="2"/>
          </rPr>
          <t>The variation the model does not explain.</t>
        </r>
      </text>
    </comment>
    <comment ref="AA17" authorId="0" shapeId="0" xr:uid="{0D30ED62-1FB5-46FA-99F5-415985CEB619}">
      <text>
        <r>
          <rPr>
            <b/>
            <sz val="9"/>
            <color indexed="81"/>
            <rFont val="Tahoma"/>
            <family val="2"/>
          </rPr>
          <t>All variation in the outcome before splitting it into explained and unexplained parts.</t>
        </r>
      </text>
    </comment>
    <comment ref="AJ17" authorId="0" shapeId="0" xr:uid="{62C4D2AC-1428-439A-8E5F-DD0729D389A4}">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60CF2E1E-1B81-45A8-844C-956D59AB458F}">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88C714A9-398C-492B-B988-1A67DB157CD0}">
      <text>
        <r>
          <rPr>
            <b/>
            <sz val="9"/>
            <color indexed="81"/>
            <rFont val="Tahoma"/>
            <family val="2"/>
          </rPr>
          <t>The fitted weights used to turn predictor values into predictions.</t>
        </r>
      </text>
    </comment>
    <comment ref="AC20" authorId="0" shapeId="0" xr:uid="{D46BB91B-949D-4CC8-A1DE-292DE508BE03}">
      <text>
        <r>
          <rPr>
            <b/>
            <sz val="9"/>
            <color indexed="81"/>
            <rFont val="Tahoma"/>
            <family val="2"/>
          </rPr>
          <t>How uncertain each coefficient estimate is.</t>
        </r>
      </text>
    </comment>
    <comment ref="AD20" authorId="0" shapeId="0" xr:uid="{0F98C53B-C843-43B2-8824-1C87396712C8}">
      <text>
        <r>
          <rPr>
            <b/>
            <sz val="9"/>
            <color indexed="81"/>
            <rFont val="Tahoma"/>
            <family val="2"/>
          </rPr>
          <t>How many standard errors the coefficient is away from zero.</t>
        </r>
      </text>
    </comment>
    <comment ref="AE20" authorId="0" shapeId="0" xr:uid="{A4462733-7DB5-40D6-B063-D706738B18A0}">
      <text>
        <r>
          <rPr>
            <b/>
            <sz val="9"/>
            <color indexed="81"/>
            <rFont val="Tahoma"/>
            <family val="2"/>
          </rPr>
          <t>How surprising this coefficient would be if its true effect were zero. Smaller values mean stronger evidence of a real effect.</t>
        </r>
      </text>
    </comment>
    <comment ref="AF20" authorId="0" shapeId="0" xr:uid="{DD834141-9E0D-4303-9F1D-165094D0EE5B}">
      <text>
        <r>
          <rPr>
            <b/>
            <sz val="9"/>
            <color indexed="81"/>
            <rFont val="Tahoma"/>
            <family val="2"/>
          </rPr>
          <t>The lower bound of the 95% confidence interval.</t>
        </r>
      </text>
    </comment>
    <comment ref="AG20" authorId="0" shapeId="0" xr:uid="{F6B7A983-859B-42AF-B123-92FD8B9BACB7}">
      <text>
        <r>
          <rPr>
            <b/>
            <sz val="9"/>
            <color indexed="81"/>
            <rFont val="Tahoma"/>
            <family val="2"/>
          </rPr>
          <t>The upper bound of the 95% confidence interval.</t>
        </r>
      </text>
    </comment>
    <comment ref="AH20" authorId="0" shapeId="0" xr:uid="{80AF2A46-932F-489A-9ED1-C1299B2B7521}">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<sst xmlns="http://schemas.openxmlformats.org/spreadsheetml/2006/main" count="8895" uniqueCount="1944">
  <si>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</si>
  <si>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</si>
  <si>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</si>
  <si>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</si>
  <si>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</si>
  <si>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</si>
  <si>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</si>
  <si>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</si>
  <si>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</si>
  <si>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</si>
  <si>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</si>
  <si>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</si>
  <si>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</si>
  <si>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</si>
  <si>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</si>
  <si>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</si>
  <si>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</si>
  <si>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</si>
  <si>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</si>
  <si>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</si>
  <si>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</si>
  <si>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</si>
  <si>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</si>
  <si>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</si>
  <si>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</si>
  <si>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</si>
  <si>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</si>
  <si>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</si>
  <si>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</si>
  <si>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</si>
  <si>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</si>
  <si>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</si>
  <si>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</si>
  <si>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</si>
  <si>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</si>
  <si>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</si>
  <si>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</si>
  <si>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</si>
  <si>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</si>
  <si>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</si>
  <si>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</si>
  <si>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</si>
  <si>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</si>
  <si>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</si>
  <si>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</si>
  <si>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</si>
  <si>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</si>
  <si>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</si>
  <si>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</si>
  <si>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</si>
  <si>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</si>
  <si>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</si>
  <si>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</si>
  <si>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</si>
  <si>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</si>
  <si>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</si>
  <si>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</si>
  <si>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</si>
  <si>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</si>
  <si>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</si>
  <si>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</si>
  <si>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</si>
  <si>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</si>
  <si>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</si>
  <si>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</si>
  <si>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</si>
  <si>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</si>
  <si>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</si>
  <si>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</si>
  <si>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</si>
  <si>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</si>
  <si>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</si>
  <si>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</si>
  <si>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</si>
  <si>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</si>
  <si>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</si>
  <si>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</si>
  <si>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</si>
  <si>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</si>
  <si>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</si>
  <si>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</si>
  <si>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</si>
  <si>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</si>
  <si>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</si>
  <si>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</si>
  <si>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</si>
  <si>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</si>
  <si>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</si>
  <si>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</si>
  <si>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</si>
  <si>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</si>
  <si>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</si>
  <si>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</si>
  <si>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</si>
  <si>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</si>
  <si>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</si>
  <si>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</si>
  <si>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</si>
  <si>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</si>
  <si>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</si>
  <si>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</si>
  <si>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</si>
  <si>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</si>
  <si>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</si>
  <si>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</si>
  <si>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</si>
  <si>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</si>
  <si>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</si>
  <si>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</si>
  <si>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</si>
  <si>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</si>
  <si>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</si>
  <si>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</si>
  <si>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</si>
  <si>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</si>
  <si>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</si>
  <si>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</si>
  <si>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</si>
  <si>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</si>
  <si>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</si>
  <si>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</si>
  <si>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</si>
  <si>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</si>
  <si>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</si>
  <si>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</si>
  <si>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</si>
  <si>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</si>
  <si>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</si>
  <si>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</si>
  <si>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</si>
  <si>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</si>
  <si>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</si>
  <si>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</si>
  <si>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</si>
  <si>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</si>
  <si>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</si>
  <si>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</si>
  <si>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</si>
  <si>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</si>
  <si>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</si>
  <si>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</si>
  <si>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</si>
  <si>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</si>
  <si>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</si>
  <si>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</si>
  <si>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</si>
  <si>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</si>
  <si>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</si>
  <si>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</si>
  <si>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</si>
  <si>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</si>
  <si>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</si>
  <si>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</si>
  <si>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</si>
  <si>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</si>
  <si>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</si>
  <si>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</si>
  <si>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</si>
  <si>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</si>
  <si>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</si>
  <si>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</si>
  <si>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</si>
  <si>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</si>
  <si>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</si>
  <si>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</si>
  <si>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</si>
  <si>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</si>
  <si>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</si>
  <si>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</si>
  <si>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</si>
  <si>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</si>
  <si>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</si>
  <si>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</si>
  <si>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</si>
  <si>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</si>
  <si>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</si>
  <si>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</si>
  <si>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</si>
  <si>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</si>
  <si>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</si>
  <si>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</si>
  <si>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</si>
  <si>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</si>
  <si>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</si>
  <si>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</si>
  <si>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</si>
  <si>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</si>
  <si>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</si>
  <si>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</si>
  <si>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</si>
  <si>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</si>
  <si>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</si>
  <si>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</si>
  <si>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</si>
  <si>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</si>
  <si>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</si>
  <si>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</si>
  <si>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</si>
  <si>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</si>
  <si>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</si>
  <si>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</si>
  <si>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</si>
  <si>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</si>
  <si>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</si>
  <si>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</si>
  <si>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</si>
  <si>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</si>
  <si>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</si>
  <si>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</si>
  <si>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</si>
  <si>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</si>
  <si>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</si>
  <si>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</si>
  <si>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</si>
  <si>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</si>
  <si>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</si>
  <si>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</si>
  <si>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</si>
  <si>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</si>
  <si>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</si>
  <si>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</si>
  <si>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</si>
  <si>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</si>
  <si>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</si>
  <si>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</si>
  <si>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</si>
  <si>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</si>
  <si>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</si>
  <si>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</si>
  <si>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</si>
  <si>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</si>
  <si>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</si>
  <si>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Grid_Search_Optimum</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</si>
  <si>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</si>
  <si>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</si>
  <si>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</si>
  <si>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</si>
  <si>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</si>
  <si>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</si>
  <si>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</si>
  <si>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</si>
  <si>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</si>
  <si>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</si>
  <si>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</si>
  <si>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</si>
  <si>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</si>
  <si>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</si>
  <si>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</si>
  <si>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</si>
  <si>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</si>
  <si>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</si>
  <si>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</si>
  <si>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</si>
  <si>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</si>
  <si>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</si>
  <si>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</si>
  <si>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</si>
  <si>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</si>
  <si>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</si>
  <si>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</si>
  <si>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</si>
  <si>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</si>
  <si>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</si>
  <si>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</si>
  <si>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</si>
  <si>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</si>
  <si>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</si>
  <si>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</si>
  <si>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</si>
  <si>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</si>
  <si>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</si>
  <si>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</si>
  <si>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</si>
  <si>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</si>
  <si>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</si>
  <si>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</si>
  <si>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</si>
  <si>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</si>
  <si>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</si>
  <si>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</si>
  <si>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</si>
  <si>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</si>
  <si>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</si>
  <si>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</si>
  <si>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</si>
  <si>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</si>
  <si>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</si>
  <si>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</si>
  <si>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</si>
  <si>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</si>
  <si>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</si>
  <si>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</si>
  <si>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</si>
  <si>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</si>
  <si>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</si>
  <si>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</si>
  <si>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</si>
  <si>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</si>
  <si>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</si>
  <si>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</si>
  <si>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</si>
  <si>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</si>
  <si>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</si>
  <si>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</si>
  <si>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</si>
  <si>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</si>
  <si>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</si>
  <si>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</si>
  <si>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</si>
  <si>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</si>
  <si>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</si>
  <si>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</si>
  <si>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</si>
  <si>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</si>
  <si>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</si>
  <si>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</si>
  <si>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</si>
  <si>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</si>
  <si>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</si>
  <si>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</si>
  <si>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</si>
  <si>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</si>
  <si>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</si>
  <si>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</si>
  <si>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</si>
  <si>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</si>
  <si>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</si>
  <si>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</si>
  <si>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</si>
  <si>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</si>
  <si>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</si>
  <si>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</si>
  <si>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</si>
  <si>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</si>
  <si>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</si>
  <si>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</si>
  <si>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</si>
  <si>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</si>
  <si>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</si>
  <si>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</si>
  <si>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</si>
  <si>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</si>
  <si>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</si>
  <si>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</si>
  <si>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</si>
  <si>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</si>
  <si>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</si>
  <si>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</si>
  <si>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</si>
  <si>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</si>
  <si>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</si>
  <si>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</si>
  <si>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</si>
  <si>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</si>
  <si>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</si>
  <si>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</si>
  <si>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</si>
  <si>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</si>
  <si>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</si>
  <si>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</si>
  <si>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</si>
  <si>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</si>
  <si>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</si>
  <si>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</si>
  <si>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</si>
  <si>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</si>
  <si>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</si>
  <si>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</si>
  <si>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</si>
  <si>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</si>
  <si>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</si>
  <si>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</si>
  <si>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</si>
  <si>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</si>
  <si>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</si>
  <si>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</si>
  <si>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</si>
  <si>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</si>
  <si>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</si>
  <si>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</si>
  <si>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</si>
  <si>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</si>
  <si>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</si>
  <si>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</si>
  <si>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</si>
  <si>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</si>
  <si>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</si>
  <si>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</si>
  <si>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</si>
  <si>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</si>
  <si>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</si>
  <si>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</si>
  <si>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</si>
  <si>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</si>
  <si>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</si>
  <si>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</si>
  <si>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</si>
  <si>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</si>
  <si>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</si>
  <si>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</si>
  <si>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</si>
  <si>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</si>
  <si>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</si>
  <si>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</si>
  <si>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</si>
  <si>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</si>
  <si>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</si>
  <si>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</si>
  <si>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</si>
  <si>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</si>
  <si>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</si>
  <si>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</si>
  <si>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</si>
  <si>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</si>
  <si>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</si>
  <si>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</si>
  <si>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</si>
  <si>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</si>
  <si>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</si>
  <si>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</si>
  <si>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</si>
  <si>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</si>
  <si>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</si>
  <si>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</si>
  <si>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</si>
  <si>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</si>
  <si>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</si>
  <si>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</si>
  <si>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</si>
  <si>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</si>
  <si>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</si>
  <si>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</si>
  <si>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</si>
  <si>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</si>
  <si>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</si>
  <si>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</si>
  <si>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</si>
  <si>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</si>
  <si>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</si>
  <si>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</si>
  <si>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</si>
  <si>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</si>
  <si>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</si>
  <si>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</si>
  <si>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</si>
  <si>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</si>
  <si>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</si>
  <si>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</si>
  <si>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</si>
  <si>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</si>
  <si>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</si>
  <si>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</si>
  <si>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</si>
  <si>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</si>
  <si>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</si>
  <si>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</si>
  <si>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</si>
  <si>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</si>
  <si>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</si>
  <si>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</si>
  <si>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</si>
  <si>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</si>
  <si>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</si>
  <si>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</si>
  <si>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</si>
  <si>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</si>
  <si>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</si>
  <si>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</si>
  <si>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</si>
  <si>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</si>
  <si>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</si>
  <si>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</si>
  <si>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</si>
  <si>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</si>
  <si>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</si>
  <si>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</si>
  <si>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</si>
  <si>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</si>
  <si>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</si>
  <si>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</si>
  <si>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</si>
  <si>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</si>
  <si>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</si>
  <si>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</si>
  <si>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</si>
  <si>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</si>
  <si>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</si>
  <si>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</si>
  <si>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</si>
  <si>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</si>
  <si>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</si>
  <si>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</si>
  <si>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</si>
  <si>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</si>
  <si>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</si>
  <si>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</si>
  <si>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</si>
  <si>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</si>
  <si>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</si>
  <si>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</si>
  <si>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</si>
  <si>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</si>
  <si>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</si>
  <si>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</si>
  <si>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</si>
  <si>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</si>
  <si>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</si>
  <si>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</si>
  <si>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</si>
  <si>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</si>
  <si>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</si>
  <si>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</si>
  <si>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</si>
  <si>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</si>
  <si>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</si>
  <si>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</si>
  <si>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</si>
  <si>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</si>
  <si>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</si>
  <si>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</si>
  <si>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</si>
  <si>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</si>
  <si>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</si>
  <si>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</si>
  <si>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</si>
  <si>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</si>
  <si>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</si>
  <si>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</si>
  <si>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</si>
  <si>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</si>
  <si>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</si>
  <si>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</si>
  <si>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</si>
  <si>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</si>
  <si>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</si>
  <si>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</si>
  <si>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</si>
  <si>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</si>
  <si>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</si>
  <si>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</si>
  <si>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</si>
  <si>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</si>
  <si>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</si>
  <si>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</si>
  <si>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</si>
  <si>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</si>
  <si>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</si>
  <si>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</si>
  <si>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</si>
  <si>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</si>
  <si>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</si>
  <si>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</si>
  <si>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</si>
  <si>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</si>
  <si>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</si>
  <si>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</si>
  <si>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</si>
  <si>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</si>
  <si>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</si>
  <si>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</si>
  <si>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</si>
  <si>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</si>
  <si>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</si>
  <si>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</si>
  <si>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</si>
  <si>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</si>
  <si>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</si>
  <si>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</si>
  <si>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</si>
  <si>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</si>
  <si>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</si>
  <si>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</si>
  <si>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</si>
  <si>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</si>
  <si>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</si>
  <si>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</si>
  <si>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</si>
  <si>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</si>
  <si>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</si>
  <si>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</si>
  <si>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</si>
  <si>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</si>
  <si>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</si>
  <si>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</si>
  <si>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</si>
  <si>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</si>
  <si>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</si>
  <si>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</si>
  <si>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</si>
  <si>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</si>
  <si>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</si>
  <si>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</si>
  <si>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</si>
  <si>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</si>
  <si>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</si>
  <si>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</si>
  <si>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</si>
  <si>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</si>
  <si>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</si>
  <si>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</si>
  <si>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</si>
  <si>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</si>
  <si>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</si>
  <si>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</si>
  <si>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</si>
  <si>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</si>
  <si>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</si>
  <si>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</si>
  <si>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</si>
  <si>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</si>
  <si>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</si>
  <si>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</si>
  <si>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</si>
  <si>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</si>
  <si>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</si>
  <si>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</si>
  <si>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</si>
  <si>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</si>
  <si>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</si>
  <si>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</si>
  <si>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</si>
  <si>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</si>
  <si>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</si>
  <si>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</si>
  <si>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</si>
  <si>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</si>
  <si>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</si>
  <si>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</si>
  <si>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</si>
  <si>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</si>
  <si>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</si>
  <si>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</si>
  <si>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</si>
  <si>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</si>
  <si>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</si>
  <si>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</si>
  <si>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</si>
  <si>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</si>
  <si>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</si>
  <si>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</si>
  <si>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</si>
  <si>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</si>
  <si>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</si>
  <si>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</si>
  <si>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</si>
  <si>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</si>
  <si>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</si>
  <si>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</si>
  <si>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</si>
  <si>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</si>
  <si>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</si>
  <si>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</si>
  <si>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</si>
  <si>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</si>
  <si>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</si>
  <si>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</si>
  <si>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</si>
  <si>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</si>
  <si>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</si>
  <si>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</si>
  <si>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</si>
  <si>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</si>
  <si>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</si>
  <si>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</si>
  <si>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</si>
  <si>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</si>
  <si>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</si>
  <si>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</si>
  <si>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</si>
  <si>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</si>
  <si>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</si>
  <si>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</si>
  <si>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</si>
  <si>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</si>
  <si>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</si>
  <si>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</si>
  <si>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</si>
  <si>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</si>
  <si>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</si>
  <si>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</si>
  <si>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</si>
  <si>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</si>
  <si>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</si>
  <si>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</si>
  <si>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</si>
  <si>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</si>
  <si>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</si>
  <si>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</si>
  <si>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</si>
  <si>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</si>
  <si>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</si>
  <si>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</si>
  <si>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</si>
  <si>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</si>
  <si>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</si>
  <si>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</si>
  <si>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</si>
  <si>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</si>
  <si>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</si>
  <si>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</si>
  <si>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</si>
  <si>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</si>
  <si>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</si>
  <si>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</si>
  <si>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</si>
  <si>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</si>
  <si>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</si>
  <si>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</si>
  <si>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</si>
  <si>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</si>
  <si>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</si>
  <si>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</si>
  <si>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</si>
  <si>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</si>
  <si>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</si>
  <si>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</si>
  <si>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</si>
  <si>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</si>
  <si>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</si>
  <si>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</si>
  <si>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</si>
  <si>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</si>
  <si>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</si>
  <si>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</si>
  <si>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</si>
  <si>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</si>
  <si>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</si>
  <si>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</si>
  <si>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</si>
  <si>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</si>
  <si>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</si>
  <si>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</si>
  <si>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</si>
  <si>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</si>
  <si>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</si>
  <si>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</si>
  <si>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</si>
  <si>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</si>
  <si>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</si>
  <si>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</si>
  <si>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</si>
  <si>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</si>
  <si>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</si>
  <si>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</si>
  <si>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</si>
  <si>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</si>
  <si>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</si>
  <si>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</si>
  <si>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</si>
  <si>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</si>
  <si>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</si>
  <si>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</si>
  <si>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</si>
  <si>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</si>
  <si>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</si>
  <si>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</si>
  <si>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</si>
  <si>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</si>
  <si>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</si>
  <si>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</si>
  <si>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</si>
  <si>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</si>
  <si>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</si>
  <si>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</si>
  <si>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</si>
  <si>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</si>
  <si>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</si>
  <si>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</si>
  <si>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</si>
  <si>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</si>
  <si>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</si>
  <si>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</si>
  <si>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</si>
  <si>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</si>
  <si>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</si>
  <si>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</si>
  <si>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</si>
  <si>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</si>
  <si>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</si>
  <si>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</si>
  <si>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</si>
  <si>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</si>
  <si>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</si>
  <si>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</si>
  <si>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</si>
  <si>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</si>
  <si>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</si>
  <si>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</si>
  <si>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</si>
  <si>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</si>
  <si>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</si>
  <si>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</si>
  <si>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</si>
  <si>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</si>
  <si>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</si>
  <si>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</si>
  <si>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</si>
  <si>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</si>
  <si>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</si>
  <si>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</si>
  <si>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</si>
  <si>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</si>
  <si>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</si>
  <si>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</si>
  <si>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</si>
  <si>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</si>
  <si>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</si>
  <si>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</si>
  <si>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</si>
  <si>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</si>
  <si>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</si>
  <si>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</si>
  <si>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</si>
  <si>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</si>
  <si>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</si>
  <si>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</si>
  <si>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</si>
  <si>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</si>
  <si>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</si>
  <si>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</si>
  <si>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</si>
  <si>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</si>
  <si>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</si>
  <si>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</si>
  <si>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</si>
  <si>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</si>
  <si>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</si>
  <si>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</si>
  <si>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</si>
  <si>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</si>
  <si>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</si>
  <si>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</si>
  <si>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</si>
  <si>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</si>
  <si>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</si>
  <si>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</si>
  <si>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</si>
  <si>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</si>
  <si>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</si>
  <si>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</si>
  <si>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</si>
  <si>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</si>
  <si>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</si>
  <si>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</si>
  <si>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</si>
  <si>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</si>
  <si>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</si>
  <si>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</si>
  <si>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</si>
  <si>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</si>
  <si>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</si>
  <si>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</si>
  <si>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</si>
  <si>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</si>
  <si>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</si>
  <si>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</si>
  <si>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</si>
  <si>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</si>
  <si>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</si>
  <si>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</si>
  <si>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</si>
  <si>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</si>
  <si>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</si>
  <si>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</si>
  <si>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</si>
  <si>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</si>
  <si>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</si>
  <si>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</si>
  <si>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</si>
  <si>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</si>
  <si>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</si>
  <si>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</si>
  <si>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</si>
  <si>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</si>
  <si>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</si>
  <si>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</si>
  <si>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</si>
  <si>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</si>
  <si>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</si>
  <si>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</si>
  <si>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</si>
  <si>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</si>
  <si>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</si>
  <si>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</si>
  <si>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</si>
  <si>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</si>
  <si>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</si>
  <si>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</si>
  <si>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</si>
  <si>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</si>
  <si>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</si>
  <si>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</si>
  <si>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</si>
  <si>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</si>
  <si>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</si>
  <si>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</si>
  <si>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</si>
  <si>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</si>
  <si>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</si>
  <si>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</si>
  <si>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</si>
  <si>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</si>
  <si>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</si>
  <si>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</si>
  <si>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</si>
  <si>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</si>
  <si>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</si>
  <si>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</si>
  <si>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</si>
  <si>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</si>
  <si>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</si>
  <si>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</si>
  <si>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</si>
  <si>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</si>
  <si>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</si>
  <si>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</si>
  <si>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</si>
  <si>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</si>
  <si>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</si>
  <si>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</si>
  <si>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</si>
  <si>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</si>
  <si>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</si>
  <si>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</si>
  <si>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</si>
  <si>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</si>
  <si>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</si>
  <si>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</si>
  <si>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</si>
  <si>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</si>
  <si>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</si>
  <si>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</si>
  <si>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</si>
  <si>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</si>
  <si>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</si>
  <si>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</si>
  <si>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</si>
  <si>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</si>
  <si>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</si>
  <si>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</si>
  <si>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</si>
  <si>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</si>
  <si>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</si>
  <si>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</si>
  <si>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</si>
  <si>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</si>
  <si>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</si>
  <si>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</si>
  <si>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</si>
  <si>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</si>
  <si>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</si>
  <si>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</si>
  <si>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</si>
  <si>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</si>
  <si>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</si>
  <si>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</si>
  <si>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</si>
  <si>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</si>
  <si>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</si>
  <si>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</si>
  <si>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</si>
  <si>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</si>
  <si>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</si>
  <si>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</si>
  <si>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</si>
  <si>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</si>
  <si>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</si>
  <si>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</si>
  <si>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</si>
  <si>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</si>
  <si>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</si>
  <si>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</si>
  <si>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</si>
  <si>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</si>
  <si>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</si>
  <si>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</si>
  <si>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</si>
  <si>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</si>
  <si>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</si>
  <si>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</si>
  <si>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</si>
  <si>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</si>
  <si>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</si>
  <si>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</si>
  <si>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</si>
  <si>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</si>
  <si>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</si>
  <si>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</si>
  <si>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</si>
  <si>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</si>
  <si>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</si>
  <si>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</si>
  <si>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</si>
  <si>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</si>
  <si>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</si>
  <si>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</si>
  <si>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</si>
  <si>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</si>
  <si>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</si>
  <si>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</si>
  <si>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</si>
  <si>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</si>
  <si>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</si>
  <si>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</si>
  <si>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</si>
  <si>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</si>
  <si>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</si>
  <si>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</si>
  <si>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</si>
  <si>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</si>
  <si>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</si>
  <si>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</si>
  <si>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</si>
  <si>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</si>
  <si>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</si>
  <si>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</si>
  <si>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</si>
  <si>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</si>
  <si>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</si>
  <si>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</si>
  <si>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</si>
  <si>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</si>
  <si>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</si>
  <si>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</si>
  <si>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</si>
  <si>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</si>
  <si>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</si>
  <si>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</si>
  <si>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</si>
  <si>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</si>
  <si>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</si>
  <si>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</si>
  <si>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</si>
  <si>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</si>
  <si>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</si>
  <si>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</si>
  <si>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</si>
  <si>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</si>
  <si>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</si>
  <si>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</si>
  <si>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</si>
  <si>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</si>
  <si>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</si>
  <si>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</si>
  <si>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</si>
  <si>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</si>
  <si>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</si>
  <si>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</si>
  <si>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</si>
  <si>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</si>
  <si>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</si>
  <si>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</si>
  <si>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</si>
  <si>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</si>
  <si>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</si>
  <si>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</si>
  <si>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</si>
  <si>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</si>
  <si>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</si>
  <si>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</si>
  <si>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</si>
  <si>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</si>
  <si>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</si>
  <si>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</si>
  <si>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</si>
  <si>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</si>
  <si>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</si>
  <si>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</si>
  <si>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</si>
  <si>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</si>
  <si>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</si>
  <si>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</si>
  <si>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</si>
  <si>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</si>
  <si>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</si>
  <si>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</si>
  <si>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</si>
  <si>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</si>
  <si>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</si>
  <si>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</si>
  <si>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</si>
  <si>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</si>
  <si>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</si>
  <si>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</si>
  <si>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</si>
  <si>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</si>
  <si>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</si>
  <si>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</si>
  <si>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</si>
  <si>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</si>
  <si>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</si>
  <si>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</si>
  <si>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</si>
  <si>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</si>
  <si>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</si>
  <si>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</si>
  <si>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</si>
  <si>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</si>
  <si>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</si>
  <si>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</si>
  <si>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</si>
  <si>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</si>
  <si>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</si>
  <si>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</si>
  <si>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</si>
  <si>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</si>
  <si>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</si>
  <si>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</si>
  <si>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</si>
  <si>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</si>
  <si>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</si>
  <si>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</si>
  <si>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</si>
  <si>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</si>
  <si>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</si>
  <si>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</si>
  <si>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</si>
  <si>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</si>
  <si>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</si>
  <si>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</si>
  <si>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</si>
  <si>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</si>
  <si>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</si>
  <si>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</si>
  <si>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</si>
  <si>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</si>
  <si>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</si>
  <si>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</si>
  <si>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</si>
  <si>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</si>
  <si>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</si>
  <si>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</si>
  <si>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</si>
  <si>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</si>
  <si>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</si>
  <si>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</si>
  <si>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</si>
  <si>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</si>
  <si>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</si>
  <si>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</si>
  <si>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</si>
  <si>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</si>
  <si>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</si>
  <si>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</si>
  <si>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</si>
  <si>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</si>
  <si>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</si>
  <si>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</si>
  <si>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</si>
  <si>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</si>
  <si>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</si>
  <si>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</si>
  <si>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</si>
  <si>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</si>
  <si>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</si>
  <si>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</si>
  <si>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</si>
  <si>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</si>
  <si>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</si>
  <si>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</si>
  <si>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</si>
  <si>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</si>
  <si>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</si>
  <si>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</si>
  <si>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</si>
  <si>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</si>
  <si>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</si>
  <si>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</si>
  <si>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</si>
  <si>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</si>
  <si>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</si>
  <si>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</si>
  <si>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</si>
  <si>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</si>
  <si>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</si>
  <si>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</si>
  <si>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</si>
  <si>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</si>
  <si>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</si>
  <si>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</si>
  <si>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</si>
  <si>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</si>
  <si>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</si>
  <si>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</si>
  <si>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</si>
  <si>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</si>
  <si>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</si>
  <si>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</si>
  <si>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</si>
  <si>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</si>
  <si>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</si>
  <si>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</si>
  <si>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</si>
  <si>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</si>
  <si>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</si>
  <si>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</si>
  <si>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</si>
  <si>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</si>
  <si>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</si>
  <si>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</si>
  <si>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</si>
  <si>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</si>
  <si>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</si>
  <si>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</si>
  <si>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</si>
  <si>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</si>
  <si>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</si>
  <si>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</si>
  <si>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</si>
  <si>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</si>
  <si>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</si>
  <si>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</si>
  <si>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</si>
  <si>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</si>
  <si>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</si>
  <si>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</si>
  <si>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</si>
  <si>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</si>
  <si>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</si>
  <si>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</si>
  <si>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</si>
  <si>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</si>
  <si>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</si>
  <si>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</si>
  <si>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</si>
  <si>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</si>
  <si>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</si>
  <si>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</si>
  <si>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</si>
  <si>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</si>
  <si>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</si>
  <si>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</si>
  <si>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</si>
  <si>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</si>
  <si>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</si>
  <si>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</si>
  <si>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</si>
  <si>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</si>
  <si>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</si>
  <si>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</si>
  <si>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</si>
  <si>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</si>
  <si>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</si>
  <si>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</si>
  <si>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</si>
  <si>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</si>
  <si>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</si>
  <si>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</si>
  <si>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</si>
  <si>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</si>
  <si>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</si>
  <si>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</si>
  <si>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</si>
  <si>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</si>
  <si>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</si>
  <si>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</si>
  <si>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</si>
  <si>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</si>
  <si>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</si>
  <si>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</si>
  <si>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</si>
  <si>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</si>
  <si>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</si>
  <si>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</si>
  <si>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</si>
  <si>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</si>
  <si>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</si>
  <si>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</si>
  <si>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</si>
  <si>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</si>
  <si>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</si>
  <si>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</si>
  <si>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</si>
  <si>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</si>
  <si>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</si>
  <si>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</si>
  <si>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</si>
  <si>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</si>
  <si>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</si>
  <si>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</si>
  <si>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</si>
  <si>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</si>
  <si>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</si>
  <si>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</si>
  <si>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</si>
  <si>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</si>
  <si>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</si>
  <si>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</si>
  <si>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</si>
  <si>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</si>
  <si>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</si>
  <si>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</si>
  <si>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</si>
  <si>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</si>
  <si>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</si>
  <si>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</si>
  <si>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</si>
  <si>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</si>
  <si>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</si>
  <si>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</si>
  <si>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</si>
  <si>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</si>
  <si>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</si>
  <si>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</si>
  <si>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</si>
  <si>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</si>
  <si>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</si>
  <si>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</si>
  <si>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</si>
  <si>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</si>
  <si>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</si>
  <si>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</si>
  <si>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</si>
  <si>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</si>
  <si>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</si>
  <si>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</si>
  <si>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</si>
  <si>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</si>
  <si>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</si>
  <si>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</si>
  <si>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</si>
  <si>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</si>
  <si>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</si>
  <si>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</si>
  <si>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</si>
  <si>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</si>
  <si>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</si>
  <si>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</si>
  <si>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</si>
  <si>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</si>
  <si>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</si>
  <si>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</si>
  <si>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</si>
  <si>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</si>
  <si>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</si>
  <si>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</si>
  <si>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</si>
  <si>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</si>
  <si>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</si>
  <si>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</si>
  <si>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</si>
  <si>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</si>
  <si>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</si>
  <si>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</si>
  <si>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</si>
  <si>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</si>
  <si>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</si>
  <si>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</si>
  <si>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</si>
  <si>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</si>
  <si>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</si>
  <si>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</si>
  <si>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</si>
  <si>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</si>
  <si>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</si>
  <si>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</si>
  <si>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</si>
  <si>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</si>
  <si>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</si>
  <si>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</si>
  <si>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</si>
  <si>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</si>
  <si>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</si>
  <si>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</si>
  <si>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</si>
  <si>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</si>
  <si>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</si>
  <si>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</si>
  <si>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</si>
  <si>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</si>
  <si>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</si>
  <si>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</si>
  <si>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</si>
  <si>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</si>
  <si>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</si>
  <si>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</si>
  <si>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</si>
  <si>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</si>
  <si>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</si>
  <si>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</si>
  <si>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</si>
  <si>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</si>
  <si>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</si>
  <si>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</si>
  <si>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</si>
  <si>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</si>
  <si>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</si>
  <si>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</si>
  <si>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</si>
  <si>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</si>
  <si>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</si>
  <si>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</si>
  <si>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</si>
  <si>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</si>
  <si>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</si>
  <si>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</si>
  <si>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</si>
  <si>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</si>
  <si>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</si>
  <si>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</si>
  <si>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</si>
  <si>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</si>
  <si>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</si>
  <si>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</si>
  <si>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</si>
  <si>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</si>
  <si>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</si>
  <si>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</si>
  <si>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</si>
  <si>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</si>
  <si>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</si>
  <si>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</si>
  <si>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</si>
  <si>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</si>
  <si>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</si>
  <si>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</si>
  <si>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</si>
  <si>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</si>
  <si>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</si>
  <si>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</si>
  <si>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</si>
  <si>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</si>
  <si>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</si>
  <si>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</si>
  <si>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</si>
  <si>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</si>
  <si>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</si>
  <si>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</si>
  <si>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</si>
  <si>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</si>
  <si>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</si>
  <si>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</si>
  <si>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</si>
  <si>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</si>
  <si>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</si>
  <si>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</si>
  <si>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</si>
  <si>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</si>
  <si>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</si>
  <si>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</si>
  <si>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</si>
  <si>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</si>
  <si>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</si>
  <si>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</si>
  <si>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</si>
  <si>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</si>
  <si>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</si>
  <si>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</si>
  <si>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</si>
  <si>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</si>
  <si>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</si>
  <si>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</si>
  <si>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</si>
  <si>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</si>
  <si>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</si>
  <si>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</si>
  <si>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</si>
  <si>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</si>
  <si>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</si>
  <si>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</si>
  <si>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</si>
  <si>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</si>
  <si>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</si>
  <si>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</si>
  <si>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</si>
  <si>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</si>
  <si>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</si>
  <si>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</si>
  <si>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</si>
  <si>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</si>
  <si>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</si>
  <si>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</si>
  <si>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</si>
  <si>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</si>
  <si>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</si>
  <si>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</si>
  <si>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</si>
  <si>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</si>
  <si>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</si>
  <si>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</si>
  <si>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</si>
  <si>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</si>
  <si>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</si>
  <si>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</si>
  <si>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</si>
  <si>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</si>
  <si>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</si>
  <si>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</si>
  <si>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</si>
  <si>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</si>
  <si>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</si>
  <si>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</si>
  <si>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</si>
  <si>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</si>
  <si>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</si>
  <si>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</si>
  <si>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</si>
  <si>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</si>
  <si>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</si>
  <si>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</si>
  <si>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</si>
  <si>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</si>
  <si>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</si>
  <si>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</si>
  <si>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</si>
  <si>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</si>
  <si>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</si>
  <si>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</si>
  <si>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</si>
  <si>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</si>
  <si>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</si>
  <si>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</si>
  <si>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</si>
  <si>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</si>
  <si>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</si>
  <si>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</si>
  <si>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</si>
  <si>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</si>
  <si>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</si>
  <si>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</si>
  <si>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</si>
  <si>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</si>
  <si>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</si>
  <si>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</si>
  <si>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</si>
  <si>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</si>
  <si>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</si>
  <si>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</si>
  <si>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</si>
  <si>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</si>
  <si>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</si>
  <si>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</si>
  <si>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</si>
  <si>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</si>
  <si>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</si>
  <si>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MileageData by default; a second sample table, LifeExpectancyData (on the Life Expectancy Data sheet), ships with the workbook if you want to practice this retarget before pointing at your own data.</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</si>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</sst>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MPG</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Regression!RegChartResid</c:f>
              <c:numCache>
                <c:formatCode>0.0000</c:formatCode>
                <c:ptCount val="392"/>
                <c:pt idx="0">
                  <c:v>1.1614263735683856</c:v>
                </c:pt>
                <c:pt idx="1">
                  <c:v>-0.31333299080061749</c:v>
                </c:pt>
                <c:pt idx="2">
                  <c:v>1.1418499588112674</c:v>
                </c:pt>
                <c:pt idx="3">
                  <c:v>-0.8733399700340847</c:v>
                </c:pt>
                <c:pt idx="4">
                  <c:v>4.5308664272372567E-2</c:v>
                </c:pt>
                <c:pt idx="5">
                  <c:v>3.503493894261883</c:v>
                </c:pt>
                <c:pt idx="6">
                  <c:v>2.9265184222363096</c:v>
                </c:pt>
                <c:pt idx="7">
                  <c:v>2.6326772586336986</c:v>
                </c:pt>
                <c:pt idx="8">
                  <c:v>3.3671955646772993</c:v>
                </c:pt>
                <c:pt idx="9">
                  <c:v>0.88751741761123881</c:v>
                </c:pt>
                <c:pt idx="10">
                  <c:v>-0.89038108099808611</c:v>
                </c:pt>
                <c:pt idx="11">
                  <c:v>-1.8198331582381293</c:v>
                </c:pt>
                <c:pt idx="12">
                  <c:v>-0.21257441627579254</c:v>
                </c:pt>
                <c:pt idx="13">
                  <c:v>-3.4125760099640203</c:v>
                </c:pt>
                <c:pt idx="14">
                  <c:v>-1.1984568402166964</c:v>
                </c:pt>
                <c:pt idx="15">
                  <c:v>1.1956705034511117</c:v>
                </c:pt>
                <c:pt idx="16">
                  <c:v>-3.0705918999336888</c:v>
                </c:pt>
                <c:pt idx="17">
                  <c:v>-1.2122679814030128</c:v>
                </c:pt>
                <c:pt idx="18">
                  <c:v>0.46256720925027039</c:v>
                </c:pt>
                <c:pt idx="19">
                  <c:v>-2.5910624273080458</c:v>
                </c:pt>
                <c:pt idx="20">
                  <c:v>1.3126214306398545</c:v>
                </c:pt>
                <c:pt idx="21">
                  <c:v>-0.86399020035777241</c:v>
                </c:pt>
                <c:pt idx="22">
                  <c:v>-6.129006942149573E-2</c:v>
                </c:pt>
                <c:pt idx="23">
                  <c:v>0.51703905001078354</c:v>
                </c:pt>
                <c:pt idx="24">
                  <c:v>-0.82222393511318614</c:v>
                </c:pt>
                <c:pt idx="25">
                  <c:v>0.16686007201407449</c:v>
                </c:pt>
                <c:pt idx="26">
                  <c:v>-1.2868174053019423</c:v>
                </c:pt>
                <c:pt idx="27">
                  <c:v>-9.4073228075835402E-2</c:v>
                </c:pt>
                <c:pt idx="28">
                  <c:v>-0.59793420599516978</c:v>
                </c:pt>
                <c:pt idx="29">
                  <c:v>-0.44784298533257427</c:v>
                </c:pt>
                <c:pt idx="30">
                  <c:v>3.3230549780991403</c:v>
                </c:pt>
                <c:pt idx="31">
                  <c:v>-1.8379836193763524</c:v>
                </c:pt>
                <c:pt idx="32">
                  <c:v>-3.6411561447722569</c:v>
                </c:pt>
                <c:pt idx="33">
                  <c:v>-2.4840097448355749</c:v>
                </c:pt>
                <c:pt idx="34">
                  <c:v>-2.1221559622661204</c:v>
                </c:pt>
                <c:pt idx="35">
                  <c:v>-0.45370250531676248</c:v>
                </c:pt>
                <c:pt idx="36">
                  <c:v>-1.3297516564859073</c:v>
                </c:pt>
                <c:pt idx="37">
                  <c:v>0.38892457601677854</c:v>
                </c:pt>
                <c:pt idx="38">
                  <c:v>1.8424328474069629</c:v>
                </c:pt>
                <c:pt idx="39">
                  <c:v>-8.4394636257130173E-2</c:v>
                </c:pt>
                <c:pt idx="40">
                  <c:v>-0.42677588979452707</c:v>
                </c:pt>
                <c:pt idx="41">
                  <c:v>2.4097000281969816</c:v>
                </c:pt>
                <c:pt idx="42">
                  <c:v>2.1891039991021781</c:v>
                </c:pt>
                <c:pt idx="43">
                  <c:v>4.2652301472258802</c:v>
                </c:pt>
                <c:pt idx="44">
                  <c:v>-2.8180262714785549</c:v>
                </c:pt>
                <c:pt idx="45">
                  <c:v>-2.2400842124877869</c:v>
                </c:pt>
                <c:pt idx="46">
                  <c:v>-0.36013151417660794</c:v>
                </c:pt>
                <c:pt idx="47">
                  <c:v>-2.2790219725807894</c:v>
                </c:pt>
                <c:pt idx="48">
                  <c:v>-1.9646763727801577</c:v>
                </c:pt>
                <c:pt idx="49">
                  <c:v>0.67116355321854115</c:v>
                </c:pt>
                <c:pt idx="50">
                  <c:v>2.0983327430070027</c:v>
                </c:pt>
                <c:pt idx="51">
                  <c:v>2.1501815481921938</c:v>
                </c:pt>
                <c:pt idx="52">
                  <c:v>1.3711175471393062</c:v>
                </c:pt>
                <c:pt idx="53">
                  <c:v>4.6259337365347868</c:v>
                </c:pt>
                <c:pt idx="54">
                  <c:v>-2.2792258841564284</c:v>
                </c:pt>
                <c:pt idx="55">
                  <c:v>-0.56623633204275237</c:v>
                </c:pt>
                <c:pt idx="56">
                  <c:v>-1.3284562040783996</c:v>
                </c:pt>
                <c:pt idx="57">
                  <c:v>0.71831586621972932</c:v>
                </c:pt>
                <c:pt idx="58">
                  <c:v>-2.9936925029865264</c:v>
                </c:pt>
                <c:pt idx="59">
                  <c:v>-2.6914665027819353</c:v>
                </c:pt>
                <c:pt idx="60">
                  <c:v>-2.6779345805473476</c:v>
                </c:pt>
                <c:pt idx="61">
                  <c:v>0.97440163554147929</c:v>
                </c:pt>
                <c:pt idx="62">
                  <c:v>2.6987933223548524</c:v>
                </c:pt>
                <c:pt idx="63">
                  <c:v>2.0270551197371383</c:v>
                </c:pt>
                <c:pt idx="64">
                  <c:v>1.0453845579070631</c:v>
                </c:pt>
                <c:pt idx="65">
                  <c:v>1.6827427679380875</c:v>
                </c:pt>
                <c:pt idx="66">
                  <c:v>1.4902963613706568</c:v>
                </c:pt>
                <c:pt idx="67">
                  <c:v>1.9664719082526894</c:v>
                </c:pt>
                <c:pt idx="68">
                  <c:v>0.81474182572501874</c:v>
                </c:pt>
                <c:pt idx="69">
                  <c:v>2.1296822574172829</c:v>
                </c:pt>
                <c:pt idx="70">
                  <c:v>-6.0326912401852439</c:v>
                </c:pt>
                <c:pt idx="71">
                  <c:v>0.79667088326377211</c:v>
                </c:pt>
                <c:pt idx="72">
                  <c:v>-0.48501597509299899</c:v>
                </c:pt>
                <c:pt idx="73">
                  <c:v>0.66975702900528944</c:v>
                </c:pt>
                <c:pt idx="74">
                  <c:v>0.7333831620603668</c:v>
                </c:pt>
                <c:pt idx="75">
                  <c:v>-3.6139922210168791</c:v>
                </c:pt>
                <c:pt idx="76">
                  <c:v>-2.3352204289236234</c:v>
                </c:pt>
                <c:pt idx="77">
                  <c:v>-0.78699077756003533</c:v>
                </c:pt>
                <c:pt idx="78">
                  <c:v>-7.9261148666002867E-2</c:v>
                </c:pt>
                <c:pt idx="79">
                  <c:v>-0.82223525559261645</c:v>
                </c:pt>
                <c:pt idx="80">
                  <c:v>2.6734675962121486</c:v>
                </c:pt>
                <c:pt idx="81">
                  <c:v>-1.1415487479246949</c:v>
                </c:pt>
                <c:pt idx="82">
                  <c:v>3.9107216315941677</c:v>
                </c:pt>
                <c:pt idx="83">
                  <c:v>0.65661966075603573</c:v>
                </c:pt>
                <c:pt idx="84">
                  <c:v>0.61605239359652231</c:v>
                </c:pt>
                <c:pt idx="85">
                  <c:v>-0.95695492051196851</c:v>
                </c:pt>
                <c:pt idx="86">
                  <c:v>-0.4381312419027843</c:v>
                </c:pt>
                <c:pt idx="87">
                  <c:v>0.70539602168519266</c:v>
                </c:pt>
                <c:pt idx="88">
                  <c:v>0.57469258907529053</c:v>
                </c:pt>
                <c:pt idx="89">
                  <c:v>4.3034301206074268</c:v>
                </c:pt>
                <c:pt idx="90">
                  <c:v>2.0531862946604917</c:v>
                </c:pt>
                <c:pt idx="91">
                  <c:v>1.6716834791620272</c:v>
                </c:pt>
                <c:pt idx="92">
                  <c:v>1.9038150120289892</c:v>
                </c:pt>
                <c:pt idx="93">
                  <c:v>4.4807112773372957</c:v>
                </c:pt>
                <c:pt idx="94">
                  <c:v>4.7367504737379171</c:v>
                </c:pt>
                <c:pt idx="95">
                  <c:v>-0.79661098902104754</c:v>
                </c:pt>
                <c:pt idx="96">
                  <c:v>-0.4774779563506435</c:v>
                </c:pt>
                <c:pt idx="97">
                  <c:v>-1.7637205065450203</c:v>
                </c:pt>
                <c:pt idx="98">
                  <c:v>-1.4498026083788922</c:v>
                </c:pt>
                <c:pt idx="99">
                  <c:v>-1.25982826107251</c:v>
                </c:pt>
                <c:pt idx="100">
                  <c:v>3.2614195376336106</c:v>
                </c:pt>
                <c:pt idx="101">
                  <c:v>-1.3025277700604079</c:v>
                </c:pt>
                <c:pt idx="102">
                  <c:v>2.7519303195177152</c:v>
                </c:pt>
                <c:pt idx="103">
                  <c:v>3.5671884877522864</c:v>
                </c:pt>
                <c:pt idx="104">
                  <c:v>3.339943760603493</c:v>
                </c:pt>
                <c:pt idx="105">
                  <c:v>1.7174950897958041</c:v>
                </c:pt>
                <c:pt idx="106">
                  <c:v>-2.2396789083371083</c:v>
                </c:pt>
                <c:pt idx="107">
                  <c:v>-5.0767456065881191</c:v>
                </c:pt>
                <c:pt idx="108">
                  <c:v>-1.6588631337015478</c:v>
                </c:pt>
                <c:pt idx="109">
                  <c:v>-2.4729960533552031</c:v>
                </c:pt>
                <c:pt idx="110">
                  <c:v>-7.8290857330241366</c:v>
                </c:pt>
                <c:pt idx="111">
                  <c:v>-3.9085506932811391</c:v>
                </c:pt>
                <c:pt idx="112">
                  <c:v>-0.73109303265432501</c:v>
                </c:pt>
                <c:pt idx="113">
                  <c:v>1.0068177646571783</c:v>
                </c:pt>
                <c:pt idx="114">
                  <c:v>2.0378198619181873</c:v>
                </c:pt>
                <c:pt idx="115">
                  <c:v>5.410325262532055</c:v>
                </c:pt>
                <c:pt idx="116">
                  <c:v>1.3259268277455298</c:v>
                </c:pt>
                <c:pt idx="117">
                  <c:v>-1.7785028434634356</c:v>
                </c:pt>
                <c:pt idx="118">
                  <c:v>-3.3718766553972799</c:v>
                </c:pt>
                <c:pt idx="119">
                  <c:v>-2.5828050344495246</c:v>
                </c:pt>
                <c:pt idx="120">
                  <c:v>-1.3392384454388413</c:v>
                </c:pt>
                <c:pt idx="121">
                  <c:v>1.3315537016991108</c:v>
                </c:pt>
                <c:pt idx="122">
                  <c:v>-1.8512794433860904</c:v>
                </c:pt>
                <c:pt idx="123">
                  <c:v>-3.5103684388266778</c:v>
                </c:pt>
                <c:pt idx="124">
                  <c:v>-0.70016081502369687</c:v>
                </c:pt>
                <c:pt idx="125">
                  <c:v>-2.6367038878944555</c:v>
                </c:pt>
                <c:pt idx="126">
                  <c:v>-4.4341642053186732</c:v>
                </c:pt>
                <c:pt idx="127">
                  <c:v>1.9523448025636796</c:v>
                </c:pt>
                <c:pt idx="128">
                  <c:v>1.7600781462321926</c:v>
                </c:pt>
                <c:pt idx="129">
                  <c:v>2.3426546425332901</c:v>
                </c:pt>
                <c:pt idx="130">
                  <c:v>1.139657161440109</c:v>
                </c:pt>
                <c:pt idx="131">
                  <c:v>-1.1809914265917207</c:v>
                </c:pt>
                <c:pt idx="132">
                  <c:v>-1.7730602397087019</c:v>
                </c:pt>
                <c:pt idx="133">
                  <c:v>4.955471783637222E-2</c:v>
                </c:pt>
                <c:pt idx="134">
                  <c:v>1.2912573129919451</c:v>
                </c:pt>
                <c:pt idx="135">
                  <c:v>1.2789483977625018</c:v>
                </c:pt>
                <c:pt idx="136">
                  <c:v>1.0536274709042495</c:v>
                </c:pt>
                <c:pt idx="137">
                  <c:v>1.8077221917049684</c:v>
                </c:pt>
                <c:pt idx="138">
                  <c:v>4.0965547880901454E-2</c:v>
                </c:pt>
                <c:pt idx="139">
                  <c:v>1.6961348422365958</c:v>
                </c:pt>
                <c:pt idx="140">
                  <c:v>-2.8598553304899497</c:v>
                </c:pt>
                <c:pt idx="141">
                  <c:v>-0.97491923870665431</c:v>
                </c:pt>
                <c:pt idx="142">
                  <c:v>0.18474212911042898</c:v>
                </c:pt>
                <c:pt idx="143">
                  <c:v>3.1232816204436276</c:v>
                </c:pt>
                <c:pt idx="144">
                  <c:v>2.0282570519364249</c:v>
                </c:pt>
                <c:pt idx="145">
                  <c:v>-3.995783980669696</c:v>
                </c:pt>
                <c:pt idx="146">
                  <c:v>-1.2970472537835853</c:v>
                </c:pt>
                <c:pt idx="147">
                  <c:v>-1.8314383562821632</c:v>
                </c:pt>
                <c:pt idx="148">
                  <c:v>-0.39258842637777036</c:v>
                </c:pt>
                <c:pt idx="149">
                  <c:v>2.3274871252693714</c:v>
                </c:pt>
                <c:pt idx="150">
                  <c:v>-0.26139525343695524</c:v>
                </c:pt>
                <c:pt idx="151">
                  <c:v>-0.11168555895377708</c:v>
                </c:pt>
                <c:pt idx="152">
                  <c:v>-3.7841971730287796</c:v>
                </c:pt>
                <c:pt idx="153">
                  <c:v>-5.1715440075707697</c:v>
                </c:pt>
                <c:pt idx="154">
                  <c:v>5.0652238427025313</c:v>
                </c:pt>
                <c:pt idx="155">
                  <c:v>2.5048784516173885</c:v>
                </c:pt>
                <c:pt idx="156">
                  <c:v>3.8797325690618667</c:v>
                </c:pt>
                <c:pt idx="157">
                  <c:v>2.6523259339583465</c:v>
                </c:pt>
                <c:pt idx="158">
                  <c:v>1.2378593083862306</c:v>
                </c:pt>
                <c:pt idx="159">
                  <c:v>0.10604405246735737</c:v>
                </c:pt>
                <c:pt idx="160">
                  <c:v>-1.6583464934894323</c:v>
                </c:pt>
                <c:pt idx="161">
                  <c:v>1.3765890560388669</c:v>
                </c:pt>
                <c:pt idx="162">
                  <c:v>0.84290656246489704</c:v>
                </c:pt>
                <c:pt idx="163">
                  <c:v>0.76442891241614319</c:v>
                </c:pt>
                <c:pt idx="164">
                  <c:v>-6.1903709804526521</c:v>
                </c:pt>
                <c:pt idx="165">
                  <c:v>1.8197370870706351</c:v>
                </c:pt>
                <c:pt idx="166">
                  <c:v>0.37919905367258977</c:v>
                </c:pt>
                <c:pt idx="167">
                  <c:v>-0.95237145896010844</c:v>
                </c:pt>
                <c:pt idx="168">
                  <c:v>6.0041341994399033E-2</c:v>
                </c:pt>
                <c:pt idx="169">
                  <c:v>-0.15068043627800876</c:v>
                </c:pt>
                <c:pt idx="170">
                  <c:v>-1.8599396988076045</c:v>
                </c:pt>
                <c:pt idx="171">
                  <c:v>-0.92938361389779445</c:v>
                </c:pt>
                <c:pt idx="172">
                  <c:v>-2.6466490817625576</c:v>
                </c:pt>
                <c:pt idx="173">
                  <c:v>0.67571731931547063</c:v>
                </c:pt>
                <c:pt idx="174">
                  <c:v>-0.61093282280584305</c:v>
                </c:pt>
                <c:pt idx="175">
                  <c:v>-1.0854465032026361</c:v>
                </c:pt>
                <c:pt idx="176">
                  <c:v>0.13254890189828927</c:v>
                </c:pt>
                <c:pt idx="177">
                  <c:v>-0.76584649394770565</c:v>
                </c:pt>
                <c:pt idx="178">
                  <c:v>1.1228260147205056</c:v>
                </c:pt>
                <c:pt idx="179">
                  <c:v>3.5587311688088406</c:v>
                </c:pt>
                <c:pt idx="180">
                  <c:v>1.8287918281424425</c:v>
                </c:pt>
                <c:pt idx="181">
                  <c:v>-2.4878378777137478</c:v>
                </c:pt>
                <c:pt idx="182">
                  <c:v>1.4110126274454302</c:v>
                </c:pt>
                <c:pt idx="183">
                  <c:v>0.59486986405739373</c:v>
                </c:pt>
                <c:pt idx="184">
                  <c:v>-0.5465045868787719</c:v>
                </c:pt>
                <c:pt idx="185">
                  <c:v>3.009379058852204</c:v>
                </c:pt>
                <c:pt idx="186">
                  <c:v>1.5451606380097012</c:v>
                </c:pt>
                <c:pt idx="187">
                  <c:v>-0.59636691284315191</c:v>
                </c:pt>
                <c:pt idx="188">
                  <c:v>0.2042162422946987</c:v>
                </c:pt>
                <c:pt idx="189">
                  <c:v>1.8877517386659228</c:v>
                </c:pt>
                <c:pt idx="190">
                  <c:v>2.5765310522476383</c:v>
                </c:pt>
                <c:pt idx="191">
                  <c:v>2.4602681066078489</c:v>
                </c:pt>
                <c:pt idx="192">
                  <c:v>1.4760175960932393</c:v>
                </c:pt>
                <c:pt idx="193">
                  <c:v>2.0425580859861014</c:v>
                </c:pt>
                <c:pt idx="194">
                  <c:v>-1.674383518035512</c:v>
                </c:pt>
                <c:pt idx="195">
                  <c:v>-9.935525028073755E-2</c:v>
                </c:pt>
                <c:pt idx="196">
                  <c:v>2.7836585992126324</c:v>
                </c:pt>
                <c:pt idx="197">
                  <c:v>2.0042151577847207</c:v>
                </c:pt>
                <c:pt idx="198">
                  <c:v>-0.7428611855571674</c:v>
                </c:pt>
                <c:pt idx="199">
                  <c:v>0.63619961962943705</c:v>
                </c:pt>
                <c:pt idx="200">
                  <c:v>-2.8959628057064535</c:v>
                </c:pt>
                <c:pt idx="201">
                  <c:v>-0.15020949522027749</c:v>
                </c:pt>
                <c:pt idx="202">
                  <c:v>3.0470233173705985</c:v>
                </c:pt>
                <c:pt idx="203">
                  <c:v>-3.6348436367440229E-2</c:v>
                </c:pt>
                <c:pt idx="204">
                  <c:v>2.5508408210687961</c:v>
                </c:pt>
                <c:pt idx="205">
                  <c:v>-2.43799486463082</c:v>
                </c:pt>
                <c:pt idx="206">
                  <c:v>-2.7206667657694865</c:v>
                </c:pt>
                <c:pt idx="207">
                  <c:v>-3.0577077581663801</c:v>
                </c:pt>
                <c:pt idx="208">
                  <c:v>-4.5764812301851059</c:v>
                </c:pt>
                <c:pt idx="209">
                  <c:v>-2.2533216473388649</c:v>
                </c:pt>
                <c:pt idx="210">
                  <c:v>3.4942824234881087</c:v>
                </c:pt>
                <c:pt idx="211">
                  <c:v>-2.2195683197987677</c:v>
                </c:pt>
                <c:pt idx="212">
                  <c:v>-3.3998270778984789</c:v>
                </c:pt>
                <c:pt idx="213">
                  <c:v>-3.6573790445660848</c:v>
                </c:pt>
                <c:pt idx="214">
                  <c:v>1.3593397524264255</c:v>
                </c:pt>
                <c:pt idx="215">
                  <c:v>2.6710826046307439</c:v>
                </c:pt>
                <c:pt idx="216">
                  <c:v>4.7050241595151796</c:v>
                </c:pt>
                <c:pt idx="217">
                  <c:v>-0.83495458992067029</c:v>
                </c:pt>
                <c:pt idx="218">
                  <c:v>2.8854816548218345</c:v>
                </c:pt>
                <c:pt idx="219">
                  <c:v>-3.9340232312707002E-2</c:v>
                </c:pt>
                <c:pt idx="220">
                  <c:v>-0.19621961996562831</c:v>
                </c:pt>
                <c:pt idx="221">
                  <c:v>-0.72287973238235637</c:v>
                </c:pt>
                <c:pt idx="222">
                  <c:v>-0.68161322134237423</c:v>
                </c:pt>
                <c:pt idx="223">
                  <c:v>-2.4304068121286697</c:v>
                </c:pt>
                <c:pt idx="224">
                  <c:v>7.3966146675346067E-3</c:v>
                </c:pt>
                <c:pt idx="225">
                  <c:v>-0.53580707400124084</c:v>
                </c:pt>
                <c:pt idx="226">
                  <c:v>-1.5999274474955811</c:v>
                </c:pt>
                <c:pt idx="227">
                  <c:v>0.75046015520091558</c:v>
                </c:pt>
                <c:pt idx="228">
                  <c:v>-0.1903861931659101</c:v>
                </c:pt>
                <c:pt idx="229">
                  <c:v>0.94447198432358803</c:v>
                </c:pt>
                <c:pt idx="230">
                  <c:v>0.82941137037957091</c:v>
                </c:pt>
                <c:pt idx="231">
                  <c:v>-1.3879665956755751</c:v>
                </c:pt>
                <c:pt idx="232">
                  <c:v>0.26301018510237029</c:v>
                </c:pt>
                <c:pt idx="233">
                  <c:v>-2.9130771085731091</c:v>
                </c:pt>
                <c:pt idx="234">
                  <c:v>1.3551962612826571</c:v>
                </c:pt>
                <c:pt idx="235">
                  <c:v>2.3684790614484079</c:v>
                </c:pt>
                <c:pt idx="236">
                  <c:v>5.8147271312820301</c:v>
                </c:pt>
                <c:pt idx="237">
                  <c:v>-0.4606952564341249</c:v>
                </c:pt>
                <c:pt idx="238">
                  <c:v>1.3778608081036126</c:v>
                </c:pt>
                <c:pt idx="239">
                  <c:v>-3.7710553172809931</c:v>
                </c:pt>
                <c:pt idx="240">
                  <c:v>-5.026616427185207</c:v>
                </c:pt>
                <c:pt idx="241">
                  <c:v>-4.5409961153210538</c:v>
                </c:pt>
                <c:pt idx="242">
                  <c:v>12.602811720767161</c:v>
                </c:pt>
                <c:pt idx="243">
                  <c:v>6.8963199862834301</c:v>
                </c:pt>
                <c:pt idx="244">
                  <c:v>2.2457806066314667</c:v>
                </c:pt>
                <c:pt idx="245">
                  <c:v>9.5684176990801326</c:v>
                </c:pt>
                <c:pt idx="246">
                  <c:v>4.7389597834631978</c:v>
                </c:pt>
                <c:pt idx="247">
                  <c:v>-0.6651974601030588</c:v>
                </c:pt>
                <c:pt idx="248">
                  <c:v>1.1953200560963637</c:v>
                </c:pt>
                <c:pt idx="249">
                  <c:v>1.1436375376485657</c:v>
                </c:pt>
                <c:pt idx="250">
                  <c:v>-0.58561698530091633</c:v>
                </c:pt>
                <c:pt idx="251">
                  <c:v>-1.372038958580692</c:v>
                </c:pt>
                <c:pt idx="252">
                  <c:v>-2.7964321049882805</c:v>
                </c:pt>
                <c:pt idx="253">
                  <c:v>0.91176633516874261</c:v>
                </c:pt>
                <c:pt idx="254">
                  <c:v>0.10155334534411864</c:v>
                </c:pt>
                <c:pt idx="255">
                  <c:v>-2.2747390895169737</c:v>
                </c:pt>
                <c:pt idx="256">
                  <c:v>2.9570024355990654E-2</c:v>
                </c:pt>
                <c:pt idx="257">
                  <c:v>-1.6647845954010201</c:v>
                </c:pt>
                <c:pt idx="258">
                  <c:v>-0.67405350824828503</c:v>
                </c:pt>
                <c:pt idx="259">
                  <c:v>-2.0749842078873968</c:v>
                </c:pt>
                <c:pt idx="260">
                  <c:v>-0.49312376482211917</c:v>
                </c:pt>
                <c:pt idx="261">
                  <c:v>-1.5671289334489664</c:v>
                </c:pt>
                <c:pt idx="262">
                  <c:v>-2.8044704718690454</c:v>
                </c:pt>
                <c:pt idx="263">
                  <c:v>1.0421618733116418</c:v>
                </c:pt>
                <c:pt idx="264">
                  <c:v>2.6262677635569638</c:v>
                </c:pt>
                <c:pt idx="265">
                  <c:v>0.5553502093258551</c:v>
                </c:pt>
                <c:pt idx="266">
                  <c:v>-1.0286374266974079</c:v>
                </c:pt>
                <c:pt idx="267">
                  <c:v>4.0196710083654992</c:v>
                </c:pt>
                <c:pt idx="268">
                  <c:v>-6.0724987233543963</c:v>
                </c:pt>
                <c:pt idx="269">
                  <c:v>-0.5856315812431454</c:v>
                </c:pt>
                <c:pt idx="270">
                  <c:v>0.24660383734887859</c:v>
                </c:pt>
                <c:pt idx="271">
                  <c:v>-3.7969899171101495</c:v>
                </c:pt>
                <c:pt idx="272">
                  <c:v>-5.0256878970144356</c:v>
                </c:pt>
                <c:pt idx="273">
                  <c:v>-6.3988604133503451</c:v>
                </c:pt>
                <c:pt idx="274">
                  <c:v>-3.7080665501010266</c:v>
                </c:pt>
                <c:pt idx="275">
                  <c:v>-5.7018753616404965</c:v>
                </c:pt>
                <c:pt idx="276">
                  <c:v>1.4015662037741841</c:v>
                </c:pt>
                <c:pt idx="277">
                  <c:v>-3.4940039844361337E-2</c:v>
                </c:pt>
                <c:pt idx="278">
                  <c:v>-1.9994993805740471</c:v>
                </c:pt>
                <c:pt idx="279">
                  <c:v>-5.4777362910350469</c:v>
                </c:pt>
                <c:pt idx="280">
                  <c:v>-3.4353579566860972</c:v>
                </c:pt>
                <c:pt idx="281">
                  <c:v>-3.6041439871102376</c:v>
                </c:pt>
                <c:pt idx="282">
                  <c:v>-2.3984009346033268</c:v>
                </c:pt>
                <c:pt idx="283">
                  <c:v>-3.2432836802764697</c:v>
                </c:pt>
                <c:pt idx="284">
                  <c:v>-3.2418007179684381</c:v>
                </c:pt>
                <c:pt idx="285">
                  <c:v>-3.0311116189097191</c:v>
                </c:pt>
                <c:pt idx="286">
                  <c:v>-2.0127346166599338</c:v>
                </c:pt>
                <c:pt idx="287">
                  <c:v>-0.3044518815772399</c:v>
                </c:pt>
                <c:pt idx="288">
                  <c:v>-3.4648982391989946</c:v>
                </c:pt>
                <c:pt idx="289">
                  <c:v>-2.3143435995966151</c:v>
                </c:pt>
                <c:pt idx="290">
                  <c:v>-0.91222407969397779</c:v>
                </c:pt>
                <c:pt idx="291">
                  <c:v>-0.9354358476330944</c:v>
                </c:pt>
                <c:pt idx="292">
                  <c:v>1.2983341994516522</c:v>
                </c:pt>
                <c:pt idx="293">
                  <c:v>4.898023712946749</c:v>
                </c:pt>
                <c:pt idx="294">
                  <c:v>0.4208224723598839</c:v>
                </c:pt>
                <c:pt idx="295">
                  <c:v>0.78859467635053093</c:v>
                </c:pt>
                <c:pt idx="296">
                  <c:v>2.9793327368628262</c:v>
                </c:pt>
                <c:pt idx="297">
                  <c:v>0.76965081548958736</c:v>
                </c:pt>
                <c:pt idx="298">
                  <c:v>0.8806690032328568</c:v>
                </c:pt>
                <c:pt idx="299">
                  <c:v>4.6787026337196131</c:v>
                </c:pt>
                <c:pt idx="300">
                  <c:v>4.7255371529637742</c:v>
                </c:pt>
                <c:pt idx="301">
                  <c:v>-0.77381686786810278</c:v>
                </c:pt>
                <c:pt idx="302">
                  <c:v>5.4700697595587542</c:v>
                </c:pt>
                <c:pt idx="303">
                  <c:v>1.5831867918952973</c:v>
                </c:pt>
                <c:pt idx="304">
                  <c:v>2.0093493696000699</c:v>
                </c:pt>
                <c:pt idx="305">
                  <c:v>0.54099687918732897</c:v>
                </c:pt>
                <c:pt idx="306">
                  <c:v>6.1059694957719906</c:v>
                </c:pt>
                <c:pt idx="307">
                  <c:v>5.793509640549928</c:v>
                </c:pt>
                <c:pt idx="308">
                  <c:v>1.1206073950828781</c:v>
                </c:pt>
                <c:pt idx="309">
                  <c:v>-1.8874636127849769</c:v>
                </c:pt>
                <c:pt idx="310">
                  <c:v>0.56001834522153615</c:v>
                </c:pt>
                <c:pt idx="311">
                  <c:v>-2.8374082084790153</c:v>
                </c:pt>
                <c:pt idx="312">
                  <c:v>-3.4977256262836853</c:v>
                </c:pt>
                <c:pt idx="313">
                  <c:v>-4.891832583566071</c:v>
                </c:pt>
                <c:pt idx="314">
                  <c:v>-8.1779015490519491</c:v>
                </c:pt>
                <c:pt idx="315">
                  <c:v>-1.1512318724778581</c:v>
                </c:pt>
                <c:pt idx="316">
                  <c:v>-2.9302606022791515</c:v>
                </c:pt>
                <c:pt idx="317">
                  <c:v>-2.5295064065369992</c:v>
                </c:pt>
                <c:pt idx="318">
                  <c:v>2.8996754982405903</c:v>
                </c:pt>
                <c:pt idx="319">
                  <c:v>-3.0320431699243358</c:v>
                </c:pt>
                <c:pt idx="320">
                  <c:v>10.420779520197158</c:v>
                </c:pt>
                <c:pt idx="321">
                  <c:v>-2.0761379561316637</c:v>
                </c:pt>
                <c:pt idx="322">
                  <c:v>4.6207795201971535</c:v>
                </c:pt>
                <c:pt idx="323">
                  <c:v>7.8401542785588916</c:v>
                </c:pt>
                <c:pt idx="324">
                  <c:v>8.2059816823380842</c:v>
                </c:pt>
                <c:pt idx="325">
                  <c:v>4.6284093027521536</c:v>
                </c:pt>
                <c:pt idx="326">
                  <c:v>-0.25259781271282122</c:v>
                </c:pt>
                <c:pt idx="327">
                  <c:v>7.1367918841738884</c:v>
                </c:pt>
                <c:pt idx="328">
                  <c:v>-2.1695317793666788</c:v>
                </c:pt>
                <c:pt idx="329">
                  <c:v>-7.6477299817195536</c:v>
                </c:pt>
                <c:pt idx="330">
                  <c:v>1.6592681531778055</c:v>
                </c:pt>
                <c:pt idx="331">
                  <c:v>-10.341319380742721</c:v>
                </c:pt>
                <c:pt idx="332">
                  <c:v>1.2908850469739832</c:v>
                </c:pt>
                <c:pt idx="333">
                  <c:v>-2.7541697254070385</c:v>
                </c:pt>
                <c:pt idx="334">
                  <c:v>-2.0505502080081222</c:v>
                </c:pt>
                <c:pt idx="335">
                  <c:v>-1.9163703138161878</c:v>
                </c:pt>
                <c:pt idx="336">
                  <c:v>-2.6624285024146097</c:v>
                </c:pt>
                <c:pt idx="337">
                  <c:v>-4.1385252176636129</c:v>
                </c:pt>
                <c:pt idx="338">
                  <c:v>0.21780228240462307</c:v>
                </c:pt>
                <c:pt idx="339">
                  <c:v>3.6458283829900253</c:v>
                </c:pt>
                <c:pt idx="340">
                  <c:v>6.310785739624265</c:v>
                </c:pt>
                <c:pt idx="341">
                  <c:v>-0.29638220502730661</c:v>
                </c:pt>
                <c:pt idx="342">
                  <c:v>-1.4384177487419194</c:v>
                </c:pt>
                <c:pt idx="343">
                  <c:v>2.7734115219904965</c:v>
                </c:pt>
                <c:pt idx="344">
                  <c:v>3.8044504472636262</c:v>
                </c:pt>
                <c:pt idx="345">
                  <c:v>-2.7246085997710168E-2</c:v>
                </c:pt>
                <c:pt idx="346">
                  <c:v>3.7160745768104242</c:v>
                </c:pt>
                <c:pt idx="347">
                  <c:v>2.5877848061476563</c:v>
                </c:pt>
                <c:pt idx="348">
                  <c:v>-0.21600647278823359</c:v>
                </c:pt>
                <c:pt idx="349">
                  <c:v>0.13012781877231561</c:v>
                </c:pt>
                <c:pt idx="350">
                  <c:v>0.82565360107834351</c:v>
                </c:pt>
                <c:pt idx="351">
                  <c:v>0.23451694719467753</c:v>
                </c:pt>
                <c:pt idx="352">
                  <c:v>2.4822047940391414</c:v>
                </c:pt>
                <c:pt idx="353">
                  <c:v>0.86132375554941731</c:v>
                </c:pt>
                <c:pt idx="354">
                  <c:v>0.59338841021497402</c:v>
                </c:pt>
                <c:pt idx="355">
                  <c:v>2.7740110093426367</c:v>
                </c:pt>
                <c:pt idx="356">
                  <c:v>-3.3149690543959309</c:v>
                </c:pt>
                <c:pt idx="357">
                  <c:v>-4.2981240381282646</c:v>
                </c:pt>
                <c:pt idx="358">
                  <c:v>-1.744841583233061</c:v>
                </c:pt>
                <c:pt idx="359">
                  <c:v>3.9436022376854254</c:v>
                </c:pt>
                <c:pt idx="360">
                  <c:v>-6.0995179995774045</c:v>
                </c:pt>
                <c:pt idx="361">
                  <c:v>-6.6975869013157485</c:v>
                </c:pt>
                <c:pt idx="362">
                  <c:v>-2.2817597840481234</c:v>
                </c:pt>
                <c:pt idx="363">
                  <c:v>-3.1045439475190371</c:v>
                </c:pt>
                <c:pt idx="364">
                  <c:v>2.6549451967773585</c:v>
                </c:pt>
                <c:pt idx="365">
                  <c:v>0.51763163163775161</c:v>
                </c:pt>
                <c:pt idx="366">
                  <c:v>-1.7517702810716322</c:v>
                </c:pt>
                <c:pt idx="367">
                  <c:v>-2.5910566701758668</c:v>
                </c:pt>
                <c:pt idx="368">
                  <c:v>-4.9003535563036067</c:v>
                </c:pt>
                <c:pt idx="369">
                  <c:v>0.38839689000520394</c:v>
                </c:pt>
                <c:pt idx="370">
                  <c:v>1.3968503890143609</c:v>
                </c:pt>
                <c:pt idx="371">
                  <c:v>-4.8816316398170656</c:v>
                </c:pt>
                <c:pt idx="372">
                  <c:v>4.8819408018573114</c:v>
                </c:pt>
                <c:pt idx="373">
                  <c:v>2.9955958255321065</c:v>
                </c:pt>
                <c:pt idx="374">
                  <c:v>1.4051258261259392</c:v>
                </c:pt>
                <c:pt idx="375">
                  <c:v>1.4219011434101532</c:v>
                </c:pt>
                <c:pt idx="376">
                  <c:v>-0.45674863175288039</c:v>
                </c:pt>
                <c:pt idx="377">
                  <c:v>2.0768153801538034</c:v>
                </c:pt>
                <c:pt idx="378">
                  <c:v>-3.9231846198461966</c:v>
                </c:pt>
                <c:pt idx="379">
                  <c:v>2.22871466860731</c:v>
                </c:pt>
                <c:pt idx="380">
                  <c:v>-3.203033011930529</c:v>
                </c:pt>
                <c:pt idx="381">
                  <c:v>9.7454878622891137</c:v>
                </c:pt>
                <c:pt idx="382">
                  <c:v>-4.3180802485362939</c:v>
                </c:pt>
                <c:pt idx="383">
                  <c:v>-6.7275242056862936</c:v>
                </c:pt>
                <c:pt idx="384">
                  <c:v>9.1988637388215722E-2</c:v>
                </c:pt>
                <c:pt idx="385">
                  <c:v>4.4634167285852691</c:v>
                </c:pt>
                <c:pt idx="386">
                  <c:v>-1.502445102925769</c:v>
                </c:pt>
                <c:pt idx="387">
                  <c:v>-2.37752036915861</c:v>
                </c:pt>
                <c:pt idx="388">
                  <c:v>8.7906918292948077</c:v>
                </c:pt>
                <c:pt idx="389">
                  <c:v>8.366850745151666E-2</c:v>
                </c:pt>
                <c:pt idx="390">
                  <c:v>-2.3266214793276596</c:v>
                </c:pt>
                <c:pt idx="391">
                  <c:v>1.2031022299690477</c:v>
                </c:pt>
              </c:numCache>
            </c:numRef>
          </c:yVal>
          <c:smooth val="0"/>
          <c:extLst>
            <c:ext xmlns:c16="http://schemas.microsoft.com/office/drawing/2014/chart" uri="{C3380CC4-5D6E-409C-BE32-E72D297353CC}">
              <c16:uniqueId val="{00000002-4B34-4556-8916-76D89B7C6D93}"/>
            </c:ext>
          </c:extLst>
        </c:ser>
        <c:dLbls>
          <c:showLegendKey val="0"/>
          <c:showVal val="0"/>
          <c:showCatName val="0"/>
          <c:showSerName val="0"/>
          <c:showPercent val="0"/>
          <c:showBubbleSize val="0"/>
        </c:dLbls>
        <c:axId val="966205584"/>
        <c:axId val="966206064"/>
      </c:scatterChart>
      <c:valAx>
        <c:axId val="966205584"/>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966206064"/>
        <c:crosses val="autoZero"/>
        <c:crossBetween val="midCat"/>
      </c:valAx>
      <c:valAx>
        <c:axId val="966206064"/>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9662055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0.991)</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Regression!RegChartQQY</c:f>
              <c:numCache>
                <c:formatCode>0.0000</c:formatCode>
                <c:ptCount val="392"/>
                <c:pt idx="0">
                  <c:v>-3.4516826175693711</c:v>
                </c:pt>
                <c:pt idx="1">
                  <c:v>-2.7327997376671602</c:v>
                </c:pt>
                <c:pt idx="2">
                  <c:v>-2.6063331092365791</c:v>
                </c:pt>
                <c:pt idx="3">
                  <c:v>-2.5586120959927223</c:v>
                </c:pt>
                <c:pt idx="4">
                  <c:v>-2.2382603266400922</c:v>
                </c:pt>
                <c:pt idx="5">
                  <c:v>-2.2366030601609697</c:v>
                </c:pt>
                <c:pt idx="6">
                  <c:v>-2.1379379429147831</c:v>
                </c:pt>
                <c:pt idx="7">
                  <c:v>-2.0636596826638174</c:v>
                </c:pt>
                <c:pt idx="8">
                  <c:v>-2.0302994659393092</c:v>
                </c:pt>
                <c:pt idx="9">
                  <c:v>-2.0195065214468078</c:v>
                </c:pt>
                <c:pt idx="10">
                  <c:v>-2.0157358299478298</c:v>
                </c:pt>
                <c:pt idx="11">
                  <c:v>-1.9076726580567798</c:v>
                </c:pt>
                <c:pt idx="12">
                  <c:v>-1.8200175308828732</c:v>
                </c:pt>
                <c:pt idx="13">
                  <c:v>-1.7231986194513158</c:v>
                </c:pt>
                <c:pt idx="14">
                  <c:v>-1.6897180627740633</c:v>
                </c:pt>
                <c:pt idx="15">
                  <c:v>-1.6852434476538738</c:v>
                </c:pt>
                <c:pt idx="16">
                  <c:v>-1.6746439809266791</c:v>
                </c:pt>
                <c:pt idx="17">
                  <c:v>-1.6319415081566548</c:v>
                </c:pt>
                <c:pt idx="18">
                  <c:v>-1.6266867098316871</c:v>
                </c:pt>
                <c:pt idx="19">
                  <c:v>-1.6263684665199458</c:v>
                </c:pt>
                <c:pt idx="20">
                  <c:v>-1.52686927997236</c:v>
                </c:pt>
                <c:pt idx="21">
                  <c:v>-1.5175419689962215</c:v>
                </c:pt>
                <c:pt idx="22">
                  <c:v>-1.4769363323181779</c:v>
                </c:pt>
                <c:pt idx="23">
                  <c:v>-1.4375278289347984</c:v>
                </c:pt>
                <c:pt idx="24">
                  <c:v>-1.4339281629923653</c:v>
                </c:pt>
                <c:pt idx="25">
                  <c:v>-1.3818722583783192</c:v>
                </c:pt>
                <c:pt idx="26">
                  <c:v>-1.3375231715810678</c:v>
                </c:pt>
                <c:pt idx="27">
                  <c:v>-1.3070680932321548</c:v>
                </c:pt>
                <c:pt idx="28">
                  <c:v>-1.2992210520172562</c:v>
                </c:pt>
                <c:pt idx="29">
                  <c:v>-1.2647682754399081</c:v>
                </c:pt>
                <c:pt idx="30">
                  <c:v>-1.2628813097867118</c:v>
                </c:pt>
                <c:pt idx="31">
                  <c:v>-1.2605695043801399</c:v>
                </c:pt>
                <c:pt idx="32">
                  <c:v>-1.2377760380844094</c:v>
                </c:pt>
                <c:pt idx="33">
                  <c:v>-1.2151675973963261</c:v>
                </c:pt>
                <c:pt idx="34">
                  <c:v>-1.2127928346337942</c:v>
                </c:pt>
                <c:pt idx="35">
                  <c:v>-1.2081383307454219</c:v>
                </c:pt>
                <c:pt idx="36">
                  <c:v>-1.1982691301329926</c:v>
                </c:pt>
                <c:pt idx="37">
                  <c:v>-1.1807393696594861</c:v>
                </c:pt>
                <c:pt idx="38">
                  <c:v>-1.1692507528849245</c:v>
                </c:pt>
                <c:pt idx="39">
                  <c:v>-1.1670319415810113</c:v>
                </c:pt>
                <c:pt idx="40">
                  <c:v>-1.1524014899843384</c:v>
                </c:pt>
                <c:pt idx="41">
                  <c:v>-1.1408976899843088</c:v>
                </c:pt>
                <c:pt idx="42">
                  <c:v>-1.1267405125615257</c:v>
                </c:pt>
                <c:pt idx="43">
                  <c:v>-1.1208436092324729</c:v>
                </c:pt>
                <c:pt idx="44">
                  <c:v>-1.1079659887017947</c:v>
                </c:pt>
                <c:pt idx="45">
                  <c:v>-1.0776013794312624</c:v>
                </c:pt>
                <c:pt idx="46">
                  <c:v>-1.0767196379396351</c:v>
                </c:pt>
                <c:pt idx="47">
                  <c:v>-1.0639613519924889</c:v>
                </c:pt>
                <c:pt idx="48">
                  <c:v>-1.0306011185079675</c:v>
                </c:pt>
                <c:pt idx="49">
                  <c:v>-1.0254466826344708</c:v>
                </c:pt>
                <c:pt idx="50">
                  <c:v>-1.0214074988536559</c:v>
                </c:pt>
                <c:pt idx="51">
                  <c:v>-1.0101337973139497</c:v>
                </c:pt>
                <c:pt idx="52">
                  <c:v>-1.007631554042864</c:v>
                </c:pt>
                <c:pt idx="53">
                  <c:v>-1.0042751043337617</c:v>
                </c:pt>
                <c:pt idx="54">
                  <c:v>-0.97713360215343592</c:v>
                </c:pt>
                <c:pt idx="55">
                  <c:v>-0.97305252208919768</c:v>
                </c:pt>
                <c:pt idx="56">
                  <c:v>-0.95975295748031364</c:v>
                </c:pt>
                <c:pt idx="57">
                  <c:v>-0.95733088971303826</c:v>
                </c:pt>
                <c:pt idx="58">
                  <c:v>-0.94749992351060164</c:v>
                </c:pt>
                <c:pt idx="59">
                  <c:v>-0.93736805879047547</c:v>
                </c:pt>
                <c:pt idx="60">
                  <c:v>-0.93176894037652602</c:v>
                </c:pt>
                <c:pt idx="61">
                  <c:v>-0.927047522634598</c:v>
                </c:pt>
                <c:pt idx="62">
                  <c:v>-0.91766871471415257</c:v>
                </c:pt>
                <c:pt idx="63">
                  <c:v>-0.90311709621560088</c:v>
                </c:pt>
                <c:pt idx="64">
                  <c:v>-0.89847347465828531</c:v>
                </c:pt>
                <c:pt idx="65">
                  <c:v>-0.89544945314468616</c:v>
                </c:pt>
                <c:pt idx="66">
                  <c:v>-0.88698134092906566</c:v>
                </c:pt>
                <c:pt idx="67">
                  <c:v>-0.87909939485507804</c:v>
                </c:pt>
                <c:pt idx="68">
                  <c:v>-0.87855079557957172</c:v>
                </c:pt>
                <c:pt idx="69">
                  <c:v>-0.87508847543409352</c:v>
                </c:pt>
                <c:pt idx="70">
                  <c:v>-0.86006936817939583</c:v>
                </c:pt>
                <c:pt idx="71">
                  <c:v>-0.85847137129504225</c:v>
                </c:pt>
                <c:pt idx="72">
                  <c:v>-0.84358082508023313</c:v>
                </c:pt>
                <c:pt idx="73">
                  <c:v>-0.82893417664067504</c:v>
                </c:pt>
                <c:pt idx="74">
                  <c:v>-0.82687344310872324</c:v>
                </c:pt>
                <c:pt idx="75">
                  <c:v>-0.82281965858508532</c:v>
                </c:pt>
                <c:pt idx="76">
                  <c:v>-0.81252205315323311</c:v>
                </c:pt>
                <c:pt idx="77">
                  <c:v>-0.80833512211099312</c:v>
                </c:pt>
                <c:pt idx="78">
                  <c:v>-0.79604972147694208</c:v>
                </c:pt>
                <c:pt idx="79">
                  <c:v>-0.78933938116930624</c:v>
                </c:pt>
                <c:pt idx="80">
                  <c:v>-0.78110036437010055</c:v>
                </c:pt>
                <c:pt idx="81">
                  <c:v>-0.77256397256164433</c:v>
                </c:pt>
                <c:pt idx="82">
                  <c:v>-0.76844520954536732</c:v>
                </c:pt>
                <c:pt idx="83">
                  <c:v>-0.76325101320992839</c:v>
                </c:pt>
                <c:pt idx="84">
                  <c:v>-0.75950614299185049</c:v>
                </c:pt>
                <c:pt idx="85">
                  <c:v>-0.75751706682775932</c:v>
                </c:pt>
                <c:pt idx="86">
                  <c:v>-0.75457189916223411</c:v>
                </c:pt>
                <c:pt idx="87">
                  <c:v>-0.7545211564143921</c:v>
                </c:pt>
                <c:pt idx="88">
                  <c:v>-0.74708884873176529</c:v>
                </c:pt>
                <c:pt idx="89">
                  <c:v>-0.7419240168698068</c:v>
                </c:pt>
                <c:pt idx="90">
                  <c:v>-0.73626542374562576</c:v>
                </c:pt>
                <c:pt idx="91">
                  <c:v>-0.72283127398567504</c:v>
                </c:pt>
                <c:pt idx="92">
                  <c:v>-0.70648636894146044</c:v>
                </c:pt>
                <c:pt idx="93">
                  <c:v>-0.6939217973604519</c:v>
                </c:pt>
                <c:pt idx="94">
                  <c:v>-0.6867864968921471</c:v>
                </c:pt>
                <c:pt idx="95">
                  <c:v>-0.68324182750021945</c:v>
                </c:pt>
                <c:pt idx="96">
                  <c:v>-0.6687898832660335</c:v>
                </c:pt>
                <c:pt idx="97">
                  <c:v>-0.66377208981313374</c:v>
                </c:pt>
                <c:pt idx="98">
                  <c:v>-0.65612392430107758</c:v>
                </c:pt>
                <c:pt idx="99">
                  <c:v>-0.63802821850481473</c:v>
                </c:pt>
                <c:pt idx="100">
                  <c:v>-0.63228553332444448</c:v>
                </c:pt>
                <c:pt idx="101">
                  <c:v>-0.62096861122347591</c:v>
                </c:pt>
                <c:pt idx="102">
                  <c:v>-0.61593470926202709</c:v>
                </c:pt>
                <c:pt idx="103">
                  <c:v>-0.61509549983121925</c:v>
                </c:pt>
                <c:pt idx="104">
                  <c:v>-0.61264897901118454</c:v>
                </c:pt>
                <c:pt idx="105">
                  <c:v>-0.60409084446562589</c:v>
                </c:pt>
                <c:pt idx="106">
                  <c:v>-0.59179023453714641</c:v>
                </c:pt>
                <c:pt idx="107">
                  <c:v>-0.59082143000944431</c:v>
                </c:pt>
                <c:pt idx="108">
                  <c:v>-0.58466219481199633</c:v>
                </c:pt>
                <c:pt idx="109">
                  <c:v>-0.58163018536706668</c:v>
                </c:pt>
                <c:pt idx="110">
                  <c:v>-0.5807423868304179</c:v>
                </c:pt>
                <c:pt idx="111">
                  <c:v>-0.55753264896976418</c:v>
                </c:pt>
                <c:pt idx="112">
                  <c:v>-0.55221926921070552</c:v>
                </c:pt>
                <c:pt idx="113">
                  <c:v>-0.55194584126169433</c:v>
                </c:pt>
                <c:pt idx="114">
                  <c:v>-0.55072347548179512</c:v>
                </c:pt>
                <c:pt idx="115">
                  <c:v>-0.53338642732774277</c:v>
                </c:pt>
                <c:pt idx="116">
                  <c:v>-0.52393736657058854</c:v>
                </c:pt>
                <c:pt idx="117">
                  <c:v>-0.49892317917099871</c:v>
                </c:pt>
                <c:pt idx="118">
                  <c:v>-0.48011210341267613</c:v>
                </c:pt>
                <c:pt idx="119">
                  <c:v>-0.47899199098150264</c:v>
                </c:pt>
                <c:pt idx="120">
                  <c:v>-0.46498176646527956</c:v>
                </c:pt>
                <c:pt idx="121">
                  <c:v>-0.45454530660835746</c:v>
                </c:pt>
                <c:pt idx="122">
                  <c:v>-0.4439218066323502</c:v>
                </c:pt>
                <c:pt idx="123">
                  <c:v>-0.44348189348088168</c:v>
                </c:pt>
                <c:pt idx="124">
                  <c:v>-0.44257513070662569</c:v>
                </c:pt>
                <c:pt idx="125">
                  <c:v>-0.43529358270499213</c:v>
                </c:pt>
                <c:pt idx="126">
                  <c:v>-0.43384150629045037</c:v>
                </c:pt>
                <c:pt idx="127">
                  <c:v>-0.42839201056708598</c:v>
                </c:pt>
                <c:pt idx="128">
                  <c:v>-0.41823693209923679</c:v>
                </c:pt>
                <c:pt idx="129">
                  <c:v>-0.405910223941163</c:v>
                </c:pt>
                <c:pt idx="130">
                  <c:v>-0.40193142131392123</c:v>
                </c:pt>
                <c:pt idx="131">
                  <c:v>-0.3948600187587657</c:v>
                </c:pt>
                <c:pt idx="132">
                  <c:v>-0.38508480762604713</c:v>
                </c:pt>
                <c:pt idx="133">
                  <c:v>-0.38135513775663893</c:v>
                </c:pt>
                <c:pt idx="134">
                  <c:v>-0.36253627723480369</c:v>
                </c:pt>
                <c:pt idx="135">
                  <c:v>-0.3422246281983452</c:v>
                </c:pt>
                <c:pt idx="136">
                  <c:v>-0.32610721496463629</c:v>
                </c:pt>
                <c:pt idx="137">
                  <c:v>-0.31654278630410415</c:v>
                </c:pt>
                <c:pt idx="138">
                  <c:v>-0.31629077006854361</c:v>
                </c:pt>
                <c:pt idx="139">
                  <c:v>-0.31311702677892411</c:v>
                </c:pt>
                <c:pt idx="140">
                  <c:v>-0.31053190188587537</c:v>
                </c:pt>
                <c:pt idx="141">
                  <c:v>-0.30358004022533502</c:v>
                </c:pt>
                <c:pt idx="142">
                  <c:v>-0.29588942339117646</c:v>
                </c:pt>
                <c:pt idx="143">
                  <c:v>-0.28991504577289978</c:v>
                </c:pt>
                <c:pt idx="144">
                  <c:v>-0.28923752793395507</c:v>
                </c:pt>
                <c:pt idx="145">
                  <c:v>-0.27897206548306153</c:v>
                </c:pt>
                <c:pt idx="146">
                  <c:v>-0.2749679749002365</c:v>
                </c:pt>
                <c:pt idx="147">
                  <c:v>-0.2744986939956604</c:v>
                </c:pt>
                <c:pt idx="148">
                  <c:v>-0.26432732427602168</c:v>
                </c:pt>
                <c:pt idx="149">
                  <c:v>-0.26364023528520586</c:v>
                </c:pt>
                <c:pt idx="150">
                  <c:v>-0.25886999570707769</c:v>
                </c:pt>
                <c:pt idx="151">
                  <c:v>-0.25571503432003895</c:v>
                </c:pt>
                <c:pt idx="152">
                  <c:v>-0.2481496935310088</c:v>
                </c:pt>
                <c:pt idx="153">
                  <c:v>-0.24289117425341822</c:v>
                </c:pt>
                <c:pt idx="154">
                  <c:v>-0.24068058859417421</c:v>
                </c:pt>
                <c:pt idx="155">
                  <c:v>-0.23318022611888406</c:v>
                </c:pt>
                <c:pt idx="156">
                  <c:v>-0.2277333459968798</c:v>
                </c:pt>
                <c:pt idx="157">
                  <c:v>-0.2234940046084922</c:v>
                </c:pt>
                <c:pt idx="158">
                  <c:v>-0.22021492268660697</c:v>
                </c:pt>
                <c:pt idx="159">
                  <c:v>-0.20291519301262065</c:v>
                </c:pt>
                <c:pt idx="160">
                  <c:v>-0.1993342477661991</c:v>
                </c:pt>
                <c:pt idx="161">
                  <c:v>-0.19789440550578294</c:v>
                </c:pt>
                <c:pt idx="162">
                  <c:v>-0.19419634887019976</c:v>
                </c:pt>
                <c:pt idx="163">
                  <c:v>-0.19410783505686771</c:v>
                </c:pt>
                <c:pt idx="164">
                  <c:v>-0.18942202796256211</c:v>
                </c:pt>
                <c:pt idx="165">
                  <c:v>-0.18217601115514223</c:v>
                </c:pt>
                <c:pt idx="166">
                  <c:v>-0.178750838519487</c:v>
                </c:pt>
                <c:pt idx="167">
                  <c:v>-0.1637477879266058</c:v>
                </c:pt>
                <c:pt idx="168">
                  <c:v>-0.16166667853581648</c:v>
                </c:pt>
                <c:pt idx="169">
                  <c:v>-0.15803478633347209</c:v>
                </c:pt>
                <c:pt idx="170">
                  <c:v>-0.15390694742658828</c:v>
                </c:pt>
                <c:pt idx="171">
                  <c:v>-0.15234540833319252</c:v>
                </c:pt>
                <c:pt idx="172">
                  <c:v>-0.15142098901853809</c:v>
                </c:pt>
                <c:pt idx="173">
                  <c:v>-0.14983838636844124</c:v>
                </c:pt>
                <c:pt idx="174">
                  <c:v>-0.14480257381873682</c:v>
                </c:pt>
                <c:pt idx="175">
                  <c:v>-0.14215101395796509</c:v>
                </c:pt>
                <c:pt idx="176">
                  <c:v>-0.13131189884058012</c:v>
                </c:pt>
                <c:pt idx="177">
                  <c:v>-0.11985683096866286</c:v>
                </c:pt>
                <c:pt idx="178">
                  <c:v>-0.10402109723737363</c:v>
                </c:pt>
                <c:pt idx="179">
                  <c:v>-0.10145734321850042</c:v>
                </c:pt>
                <c:pt idx="180">
                  <c:v>-9.8723664725633778E-2</c:v>
                </c:pt>
                <c:pt idx="181">
                  <c:v>-8.6786137087075457E-2</c:v>
                </c:pt>
                <c:pt idx="182">
                  <c:v>-8.5231484219200196E-2</c:v>
                </c:pt>
                <c:pt idx="183">
                  <c:v>-7.1999000729859874E-2</c:v>
                </c:pt>
                <c:pt idx="184">
                  <c:v>-7.0617155228765965E-2</c:v>
                </c:pt>
                <c:pt idx="185">
                  <c:v>-6.5682072482443399E-2</c:v>
                </c:pt>
                <c:pt idx="186">
                  <c:v>-6.355094576677528E-2</c:v>
                </c:pt>
                <c:pt idx="187">
                  <c:v>-5.0323917807237162E-2</c:v>
                </c:pt>
                <c:pt idx="188">
                  <c:v>-5.0151452692646335E-2</c:v>
                </c:pt>
                <c:pt idx="189">
                  <c:v>-3.7067224491666183E-2</c:v>
                </c:pt>
                <c:pt idx="190">
                  <c:v>-3.3128045912271899E-2</c:v>
                </c:pt>
                <c:pt idx="191">
                  <c:v>-3.1377572652108353E-2</c:v>
                </c:pt>
                <c:pt idx="192">
                  <c:v>-2.8119699994232576E-2</c:v>
                </c:pt>
                <c:pt idx="193">
                  <c:v>-2.6512351797496374E-2</c:v>
                </c:pt>
                <c:pt idx="194">
                  <c:v>-2.049532242537162E-2</c:v>
                </c:pt>
                <c:pt idx="195">
                  <c:v>-1.3087490477455169E-2</c:v>
                </c:pt>
                <c:pt idx="196">
                  <c:v>-1.2115968549615531E-2</c:v>
                </c:pt>
                <c:pt idx="197">
                  <c:v>-1.1623375752353253E-2</c:v>
                </c:pt>
                <c:pt idx="198">
                  <c:v>-9.0731992161399884E-3</c:v>
                </c:pt>
                <c:pt idx="199">
                  <c:v>2.460353485030169E-3</c:v>
                </c:pt>
                <c:pt idx="200">
                  <c:v>9.794683491434978E-3</c:v>
                </c:pt>
                <c:pt idx="201">
                  <c:v>1.3677785391081904E-2</c:v>
                </c:pt>
                <c:pt idx="202">
                  <c:v>1.5048430824006871E-2</c:v>
                </c:pt>
                <c:pt idx="203">
                  <c:v>1.6521563559608765E-2</c:v>
                </c:pt>
                <c:pt idx="204">
                  <c:v>1.9978196923054001E-2</c:v>
                </c:pt>
                <c:pt idx="205">
                  <c:v>2.781136326469728E-2</c:v>
                </c:pt>
                <c:pt idx="206">
                  <c:v>3.0723966658166412E-2</c:v>
                </c:pt>
                <c:pt idx="207">
                  <c:v>3.3677120231554412E-2</c:v>
                </c:pt>
                <c:pt idx="208">
                  <c:v>3.5295875579665917E-2</c:v>
                </c:pt>
                <c:pt idx="209">
                  <c:v>4.357517290963614E-2</c:v>
                </c:pt>
                <c:pt idx="210">
                  <c:v>4.42470064737382E-2</c:v>
                </c:pt>
                <c:pt idx="211">
                  <c:v>5.5683358456545526E-2</c:v>
                </c:pt>
                <c:pt idx="212">
                  <c:v>6.1844508852534556E-2</c:v>
                </c:pt>
                <c:pt idx="213">
                  <c:v>6.7796750316838655E-2</c:v>
                </c:pt>
                <c:pt idx="214">
                  <c:v>7.2633416429775416E-2</c:v>
                </c:pt>
                <c:pt idx="215">
                  <c:v>7.8125519301106491E-2</c:v>
                </c:pt>
                <c:pt idx="216">
                  <c:v>8.1721707715658939E-2</c:v>
                </c:pt>
                <c:pt idx="217">
                  <c:v>8.7513237424760373E-2</c:v>
                </c:pt>
                <c:pt idx="218">
                  <c:v>0.12614744788801879</c:v>
                </c:pt>
                <c:pt idx="219">
                  <c:v>0.12974540077510244</c:v>
                </c:pt>
                <c:pt idx="220">
                  <c:v>0.12999171896583686</c:v>
                </c:pt>
                <c:pt idx="221">
                  <c:v>0.13985011155835916</c:v>
                </c:pt>
                <c:pt idx="222">
                  <c:v>0.15513508303134854</c:v>
                </c:pt>
                <c:pt idx="223">
                  <c:v>0.17184976624815054</c:v>
                </c:pt>
                <c:pt idx="224">
                  <c:v>0.172892524355413</c:v>
                </c:pt>
                <c:pt idx="225">
                  <c:v>0.18042945365691318</c:v>
                </c:pt>
                <c:pt idx="226">
                  <c:v>0.18470642599230908</c:v>
                </c:pt>
                <c:pt idx="227">
                  <c:v>0.186585215281827</c:v>
                </c:pt>
                <c:pt idx="228">
                  <c:v>0.18988660114211489</c:v>
                </c:pt>
                <c:pt idx="229">
                  <c:v>0.19800523327850172</c:v>
                </c:pt>
                <c:pt idx="230">
                  <c:v>0.19993267130990081</c:v>
                </c:pt>
                <c:pt idx="231">
                  <c:v>0.20398710450776986</c:v>
                </c:pt>
                <c:pt idx="232">
                  <c:v>0.21089005247032272</c:v>
                </c:pt>
                <c:pt idx="233">
                  <c:v>0.21951048018534444</c:v>
                </c:pt>
                <c:pt idx="234">
                  <c:v>0.22330383955664967</c:v>
                </c:pt>
                <c:pt idx="235">
                  <c:v>0.22503211391070585</c:v>
                </c:pt>
                <c:pt idx="236">
                  <c:v>0.2261029245486777</c:v>
                </c:pt>
                <c:pt idx="237">
                  <c:v>0.23342741831090721</c:v>
                </c:pt>
                <c:pt idx="238">
                  <c:v>0.24039254577345812</c:v>
                </c:pt>
                <c:pt idx="239">
                  <c:v>0.24386567077228108</c:v>
                </c:pt>
                <c:pt idx="240">
                  <c:v>0.25110022474117161</c:v>
                </c:pt>
                <c:pt idx="241">
                  <c:v>0.25381221692103223</c:v>
                </c:pt>
                <c:pt idx="242">
                  <c:v>0.2593965308397409</c:v>
                </c:pt>
                <c:pt idx="243">
                  <c:v>0.26483477874394057</c:v>
                </c:pt>
                <c:pt idx="244">
                  <c:v>0.26714134253452559</c:v>
                </c:pt>
                <c:pt idx="245">
                  <c:v>0.27141090048236372</c:v>
                </c:pt>
                <c:pt idx="246">
                  <c:v>0.27496728736359061</c:v>
                </c:pt>
                <c:pt idx="247">
                  <c:v>0.27649769074525654</c:v>
                </c:pt>
                <c:pt idx="248">
                  <c:v>0.2802206101814822</c:v>
                </c:pt>
                <c:pt idx="249">
                  <c:v>0.28753308488155299</c:v>
                </c:pt>
                <c:pt idx="250">
                  <c:v>0.29319660015181248</c:v>
                </c:pt>
                <c:pt idx="251">
                  <c:v>0.29552136767782289</c:v>
                </c:pt>
                <c:pt idx="252">
                  <c:v>0.3020629285829729</c:v>
                </c:pt>
                <c:pt idx="253">
                  <c:v>0.31685206458483206</c:v>
                </c:pt>
                <c:pt idx="254">
                  <c:v>0.32432388942400503</c:v>
                </c:pt>
                <c:pt idx="255">
                  <c:v>0.33488821969057941</c:v>
                </c:pt>
                <c:pt idx="256">
                  <c:v>0.34571317856570893</c:v>
                </c:pt>
                <c:pt idx="257">
                  <c:v>0.34767210505293183</c:v>
                </c:pt>
                <c:pt idx="258">
                  <c:v>0.35223603151477784</c:v>
                </c:pt>
                <c:pt idx="259">
                  <c:v>0.3734161112853554</c:v>
                </c:pt>
                <c:pt idx="260">
                  <c:v>0.37698943709717092</c:v>
                </c:pt>
                <c:pt idx="261">
                  <c:v>0.37898661019968899</c:v>
                </c:pt>
                <c:pt idx="262">
                  <c:v>0.3790485664453398</c:v>
                </c:pt>
                <c:pt idx="263">
                  <c:v>0.38024696094501742</c:v>
                </c:pt>
                <c:pt idx="264">
                  <c:v>0.38649046111356711</c:v>
                </c:pt>
                <c:pt idx="265">
                  <c:v>0.39604728421941965</c:v>
                </c:pt>
                <c:pt idx="266">
                  <c:v>0.39947920216775201</c:v>
                </c:pt>
                <c:pt idx="267">
                  <c:v>0.39968495672632448</c:v>
                </c:pt>
                <c:pt idx="268">
                  <c:v>0.41163641314958188</c:v>
                </c:pt>
                <c:pt idx="269">
                  <c:v>0.42871024250541362</c:v>
                </c:pt>
                <c:pt idx="270">
                  <c:v>0.43079556603354252</c:v>
                </c:pt>
                <c:pt idx="271">
                  <c:v>0.43174338069116325</c:v>
                </c:pt>
                <c:pt idx="272">
                  <c:v>0.43433707282313821</c:v>
                </c:pt>
                <c:pt idx="273">
                  <c:v>0.44079310612391331</c:v>
                </c:pt>
                <c:pt idx="274">
                  <c:v>0.44266880067425013</c:v>
                </c:pt>
                <c:pt idx="275">
                  <c:v>0.44275727569779671</c:v>
                </c:pt>
                <c:pt idx="276">
                  <c:v>0.45088667377233677</c:v>
                </c:pt>
                <c:pt idx="277">
                  <c:v>0.45411013125419436</c:v>
                </c:pt>
                <c:pt idx="278">
                  <c:v>0.45874200542910593</c:v>
                </c:pt>
                <c:pt idx="279">
                  <c:v>0.45897738397456883</c:v>
                </c:pt>
                <c:pt idx="280">
                  <c:v>0.46083052696320054</c:v>
                </c:pt>
                <c:pt idx="281">
                  <c:v>0.46544427933441679</c:v>
                </c:pt>
                <c:pt idx="282">
                  <c:v>0.46674163527249601</c:v>
                </c:pt>
                <c:pt idx="283">
                  <c:v>0.46857065274584686</c:v>
                </c:pt>
                <c:pt idx="284">
                  <c:v>0.46871808445674717</c:v>
                </c:pt>
                <c:pt idx="285">
                  <c:v>0.47398446164131658</c:v>
                </c:pt>
                <c:pt idx="286">
                  <c:v>0.48931010929768898</c:v>
                </c:pt>
                <c:pt idx="287">
                  <c:v>0.50018854209737185</c:v>
                </c:pt>
                <c:pt idx="288">
                  <c:v>0.51286368166817686</c:v>
                </c:pt>
                <c:pt idx="289">
                  <c:v>0.52607820754972878</c:v>
                </c:pt>
                <c:pt idx="290">
                  <c:v>0.55319696979359612</c:v>
                </c:pt>
                <c:pt idx="291">
                  <c:v>0.5565680312062059</c:v>
                </c:pt>
                <c:pt idx="292">
                  <c:v>0.55972501051095702</c:v>
                </c:pt>
                <c:pt idx="293">
                  <c:v>0.5679830709381003</c:v>
                </c:pt>
                <c:pt idx="294">
                  <c:v>0.56878580743135443</c:v>
                </c:pt>
                <c:pt idx="295">
                  <c:v>0.58752778997756339</c:v>
                </c:pt>
                <c:pt idx="296">
                  <c:v>0.60637414955154345</c:v>
                </c:pt>
                <c:pt idx="297">
                  <c:v>0.60778730846125162</c:v>
                </c:pt>
                <c:pt idx="298">
                  <c:v>0.60888968943784194</c:v>
                </c:pt>
                <c:pt idx="299">
                  <c:v>0.61570961852166328</c:v>
                </c:pt>
                <c:pt idx="300">
                  <c:v>0.62541466034937021</c:v>
                </c:pt>
                <c:pt idx="301">
                  <c:v>0.62988652393519196</c:v>
                </c:pt>
                <c:pt idx="302">
                  <c:v>0.65290692305068754</c:v>
                </c:pt>
                <c:pt idx="303">
                  <c:v>0.65564183486321792</c:v>
                </c:pt>
                <c:pt idx="304">
                  <c:v>0.6655244148822943</c:v>
                </c:pt>
                <c:pt idx="305">
                  <c:v>0.67123358040088088</c:v>
                </c:pt>
                <c:pt idx="306">
                  <c:v>0.67383986412757946</c:v>
                </c:pt>
                <c:pt idx="307">
                  <c:v>0.67419982475816331</c:v>
                </c:pt>
                <c:pt idx="308">
                  <c:v>0.678972813885793</c:v>
                </c:pt>
                <c:pt idx="309">
                  <c:v>0.68086529918535865</c:v>
                </c:pt>
                <c:pt idx="310">
                  <c:v>0.68104115262367693</c:v>
                </c:pt>
                <c:pt idx="311">
                  <c:v>0.69192234930796215</c:v>
                </c:pt>
                <c:pt idx="312">
                  <c:v>0.70221206283556192</c:v>
                </c:pt>
                <c:pt idx="313">
                  <c:v>0.71162663600436038</c:v>
                </c:pt>
                <c:pt idx="314">
                  <c:v>0.7198031188897932</c:v>
                </c:pt>
                <c:pt idx="315">
                  <c:v>0.73255545774191388</c:v>
                </c:pt>
                <c:pt idx="316">
                  <c:v>0.74258970300151583</c:v>
                </c:pt>
                <c:pt idx="317">
                  <c:v>0.74844507336636212</c:v>
                </c:pt>
                <c:pt idx="318">
                  <c:v>0.77893428137700038</c:v>
                </c:pt>
                <c:pt idx="319">
                  <c:v>0.7837174132586886</c:v>
                </c:pt>
                <c:pt idx="320">
                  <c:v>0.79148643600889357</c:v>
                </c:pt>
                <c:pt idx="321">
                  <c:v>0.80808342930665766</c:v>
                </c:pt>
                <c:pt idx="322">
                  <c:v>0.81643234827063882</c:v>
                </c:pt>
                <c:pt idx="323">
                  <c:v>0.82794023224202573</c:v>
                </c:pt>
                <c:pt idx="324">
                  <c:v>0.83361742346054801</c:v>
                </c:pt>
                <c:pt idx="325">
                  <c:v>0.84720077695598328</c:v>
                </c:pt>
                <c:pt idx="326">
                  <c:v>0.85349810780512592</c:v>
                </c:pt>
                <c:pt idx="327">
                  <c:v>0.86418422319002075</c:v>
                </c:pt>
                <c:pt idx="328">
                  <c:v>0.87264012009621705</c:v>
                </c:pt>
                <c:pt idx="329">
                  <c:v>0.87970525767099483</c:v>
                </c:pt>
                <c:pt idx="330">
                  <c:v>0.88224971223867943</c:v>
                </c:pt>
                <c:pt idx="331">
                  <c:v>0.88428252049289813</c:v>
                </c:pt>
                <c:pt idx="332">
                  <c:v>0.89210317838709852</c:v>
                </c:pt>
                <c:pt idx="333">
                  <c:v>0.89328897781380101</c:v>
                </c:pt>
                <c:pt idx="334">
                  <c:v>0.89925474334882116</c:v>
                </c:pt>
                <c:pt idx="335">
                  <c:v>0.92150618089198921</c:v>
                </c:pt>
                <c:pt idx="336">
                  <c:v>0.92354334626383094</c:v>
                </c:pt>
                <c:pt idx="337">
                  <c:v>0.929005572099876</c:v>
                </c:pt>
                <c:pt idx="338">
                  <c:v>0.93448737390407366</c:v>
                </c:pt>
                <c:pt idx="339">
                  <c:v>0.9638711140431474</c:v>
                </c:pt>
                <c:pt idx="340">
                  <c:v>0.9666883678653565</c:v>
                </c:pt>
                <c:pt idx="341">
                  <c:v>0.97921087107925164</c:v>
                </c:pt>
                <c:pt idx="342">
                  <c:v>0.99045257304541545</c:v>
                </c:pt>
                <c:pt idx="343">
                  <c:v>0.99590616832095746</c:v>
                </c:pt>
                <c:pt idx="344">
                  <c:v>0.99879597785624907</c:v>
                </c:pt>
                <c:pt idx="345">
                  <c:v>1.0160259092109305</c:v>
                </c:pt>
                <c:pt idx="346">
                  <c:v>1.0446177063052544</c:v>
                </c:pt>
                <c:pt idx="347">
                  <c:v>1.0807560254323878</c:v>
                </c:pt>
                <c:pt idx="348">
                  <c:v>1.1069048065287921</c:v>
                </c:pt>
                <c:pt idx="349">
                  <c:v>1.1097334264431626</c:v>
                </c:pt>
                <c:pt idx="350">
                  <c:v>1.128024738712412</c:v>
                </c:pt>
                <c:pt idx="351">
                  <c:v>1.1659795306247347</c:v>
                </c:pt>
                <c:pt idx="352">
                  <c:v>1.1660321456416103</c:v>
                </c:pt>
                <c:pt idx="353">
                  <c:v>1.1863106075737948</c:v>
                </c:pt>
                <c:pt idx="354">
                  <c:v>1.1899727275032879</c:v>
                </c:pt>
                <c:pt idx="355">
                  <c:v>1.2143705581244535</c:v>
                </c:pt>
                <c:pt idx="356">
                  <c:v>1.2394515341278656</c:v>
                </c:pt>
                <c:pt idx="357">
                  <c:v>1.2670807492508769</c:v>
                </c:pt>
                <c:pt idx="358">
                  <c:v>1.2915705569901454</c:v>
                </c:pt>
                <c:pt idx="359">
                  <c:v>1.3082330687569474</c:v>
                </c:pt>
                <c:pt idx="360">
                  <c:v>1.3160037932020465</c:v>
                </c:pt>
                <c:pt idx="361">
                  <c:v>1.3348865121336064</c:v>
                </c:pt>
                <c:pt idx="362">
                  <c:v>1.4296443982960332</c:v>
                </c:pt>
                <c:pt idx="363">
                  <c:v>1.4343249307838877</c:v>
                </c:pt>
                <c:pt idx="364">
                  <c:v>1.4829089516943263</c:v>
                </c:pt>
                <c:pt idx="365">
                  <c:v>1.4945061059531588</c:v>
                </c:pt>
                <c:pt idx="366">
                  <c:v>1.539587675300786</c:v>
                </c:pt>
                <c:pt idx="367">
                  <c:v>1.5500221062846515</c:v>
                </c:pt>
                <c:pt idx="368">
                  <c:v>1.5535500258921446</c:v>
                </c:pt>
                <c:pt idx="369">
                  <c:v>1.5585580298512527</c:v>
                </c:pt>
                <c:pt idx="370">
                  <c:v>1.5747836013923096</c:v>
                </c:pt>
                <c:pt idx="371">
                  <c:v>1.574807083100602</c:v>
                </c:pt>
                <c:pt idx="372">
                  <c:v>1.5766853430851624</c:v>
                </c:pt>
                <c:pt idx="373">
                  <c:v>1.5835184219573464</c:v>
                </c:pt>
                <c:pt idx="374">
                  <c:v>1.6231038143843957</c:v>
                </c:pt>
                <c:pt idx="375">
                  <c:v>1.6395545081768057</c:v>
                </c:pt>
                <c:pt idx="376">
                  <c:v>1.6896822821993696</c:v>
                </c:pt>
                <c:pt idx="377">
                  <c:v>1.828551890381136</c:v>
                </c:pt>
                <c:pt idx="378">
                  <c:v>1.8307638951687928</c:v>
                </c:pt>
                <c:pt idx="379">
                  <c:v>1.9378837350397533</c:v>
                </c:pt>
                <c:pt idx="380">
                  <c:v>1.9447162353916565</c:v>
                </c:pt>
                <c:pt idx="381">
                  <c:v>2.0304757137129981</c:v>
                </c:pt>
                <c:pt idx="382">
                  <c:v>2.1111674999819692</c:v>
                </c:pt>
                <c:pt idx="383">
                  <c:v>2.2990445774735178</c:v>
                </c:pt>
                <c:pt idx="384">
                  <c:v>2.3790723412149783</c:v>
                </c:pt>
                <c:pt idx="385">
                  <c:v>2.6212478115325357</c:v>
                </c:pt>
                <c:pt idx="386">
                  <c:v>2.7473960479992132</c:v>
                </c:pt>
                <c:pt idx="387">
                  <c:v>2.9429591190884814</c:v>
                </c:pt>
                <c:pt idx="388">
                  <c:v>3.1819916573400064</c:v>
                </c:pt>
                <c:pt idx="389">
                  <c:v>3.2394353065249715</c:v>
                </c:pt>
                <c:pt idx="390">
                  <c:v>3.4720773077781151</c:v>
                </c:pt>
                <c:pt idx="391">
                  <c:v>4.2007262122566909</c:v>
                </c:pt>
              </c:numCache>
            </c:numRef>
          </c:yVal>
          <c:smooth val="0"/>
          <c:extLst>
            <c:ext xmlns:c16="http://schemas.microsoft.com/office/drawing/2014/chart" uri="{C3380CC4-5D6E-409C-BE32-E72D297353CC}">
              <c16:uniqueId val="{00000002-67AB-4177-934A-B76443983F9F}"/>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xVal>
          <c:yVal>
            <c:numRef>
              <c:f>Regression!RegChartQQX</c:f>
              <c:numCache>
                <c:formatCode>0.0000</c:formatCode>
                <c:ptCount val="392"/>
                <c:pt idx="0">
                  <c:v>-3.0172230343004571</c:v>
                </c:pt>
                <c:pt idx="1">
                  <c:v>-2.6670046532742777</c:v>
                </c:pt>
                <c:pt idx="2">
                  <c:v>-2.6670046532742777</c:v>
                </c:pt>
                <c:pt idx="3">
                  <c:v>-2.368567059267872</c:v>
                </c:pt>
                <c:pt idx="4">
                  <c:v>-2.368567059267872</c:v>
                </c:pt>
                <c:pt idx="5">
                  <c:v>-2.368567059267872</c:v>
                </c:pt>
                <c:pt idx="6">
                  <c:v>-2.368567059267872</c:v>
                </c:pt>
                <c:pt idx="7">
                  <c:v>-2.0720014483779297</c:v>
                </c:pt>
                <c:pt idx="8">
                  <c:v>-2.0720014483779297</c:v>
                </c:pt>
                <c:pt idx="9">
                  <c:v>-2.0720014483779297</c:v>
                </c:pt>
                <c:pt idx="10">
                  <c:v>-2.0720014483779297</c:v>
                </c:pt>
                <c:pt idx="11">
                  <c:v>-2.0720014483779297</c:v>
                </c:pt>
                <c:pt idx="12">
                  <c:v>-2.0720014483779297</c:v>
                </c:pt>
                <c:pt idx="13">
                  <c:v>-1.8192221095957348</c:v>
                </c:pt>
                <c:pt idx="14">
                  <c:v>-1.8192221095957348</c:v>
                </c:pt>
                <c:pt idx="15">
                  <c:v>-1.8192221095957348</c:v>
                </c:pt>
                <c:pt idx="16">
                  <c:v>-1.8192221095957348</c:v>
                </c:pt>
                <c:pt idx="17">
                  <c:v>-1.8192221095957348</c:v>
                </c:pt>
                <c:pt idx="18">
                  <c:v>-1.8192221095957348</c:v>
                </c:pt>
                <c:pt idx="19">
                  <c:v>-1.8192221095957348</c:v>
                </c:pt>
                <c:pt idx="20">
                  <c:v>-1.8192221095957348</c:v>
                </c:pt>
                <c:pt idx="21">
                  <c:v>-1.8192221095957348</c:v>
                </c:pt>
                <c:pt idx="22">
                  <c:v>-1.8192221095957348</c:v>
                </c:pt>
                <c:pt idx="23">
                  <c:v>-1.8192221095957348</c:v>
                </c:pt>
                <c:pt idx="24">
                  <c:v>-1.8192221095957348</c:v>
                </c:pt>
                <c:pt idx="25">
                  <c:v>-1.8192221095957348</c:v>
                </c:pt>
                <c:pt idx="26">
                  <c:v>-1.8192221095957348</c:v>
                </c:pt>
                <c:pt idx="27">
                  <c:v>-1.8192221095957348</c:v>
                </c:pt>
                <c:pt idx="28">
                  <c:v>-1.8192221095957348</c:v>
                </c:pt>
                <c:pt idx="29">
                  <c:v>-1.8192221095957348</c:v>
                </c:pt>
                <c:pt idx="30">
                  <c:v>-1.8192221095957348</c:v>
                </c:pt>
                <c:pt idx="31">
                  <c:v>-1.8192221095957348</c:v>
                </c:pt>
                <c:pt idx="32">
                  <c:v>-1.8192221095957348</c:v>
                </c:pt>
                <c:pt idx="33">
                  <c:v>-1.3692588778592949</c:v>
                </c:pt>
                <c:pt idx="34">
                  <c:v>-1.3692588778592949</c:v>
                </c:pt>
                <c:pt idx="35">
                  <c:v>-1.3692588778592949</c:v>
                </c:pt>
                <c:pt idx="36">
                  <c:v>-1.3692588778592949</c:v>
                </c:pt>
                <c:pt idx="37">
                  <c:v>-1.3692588778592949</c:v>
                </c:pt>
                <c:pt idx="38">
                  <c:v>-1.3692588778592949</c:v>
                </c:pt>
                <c:pt idx="39">
                  <c:v>-1.3692588778592949</c:v>
                </c:pt>
                <c:pt idx="40">
                  <c:v>-1.3692588778592949</c:v>
                </c:pt>
                <c:pt idx="41">
                  <c:v>-1.3692588778592949</c:v>
                </c:pt>
                <c:pt idx="42">
                  <c:v>-1.3692588778592949</c:v>
                </c:pt>
                <c:pt idx="43">
                  <c:v>-1.3692588778592949</c:v>
                </c:pt>
                <c:pt idx="44">
                  <c:v>-1.3692588778592949</c:v>
                </c:pt>
                <c:pt idx="45">
                  <c:v>-1.3692588778592949</c:v>
                </c:pt>
                <c:pt idx="46">
                  <c:v>-1.3692588778592949</c:v>
                </c:pt>
                <c:pt idx="47">
                  <c:v>-1.3692588778592949</c:v>
                </c:pt>
                <c:pt idx="48">
                  <c:v>-1.3692588778592949</c:v>
                </c:pt>
                <c:pt idx="49">
                  <c:v>-1.3692588778592949</c:v>
                </c:pt>
                <c:pt idx="50">
                  <c:v>-1.3692588778592949</c:v>
                </c:pt>
                <c:pt idx="51">
                  <c:v>-1.3692588778592949</c:v>
                </c:pt>
                <c:pt idx="52">
                  <c:v>-1.1080108204698569</c:v>
                </c:pt>
                <c:pt idx="53">
                  <c:v>-1.0962733150227</c:v>
                </c:pt>
                <c:pt idx="54">
                  <c:v>-1.0962733150227</c:v>
                </c:pt>
                <c:pt idx="55">
                  <c:v>-1.0962733150227</c:v>
                </c:pt>
                <c:pt idx="56">
                  <c:v>-1.0962733150227</c:v>
                </c:pt>
                <c:pt idx="57">
                  <c:v>-1.0962733150227</c:v>
                </c:pt>
                <c:pt idx="58">
                  <c:v>-1.0962733150227</c:v>
                </c:pt>
                <c:pt idx="59">
                  <c:v>-1.0962733150227</c:v>
                </c:pt>
                <c:pt idx="60">
                  <c:v>-1.0962733150227</c:v>
                </c:pt>
                <c:pt idx="61">
                  <c:v>-1.0962733150227</c:v>
                </c:pt>
                <c:pt idx="62">
                  <c:v>-1.0962733150227</c:v>
                </c:pt>
                <c:pt idx="63">
                  <c:v>-1.0962733150227</c:v>
                </c:pt>
                <c:pt idx="64">
                  <c:v>-1.0962733150227</c:v>
                </c:pt>
                <c:pt idx="65">
                  <c:v>-1.0962733150227</c:v>
                </c:pt>
                <c:pt idx="66">
                  <c:v>-1.0962733150227</c:v>
                </c:pt>
                <c:pt idx="67">
                  <c:v>-1.0962733150227</c:v>
                </c:pt>
                <c:pt idx="68">
                  <c:v>-1.0962733150227</c:v>
                </c:pt>
                <c:pt idx="69">
                  <c:v>-0.92571937406474636</c:v>
                </c:pt>
                <c:pt idx="70">
                  <c:v>-0.92571937406474636</c:v>
                </c:pt>
                <c:pt idx="71">
                  <c:v>-0.92571937406474636</c:v>
                </c:pt>
                <c:pt idx="72">
                  <c:v>-0.92571937406474636</c:v>
                </c:pt>
                <c:pt idx="73">
                  <c:v>-0.92571937406474636</c:v>
                </c:pt>
                <c:pt idx="74">
                  <c:v>-0.87770829679608253</c:v>
                </c:pt>
                <c:pt idx="75">
                  <c:v>-0.87770829679608253</c:v>
                </c:pt>
                <c:pt idx="76">
                  <c:v>-0.87770829679608253</c:v>
                </c:pt>
                <c:pt idx="77">
                  <c:v>-0.87770829679608253</c:v>
                </c:pt>
                <c:pt idx="78">
                  <c:v>-0.87770829679608253</c:v>
                </c:pt>
                <c:pt idx="79">
                  <c:v>-0.87770829679608253</c:v>
                </c:pt>
                <c:pt idx="80">
                  <c:v>-0.87770829679608253</c:v>
                </c:pt>
                <c:pt idx="81">
                  <c:v>-0.87770829679608253</c:v>
                </c:pt>
                <c:pt idx="82">
                  <c:v>-0.87770829679608253</c:v>
                </c:pt>
                <c:pt idx="83">
                  <c:v>-0.87770829679608253</c:v>
                </c:pt>
                <c:pt idx="84">
                  <c:v>-0.87770829679608253</c:v>
                </c:pt>
                <c:pt idx="85">
                  <c:v>-0.87770829679608253</c:v>
                </c:pt>
                <c:pt idx="86">
                  <c:v>-0.87770829679608253</c:v>
                </c:pt>
                <c:pt idx="87">
                  <c:v>-0.76138260968642557</c:v>
                </c:pt>
                <c:pt idx="88">
                  <c:v>-0.75286571534072255</c:v>
                </c:pt>
                <c:pt idx="89">
                  <c:v>-0.75286571534072255</c:v>
                </c:pt>
                <c:pt idx="90">
                  <c:v>-0.75286571534072255</c:v>
                </c:pt>
                <c:pt idx="91">
                  <c:v>-0.72763551415159011</c:v>
                </c:pt>
                <c:pt idx="92">
                  <c:v>-0.71932811724388146</c:v>
                </c:pt>
                <c:pt idx="93">
                  <c:v>-0.71932811724388146</c:v>
                </c:pt>
                <c:pt idx="94">
                  <c:v>-0.71932811724388146</c:v>
                </c:pt>
                <c:pt idx="95">
                  <c:v>-0.71932811724388146</c:v>
                </c:pt>
                <c:pt idx="96">
                  <c:v>-0.71932811724388146</c:v>
                </c:pt>
                <c:pt idx="97">
                  <c:v>-0.71932811724388146</c:v>
                </c:pt>
                <c:pt idx="98">
                  <c:v>-0.71932811724388146</c:v>
                </c:pt>
                <c:pt idx="99">
                  <c:v>-0.66249652488531496</c:v>
                </c:pt>
                <c:pt idx="100">
                  <c:v>-0.66249652488531496</c:v>
                </c:pt>
                <c:pt idx="101">
                  <c:v>-0.66249652488531496</c:v>
                </c:pt>
                <c:pt idx="102">
                  <c:v>-0.66249652488531496</c:v>
                </c:pt>
                <c:pt idx="103">
                  <c:v>-0.66249652488531496</c:v>
                </c:pt>
                <c:pt idx="104">
                  <c:v>-0.62318453179067923</c:v>
                </c:pt>
                <c:pt idx="105">
                  <c:v>-0.62318453179067923</c:v>
                </c:pt>
                <c:pt idx="106">
                  <c:v>-0.60772881744947449</c:v>
                </c:pt>
                <c:pt idx="107">
                  <c:v>-0.60005529056970508</c:v>
                </c:pt>
                <c:pt idx="108">
                  <c:v>-0.60005529056970508</c:v>
                </c:pt>
                <c:pt idx="109">
                  <c:v>-0.60005529056970508</c:v>
                </c:pt>
                <c:pt idx="110">
                  <c:v>-0.60005529056970508</c:v>
                </c:pt>
                <c:pt idx="111">
                  <c:v>-0.60005529056970508</c:v>
                </c:pt>
                <c:pt idx="112">
                  <c:v>-0.60005529056970508</c:v>
                </c:pt>
                <c:pt idx="113">
                  <c:v>-0.60005529056970508</c:v>
                </c:pt>
                <c:pt idx="114">
                  <c:v>-0.60005529056970508</c:v>
                </c:pt>
                <c:pt idx="115">
                  <c:v>-0.60005529056970508</c:v>
                </c:pt>
                <c:pt idx="116">
                  <c:v>-0.60005529056970508</c:v>
                </c:pt>
                <c:pt idx="117">
                  <c:v>-0.60005529056970508</c:v>
                </c:pt>
                <c:pt idx="118">
                  <c:v>-0.60005529056970508</c:v>
                </c:pt>
                <c:pt idx="119">
                  <c:v>-0.60005529056970508</c:v>
                </c:pt>
                <c:pt idx="120">
                  <c:v>-0.60005529056970508</c:v>
                </c:pt>
                <c:pt idx="121">
                  <c:v>-0.60005529056970508</c:v>
                </c:pt>
                <c:pt idx="122">
                  <c:v>-0.60005529056970508</c:v>
                </c:pt>
                <c:pt idx="123">
                  <c:v>-0.60005529056970508</c:v>
                </c:pt>
                <c:pt idx="124">
                  <c:v>-0.47441488350636313</c:v>
                </c:pt>
                <c:pt idx="125">
                  <c:v>-0.47441488350636313</c:v>
                </c:pt>
                <c:pt idx="126">
                  <c:v>-0.4601505487612142</c:v>
                </c:pt>
                <c:pt idx="127">
                  <c:v>-0.45305351907680225</c:v>
                </c:pt>
                <c:pt idx="128">
                  <c:v>-0.45305351907680225</c:v>
                </c:pt>
                <c:pt idx="129">
                  <c:v>-0.45305351907680225</c:v>
                </c:pt>
                <c:pt idx="130">
                  <c:v>-0.43189692948271047</c:v>
                </c:pt>
                <c:pt idx="131">
                  <c:v>-0.42488793897993393</c:v>
                </c:pt>
                <c:pt idx="132">
                  <c:v>-0.42488793897993393</c:v>
                </c:pt>
                <c:pt idx="133">
                  <c:v>-0.42488793897993393</c:v>
                </c:pt>
                <c:pt idx="134">
                  <c:v>-0.42488793897993393</c:v>
                </c:pt>
                <c:pt idx="135">
                  <c:v>-0.42488793897993393</c:v>
                </c:pt>
                <c:pt idx="136">
                  <c:v>-0.42488793897993393</c:v>
                </c:pt>
                <c:pt idx="137">
                  <c:v>-0.42488793897993393</c:v>
                </c:pt>
                <c:pt idx="138">
                  <c:v>-0.42488793897993393</c:v>
                </c:pt>
                <c:pt idx="139">
                  <c:v>-0.42488793897993393</c:v>
                </c:pt>
                <c:pt idx="140">
                  <c:v>-0.42488793897993393</c:v>
                </c:pt>
                <c:pt idx="141">
                  <c:v>-0.42488793897993393</c:v>
                </c:pt>
                <c:pt idx="142">
                  <c:v>-0.42488793897993393</c:v>
                </c:pt>
                <c:pt idx="143">
                  <c:v>-0.34227644932452284</c:v>
                </c:pt>
                <c:pt idx="144">
                  <c:v>-0.3355040396155593</c:v>
                </c:pt>
                <c:pt idx="145">
                  <c:v>-0.3355040396155593</c:v>
                </c:pt>
                <c:pt idx="146">
                  <c:v>-0.3355040396155593</c:v>
                </c:pt>
                <c:pt idx="147">
                  <c:v>-0.31527742954587812</c:v>
                </c:pt>
                <c:pt idx="148">
                  <c:v>-0.31527742954587812</c:v>
                </c:pt>
                <c:pt idx="149">
                  <c:v>-0.30186483701074074</c:v>
                </c:pt>
                <c:pt idx="150">
                  <c:v>-0.29517900048864582</c:v>
                </c:pt>
                <c:pt idx="151">
                  <c:v>-0.28850633275119353</c:v>
                </c:pt>
                <c:pt idx="152">
                  <c:v>-0.28850633275119353</c:v>
                </c:pt>
                <c:pt idx="153">
                  <c:v>-0.28850633275119353</c:v>
                </c:pt>
                <c:pt idx="154">
                  <c:v>-0.28850633275119353</c:v>
                </c:pt>
                <c:pt idx="155">
                  <c:v>-0.28850633275119353</c:v>
                </c:pt>
                <c:pt idx="156">
                  <c:v>-0.28850633275119353</c:v>
                </c:pt>
                <c:pt idx="157">
                  <c:v>-0.28850633275119353</c:v>
                </c:pt>
                <c:pt idx="158">
                  <c:v>-0.28850633275119353</c:v>
                </c:pt>
                <c:pt idx="159">
                  <c:v>-0.28850633275119353</c:v>
                </c:pt>
                <c:pt idx="160">
                  <c:v>-0.22898889026089997</c:v>
                </c:pt>
                <c:pt idx="161">
                  <c:v>-0.22898889026089997</c:v>
                </c:pt>
                <c:pt idx="162">
                  <c:v>-0.22898889026089997</c:v>
                </c:pt>
                <c:pt idx="163">
                  <c:v>-0.22898889026089997</c:v>
                </c:pt>
                <c:pt idx="164">
                  <c:v>-0.20280722023220576</c:v>
                </c:pt>
                <c:pt idx="165">
                  <c:v>-0.1962841646325432</c:v>
                </c:pt>
                <c:pt idx="166">
                  <c:v>-0.1962841646325432</c:v>
                </c:pt>
                <c:pt idx="167">
                  <c:v>-0.1962841646325432</c:v>
                </c:pt>
                <c:pt idx="168">
                  <c:v>-0.17676385996282307</c:v>
                </c:pt>
                <c:pt idx="169">
                  <c:v>-0.17676385996282307</c:v>
                </c:pt>
                <c:pt idx="170">
                  <c:v>-0.16378810102408645</c:v>
                </c:pt>
                <c:pt idx="171">
                  <c:v>-0.1573106846101707</c:v>
                </c:pt>
                <c:pt idx="172">
                  <c:v>-0.1573106846101707</c:v>
                </c:pt>
                <c:pt idx="173">
                  <c:v>-0.1573106846101707</c:v>
                </c:pt>
                <c:pt idx="174">
                  <c:v>-0.1573106846101707</c:v>
                </c:pt>
                <c:pt idx="175">
                  <c:v>-0.1573106846101707</c:v>
                </c:pt>
                <c:pt idx="176">
                  <c:v>-0.1573106846101707</c:v>
                </c:pt>
                <c:pt idx="177">
                  <c:v>-0.1573106846101707</c:v>
                </c:pt>
                <c:pt idx="178">
                  <c:v>-0.11213762424542992</c:v>
                </c:pt>
                <c:pt idx="179">
                  <c:v>-0.1057051091748199</c:v>
                </c:pt>
                <c:pt idx="180">
                  <c:v>-0.1057051091748199</c:v>
                </c:pt>
                <c:pt idx="181">
                  <c:v>-0.1057051091748199</c:v>
                </c:pt>
                <c:pt idx="182">
                  <c:v>-8.6432705492186665E-2</c:v>
                </c:pt>
                <c:pt idx="183">
                  <c:v>-8.0016051321401133E-2</c:v>
                </c:pt>
                <c:pt idx="184">
                  <c:v>-8.0016051321401133E-2</c:v>
                </c:pt>
                <c:pt idx="185">
                  <c:v>-8.0016051321401133E-2</c:v>
                </c:pt>
                <c:pt idx="186">
                  <c:v>-8.0016051321401133E-2</c:v>
                </c:pt>
                <c:pt idx="187">
                  <c:v>-8.0016051321401133E-2</c:v>
                </c:pt>
                <c:pt idx="188">
                  <c:v>-8.0016051321401133E-2</c:v>
                </c:pt>
                <c:pt idx="189">
                  <c:v>-8.0016051321401133E-2</c:v>
                </c:pt>
                <c:pt idx="190">
                  <c:v>-8.0016051321401133E-2</c:v>
                </c:pt>
                <c:pt idx="191">
                  <c:v>-8.0016051321401133E-2</c:v>
                </c:pt>
                <c:pt idx="192">
                  <c:v>-8.0016051321401133E-2</c:v>
                </c:pt>
                <c:pt idx="193">
                  <c:v>-1.5986830666930081E-2</c:v>
                </c:pt>
                <c:pt idx="194">
                  <c:v>-9.5918369045287465E-3</c:v>
                </c:pt>
                <c:pt idx="195">
                  <c:v>-3.1972353893137463E-3</c:v>
                </c:pt>
                <c:pt idx="196">
                  <c:v>3.1972353893138855E-3</c:v>
                </c:pt>
                <c:pt idx="197">
                  <c:v>3.1972353893138855E-3</c:v>
                </c:pt>
                <c:pt idx="198">
                  <c:v>3.1972353893138855E-3</c:v>
                </c:pt>
                <c:pt idx="199">
                  <c:v>3.1972353893138855E-3</c:v>
                </c:pt>
                <c:pt idx="200">
                  <c:v>3.1972353893138855E-3</c:v>
                </c:pt>
                <c:pt idx="201">
                  <c:v>3.1972353893138855E-3</c:v>
                </c:pt>
                <c:pt idx="202">
                  <c:v>3.1972353893138855E-3</c:v>
                </c:pt>
                <c:pt idx="203">
                  <c:v>3.1972353893138855E-3</c:v>
                </c:pt>
                <c:pt idx="204">
                  <c:v>3.1972353893138855E-3</c:v>
                </c:pt>
                <c:pt idx="205">
                  <c:v>6.0784779324276172E-2</c:v>
                </c:pt>
                <c:pt idx="206">
                  <c:v>6.7192354710227428E-2</c:v>
                </c:pt>
                <c:pt idx="207">
                  <c:v>7.3602690030832113E-2</c:v>
                </c:pt>
                <c:pt idx="208">
                  <c:v>8.0016051321400994E-2</c:v>
                </c:pt>
                <c:pt idx="209">
                  <c:v>8.6432705492186818E-2</c:v>
                </c:pt>
                <c:pt idx="210">
                  <c:v>8.6432705492186818E-2</c:v>
                </c:pt>
                <c:pt idx="211">
                  <c:v>9.9276964964338646E-2</c:v>
                </c:pt>
                <c:pt idx="212">
                  <c:v>9.9276964964338646E-2</c:v>
                </c:pt>
                <c:pt idx="213">
                  <c:v>9.9276964964338646E-2</c:v>
                </c:pt>
                <c:pt idx="214">
                  <c:v>9.9276964964338646E-2</c:v>
                </c:pt>
                <c:pt idx="215">
                  <c:v>9.9276964964338646E-2</c:v>
                </c:pt>
                <c:pt idx="216">
                  <c:v>9.9276964964338646E-2</c:v>
                </c:pt>
                <c:pt idx="217">
                  <c:v>9.9276964964338646E-2</c:v>
                </c:pt>
                <c:pt idx="218">
                  <c:v>9.9276964964338646E-2</c:v>
                </c:pt>
                <c:pt idx="219">
                  <c:v>9.9276964964338646E-2</c:v>
                </c:pt>
                <c:pt idx="220">
                  <c:v>9.9276964964338646E-2</c:v>
                </c:pt>
                <c:pt idx="221">
                  <c:v>9.9276964964338646E-2</c:v>
                </c:pt>
                <c:pt idx="222">
                  <c:v>0.17027239685422862</c:v>
                </c:pt>
                <c:pt idx="223">
                  <c:v>0.17676385996282321</c:v>
                </c:pt>
                <c:pt idx="224">
                  <c:v>0.18326278037660315</c:v>
                </c:pt>
                <c:pt idx="225">
                  <c:v>0.18326278037660315</c:v>
                </c:pt>
                <c:pt idx="226">
                  <c:v>0.19628416463254303</c:v>
                </c:pt>
                <c:pt idx="227">
                  <c:v>0.19628416463254303</c:v>
                </c:pt>
                <c:pt idx="228">
                  <c:v>0.19628416463254303</c:v>
                </c:pt>
                <c:pt idx="229">
                  <c:v>0.19628416463254303</c:v>
                </c:pt>
                <c:pt idx="230">
                  <c:v>0.19628416463254303</c:v>
                </c:pt>
                <c:pt idx="231">
                  <c:v>0.19628416463254303</c:v>
                </c:pt>
                <c:pt idx="232">
                  <c:v>0.19628416463254303</c:v>
                </c:pt>
                <c:pt idx="233">
                  <c:v>0.19628416463254303</c:v>
                </c:pt>
                <c:pt idx="234">
                  <c:v>0.19628416463254303</c:v>
                </c:pt>
                <c:pt idx="235">
                  <c:v>0.19628416463254303</c:v>
                </c:pt>
                <c:pt idx="236">
                  <c:v>0.26194045846440461</c:v>
                </c:pt>
                <c:pt idx="237">
                  <c:v>0.26856388625555183</c:v>
                </c:pt>
                <c:pt idx="238">
                  <c:v>0.26856388625555183</c:v>
                </c:pt>
                <c:pt idx="239">
                  <c:v>0.2818464860769076</c:v>
                </c:pt>
                <c:pt idx="240">
                  <c:v>0.2818464860769076</c:v>
                </c:pt>
                <c:pt idx="241">
                  <c:v>0.29517900048864598</c:v>
                </c:pt>
                <c:pt idx="242">
                  <c:v>0.30186483701074074</c:v>
                </c:pt>
                <c:pt idx="243">
                  <c:v>0.30186483701074074</c:v>
                </c:pt>
                <c:pt idx="244">
                  <c:v>0.30186483701074074</c:v>
                </c:pt>
                <c:pt idx="245">
                  <c:v>0.30186483701074074</c:v>
                </c:pt>
                <c:pt idx="246">
                  <c:v>0.30186483701074074</c:v>
                </c:pt>
                <c:pt idx="247">
                  <c:v>0.30186483701074074</c:v>
                </c:pt>
                <c:pt idx="248">
                  <c:v>0.30186483701074074</c:v>
                </c:pt>
                <c:pt idx="249">
                  <c:v>0.30186483701074074</c:v>
                </c:pt>
                <c:pt idx="250">
                  <c:v>0.30186483701074074</c:v>
                </c:pt>
                <c:pt idx="251">
                  <c:v>0.30186483701074074</c:v>
                </c:pt>
                <c:pt idx="252">
                  <c:v>0.30186483701074074</c:v>
                </c:pt>
                <c:pt idx="253">
                  <c:v>0.30186483701074074</c:v>
                </c:pt>
                <c:pt idx="254">
                  <c:v>0.30186483701074074</c:v>
                </c:pt>
                <c:pt idx="255">
                  <c:v>0.30186483701074074</c:v>
                </c:pt>
                <c:pt idx="256">
                  <c:v>0.39705550482904034</c:v>
                </c:pt>
                <c:pt idx="257">
                  <c:v>0.40398399337523622</c:v>
                </c:pt>
                <c:pt idx="258">
                  <c:v>0.41093192943060336</c:v>
                </c:pt>
                <c:pt idx="259">
                  <c:v>0.41093192943060336</c:v>
                </c:pt>
                <c:pt idx="260">
                  <c:v>0.42488793897993393</c:v>
                </c:pt>
                <c:pt idx="261">
                  <c:v>0.43189692948271047</c:v>
                </c:pt>
                <c:pt idx="262">
                  <c:v>0.43189692948271047</c:v>
                </c:pt>
                <c:pt idx="263">
                  <c:v>0.43189692948271047</c:v>
                </c:pt>
                <c:pt idx="264">
                  <c:v>0.43189692948271047</c:v>
                </c:pt>
                <c:pt idx="265">
                  <c:v>0.43189692948271047</c:v>
                </c:pt>
                <c:pt idx="266">
                  <c:v>0.43189692948271047</c:v>
                </c:pt>
                <c:pt idx="267">
                  <c:v>0.43189692948271047</c:v>
                </c:pt>
                <c:pt idx="268">
                  <c:v>0.43189692948271047</c:v>
                </c:pt>
                <c:pt idx="269">
                  <c:v>0.43189692948271047</c:v>
                </c:pt>
                <c:pt idx="270">
                  <c:v>0.49599497085825733</c:v>
                </c:pt>
                <c:pt idx="271">
                  <c:v>0.49599497085825733</c:v>
                </c:pt>
                <c:pt idx="272">
                  <c:v>0.49599497085825733</c:v>
                </c:pt>
                <c:pt idx="273">
                  <c:v>0.51780857233137045</c:v>
                </c:pt>
                <c:pt idx="274">
                  <c:v>0.5251343538696831</c:v>
                </c:pt>
                <c:pt idx="275">
                  <c:v>0.53248842708754573</c:v>
                </c:pt>
                <c:pt idx="276">
                  <c:v>0.5398714122010615</c:v>
                </c:pt>
                <c:pt idx="277">
                  <c:v>0.5398714122010615</c:v>
                </c:pt>
                <c:pt idx="278">
                  <c:v>0.5398714122010615</c:v>
                </c:pt>
                <c:pt idx="279">
                  <c:v>0.5398714122010615</c:v>
                </c:pt>
                <c:pt idx="280">
                  <c:v>0.5398714122010615</c:v>
                </c:pt>
                <c:pt idx="281">
                  <c:v>0.5398714122010615</c:v>
                </c:pt>
                <c:pt idx="282">
                  <c:v>0.5398714122010615</c:v>
                </c:pt>
                <c:pt idx="283">
                  <c:v>0.5398714122010615</c:v>
                </c:pt>
                <c:pt idx="284">
                  <c:v>0.5398714122010615</c:v>
                </c:pt>
                <c:pt idx="285">
                  <c:v>0.5398714122010615</c:v>
                </c:pt>
                <c:pt idx="286">
                  <c:v>0.61543829749621981</c:v>
                </c:pt>
                <c:pt idx="287">
                  <c:v>0.62318453179067923</c:v>
                </c:pt>
                <c:pt idx="288">
                  <c:v>0.63096834177070094</c:v>
                </c:pt>
                <c:pt idx="289">
                  <c:v>0.63879057001741368</c:v>
                </c:pt>
                <c:pt idx="290">
                  <c:v>0.63879057001741368</c:v>
                </c:pt>
                <c:pt idx="291">
                  <c:v>0.63879057001741368</c:v>
                </c:pt>
                <c:pt idx="292">
                  <c:v>0.63879057001741368</c:v>
                </c:pt>
                <c:pt idx="293">
                  <c:v>0.63879057001741368</c:v>
                </c:pt>
                <c:pt idx="294">
                  <c:v>0.63879057001741368</c:v>
                </c:pt>
                <c:pt idx="295">
                  <c:v>0.63879057001741368</c:v>
                </c:pt>
                <c:pt idx="296">
                  <c:v>0.63879057001741368</c:v>
                </c:pt>
                <c:pt idx="297">
                  <c:v>0.70286023091909866</c:v>
                </c:pt>
                <c:pt idx="298">
                  <c:v>0.70286023091909866</c:v>
                </c:pt>
                <c:pt idx="299">
                  <c:v>0.71932811724388146</c:v>
                </c:pt>
                <c:pt idx="300">
                  <c:v>0.71932811724388146</c:v>
                </c:pt>
                <c:pt idx="301">
                  <c:v>0.73599343368381387</c:v>
                </c:pt>
                <c:pt idx="302">
                  <c:v>0.74440308519999565</c:v>
                </c:pt>
                <c:pt idx="303">
                  <c:v>0.74440308519999565</c:v>
                </c:pt>
                <c:pt idx="304">
                  <c:v>0.74440308519999565</c:v>
                </c:pt>
                <c:pt idx="305">
                  <c:v>0.74440308519999565</c:v>
                </c:pt>
                <c:pt idx="306">
                  <c:v>0.74440308519999565</c:v>
                </c:pt>
                <c:pt idx="307">
                  <c:v>0.74440308519999565</c:v>
                </c:pt>
                <c:pt idx="308">
                  <c:v>0.74440308519999565</c:v>
                </c:pt>
                <c:pt idx="309">
                  <c:v>0.80482899480686976</c:v>
                </c:pt>
                <c:pt idx="310">
                  <c:v>0.80482899480686976</c:v>
                </c:pt>
                <c:pt idx="311">
                  <c:v>0.82263729107406613</c:v>
                </c:pt>
                <c:pt idx="312">
                  <c:v>0.83163987967842667</c:v>
                </c:pt>
                <c:pt idx="313">
                  <c:v>0.84071038002398013</c:v>
                </c:pt>
                <c:pt idx="314">
                  <c:v>0.84071038002398013</c:v>
                </c:pt>
                <c:pt idx="315">
                  <c:v>0.84071038002398013</c:v>
                </c:pt>
                <c:pt idx="316">
                  <c:v>0.84071038002398013</c:v>
                </c:pt>
                <c:pt idx="317">
                  <c:v>0.84071038002398013</c:v>
                </c:pt>
                <c:pt idx="318">
                  <c:v>0.84071038002398013</c:v>
                </c:pt>
                <c:pt idx="319">
                  <c:v>0.84071038002398013</c:v>
                </c:pt>
                <c:pt idx="320">
                  <c:v>0.90626440989817525</c:v>
                </c:pt>
                <c:pt idx="321">
                  <c:v>0.91594855621391613</c:v>
                </c:pt>
                <c:pt idx="322">
                  <c:v>0.91594855621391613</c:v>
                </c:pt>
                <c:pt idx="323">
                  <c:v>0.93557937876868658</c:v>
                </c:pt>
                <c:pt idx="324">
                  <c:v>0.94553119002021024</c:v>
                </c:pt>
                <c:pt idx="325">
                  <c:v>0.95557753794043188</c:v>
                </c:pt>
                <c:pt idx="326">
                  <c:v>0.96572126957388438</c:v>
                </c:pt>
                <c:pt idx="327">
                  <c:v>0.96572126957388438</c:v>
                </c:pt>
                <c:pt idx="328">
                  <c:v>0.96572126957388438</c:v>
                </c:pt>
                <c:pt idx="329">
                  <c:v>0.96572126957388438</c:v>
                </c:pt>
                <c:pt idx="330">
                  <c:v>0.96572126957388438</c:v>
                </c:pt>
                <c:pt idx="331">
                  <c:v>0.96572126957388438</c:v>
                </c:pt>
                <c:pt idx="332">
                  <c:v>1.0288047620058449</c:v>
                </c:pt>
                <c:pt idx="333">
                  <c:v>1.0397213301736039</c:v>
                </c:pt>
                <c:pt idx="334">
                  <c:v>1.050763231139634</c:v>
                </c:pt>
                <c:pt idx="335">
                  <c:v>1.0619347543176552</c:v>
                </c:pt>
                <c:pt idx="336">
                  <c:v>1.0619347543176552</c:v>
                </c:pt>
                <c:pt idx="337">
                  <c:v>1.0846849303794233</c:v>
                </c:pt>
                <c:pt idx="338">
                  <c:v>1.0962733150227</c:v>
                </c:pt>
                <c:pt idx="339">
                  <c:v>1.1080108204698569</c:v>
                </c:pt>
                <c:pt idx="340">
                  <c:v>1.1199029946137795</c:v>
                </c:pt>
                <c:pt idx="341">
                  <c:v>1.1199029946137795</c:v>
                </c:pt>
                <c:pt idx="342">
                  <c:v>1.1199029946137795</c:v>
                </c:pt>
                <c:pt idx="343">
                  <c:v>1.156567811385141</c:v>
                </c:pt>
                <c:pt idx="344">
                  <c:v>1.156567811385141</c:v>
                </c:pt>
                <c:pt idx="345">
                  <c:v>1.156567811385141</c:v>
                </c:pt>
                <c:pt idx="346">
                  <c:v>1.1948571240757904</c:v>
                </c:pt>
                <c:pt idx="347">
                  <c:v>1.2080167583463306</c:v>
                </c:pt>
                <c:pt idx="348">
                  <c:v>1.221388985601022</c:v>
                </c:pt>
                <c:pt idx="349">
                  <c:v>1.221388985601022</c:v>
                </c:pt>
                <c:pt idx="350">
                  <c:v>1.2488096764960821</c:v>
                </c:pt>
                <c:pt idx="351">
                  <c:v>1.2488096764960821</c:v>
                </c:pt>
                <c:pt idx="352">
                  <c:v>1.2772029316939737</c:v>
                </c:pt>
                <c:pt idx="353">
                  <c:v>1.2917937758243685</c:v>
                </c:pt>
                <c:pt idx="354">
                  <c:v>1.306664940712895</c:v>
                </c:pt>
                <c:pt idx="355">
                  <c:v>1.3218308296149113</c:v>
                </c:pt>
                <c:pt idx="356">
                  <c:v>1.3373069939616973</c:v>
                </c:pt>
                <c:pt idx="357">
                  <c:v>1.3531102606891987</c:v>
                </c:pt>
                <c:pt idx="358">
                  <c:v>1.3531102606891987</c:v>
                </c:pt>
                <c:pt idx="359">
                  <c:v>1.3857726818373162</c:v>
                </c:pt>
                <c:pt idx="360">
                  <c:v>1.402673289992322</c:v>
                </c:pt>
                <c:pt idx="361">
                  <c:v>1.4199843237682621</c:v>
                </c:pt>
                <c:pt idx="362">
                  <c:v>1.4199843237682621</c:v>
                </c:pt>
                <c:pt idx="363">
                  <c:v>1.4199843237682621</c:v>
                </c:pt>
                <c:pt idx="364">
                  <c:v>1.4199843237682621</c:v>
                </c:pt>
                <c:pt idx="365">
                  <c:v>1.4199843237682621</c:v>
                </c:pt>
                <c:pt idx="366">
                  <c:v>1.4199843237682621</c:v>
                </c:pt>
                <c:pt idx="367">
                  <c:v>1.5341205443525465</c:v>
                </c:pt>
                <c:pt idx="368">
                  <c:v>1.5341205443525465</c:v>
                </c:pt>
                <c:pt idx="369">
                  <c:v>1.5769982907616837</c:v>
                </c:pt>
                <c:pt idx="370">
                  <c:v>1.5995705882374911</c:v>
                </c:pt>
                <c:pt idx="371">
                  <c:v>1.5995705882374911</c:v>
                </c:pt>
                <c:pt idx="372">
                  <c:v>1.5995705882374911</c:v>
                </c:pt>
                <c:pt idx="373">
                  <c:v>1.6726929638404258</c:v>
                </c:pt>
                <c:pt idx="374">
                  <c:v>1.6991776601112989</c:v>
                </c:pt>
                <c:pt idx="375">
                  <c:v>1.7269108614600868</c:v>
                </c:pt>
                <c:pt idx="376">
                  <c:v>1.7560396847773088</c:v>
                </c:pt>
                <c:pt idx="377">
                  <c:v>1.7560396847773088</c:v>
                </c:pt>
                <c:pt idx="378">
                  <c:v>1.7560396847773088</c:v>
                </c:pt>
                <c:pt idx="379">
                  <c:v>1.7560396847773088</c:v>
                </c:pt>
                <c:pt idx="380">
                  <c:v>1.8906321205380332</c:v>
                </c:pt>
                <c:pt idx="381">
                  <c:v>1.9302858560575813</c:v>
                </c:pt>
                <c:pt idx="382">
                  <c:v>1.9732297912673347</c:v>
                </c:pt>
                <c:pt idx="383">
                  <c:v>2.0201546663717482</c:v>
                </c:pt>
                <c:pt idx="384">
                  <c:v>2.0720014483779305</c:v>
                </c:pt>
                <c:pt idx="385">
                  <c:v>2.1301011271220536</c:v>
                </c:pt>
                <c:pt idx="386">
                  <c:v>2.1964293827614645</c:v>
                </c:pt>
                <c:pt idx="387">
                  <c:v>2.2741131596554611</c:v>
                </c:pt>
                <c:pt idx="388">
                  <c:v>2.3685670592678738</c:v>
                </c:pt>
                <c:pt idx="389">
                  <c:v>2.4905347542813567</c:v>
                </c:pt>
                <c:pt idx="390">
                  <c:v>2.6670046532742755</c:v>
                </c:pt>
                <c:pt idx="391">
                  <c:v>3.0172230343004469</c:v>
                </c:pt>
              </c:numCache>
            </c:numRef>
          </c:yVal>
          <c:smooth val="0"/>
          <c:extLst>
            <c:ext xmlns:c16="http://schemas.microsoft.com/office/drawing/2014/chart" uri="{C3380CC4-5D6E-409C-BE32-E72D297353CC}">
              <c16:uniqueId val="{00000003-67AB-4177-934A-B76443983F9F}"/>
            </c:ext>
          </c:extLst>
        </c:ser>
        <c:dLbls>
          <c:showLegendKey val="0"/>
          <c:showVal val="0"/>
          <c:showCatName val="0"/>
          <c:showSerName val="0"/>
          <c:showPercent val="0"/>
          <c:showBubbleSize val="0"/>
        </c:dLbls>
        <c:axId val="966231984"/>
        <c:axId val="966227664"/>
      </c:scatterChart>
      <c:valAx>
        <c:axId val="966231984"/>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966227664"/>
        <c:crosses val="autoZero"/>
        <c:crossBetween val="midCat"/>
      </c:valAx>
      <c:valAx>
        <c:axId val="966227664"/>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96623198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MPG  (Adj. R² = 0.846)</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Regression!RegChartActY</c:f>
              <c:numCache>
                <c:formatCode>0.0000</c:formatCode>
                <c:ptCount val="392"/>
                <c:pt idx="0">
                  <c:v>18</c:v>
                </c:pt>
                <c:pt idx="1">
                  <c:v>15</c:v>
                </c:pt>
                <c:pt idx="2">
                  <c:v>18</c:v>
                </c:pt>
                <c:pt idx="3">
                  <c:v>16</c:v>
                </c:pt>
                <c:pt idx="4">
                  <c:v>17</c:v>
                </c:pt>
                <c:pt idx="5">
                  <c:v>15</c:v>
                </c:pt>
                <c:pt idx="6">
                  <c:v>14</c:v>
                </c:pt>
                <c:pt idx="7">
                  <c:v>14</c:v>
                </c:pt>
                <c:pt idx="8">
                  <c:v>14</c:v>
                </c:pt>
                <c:pt idx="9">
                  <c:v>15</c:v>
                </c:pt>
                <c:pt idx="10">
                  <c:v>15</c:v>
                </c:pt>
                <c:pt idx="11">
                  <c:v>14</c:v>
                </c:pt>
                <c:pt idx="12">
                  <c:v>15</c:v>
                </c:pt>
                <c:pt idx="13">
                  <c:v>14</c:v>
                </c:pt>
                <c:pt idx="14">
                  <c:v>24</c:v>
                </c:pt>
                <c:pt idx="15">
                  <c:v>22</c:v>
                </c:pt>
                <c:pt idx="16">
                  <c:v>18</c:v>
                </c:pt>
                <c:pt idx="17">
                  <c:v>21</c:v>
                </c:pt>
                <c:pt idx="18">
                  <c:v>27</c:v>
                </c:pt>
                <c:pt idx="19">
                  <c:v>26</c:v>
                </c:pt>
                <c:pt idx="20">
                  <c:v>25</c:v>
                </c:pt>
                <c:pt idx="21">
                  <c:v>24</c:v>
                </c:pt>
                <c:pt idx="22">
                  <c:v>25</c:v>
                </c:pt>
                <c:pt idx="23">
                  <c:v>26</c:v>
                </c:pt>
                <c:pt idx="24">
                  <c:v>21</c:v>
                </c:pt>
                <c:pt idx="25">
                  <c:v>10</c:v>
                </c:pt>
                <c:pt idx="26">
                  <c:v>10</c:v>
                </c:pt>
                <c:pt idx="27">
                  <c:v>11</c:v>
                </c:pt>
                <c:pt idx="28">
                  <c:v>9</c:v>
                </c:pt>
                <c:pt idx="29">
                  <c:v>27</c:v>
                </c:pt>
                <c:pt idx="30">
                  <c:v>28</c:v>
                </c:pt>
                <c:pt idx="31">
                  <c:v>25</c:v>
                </c:pt>
                <c:pt idx="32">
                  <c:v>19</c:v>
                </c:pt>
                <c:pt idx="33">
                  <c:v>16</c:v>
                </c:pt>
                <c:pt idx="34">
                  <c:v>17</c:v>
                </c:pt>
                <c:pt idx="35">
                  <c:v>19</c:v>
                </c:pt>
                <c:pt idx="36">
                  <c:v>18</c:v>
                </c:pt>
                <c:pt idx="37">
                  <c:v>14</c:v>
                </c:pt>
                <c:pt idx="38">
                  <c:v>14</c:v>
                </c:pt>
                <c:pt idx="39">
                  <c:v>14</c:v>
                </c:pt>
                <c:pt idx="40">
                  <c:v>14</c:v>
                </c:pt>
                <c:pt idx="41">
                  <c:v>12</c:v>
                </c:pt>
                <c:pt idx="42">
                  <c:v>13</c:v>
                </c:pt>
                <c:pt idx="43">
                  <c:v>13</c:v>
                </c:pt>
                <c:pt idx="44">
                  <c:v>18</c:v>
                </c:pt>
                <c:pt idx="45">
                  <c:v>22</c:v>
                </c:pt>
                <c:pt idx="46">
                  <c:v>19</c:v>
                </c:pt>
                <c:pt idx="47">
                  <c:v>18</c:v>
                </c:pt>
                <c:pt idx="48">
                  <c:v>23</c:v>
                </c:pt>
                <c:pt idx="49">
                  <c:v>28</c:v>
                </c:pt>
                <c:pt idx="50">
                  <c:v>30</c:v>
                </c:pt>
                <c:pt idx="51">
                  <c:v>30</c:v>
                </c:pt>
                <c:pt idx="52">
                  <c:v>31</c:v>
                </c:pt>
                <c:pt idx="53">
                  <c:v>35</c:v>
                </c:pt>
                <c:pt idx="54">
                  <c:v>27</c:v>
                </c:pt>
                <c:pt idx="55">
                  <c:v>26</c:v>
                </c:pt>
                <c:pt idx="56">
                  <c:v>24</c:v>
                </c:pt>
                <c:pt idx="57">
                  <c:v>25</c:v>
                </c:pt>
                <c:pt idx="58">
                  <c:v>23</c:v>
                </c:pt>
                <c:pt idx="59">
                  <c:v>20</c:v>
                </c:pt>
                <c:pt idx="60">
                  <c:v>21</c:v>
                </c:pt>
                <c:pt idx="61">
                  <c:v>13</c:v>
                </c:pt>
                <c:pt idx="62">
                  <c:v>14</c:v>
                </c:pt>
                <c:pt idx="63">
                  <c:v>15</c:v>
                </c:pt>
                <c:pt idx="64">
                  <c:v>14</c:v>
                </c:pt>
                <c:pt idx="65">
                  <c:v>17</c:v>
                </c:pt>
                <c:pt idx="66">
                  <c:v>11</c:v>
                </c:pt>
                <c:pt idx="67">
                  <c:v>13</c:v>
                </c:pt>
                <c:pt idx="68">
                  <c:v>12</c:v>
                </c:pt>
                <c:pt idx="69">
                  <c:v>13</c:v>
                </c:pt>
                <c:pt idx="70">
                  <c:v>19</c:v>
                </c:pt>
                <c:pt idx="71">
                  <c:v>15</c:v>
                </c:pt>
                <c:pt idx="72">
                  <c:v>13</c:v>
                </c:pt>
                <c:pt idx="73">
                  <c:v>13</c:v>
                </c:pt>
                <c:pt idx="74">
                  <c:v>14</c:v>
                </c:pt>
                <c:pt idx="75">
                  <c:v>18</c:v>
                </c:pt>
                <c:pt idx="76">
                  <c:v>22</c:v>
                </c:pt>
                <c:pt idx="77">
                  <c:v>21</c:v>
                </c:pt>
                <c:pt idx="78">
                  <c:v>26</c:v>
                </c:pt>
                <c:pt idx="79">
                  <c:v>22</c:v>
                </c:pt>
                <c:pt idx="80">
                  <c:v>28</c:v>
                </c:pt>
                <c:pt idx="81">
                  <c:v>23</c:v>
                </c:pt>
                <c:pt idx="82">
                  <c:v>28</c:v>
                </c:pt>
                <c:pt idx="83">
                  <c:v>27</c:v>
                </c:pt>
                <c:pt idx="84">
                  <c:v>13</c:v>
                </c:pt>
                <c:pt idx="85">
                  <c:v>14</c:v>
                </c:pt>
                <c:pt idx="86">
                  <c:v>13</c:v>
                </c:pt>
                <c:pt idx="87">
                  <c:v>14</c:v>
                </c:pt>
                <c:pt idx="88">
                  <c:v>15</c:v>
                </c:pt>
                <c:pt idx="89">
                  <c:v>12</c:v>
                </c:pt>
                <c:pt idx="90">
                  <c:v>13</c:v>
                </c:pt>
                <c:pt idx="91">
                  <c:v>13</c:v>
                </c:pt>
                <c:pt idx="92">
                  <c:v>14</c:v>
                </c:pt>
                <c:pt idx="93">
                  <c:v>13</c:v>
                </c:pt>
                <c:pt idx="94">
                  <c:v>12</c:v>
                </c:pt>
                <c:pt idx="95">
                  <c:v>13</c:v>
                </c:pt>
                <c:pt idx="96">
                  <c:v>18</c:v>
                </c:pt>
                <c:pt idx="97">
                  <c:v>16</c:v>
                </c:pt>
                <c:pt idx="98">
                  <c:v>18</c:v>
                </c:pt>
                <c:pt idx="99">
                  <c:v>18</c:v>
                </c:pt>
                <c:pt idx="100">
                  <c:v>23</c:v>
                </c:pt>
                <c:pt idx="101">
                  <c:v>26</c:v>
                </c:pt>
                <c:pt idx="102">
                  <c:v>11</c:v>
                </c:pt>
                <c:pt idx="103">
                  <c:v>12</c:v>
                </c:pt>
                <c:pt idx="104">
                  <c:v>13</c:v>
                </c:pt>
                <c:pt idx="105">
                  <c:v>12</c:v>
                </c:pt>
                <c:pt idx="106">
                  <c:v>18</c:v>
                </c:pt>
                <c:pt idx="107">
                  <c:v>20</c:v>
                </c:pt>
                <c:pt idx="108">
                  <c:v>21</c:v>
                </c:pt>
                <c:pt idx="109">
                  <c:v>22</c:v>
                </c:pt>
                <c:pt idx="110">
                  <c:v>18</c:v>
                </c:pt>
                <c:pt idx="111">
                  <c:v>19</c:v>
                </c:pt>
                <c:pt idx="112">
                  <c:v>21</c:v>
                </c:pt>
                <c:pt idx="113">
                  <c:v>26</c:v>
                </c:pt>
                <c:pt idx="114">
                  <c:v>15</c:v>
                </c:pt>
                <c:pt idx="115">
                  <c:v>16</c:v>
                </c:pt>
                <c:pt idx="116">
                  <c:v>29</c:v>
                </c:pt>
                <c:pt idx="117">
                  <c:v>24</c:v>
                </c:pt>
                <c:pt idx="118">
                  <c:v>20</c:v>
                </c:pt>
                <c:pt idx="119">
                  <c:v>19</c:v>
                </c:pt>
                <c:pt idx="120">
                  <c:v>15</c:v>
                </c:pt>
                <c:pt idx="121">
                  <c:v>24</c:v>
                </c:pt>
                <c:pt idx="122">
                  <c:v>20</c:v>
                </c:pt>
                <c:pt idx="123">
                  <c:v>11</c:v>
                </c:pt>
                <c:pt idx="124">
                  <c:v>20</c:v>
                </c:pt>
                <c:pt idx="125">
                  <c:v>19</c:v>
                </c:pt>
                <c:pt idx="126">
                  <c:v>15</c:v>
                </c:pt>
                <c:pt idx="127">
                  <c:v>31</c:v>
                </c:pt>
                <c:pt idx="128">
                  <c:v>26</c:v>
                </c:pt>
                <c:pt idx="129">
                  <c:v>32</c:v>
                </c:pt>
                <c:pt idx="130">
                  <c:v>25</c:v>
                </c:pt>
                <c:pt idx="131">
                  <c:v>16</c:v>
                </c:pt>
                <c:pt idx="132">
                  <c:v>16</c:v>
                </c:pt>
                <c:pt idx="133">
                  <c:v>18</c:v>
                </c:pt>
                <c:pt idx="134">
                  <c:v>16</c:v>
                </c:pt>
                <c:pt idx="135">
                  <c:v>13</c:v>
                </c:pt>
                <c:pt idx="136">
                  <c:v>14</c:v>
                </c:pt>
                <c:pt idx="137">
                  <c:v>14</c:v>
                </c:pt>
                <c:pt idx="138">
                  <c:v>14</c:v>
                </c:pt>
                <c:pt idx="139">
                  <c:v>29</c:v>
                </c:pt>
                <c:pt idx="140">
                  <c:v>26</c:v>
                </c:pt>
                <c:pt idx="141">
                  <c:v>26</c:v>
                </c:pt>
                <c:pt idx="142">
                  <c:v>31</c:v>
                </c:pt>
                <c:pt idx="143">
                  <c:v>32</c:v>
                </c:pt>
                <c:pt idx="144">
                  <c:v>28</c:v>
                </c:pt>
                <c:pt idx="145">
                  <c:v>24</c:v>
                </c:pt>
                <c:pt idx="146">
                  <c:v>26</c:v>
                </c:pt>
                <c:pt idx="147">
                  <c:v>24</c:v>
                </c:pt>
                <c:pt idx="148">
                  <c:v>26</c:v>
                </c:pt>
                <c:pt idx="149">
                  <c:v>31</c:v>
                </c:pt>
                <c:pt idx="150">
                  <c:v>19</c:v>
                </c:pt>
                <c:pt idx="151">
                  <c:v>18</c:v>
                </c:pt>
                <c:pt idx="152">
                  <c:v>15</c:v>
                </c:pt>
                <c:pt idx="153">
                  <c:v>15</c:v>
                </c:pt>
                <c:pt idx="154">
                  <c:v>16</c:v>
                </c:pt>
                <c:pt idx="155">
                  <c:v>15</c:v>
                </c:pt>
                <c:pt idx="156">
                  <c:v>16</c:v>
                </c:pt>
                <c:pt idx="157">
                  <c:v>14</c:v>
                </c:pt>
                <c:pt idx="158">
                  <c:v>17</c:v>
                </c:pt>
                <c:pt idx="159">
                  <c:v>16</c:v>
                </c:pt>
                <c:pt idx="160">
                  <c:v>15</c:v>
                </c:pt>
                <c:pt idx="161">
                  <c:v>18</c:v>
                </c:pt>
                <c:pt idx="162">
                  <c:v>21</c:v>
                </c:pt>
                <c:pt idx="163">
                  <c:v>20</c:v>
                </c:pt>
                <c:pt idx="164">
                  <c:v>13</c:v>
                </c:pt>
                <c:pt idx="165">
                  <c:v>29</c:v>
                </c:pt>
                <c:pt idx="166">
                  <c:v>23</c:v>
                </c:pt>
                <c:pt idx="167">
                  <c:v>20</c:v>
                </c:pt>
                <c:pt idx="168">
                  <c:v>23</c:v>
                </c:pt>
                <c:pt idx="169">
                  <c:v>24</c:v>
                </c:pt>
                <c:pt idx="170">
                  <c:v>25</c:v>
                </c:pt>
                <c:pt idx="171">
                  <c:v>24</c:v>
                </c:pt>
                <c:pt idx="172">
                  <c:v>18</c:v>
                </c:pt>
                <c:pt idx="173">
                  <c:v>29</c:v>
                </c:pt>
                <c:pt idx="174">
                  <c:v>19</c:v>
                </c:pt>
                <c:pt idx="175">
                  <c:v>23</c:v>
                </c:pt>
                <c:pt idx="176">
                  <c:v>23</c:v>
                </c:pt>
                <c:pt idx="177">
                  <c:v>22</c:v>
                </c:pt>
                <c:pt idx="178">
                  <c:v>25</c:v>
                </c:pt>
                <c:pt idx="179">
                  <c:v>33</c:v>
                </c:pt>
                <c:pt idx="180">
                  <c:v>28</c:v>
                </c:pt>
                <c:pt idx="181">
                  <c:v>25</c:v>
                </c:pt>
                <c:pt idx="182">
                  <c:v>25</c:v>
                </c:pt>
                <c:pt idx="183">
                  <c:v>26</c:v>
                </c:pt>
                <c:pt idx="184">
                  <c:v>27</c:v>
                </c:pt>
                <c:pt idx="185">
                  <c:v>17.5</c:v>
                </c:pt>
                <c:pt idx="186">
                  <c:v>16</c:v>
                </c:pt>
                <c:pt idx="187">
                  <c:v>15.5</c:v>
                </c:pt>
                <c:pt idx="188">
                  <c:v>14.5</c:v>
                </c:pt>
                <c:pt idx="189">
                  <c:v>22</c:v>
                </c:pt>
                <c:pt idx="190">
                  <c:v>22</c:v>
                </c:pt>
                <c:pt idx="191">
                  <c:v>24</c:v>
                </c:pt>
                <c:pt idx="192">
                  <c:v>22.5</c:v>
                </c:pt>
                <c:pt idx="193">
                  <c:v>29</c:v>
                </c:pt>
                <c:pt idx="194">
                  <c:v>24.5</c:v>
                </c:pt>
                <c:pt idx="195">
                  <c:v>29</c:v>
                </c:pt>
                <c:pt idx="196">
                  <c:v>33</c:v>
                </c:pt>
                <c:pt idx="197">
                  <c:v>20</c:v>
                </c:pt>
                <c:pt idx="198">
                  <c:v>18</c:v>
                </c:pt>
                <c:pt idx="199">
                  <c:v>18.5</c:v>
                </c:pt>
                <c:pt idx="200">
                  <c:v>17.5</c:v>
                </c:pt>
                <c:pt idx="201">
                  <c:v>29.5</c:v>
                </c:pt>
                <c:pt idx="202">
                  <c:v>32</c:v>
                </c:pt>
                <c:pt idx="203">
                  <c:v>28</c:v>
                </c:pt>
                <c:pt idx="204">
                  <c:v>26.5</c:v>
                </c:pt>
                <c:pt idx="205">
                  <c:v>20</c:v>
                </c:pt>
                <c:pt idx="206">
                  <c:v>13</c:v>
                </c:pt>
                <c:pt idx="207">
                  <c:v>19</c:v>
                </c:pt>
                <c:pt idx="208">
                  <c:v>19</c:v>
                </c:pt>
                <c:pt idx="209">
                  <c:v>16.5</c:v>
                </c:pt>
                <c:pt idx="210">
                  <c:v>16.5</c:v>
                </c:pt>
                <c:pt idx="211">
                  <c:v>13</c:v>
                </c:pt>
                <c:pt idx="212">
                  <c:v>13</c:v>
                </c:pt>
                <c:pt idx="213">
                  <c:v>13</c:v>
                </c:pt>
                <c:pt idx="214">
                  <c:v>31.5</c:v>
                </c:pt>
                <c:pt idx="215">
                  <c:v>30</c:v>
                </c:pt>
                <c:pt idx="216">
                  <c:v>36</c:v>
                </c:pt>
                <c:pt idx="217">
                  <c:v>25.5</c:v>
                </c:pt>
                <c:pt idx="218">
                  <c:v>33.5</c:v>
                </c:pt>
                <c:pt idx="219">
                  <c:v>17.5</c:v>
                </c:pt>
                <c:pt idx="220">
                  <c:v>17</c:v>
                </c:pt>
                <c:pt idx="221">
                  <c:v>15.5</c:v>
                </c:pt>
                <c:pt idx="222">
                  <c:v>15</c:v>
                </c:pt>
                <c:pt idx="223">
                  <c:v>17.5</c:v>
                </c:pt>
                <c:pt idx="224">
                  <c:v>20.5</c:v>
                </c:pt>
                <c:pt idx="225">
                  <c:v>19</c:v>
                </c:pt>
                <c:pt idx="226">
                  <c:v>18.5</c:v>
                </c:pt>
                <c:pt idx="227">
                  <c:v>16</c:v>
                </c:pt>
                <c:pt idx="228">
                  <c:v>15.5</c:v>
                </c:pt>
                <c:pt idx="229">
                  <c:v>15.5</c:v>
                </c:pt>
                <c:pt idx="230">
                  <c:v>16</c:v>
                </c:pt>
                <c:pt idx="231">
                  <c:v>29</c:v>
                </c:pt>
                <c:pt idx="232">
                  <c:v>24.5</c:v>
                </c:pt>
                <c:pt idx="233">
                  <c:v>26</c:v>
                </c:pt>
                <c:pt idx="234">
                  <c:v>25.5</c:v>
                </c:pt>
                <c:pt idx="235">
                  <c:v>30.5</c:v>
                </c:pt>
                <c:pt idx="236">
                  <c:v>33.5</c:v>
                </c:pt>
                <c:pt idx="237">
                  <c:v>30</c:v>
                </c:pt>
                <c:pt idx="238">
                  <c:v>30.5</c:v>
                </c:pt>
                <c:pt idx="239">
                  <c:v>22</c:v>
                </c:pt>
                <c:pt idx="240">
                  <c:v>21.5</c:v>
                </c:pt>
                <c:pt idx="241">
                  <c:v>21.5</c:v>
                </c:pt>
                <c:pt idx="242">
                  <c:v>43.1</c:v>
                </c:pt>
                <c:pt idx="243">
                  <c:v>36.1</c:v>
                </c:pt>
                <c:pt idx="244">
                  <c:v>32.799999999999997</c:v>
                </c:pt>
                <c:pt idx="245">
                  <c:v>39.4</c:v>
                </c:pt>
                <c:pt idx="246">
                  <c:v>36.1</c:v>
                </c:pt>
                <c:pt idx="247">
                  <c:v>19.899999999999999</c:v>
                </c:pt>
                <c:pt idx="248">
                  <c:v>19.399999999999999</c:v>
                </c:pt>
                <c:pt idx="249">
                  <c:v>20.2</c:v>
                </c:pt>
                <c:pt idx="250">
                  <c:v>19.2</c:v>
                </c:pt>
                <c:pt idx="251">
                  <c:v>20.5</c:v>
                </c:pt>
                <c:pt idx="252">
                  <c:v>20.2</c:v>
                </c:pt>
                <c:pt idx="253">
                  <c:v>25.1</c:v>
                </c:pt>
                <c:pt idx="254">
                  <c:v>20.5</c:v>
                </c:pt>
                <c:pt idx="255">
                  <c:v>19.399999999999999</c:v>
                </c:pt>
                <c:pt idx="256">
                  <c:v>20.6</c:v>
                </c:pt>
                <c:pt idx="257">
                  <c:v>20.8</c:v>
                </c:pt>
                <c:pt idx="258">
                  <c:v>18.600000000000001</c:v>
                </c:pt>
                <c:pt idx="259">
                  <c:v>18.100000000000001</c:v>
                </c:pt>
                <c:pt idx="260">
                  <c:v>19.2</c:v>
                </c:pt>
                <c:pt idx="261">
                  <c:v>17.7</c:v>
                </c:pt>
                <c:pt idx="262">
                  <c:v>18.100000000000001</c:v>
                </c:pt>
                <c:pt idx="263">
                  <c:v>17.5</c:v>
                </c:pt>
                <c:pt idx="264">
                  <c:v>30</c:v>
                </c:pt>
                <c:pt idx="265">
                  <c:v>27.5</c:v>
                </c:pt>
                <c:pt idx="266">
                  <c:v>27.2</c:v>
                </c:pt>
                <c:pt idx="267">
                  <c:v>30.9</c:v>
                </c:pt>
                <c:pt idx="268">
                  <c:v>21.1</c:v>
                </c:pt>
                <c:pt idx="269">
                  <c:v>23.2</c:v>
                </c:pt>
                <c:pt idx="270">
                  <c:v>23.8</c:v>
                </c:pt>
                <c:pt idx="271">
                  <c:v>23.9</c:v>
                </c:pt>
                <c:pt idx="272">
                  <c:v>20.3</c:v>
                </c:pt>
                <c:pt idx="273">
                  <c:v>17</c:v>
                </c:pt>
                <c:pt idx="274">
                  <c:v>21.6</c:v>
                </c:pt>
                <c:pt idx="275">
                  <c:v>16.2</c:v>
                </c:pt>
                <c:pt idx="276">
                  <c:v>31.5</c:v>
                </c:pt>
                <c:pt idx="277">
                  <c:v>29.5</c:v>
                </c:pt>
                <c:pt idx="278">
                  <c:v>21.5</c:v>
                </c:pt>
                <c:pt idx="279">
                  <c:v>19.8</c:v>
                </c:pt>
                <c:pt idx="280">
                  <c:v>22.3</c:v>
                </c:pt>
                <c:pt idx="281">
                  <c:v>20.2</c:v>
                </c:pt>
                <c:pt idx="282">
                  <c:v>20.6</c:v>
                </c:pt>
                <c:pt idx="283">
                  <c:v>17</c:v>
                </c:pt>
                <c:pt idx="284">
                  <c:v>17.600000000000001</c:v>
                </c:pt>
                <c:pt idx="285">
                  <c:v>16.5</c:v>
                </c:pt>
                <c:pt idx="286">
                  <c:v>18.2</c:v>
                </c:pt>
                <c:pt idx="287">
                  <c:v>16.899999999999999</c:v>
                </c:pt>
                <c:pt idx="288">
                  <c:v>15.5</c:v>
                </c:pt>
                <c:pt idx="289">
                  <c:v>19.2</c:v>
                </c:pt>
                <c:pt idx="290">
                  <c:v>18.5</c:v>
                </c:pt>
                <c:pt idx="291">
                  <c:v>31.9</c:v>
                </c:pt>
                <c:pt idx="292">
                  <c:v>34.1</c:v>
                </c:pt>
                <c:pt idx="293">
                  <c:v>35.700000000000003</c:v>
                </c:pt>
                <c:pt idx="294">
                  <c:v>27.4</c:v>
                </c:pt>
                <c:pt idx="295">
                  <c:v>25.4</c:v>
                </c:pt>
                <c:pt idx="296">
                  <c:v>23</c:v>
                </c:pt>
                <c:pt idx="297">
                  <c:v>27.2</c:v>
                </c:pt>
                <c:pt idx="298">
                  <c:v>23.9</c:v>
                </c:pt>
                <c:pt idx="299">
                  <c:v>34.200000000000003</c:v>
                </c:pt>
                <c:pt idx="300">
                  <c:v>34.5</c:v>
                </c:pt>
                <c:pt idx="301">
                  <c:v>31.8</c:v>
                </c:pt>
                <c:pt idx="302">
                  <c:v>37.299999999999997</c:v>
                </c:pt>
                <c:pt idx="303">
                  <c:v>28.4</c:v>
                </c:pt>
                <c:pt idx="304">
                  <c:v>28.8</c:v>
                </c:pt>
                <c:pt idx="305">
                  <c:v>26.8</c:v>
                </c:pt>
                <c:pt idx="306">
                  <c:v>33.5</c:v>
                </c:pt>
                <c:pt idx="307">
                  <c:v>41.5</c:v>
                </c:pt>
                <c:pt idx="308">
                  <c:v>38.1</c:v>
                </c:pt>
                <c:pt idx="309">
                  <c:v>32.1</c:v>
                </c:pt>
                <c:pt idx="310">
                  <c:v>37.200000000000003</c:v>
                </c:pt>
                <c:pt idx="311">
                  <c:v>28</c:v>
                </c:pt>
                <c:pt idx="312">
                  <c:v>26.4</c:v>
                </c:pt>
                <c:pt idx="313">
                  <c:v>24.3</c:v>
                </c:pt>
                <c:pt idx="314">
                  <c:v>19.100000000000001</c:v>
                </c:pt>
                <c:pt idx="315">
                  <c:v>34.299999999999997</c:v>
                </c:pt>
                <c:pt idx="316">
                  <c:v>29.8</c:v>
                </c:pt>
                <c:pt idx="317">
                  <c:v>31.3</c:v>
                </c:pt>
                <c:pt idx="318">
                  <c:v>37</c:v>
                </c:pt>
                <c:pt idx="319">
                  <c:v>32.200000000000003</c:v>
                </c:pt>
                <c:pt idx="320">
                  <c:v>46.6</c:v>
                </c:pt>
                <c:pt idx="321">
                  <c:v>27.9</c:v>
                </c:pt>
                <c:pt idx="322">
                  <c:v>40.799999999999997</c:v>
                </c:pt>
                <c:pt idx="323">
                  <c:v>44.3</c:v>
                </c:pt>
                <c:pt idx="324">
                  <c:v>43.4</c:v>
                </c:pt>
                <c:pt idx="325">
                  <c:v>36.4</c:v>
                </c:pt>
                <c:pt idx="326">
                  <c:v>30</c:v>
                </c:pt>
                <c:pt idx="327">
                  <c:v>44.6</c:v>
                </c:pt>
                <c:pt idx="328">
                  <c:v>33.799999999999997</c:v>
                </c:pt>
                <c:pt idx="329">
                  <c:v>29.8</c:v>
                </c:pt>
                <c:pt idx="330">
                  <c:v>32.700000000000003</c:v>
                </c:pt>
                <c:pt idx="331">
                  <c:v>23.7</c:v>
                </c:pt>
                <c:pt idx="332">
                  <c:v>35</c:v>
                </c:pt>
                <c:pt idx="333">
                  <c:v>32.4</c:v>
                </c:pt>
                <c:pt idx="334">
                  <c:v>27.2</c:v>
                </c:pt>
                <c:pt idx="335">
                  <c:v>26.6</c:v>
                </c:pt>
                <c:pt idx="336">
                  <c:v>25.8</c:v>
                </c:pt>
                <c:pt idx="337">
                  <c:v>23.5</c:v>
                </c:pt>
                <c:pt idx="338">
                  <c:v>30</c:v>
                </c:pt>
                <c:pt idx="339">
                  <c:v>39.1</c:v>
                </c:pt>
                <c:pt idx="340">
                  <c:v>39</c:v>
                </c:pt>
                <c:pt idx="341">
                  <c:v>35.1</c:v>
                </c:pt>
                <c:pt idx="342">
                  <c:v>32.299999999999997</c:v>
                </c:pt>
                <c:pt idx="343">
                  <c:v>37</c:v>
                </c:pt>
                <c:pt idx="344">
                  <c:v>37.700000000000003</c:v>
                </c:pt>
                <c:pt idx="345">
                  <c:v>34.1</c:v>
                </c:pt>
                <c:pt idx="346">
                  <c:v>34.700000000000003</c:v>
                </c:pt>
                <c:pt idx="347">
                  <c:v>34.4</c:v>
                </c:pt>
                <c:pt idx="348">
                  <c:v>29.9</c:v>
                </c:pt>
                <c:pt idx="349">
                  <c:v>33</c:v>
                </c:pt>
                <c:pt idx="350">
                  <c:v>33.700000000000003</c:v>
                </c:pt>
                <c:pt idx="351">
                  <c:v>32.4</c:v>
                </c:pt>
                <c:pt idx="352">
                  <c:v>32.9</c:v>
                </c:pt>
                <c:pt idx="353">
                  <c:v>31.6</c:v>
                </c:pt>
                <c:pt idx="354">
                  <c:v>28.1</c:v>
                </c:pt>
                <c:pt idx="355">
                  <c:v>30.7</c:v>
                </c:pt>
                <c:pt idx="356">
                  <c:v>25.4</c:v>
                </c:pt>
                <c:pt idx="357">
                  <c:v>24.2</c:v>
                </c:pt>
                <c:pt idx="358">
                  <c:v>22.4</c:v>
                </c:pt>
                <c:pt idx="359">
                  <c:v>26.6</c:v>
                </c:pt>
                <c:pt idx="360">
                  <c:v>20.2</c:v>
                </c:pt>
                <c:pt idx="361">
                  <c:v>17.600000000000001</c:v>
                </c:pt>
                <c:pt idx="362">
                  <c:v>28</c:v>
                </c:pt>
                <c:pt idx="363">
                  <c:v>27</c:v>
                </c:pt>
                <c:pt idx="364">
                  <c:v>34</c:v>
                </c:pt>
                <c:pt idx="365">
                  <c:v>31</c:v>
                </c:pt>
                <c:pt idx="366">
                  <c:v>29</c:v>
                </c:pt>
                <c:pt idx="367">
                  <c:v>27</c:v>
                </c:pt>
                <c:pt idx="368">
                  <c:v>24</c:v>
                </c:pt>
                <c:pt idx="369">
                  <c:v>36</c:v>
                </c:pt>
                <c:pt idx="370">
                  <c:v>37</c:v>
                </c:pt>
                <c:pt idx="371">
                  <c:v>31</c:v>
                </c:pt>
                <c:pt idx="372">
                  <c:v>38</c:v>
                </c:pt>
                <c:pt idx="373">
                  <c:v>36</c:v>
                </c:pt>
                <c:pt idx="374">
                  <c:v>36</c:v>
                </c:pt>
                <c:pt idx="375">
                  <c:v>36</c:v>
                </c:pt>
                <c:pt idx="376">
                  <c:v>34</c:v>
                </c:pt>
                <c:pt idx="377">
                  <c:v>38</c:v>
                </c:pt>
                <c:pt idx="378">
                  <c:v>32</c:v>
                </c:pt>
                <c:pt idx="379">
                  <c:v>38</c:v>
                </c:pt>
                <c:pt idx="380">
                  <c:v>25</c:v>
                </c:pt>
                <c:pt idx="381">
                  <c:v>38</c:v>
                </c:pt>
                <c:pt idx="382">
                  <c:v>26</c:v>
                </c:pt>
                <c:pt idx="383">
                  <c:v>22</c:v>
                </c:pt>
                <c:pt idx="384">
                  <c:v>32</c:v>
                </c:pt>
                <c:pt idx="385">
                  <c:v>36</c:v>
                </c:pt>
                <c:pt idx="386">
                  <c:v>27</c:v>
                </c:pt>
                <c:pt idx="387">
                  <c:v>27</c:v>
                </c:pt>
                <c:pt idx="388">
                  <c:v>44</c:v>
                </c:pt>
                <c:pt idx="389">
                  <c:v>32</c:v>
                </c:pt>
                <c:pt idx="390">
                  <c:v>28</c:v>
                </c:pt>
                <c:pt idx="391">
                  <c:v>31</c:v>
                </c:pt>
              </c:numCache>
            </c:numRef>
          </c:yVal>
          <c:smooth val="0"/>
          <c:extLst>
            <c:ext xmlns:c16="http://schemas.microsoft.com/office/drawing/2014/chart" uri="{C3380CC4-5D6E-409C-BE32-E72D297353CC}">
              <c16:uniqueId val="{00000002-19A6-47FE-978D-DC6083714C10}"/>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yVal>
          <c:smooth val="0"/>
          <c:extLst>
            <c:ext xmlns:c16="http://schemas.microsoft.com/office/drawing/2014/chart" uri="{C3380CC4-5D6E-409C-BE32-E72D297353CC}">
              <c16:uniqueId val="{00000003-19A6-47FE-978D-DC6083714C10}"/>
            </c:ext>
          </c:extLst>
        </c:ser>
        <c:dLbls>
          <c:showLegendKey val="0"/>
          <c:showVal val="0"/>
          <c:showCatName val="0"/>
          <c:showSerName val="0"/>
          <c:showPercent val="0"/>
          <c:showBubbleSize val="0"/>
        </c:dLbls>
        <c:axId val="966230544"/>
        <c:axId val="966223824"/>
      </c:scatterChart>
      <c:valAx>
        <c:axId val="966230544"/>
        <c:scaling>
          <c:orientation val="minMax"/>
        </c:scaling>
        <c:delete val="0"/>
        <c:axPos val="b"/>
        <c:majorGridlines/>
        <c:title>
          <c:tx>
            <c:strRef>
              <c:f>Regression!$BE$97</c:f>
              <c:strCache>
                <c:ptCount val="1"/>
                <c:pt idx="0">
                  <c:v>Predicted MPG</c:v>
                </c:pt>
              </c:strCache>
            </c:strRef>
          </c:tx>
          <c:overlay val="0"/>
        </c:title>
        <c:numFmt formatCode="0" sourceLinked="0"/>
        <c:majorTickMark val="out"/>
        <c:minorTickMark val="none"/>
        <c:tickLblPos val="nextTo"/>
        <c:crossAx val="966223824"/>
        <c:crosses val="autoZero"/>
        <c:crossBetween val="midCat"/>
      </c:valAx>
      <c:valAx>
        <c:axId val="966223824"/>
        <c:scaling>
          <c:orientation val="minMax"/>
        </c:scaling>
        <c:delete val="0"/>
        <c:axPos val="l"/>
        <c:majorGridlines/>
        <c:title>
          <c:tx>
            <c:strRef>
              <c:f>Regression!$BF$97</c:f>
              <c:strCache>
                <c:ptCount val="1"/>
                <c:pt idx="0">
                  <c:v>Actual MPG</c:v>
                </c:pt>
              </c:strCache>
            </c:strRef>
          </c:tx>
          <c:overlay val="0"/>
        </c:title>
        <c:numFmt formatCode="0" sourceLinked="0"/>
        <c:majorTickMark val="out"/>
        <c:minorTickMark val="none"/>
        <c:tickLblPos val="nextTo"/>
        <c:crossAx val="9662305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392"/>
                <c:pt idx="0">
                  <c:v>16.838573626431614</c:v>
                </c:pt>
                <c:pt idx="1">
                  <c:v>15.313332990800617</c:v>
                </c:pt>
                <c:pt idx="2">
                  <c:v>16.858150041188733</c:v>
                </c:pt>
                <c:pt idx="3">
                  <c:v>16.873339970034085</c:v>
                </c:pt>
                <c:pt idx="4">
                  <c:v>16.954691335727627</c:v>
                </c:pt>
                <c:pt idx="5">
                  <c:v>11.496506105738117</c:v>
                </c:pt>
                <c:pt idx="6">
                  <c:v>11.07348157776369</c:v>
                </c:pt>
                <c:pt idx="7">
                  <c:v>11.367322741366301</c:v>
                </c:pt>
                <c:pt idx="8">
                  <c:v>10.632804435322701</c:v>
                </c:pt>
                <c:pt idx="9">
                  <c:v>14.112482582388761</c:v>
                </c:pt>
                <c:pt idx="10">
                  <c:v>15.890381080998086</c:v>
                </c:pt>
                <c:pt idx="11">
                  <c:v>15.819833158238129</c:v>
                </c:pt>
                <c:pt idx="12">
                  <c:v>15.212574416275793</c:v>
                </c:pt>
                <c:pt idx="13">
                  <c:v>17.41257600996402</c:v>
                </c:pt>
                <c:pt idx="14">
                  <c:v>25.198456840216696</c:v>
                </c:pt>
                <c:pt idx="15">
                  <c:v>20.804329496548888</c:v>
                </c:pt>
                <c:pt idx="16">
                  <c:v>21.070591899933689</c:v>
                </c:pt>
                <c:pt idx="17">
                  <c:v>22.212267981403013</c:v>
                </c:pt>
                <c:pt idx="18">
                  <c:v>26.53743279074973</c:v>
                </c:pt>
                <c:pt idx="19">
                  <c:v>28.591062427308046</c:v>
                </c:pt>
                <c:pt idx="20">
                  <c:v>23.687378569360146</c:v>
                </c:pt>
                <c:pt idx="21">
                  <c:v>24.863990200357772</c:v>
                </c:pt>
                <c:pt idx="22">
                  <c:v>25.061290069421496</c:v>
                </c:pt>
                <c:pt idx="23">
                  <c:v>25.482960949989216</c:v>
                </c:pt>
                <c:pt idx="24">
                  <c:v>21.822223935113186</c:v>
                </c:pt>
                <c:pt idx="25">
                  <c:v>9.8331399279859255</c:v>
                </c:pt>
                <c:pt idx="26">
                  <c:v>11.286817405301942</c:v>
                </c:pt>
                <c:pt idx="27">
                  <c:v>11.094073228075835</c:v>
                </c:pt>
                <c:pt idx="28">
                  <c:v>9.5979342059951698</c:v>
                </c:pt>
                <c:pt idx="29">
                  <c:v>27.447842985332574</c:v>
                </c:pt>
                <c:pt idx="30">
                  <c:v>24.67694502190086</c:v>
                </c:pt>
                <c:pt idx="31">
                  <c:v>26.837983619376352</c:v>
                </c:pt>
                <c:pt idx="32">
                  <c:v>22.641156144772257</c:v>
                </c:pt>
                <c:pt idx="33">
                  <c:v>18.484009744835575</c:v>
                </c:pt>
                <c:pt idx="34">
                  <c:v>19.12215596226612</c:v>
                </c:pt>
                <c:pt idx="35">
                  <c:v>19.453702505316762</c:v>
                </c:pt>
                <c:pt idx="36">
                  <c:v>19.329751656485907</c:v>
                </c:pt>
                <c:pt idx="37">
                  <c:v>13.611075423983221</c:v>
                </c:pt>
                <c:pt idx="38">
                  <c:v>12.157567152593037</c:v>
                </c:pt>
                <c:pt idx="39">
                  <c:v>14.08439463625713</c:v>
                </c:pt>
                <c:pt idx="40">
                  <c:v>14.426775889794527</c:v>
                </c:pt>
                <c:pt idx="41">
                  <c:v>9.5902999718030184</c:v>
                </c:pt>
                <c:pt idx="42">
                  <c:v>10.810896000897822</c:v>
                </c:pt>
                <c:pt idx="43">
                  <c:v>8.7347698527741198</c:v>
                </c:pt>
                <c:pt idx="44">
                  <c:v>20.818026271478555</c:v>
                </c:pt>
                <c:pt idx="45">
                  <c:v>24.240084212487787</c:v>
                </c:pt>
                <c:pt idx="46">
                  <c:v>19.360131514176608</c:v>
                </c:pt>
                <c:pt idx="47">
                  <c:v>20.279021972580789</c:v>
                </c:pt>
                <c:pt idx="48">
                  <c:v>24.964676372780158</c:v>
                </c:pt>
                <c:pt idx="49">
                  <c:v>27.328836446781459</c:v>
                </c:pt>
                <c:pt idx="50">
                  <c:v>27.901667256992997</c:v>
                </c:pt>
                <c:pt idx="51">
                  <c:v>27.849818451807806</c:v>
                </c:pt>
                <c:pt idx="52">
                  <c:v>29.628882452860694</c:v>
                </c:pt>
                <c:pt idx="53">
                  <c:v>30.374066263465213</c:v>
                </c:pt>
                <c:pt idx="54">
                  <c:v>29.279225884156428</c:v>
                </c:pt>
                <c:pt idx="55">
                  <c:v>26.566236332042752</c:v>
                </c:pt>
                <c:pt idx="56">
                  <c:v>25.3284562040784</c:v>
                </c:pt>
                <c:pt idx="57">
                  <c:v>24.281684133780271</c:v>
                </c:pt>
                <c:pt idx="58">
                  <c:v>25.993692502986526</c:v>
                </c:pt>
                <c:pt idx="59">
                  <c:v>22.691466502781935</c:v>
                </c:pt>
                <c:pt idx="60">
                  <c:v>23.677934580547348</c:v>
                </c:pt>
                <c:pt idx="61">
                  <c:v>12.025598364458521</c:v>
                </c:pt>
                <c:pt idx="62">
                  <c:v>11.301206677645148</c:v>
                </c:pt>
                <c:pt idx="63">
                  <c:v>12.972944880262862</c:v>
                </c:pt>
                <c:pt idx="64">
                  <c:v>12.954615442092937</c:v>
                </c:pt>
                <c:pt idx="65">
                  <c:v>15.317257232061912</c:v>
                </c:pt>
                <c:pt idx="66">
                  <c:v>9.5097036386293432</c:v>
                </c:pt>
                <c:pt idx="67">
                  <c:v>11.033528091747311</c:v>
                </c:pt>
                <c:pt idx="68">
                  <c:v>11.185258174274981</c:v>
                </c:pt>
                <c:pt idx="69">
                  <c:v>10.870317742582717</c:v>
                </c:pt>
                <c:pt idx="70">
                  <c:v>25.032691240185244</c:v>
                </c:pt>
                <c:pt idx="71">
                  <c:v>14.203329116736228</c:v>
                </c:pt>
                <c:pt idx="72">
                  <c:v>13.485015975092999</c:v>
                </c:pt>
                <c:pt idx="73">
                  <c:v>12.330242970994711</c:v>
                </c:pt>
                <c:pt idx="74">
                  <c:v>13.266616837939633</c:v>
                </c:pt>
                <c:pt idx="75">
                  <c:v>21.613992221016879</c:v>
                </c:pt>
                <c:pt idx="76">
                  <c:v>24.335220428923623</c:v>
                </c:pt>
                <c:pt idx="77">
                  <c:v>21.786990777560035</c:v>
                </c:pt>
                <c:pt idx="78">
                  <c:v>26.079261148666003</c:v>
                </c:pt>
                <c:pt idx="79">
                  <c:v>22.822235255592616</c:v>
                </c:pt>
                <c:pt idx="80">
                  <c:v>25.326532403787851</c:v>
                </c:pt>
                <c:pt idx="81">
                  <c:v>24.141548747924695</c:v>
                </c:pt>
                <c:pt idx="82">
                  <c:v>24.089278368405832</c:v>
                </c:pt>
                <c:pt idx="83">
                  <c:v>26.343380339243964</c:v>
                </c:pt>
                <c:pt idx="84">
                  <c:v>12.383947606403478</c:v>
                </c:pt>
                <c:pt idx="85">
                  <c:v>14.956954920511969</c:v>
                </c:pt>
                <c:pt idx="86">
                  <c:v>13.438131241902784</c:v>
                </c:pt>
                <c:pt idx="87">
                  <c:v>13.294603978314807</c:v>
                </c:pt>
                <c:pt idx="88">
                  <c:v>14.425307410924709</c:v>
                </c:pt>
                <c:pt idx="89">
                  <c:v>7.6965698793925732</c:v>
                </c:pt>
                <c:pt idx="90">
                  <c:v>10.946813705339508</c:v>
                </c:pt>
                <c:pt idx="91">
                  <c:v>11.328316520837973</c:v>
                </c:pt>
                <c:pt idx="92">
                  <c:v>12.096184987971011</c:v>
                </c:pt>
                <c:pt idx="93">
                  <c:v>8.5192887226627043</c:v>
                </c:pt>
                <c:pt idx="94">
                  <c:v>7.2632495262620829</c:v>
                </c:pt>
                <c:pt idx="95">
                  <c:v>13.796610989021048</c:v>
                </c:pt>
                <c:pt idx="96">
                  <c:v>18.477477956350643</c:v>
                </c:pt>
                <c:pt idx="97">
                  <c:v>17.76372050654502</c:v>
                </c:pt>
                <c:pt idx="98">
                  <c:v>19.449802608378892</c:v>
                </c:pt>
                <c:pt idx="99">
                  <c:v>19.25982826107251</c:v>
                </c:pt>
                <c:pt idx="100">
                  <c:v>19.738580462366389</c:v>
                </c:pt>
                <c:pt idx="101">
                  <c:v>27.302527770060408</c:v>
                </c:pt>
                <c:pt idx="102">
                  <c:v>8.2480696804822848</c:v>
                </c:pt>
                <c:pt idx="103">
                  <c:v>8.4328115122477136</c:v>
                </c:pt>
                <c:pt idx="104">
                  <c:v>9.660056239396507</c:v>
                </c:pt>
                <c:pt idx="105">
                  <c:v>10.282504910204196</c:v>
                </c:pt>
                <c:pt idx="106">
                  <c:v>20.239678908337108</c:v>
                </c:pt>
                <c:pt idx="107">
                  <c:v>25.076745606588119</c:v>
                </c:pt>
                <c:pt idx="108">
                  <c:v>22.658863133701548</c:v>
                </c:pt>
                <c:pt idx="109">
                  <c:v>24.472996053355203</c:v>
                </c:pt>
                <c:pt idx="110">
                  <c:v>25.829085733024137</c:v>
                </c:pt>
                <c:pt idx="111">
                  <c:v>22.908550693281139</c:v>
                </c:pt>
                <c:pt idx="112">
                  <c:v>21.731093032654325</c:v>
                </c:pt>
                <c:pt idx="113">
                  <c:v>24.993182235342822</c:v>
                </c:pt>
                <c:pt idx="114">
                  <c:v>12.962180138081813</c:v>
                </c:pt>
                <c:pt idx="115">
                  <c:v>10.589674737467945</c:v>
                </c:pt>
                <c:pt idx="116">
                  <c:v>27.67407317225447</c:v>
                </c:pt>
                <c:pt idx="117">
                  <c:v>25.778502843463436</c:v>
                </c:pt>
                <c:pt idx="118">
                  <c:v>23.37187665539728</c:v>
                </c:pt>
                <c:pt idx="119">
                  <c:v>21.582805034449525</c:v>
                </c:pt>
                <c:pt idx="120">
                  <c:v>16.339238445438841</c:v>
                </c:pt>
                <c:pt idx="121">
                  <c:v>22.668446298300889</c:v>
                </c:pt>
                <c:pt idx="122">
                  <c:v>21.85127944338609</c:v>
                </c:pt>
                <c:pt idx="123">
                  <c:v>14.510368438826678</c:v>
                </c:pt>
                <c:pt idx="124">
                  <c:v>20.700160815023697</c:v>
                </c:pt>
                <c:pt idx="125">
                  <c:v>21.636703887894456</c:v>
                </c:pt>
                <c:pt idx="126">
                  <c:v>19.434164205318673</c:v>
                </c:pt>
                <c:pt idx="127">
                  <c:v>29.04765519743632</c:v>
                </c:pt>
                <c:pt idx="128">
                  <c:v>24.239921853767807</c:v>
                </c:pt>
                <c:pt idx="129">
                  <c:v>29.65734535746671</c:v>
                </c:pt>
                <c:pt idx="130">
                  <c:v>23.860342838559891</c:v>
                </c:pt>
                <c:pt idx="131">
                  <c:v>17.180991426591721</c:v>
                </c:pt>
                <c:pt idx="132">
                  <c:v>17.773060239708702</c:v>
                </c:pt>
                <c:pt idx="133">
                  <c:v>17.950445282163628</c:v>
                </c:pt>
                <c:pt idx="134">
                  <c:v>14.708742687008055</c:v>
                </c:pt>
                <c:pt idx="135">
                  <c:v>11.721051602237498</c:v>
                </c:pt>
                <c:pt idx="136">
                  <c:v>12.946372529095751</c:v>
                </c:pt>
                <c:pt idx="137">
                  <c:v>12.192277808295032</c:v>
                </c:pt>
                <c:pt idx="138">
                  <c:v>13.959034452119099</c:v>
                </c:pt>
                <c:pt idx="139">
                  <c:v>27.303865157763404</c:v>
                </c:pt>
                <c:pt idx="140">
                  <c:v>28.85985533048995</c:v>
                </c:pt>
                <c:pt idx="141">
                  <c:v>26.974919238706654</c:v>
                </c:pt>
                <c:pt idx="142">
                  <c:v>30.815257870889571</c:v>
                </c:pt>
                <c:pt idx="143">
                  <c:v>28.876718379556372</c:v>
                </c:pt>
                <c:pt idx="144">
                  <c:v>25.971742948063575</c:v>
                </c:pt>
                <c:pt idx="145">
                  <c:v>27.995783980669696</c:v>
                </c:pt>
                <c:pt idx="146">
                  <c:v>27.297047253783585</c:v>
                </c:pt>
                <c:pt idx="147">
                  <c:v>25.831438356282163</c:v>
                </c:pt>
                <c:pt idx="148">
                  <c:v>26.39258842637777</c:v>
                </c:pt>
                <c:pt idx="149">
                  <c:v>28.672512874730629</c:v>
                </c:pt>
                <c:pt idx="150">
                  <c:v>19.261395253436955</c:v>
                </c:pt>
                <c:pt idx="151">
                  <c:v>18.111685558953777</c:v>
                </c:pt>
                <c:pt idx="152">
                  <c:v>18.78419717302878</c:v>
                </c:pt>
                <c:pt idx="153">
                  <c:v>20.17154400757077</c:v>
                </c:pt>
                <c:pt idx="154">
                  <c:v>10.934776157297469</c:v>
                </c:pt>
                <c:pt idx="155">
                  <c:v>12.495121548382611</c:v>
                </c:pt>
                <c:pt idx="156">
                  <c:v>12.120267430938133</c:v>
                </c:pt>
                <c:pt idx="157">
                  <c:v>11.347674066041654</c:v>
                </c:pt>
                <c:pt idx="158">
                  <c:v>15.762140691613769</c:v>
                </c:pt>
                <c:pt idx="159">
                  <c:v>15.893955947532643</c:v>
                </c:pt>
                <c:pt idx="160">
                  <c:v>16.658346493489432</c:v>
                </c:pt>
                <c:pt idx="161">
                  <c:v>16.623410943961133</c:v>
                </c:pt>
                <c:pt idx="162">
                  <c:v>20.157093437535103</c:v>
                </c:pt>
                <c:pt idx="163">
                  <c:v>19.235571087583857</c:v>
                </c:pt>
                <c:pt idx="164">
                  <c:v>19.190370980452652</c:v>
                </c:pt>
                <c:pt idx="165">
                  <c:v>27.180262912929365</c:v>
                </c:pt>
                <c:pt idx="166">
                  <c:v>22.62080094632741</c:v>
                </c:pt>
                <c:pt idx="167">
                  <c:v>20.952371458960108</c:v>
                </c:pt>
                <c:pt idx="168">
                  <c:v>22.939958658005601</c:v>
                </c:pt>
                <c:pt idx="169">
                  <c:v>24.150680436278009</c:v>
                </c:pt>
                <c:pt idx="170">
                  <c:v>26.859939698807604</c:v>
                </c:pt>
                <c:pt idx="171">
                  <c:v>24.929383613897794</c:v>
                </c:pt>
                <c:pt idx="172">
                  <c:v>20.646649081762558</c:v>
                </c:pt>
                <c:pt idx="173">
                  <c:v>28.324282680684529</c:v>
                </c:pt>
                <c:pt idx="174">
                  <c:v>19.610932822805843</c:v>
                </c:pt>
                <c:pt idx="175">
                  <c:v>24.085446503202636</c:v>
                </c:pt>
                <c:pt idx="176">
                  <c:v>22.867451098101711</c:v>
                </c:pt>
                <c:pt idx="177">
                  <c:v>22.765846493947706</c:v>
                </c:pt>
                <c:pt idx="178">
                  <c:v>23.877173985279494</c:v>
                </c:pt>
                <c:pt idx="179">
                  <c:v>29.441268831191159</c:v>
                </c:pt>
                <c:pt idx="180">
                  <c:v>26.171208171857558</c:v>
                </c:pt>
                <c:pt idx="181">
                  <c:v>27.487837877713748</c:v>
                </c:pt>
                <c:pt idx="182">
                  <c:v>23.58898737255457</c:v>
                </c:pt>
                <c:pt idx="183">
                  <c:v>25.405130135942606</c:v>
                </c:pt>
                <c:pt idx="184">
                  <c:v>27.546504586878772</c:v>
                </c:pt>
                <c:pt idx="185">
                  <c:v>14.490620941147796</c:v>
                </c:pt>
                <c:pt idx="186">
                  <c:v>14.454839361990299</c:v>
                </c:pt>
                <c:pt idx="187">
                  <c:v>16.096366912843152</c:v>
                </c:pt>
                <c:pt idx="188">
                  <c:v>14.295783757705301</c:v>
                </c:pt>
                <c:pt idx="189">
                  <c:v>20.112248261334077</c:v>
                </c:pt>
                <c:pt idx="190">
                  <c:v>19.423468947752362</c:v>
                </c:pt>
                <c:pt idx="191">
                  <c:v>21.539731893392151</c:v>
                </c:pt>
                <c:pt idx="192">
                  <c:v>21.023982403906761</c:v>
                </c:pt>
                <c:pt idx="193">
                  <c:v>26.957441914013899</c:v>
                </c:pt>
                <c:pt idx="194">
                  <c:v>26.174383518035512</c:v>
                </c:pt>
                <c:pt idx="195">
                  <c:v>29.099355250280738</c:v>
                </c:pt>
                <c:pt idx="196">
                  <c:v>30.216341400787368</c:v>
                </c:pt>
                <c:pt idx="197">
                  <c:v>17.995784842215279</c:v>
                </c:pt>
                <c:pt idx="198">
                  <c:v>18.742861185557167</c:v>
                </c:pt>
                <c:pt idx="199">
                  <c:v>17.863800380370563</c:v>
                </c:pt>
                <c:pt idx="200">
                  <c:v>20.395962805706453</c:v>
                </c:pt>
                <c:pt idx="201">
                  <c:v>29.650209495220277</c:v>
                </c:pt>
                <c:pt idx="202">
                  <c:v>28.952976682629401</c:v>
                </c:pt>
                <c:pt idx="203">
                  <c:v>28.03634843636744</c:v>
                </c:pt>
                <c:pt idx="204">
                  <c:v>23.949159178931204</c:v>
                </c:pt>
                <c:pt idx="205">
                  <c:v>22.43799486463082</c:v>
                </c:pt>
                <c:pt idx="206">
                  <c:v>15.720666765769487</c:v>
                </c:pt>
                <c:pt idx="207">
                  <c:v>22.05770775816638</c:v>
                </c:pt>
                <c:pt idx="208">
                  <c:v>23.576481230185106</c:v>
                </c:pt>
                <c:pt idx="209">
                  <c:v>18.753321647338865</c:v>
                </c:pt>
                <c:pt idx="210">
                  <c:v>13.005717576511891</c:v>
                </c:pt>
                <c:pt idx="211">
                  <c:v>15.219568319798768</c:v>
                </c:pt>
                <c:pt idx="212">
                  <c:v>16.399827077898479</c:v>
                </c:pt>
                <c:pt idx="213">
                  <c:v>16.657379044566085</c:v>
                </c:pt>
                <c:pt idx="214">
                  <c:v>30.140660247573575</c:v>
                </c:pt>
                <c:pt idx="215">
                  <c:v>27.328917395369256</c:v>
                </c:pt>
                <c:pt idx="216">
                  <c:v>31.29497584048482</c:v>
                </c:pt>
                <c:pt idx="217">
                  <c:v>26.33495458992067</c:v>
                </c:pt>
                <c:pt idx="218">
                  <c:v>30.614518345178166</c:v>
                </c:pt>
                <c:pt idx="219">
                  <c:v>17.539340232312707</c:v>
                </c:pt>
                <c:pt idx="220">
                  <c:v>17.196219619965628</c:v>
                </c:pt>
                <c:pt idx="221">
                  <c:v>16.222879732382356</c:v>
                </c:pt>
                <c:pt idx="222">
                  <c:v>15.681613221342374</c:v>
                </c:pt>
                <c:pt idx="223">
                  <c:v>19.93040681212867</c:v>
                </c:pt>
                <c:pt idx="224">
                  <c:v>20.492603385332465</c:v>
                </c:pt>
                <c:pt idx="225">
                  <c:v>19.535807074001241</c:v>
                </c:pt>
                <c:pt idx="226">
                  <c:v>20.099927447495581</c:v>
                </c:pt>
                <c:pt idx="227">
                  <c:v>15.249539844799084</c:v>
                </c:pt>
                <c:pt idx="228">
                  <c:v>15.69038619316591</c:v>
                </c:pt>
                <c:pt idx="229">
                  <c:v>14.555528015676412</c:v>
                </c:pt>
                <c:pt idx="230">
                  <c:v>15.170588629620429</c:v>
                </c:pt>
                <c:pt idx="231">
                  <c:v>30.387966595675575</c:v>
                </c:pt>
                <c:pt idx="232">
                  <c:v>24.23698981489763</c:v>
                </c:pt>
                <c:pt idx="233">
                  <c:v>28.913077108573109</c:v>
                </c:pt>
                <c:pt idx="234">
                  <c:v>24.144803738717343</c:v>
                </c:pt>
                <c:pt idx="235">
                  <c:v>28.131520938551592</c:v>
                </c:pt>
                <c:pt idx="236">
                  <c:v>27.68527286871797</c:v>
                </c:pt>
                <c:pt idx="237">
                  <c:v>30.460695256434125</c:v>
                </c:pt>
                <c:pt idx="238">
                  <c:v>29.122139191896387</c:v>
                </c:pt>
                <c:pt idx="239">
                  <c:v>25.771055317280993</c:v>
                </c:pt>
                <c:pt idx="240">
                  <c:v>26.526616427185207</c:v>
                </c:pt>
                <c:pt idx="241">
                  <c:v>26.040996115321054</c:v>
                </c:pt>
                <c:pt idx="242">
                  <c:v>30.497188279232841</c:v>
                </c:pt>
                <c:pt idx="243">
                  <c:v>29.203680013716571</c:v>
                </c:pt>
                <c:pt idx="244">
                  <c:v>30.55421939336853</c:v>
                </c:pt>
                <c:pt idx="245">
                  <c:v>29.831582300919866</c:v>
                </c:pt>
                <c:pt idx="246">
                  <c:v>31.361040216536804</c:v>
                </c:pt>
                <c:pt idx="247">
                  <c:v>20.565197460103057</c:v>
                </c:pt>
                <c:pt idx="248">
                  <c:v>18.204679943903635</c:v>
                </c:pt>
                <c:pt idx="249">
                  <c:v>19.056362462351434</c:v>
                </c:pt>
                <c:pt idx="250">
                  <c:v>19.785616985300916</c:v>
                </c:pt>
                <c:pt idx="251">
                  <c:v>21.872038958580692</c:v>
                </c:pt>
                <c:pt idx="252">
                  <c:v>22.99643210498828</c:v>
                </c:pt>
                <c:pt idx="253">
                  <c:v>24.188233664831259</c:v>
                </c:pt>
                <c:pt idx="254">
                  <c:v>20.398446654655881</c:v>
                </c:pt>
                <c:pt idx="255">
                  <c:v>21.674739089516972</c:v>
                </c:pt>
                <c:pt idx="256">
                  <c:v>20.570429975644011</c:v>
                </c:pt>
                <c:pt idx="257">
                  <c:v>22.464784595401021</c:v>
                </c:pt>
                <c:pt idx="258">
                  <c:v>19.274053508248286</c:v>
                </c:pt>
                <c:pt idx="259">
                  <c:v>20.174984207887398</c:v>
                </c:pt>
                <c:pt idx="260">
                  <c:v>19.693123764822118</c:v>
                </c:pt>
                <c:pt idx="261">
                  <c:v>19.267128933448966</c:v>
                </c:pt>
                <c:pt idx="262">
                  <c:v>20.904470471869047</c:v>
                </c:pt>
                <c:pt idx="263">
                  <c:v>16.457838126688358</c:v>
                </c:pt>
                <c:pt idx="264">
                  <c:v>27.373732236443036</c:v>
                </c:pt>
                <c:pt idx="265">
                  <c:v>26.944649790674145</c:v>
                </c:pt>
                <c:pt idx="266">
                  <c:v>28.228637426697407</c:v>
                </c:pt>
                <c:pt idx="267">
                  <c:v>26.880328991634499</c:v>
                </c:pt>
                <c:pt idx="268">
                  <c:v>27.172498723354398</c:v>
                </c:pt>
                <c:pt idx="269">
                  <c:v>23.785631581243145</c:v>
                </c:pt>
                <c:pt idx="270">
                  <c:v>23.553396162651122</c:v>
                </c:pt>
                <c:pt idx="271">
                  <c:v>27.696989917110148</c:v>
                </c:pt>
                <c:pt idx="272">
                  <c:v>25.325687897014436</c:v>
                </c:pt>
                <c:pt idx="273">
                  <c:v>23.398860413350345</c:v>
                </c:pt>
                <c:pt idx="274">
                  <c:v>25.308066550101028</c:v>
                </c:pt>
                <c:pt idx="275">
                  <c:v>21.901875361640496</c:v>
                </c:pt>
                <c:pt idx="276">
                  <c:v>30.098433796225816</c:v>
                </c:pt>
                <c:pt idx="277">
                  <c:v>29.534940039844361</c:v>
                </c:pt>
                <c:pt idx="278">
                  <c:v>23.499499380574047</c:v>
                </c:pt>
                <c:pt idx="279">
                  <c:v>25.277736291035048</c:v>
                </c:pt>
                <c:pt idx="280">
                  <c:v>25.735357956686098</c:v>
                </c:pt>
                <c:pt idx="281">
                  <c:v>23.804143987110237</c:v>
                </c:pt>
                <c:pt idx="282">
                  <c:v>22.998400934603328</c:v>
                </c:pt>
                <c:pt idx="283">
                  <c:v>20.24328368027647</c:v>
                </c:pt>
                <c:pt idx="284">
                  <c:v>20.841800717968439</c:v>
                </c:pt>
                <c:pt idx="285">
                  <c:v>19.531111618909719</c:v>
                </c:pt>
                <c:pt idx="286">
                  <c:v>20.212734616659933</c:v>
                </c:pt>
                <c:pt idx="287">
                  <c:v>17.204451881577238</c:v>
                </c:pt>
                <c:pt idx="288">
                  <c:v>18.964898239198995</c:v>
                </c:pt>
                <c:pt idx="289">
                  <c:v>21.514343599596614</c:v>
                </c:pt>
                <c:pt idx="290">
                  <c:v>19.412224079693978</c:v>
                </c:pt>
                <c:pt idx="291">
                  <c:v>32.835435847633093</c:v>
                </c:pt>
                <c:pt idx="292">
                  <c:v>32.801665800548349</c:v>
                </c:pt>
                <c:pt idx="293">
                  <c:v>30.801976287053254</c:v>
                </c:pt>
                <c:pt idx="294">
                  <c:v>26.979177527640115</c:v>
                </c:pt>
                <c:pt idx="295">
                  <c:v>24.611405323649468</c:v>
                </c:pt>
                <c:pt idx="296">
                  <c:v>20.020667263137174</c:v>
                </c:pt>
                <c:pt idx="297">
                  <c:v>26.430349184510412</c:v>
                </c:pt>
                <c:pt idx="298">
                  <c:v>23.019330996767142</c:v>
                </c:pt>
                <c:pt idx="299">
                  <c:v>29.52129736628039</c:v>
                </c:pt>
                <c:pt idx="300">
                  <c:v>29.774462847036226</c:v>
                </c:pt>
                <c:pt idx="301">
                  <c:v>32.573816867868103</c:v>
                </c:pt>
                <c:pt idx="302">
                  <c:v>31.829930240441243</c:v>
                </c:pt>
                <c:pt idx="303">
                  <c:v>26.816813208104701</c:v>
                </c:pt>
                <c:pt idx="304">
                  <c:v>26.790650630399931</c:v>
                </c:pt>
                <c:pt idx="305">
                  <c:v>26.259003120812672</c:v>
                </c:pt>
                <c:pt idx="306">
                  <c:v>27.394030504228009</c:v>
                </c:pt>
                <c:pt idx="307">
                  <c:v>35.706490359450072</c:v>
                </c:pt>
                <c:pt idx="308">
                  <c:v>36.979392604917123</c:v>
                </c:pt>
                <c:pt idx="309">
                  <c:v>33.987463612784978</c:v>
                </c:pt>
                <c:pt idx="310">
                  <c:v>36.639981654778467</c:v>
                </c:pt>
                <c:pt idx="311">
                  <c:v>30.837408208479015</c:v>
                </c:pt>
                <c:pt idx="312">
                  <c:v>29.897725626283684</c:v>
                </c:pt>
                <c:pt idx="313">
                  <c:v>29.191832583566072</c:v>
                </c:pt>
                <c:pt idx="314">
                  <c:v>27.277901549051951</c:v>
                </c:pt>
                <c:pt idx="315">
                  <c:v>35.451231872477855</c:v>
                </c:pt>
                <c:pt idx="316">
                  <c:v>32.730260602279152</c:v>
                </c:pt>
                <c:pt idx="317">
                  <c:v>33.829506406537</c:v>
                </c:pt>
                <c:pt idx="318">
                  <c:v>34.10032450175941</c:v>
                </c:pt>
                <c:pt idx="319">
                  <c:v>35.232043169924339</c:v>
                </c:pt>
                <c:pt idx="320">
                  <c:v>36.179220479802844</c:v>
                </c:pt>
                <c:pt idx="321">
                  <c:v>29.976137956131662</c:v>
                </c:pt>
                <c:pt idx="322">
                  <c:v>36.179220479802844</c:v>
                </c:pt>
                <c:pt idx="323">
                  <c:v>36.459845721441106</c:v>
                </c:pt>
                <c:pt idx="324">
                  <c:v>35.194018317661914</c:v>
                </c:pt>
                <c:pt idx="325">
                  <c:v>31.771590697247845</c:v>
                </c:pt>
                <c:pt idx="326">
                  <c:v>30.252597812712821</c:v>
                </c:pt>
                <c:pt idx="327">
                  <c:v>37.463208115826113</c:v>
                </c:pt>
                <c:pt idx="328">
                  <c:v>35.969531779366676</c:v>
                </c:pt>
                <c:pt idx="329">
                  <c:v>37.447729981719554</c:v>
                </c:pt>
                <c:pt idx="330">
                  <c:v>31.040731846822197</c:v>
                </c:pt>
                <c:pt idx="331">
                  <c:v>34.041319380742721</c:v>
                </c:pt>
                <c:pt idx="332">
                  <c:v>33.709114953026017</c:v>
                </c:pt>
                <c:pt idx="333">
                  <c:v>35.154169725407037</c:v>
                </c:pt>
                <c:pt idx="334">
                  <c:v>29.250550208008121</c:v>
                </c:pt>
                <c:pt idx="335">
                  <c:v>28.516370313816189</c:v>
                </c:pt>
                <c:pt idx="336">
                  <c:v>28.46242850241461</c:v>
                </c:pt>
                <c:pt idx="337">
                  <c:v>27.638525217663613</c:v>
                </c:pt>
                <c:pt idx="338">
                  <c:v>29.782197717595377</c:v>
                </c:pt>
                <c:pt idx="339">
                  <c:v>35.454171617009976</c:v>
                </c:pt>
                <c:pt idx="340">
                  <c:v>32.689214260375735</c:v>
                </c:pt>
                <c:pt idx="341">
                  <c:v>35.396382205027308</c:v>
                </c:pt>
                <c:pt idx="342">
                  <c:v>33.738417748741917</c:v>
                </c:pt>
                <c:pt idx="343">
                  <c:v>34.226588478009504</c:v>
                </c:pt>
                <c:pt idx="344">
                  <c:v>33.895549552736377</c:v>
                </c:pt>
                <c:pt idx="345">
                  <c:v>34.127246085997712</c:v>
                </c:pt>
                <c:pt idx="346">
                  <c:v>30.983925423189579</c:v>
                </c:pt>
                <c:pt idx="347">
                  <c:v>31.812215193852342</c:v>
                </c:pt>
                <c:pt idx="348">
                  <c:v>30.116006472788232</c:v>
                </c:pt>
                <c:pt idx="349">
                  <c:v>32.869872181227684</c:v>
                </c:pt>
                <c:pt idx="350">
                  <c:v>32.874346398921659</c:v>
                </c:pt>
                <c:pt idx="351">
                  <c:v>32.165483052805321</c:v>
                </c:pt>
                <c:pt idx="352">
                  <c:v>30.417795205960857</c:v>
                </c:pt>
                <c:pt idx="353">
                  <c:v>30.738676244450584</c:v>
                </c:pt>
                <c:pt idx="354">
                  <c:v>27.506611589785027</c:v>
                </c:pt>
                <c:pt idx="355">
                  <c:v>27.925988990657363</c:v>
                </c:pt>
                <c:pt idx="356">
                  <c:v>28.71496905439593</c:v>
                </c:pt>
                <c:pt idx="357">
                  <c:v>28.498124038128264</c:v>
                </c:pt>
                <c:pt idx="358">
                  <c:v>24.14484158323306</c:v>
                </c:pt>
                <c:pt idx="359">
                  <c:v>22.656397762314576</c:v>
                </c:pt>
                <c:pt idx="360">
                  <c:v>26.299517999577404</c:v>
                </c:pt>
                <c:pt idx="361">
                  <c:v>24.29758690131575</c:v>
                </c:pt>
                <c:pt idx="362">
                  <c:v>30.281759784048123</c:v>
                </c:pt>
                <c:pt idx="363">
                  <c:v>30.104543947519037</c:v>
                </c:pt>
                <c:pt idx="364">
                  <c:v>31.345054803222641</c:v>
                </c:pt>
                <c:pt idx="365">
                  <c:v>30.482368368362248</c:v>
                </c:pt>
                <c:pt idx="366">
                  <c:v>30.751770281071632</c:v>
                </c:pt>
                <c:pt idx="367">
                  <c:v>29.591056670175867</c:v>
                </c:pt>
                <c:pt idx="368">
                  <c:v>28.900353556303607</c:v>
                </c:pt>
                <c:pt idx="369">
                  <c:v>35.611603109994796</c:v>
                </c:pt>
                <c:pt idx="370">
                  <c:v>35.603149610985639</c:v>
                </c:pt>
                <c:pt idx="371">
                  <c:v>35.881631639817066</c:v>
                </c:pt>
                <c:pt idx="372">
                  <c:v>33.118059198142689</c:v>
                </c:pt>
                <c:pt idx="373">
                  <c:v>33.004404174467894</c:v>
                </c:pt>
                <c:pt idx="374">
                  <c:v>34.594874173874061</c:v>
                </c:pt>
                <c:pt idx="375">
                  <c:v>34.578098856589847</c:v>
                </c:pt>
                <c:pt idx="376">
                  <c:v>34.45674863175288</c:v>
                </c:pt>
                <c:pt idx="377">
                  <c:v>35.923184619846197</c:v>
                </c:pt>
                <c:pt idx="378">
                  <c:v>35.923184619846197</c:v>
                </c:pt>
                <c:pt idx="379">
                  <c:v>35.77128533139269</c:v>
                </c:pt>
                <c:pt idx="380">
                  <c:v>28.203033011930529</c:v>
                </c:pt>
                <c:pt idx="381">
                  <c:v>28.254512137710886</c:v>
                </c:pt>
                <c:pt idx="382">
                  <c:v>30.318080248536294</c:v>
                </c:pt>
                <c:pt idx="383">
                  <c:v>28.727524205686294</c:v>
                </c:pt>
                <c:pt idx="384">
                  <c:v>31.908011362611784</c:v>
                </c:pt>
                <c:pt idx="385">
                  <c:v>31.536583271414731</c:v>
                </c:pt>
                <c:pt idx="386">
                  <c:v>28.502445102925769</c:v>
                </c:pt>
                <c:pt idx="387">
                  <c:v>29.37752036915861</c:v>
                </c:pt>
                <c:pt idx="388">
                  <c:v>35.209308170705192</c:v>
                </c:pt>
                <c:pt idx="389">
                  <c:v>31.916331492548483</c:v>
                </c:pt>
                <c:pt idx="390">
                  <c:v>30.32662147932766</c:v>
                </c:pt>
                <c:pt idx="391">
                  <c:v>29.796897770030952</c:v>
                </c:pt>
              </c:numCache>
            </c:numRef>
          </c:xVal>
          <c:yVal>
            <c:numRef>
              <c:f>Regression!RegChartScaleLoc</c:f>
              <c:numCache>
                <c:formatCode>0.0000</c:formatCode>
                <c:ptCount val="392"/>
                <c:pt idx="0">
                  <c:v>0.62168356992409501</c:v>
                </c:pt>
                <c:pt idx="1">
                  <c:v>0.32252301815122225</c:v>
                </c:pt>
                <c:pt idx="2">
                  <c:v>0.6156692021250858</c:v>
                </c:pt>
                <c:pt idx="3">
                  <c:v>0.53843759691620696</c:v>
                </c:pt>
                <c:pt idx="4">
                  <c:v>0.12267204581324496</c:v>
                </c:pt>
                <c:pt idx="5">
                  <c:v>1.0798296836268255</c:v>
                </c:pt>
                <c:pt idx="6">
                  <c:v>0.9895508430996619</c:v>
                </c:pt>
                <c:pt idx="7">
                  <c:v>0.93792604061887253</c:v>
                </c:pt>
                <c:pt idx="8">
                  <c:v>1.0620850901469299</c:v>
                </c:pt>
                <c:pt idx="9">
                  <c:v>0.54361877053485086</c:v>
                </c:pt>
                <c:pt idx="10">
                  <c:v>0.54395718893234279</c:v>
                </c:pt>
                <c:pt idx="11">
                  <c:v>0.77723281226774377</c:v>
                </c:pt>
                <c:pt idx="12">
                  <c:v>0.26573888542847085</c:v>
                </c:pt>
                <c:pt idx="13">
                  <c:v>1.0866183182974076</c:v>
                </c:pt>
                <c:pt idx="14">
                  <c:v>0.63398061588184318</c:v>
                </c:pt>
                <c:pt idx="15">
                  <c:v>0.63220641939664335</c:v>
                </c:pt>
                <c:pt idx="16">
                  <c:v>1.0126434133664579</c:v>
                </c:pt>
                <c:pt idx="17">
                  <c:v>0.63711084117378114</c:v>
                </c:pt>
                <c:pt idx="18">
                  <c:v>0.39387191196040944</c:v>
                </c:pt>
                <c:pt idx="19">
                  <c:v>0.93546163760685208</c:v>
                </c:pt>
                <c:pt idx="20">
                  <c:v>0.66392251515061107</c:v>
                </c:pt>
                <c:pt idx="21">
                  <c:v>0.53780807723011659</c:v>
                </c:pt>
                <c:pt idx="22">
                  <c:v>0.14316187490170565</c:v>
                </c:pt>
                <c:pt idx="23">
                  <c:v>0.41580346842638649</c:v>
                </c:pt>
                <c:pt idx="24">
                  <c:v>0.52437388846150268</c:v>
                </c:pt>
                <c:pt idx="25">
                  <c:v>0.2359732155490227</c:v>
                </c:pt>
                <c:pt idx="26">
                  <c:v>0.6545166235987333</c:v>
                </c:pt>
                <c:pt idx="27">
                  <c:v>0.17713715773972538</c:v>
                </c:pt>
                <c:pt idx="28">
                  <c:v>0.44646864141415249</c:v>
                </c:pt>
                <c:pt idx="29">
                  <c:v>0.38708963609019714</c:v>
                </c:pt>
                <c:pt idx="30">
                  <c:v>1.0534388574773397</c:v>
                </c:pt>
                <c:pt idx="31">
                  <c:v>0.78428024317282097</c:v>
                </c:pt>
                <c:pt idx="32">
                  <c:v>1.1012687386073365</c:v>
                </c:pt>
                <c:pt idx="33">
                  <c:v>0.90932581790506928</c:v>
                </c:pt>
                <c:pt idx="34">
                  <c:v>0.84052743497250604</c:v>
                </c:pt>
                <c:pt idx="35">
                  <c:v>0.38912849936561844</c:v>
                </c:pt>
                <c:pt idx="36">
                  <c:v>0.66526320408288453</c:v>
                </c:pt>
                <c:pt idx="37">
                  <c:v>0.36020188891106947</c:v>
                </c:pt>
                <c:pt idx="38">
                  <c:v>0.78467166287668577</c:v>
                </c:pt>
                <c:pt idx="39">
                  <c:v>0.16768929600374788</c:v>
                </c:pt>
                <c:pt idx="40">
                  <c:v>0.3770291951002801</c:v>
                </c:pt>
                <c:pt idx="41">
                  <c:v>0.89893460791464563</c:v>
                </c:pt>
                <c:pt idx="42">
                  <c:v>0.85589453657674075</c:v>
                </c:pt>
                <c:pt idx="43">
                  <c:v>1.1976330534783548</c:v>
                </c:pt>
                <c:pt idx="44">
                  <c:v>0.96817770000680947</c:v>
                </c:pt>
                <c:pt idx="45">
                  <c:v>0.86434301566667693</c:v>
                </c:pt>
                <c:pt idx="46">
                  <c:v>0.34620345314375889</c:v>
                </c:pt>
                <c:pt idx="47">
                  <c:v>0.87149649625907877</c:v>
                </c:pt>
                <c:pt idx="48">
                  <c:v>0.81001476795245997</c:v>
                </c:pt>
                <c:pt idx="49">
                  <c:v>0.47437549885160157</c:v>
                </c:pt>
                <c:pt idx="50">
                  <c:v>0.83798094419596558</c:v>
                </c:pt>
                <c:pt idx="51">
                  <c:v>0.84841211618516699</c:v>
                </c:pt>
                <c:pt idx="52">
                  <c:v>0.67747869632525626</c:v>
                </c:pt>
                <c:pt idx="53">
                  <c:v>1.2449988378647796</c:v>
                </c:pt>
                <c:pt idx="54">
                  <c:v>0.8736423829061456</c:v>
                </c:pt>
                <c:pt idx="55">
                  <c:v>0.43522641000123385</c:v>
                </c:pt>
                <c:pt idx="56">
                  <c:v>0.66627457300451609</c:v>
                </c:pt>
                <c:pt idx="57">
                  <c:v>0.49029842522025108</c:v>
                </c:pt>
                <c:pt idx="58">
                  <c:v>1.0021352724726147</c:v>
                </c:pt>
                <c:pt idx="59">
                  <c:v>0.94787840710625182</c:v>
                </c:pt>
                <c:pt idx="60">
                  <c:v>0.9462819099743407</c:v>
                </c:pt>
                <c:pt idx="61">
                  <c:v>0.56949441562143965</c:v>
                </c:pt>
                <c:pt idx="62">
                  <c:v>0.9482904319610217</c:v>
                </c:pt>
                <c:pt idx="63">
                  <c:v>0.82109672070844575</c:v>
                </c:pt>
                <c:pt idx="64">
                  <c:v>0.58963726565824504</c:v>
                </c:pt>
                <c:pt idx="65">
                  <c:v>0.7481477197124623</c:v>
                </c:pt>
                <c:pt idx="66">
                  <c:v>0.70724008801634808</c:v>
                </c:pt>
                <c:pt idx="67">
                  <c:v>0.80971713262300304</c:v>
                </c:pt>
                <c:pt idx="68">
                  <c:v>0.52097111290585363</c:v>
                </c:pt>
                <c:pt idx="69">
                  <c:v>0.84357965599246187</c:v>
                </c:pt>
                <c:pt idx="70">
                  <c:v>1.4197661180447398</c:v>
                </c:pt>
                <c:pt idx="71">
                  <c:v>0.51462100495795993</c:v>
                </c:pt>
                <c:pt idx="72">
                  <c:v>0.40207795082025632</c:v>
                </c:pt>
                <c:pt idx="73">
                  <c:v>0.4725503566358295</c:v>
                </c:pt>
                <c:pt idx="74">
                  <c:v>0.49382757190367682</c:v>
                </c:pt>
                <c:pt idx="75">
                  <c:v>1.0991534609623088</c:v>
                </c:pt>
                <c:pt idx="76">
                  <c:v>0.88379882573473734</c:v>
                </c:pt>
                <c:pt idx="77">
                  <c:v>0.51345908822924335</c:v>
                </c:pt>
                <c:pt idx="78">
                  <c:v>0.16282613978565105</c:v>
                </c:pt>
                <c:pt idx="79">
                  <c:v>0.52392622953585788</c:v>
                </c:pt>
                <c:pt idx="80">
                  <c:v>0.94513966048082065</c:v>
                </c:pt>
                <c:pt idx="81">
                  <c:v>0.61753958395931097</c:v>
                </c:pt>
                <c:pt idx="82">
                  <c:v>1.1437801662718878</c:v>
                </c:pt>
                <c:pt idx="83">
                  <c:v>0.46851945550355156</c:v>
                </c:pt>
                <c:pt idx="84">
                  <c:v>0.45164931584999646</c:v>
                </c:pt>
                <c:pt idx="85">
                  <c:v>0.5623973418043009</c:v>
                </c:pt>
                <c:pt idx="86">
                  <c:v>0.38052933371651759</c:v>
                </c:pt>
                <c:pt idx="87">
                  <c:v>0.48314326892849002</c:v>
                </c:pt>
                <c:pt idx="88">
                  <c:v>0.43575979752854083</c:v>
                </c:pt>
                <c:pt idx="89">
                  <c:v>1.1956773805237069</c:v>
                </c:pt>
                <c:pt idx="90">
                  <c:v>0.82514562301775474</c:v>
                </c:pt>
                <c:pt idx="91">
                  <c:v>0.74377212222131328</c:v>
                </c:pt>
                <c:pt idx="92">
                  <c:v>0.7936539068984616</c:v>
                </c:pt>
                <c:pt idx="93">
                  <c:v>1.2224999410851352</c:v>
                </c:pt>
                <c:pt idx="94">
                  <c:v>1.2583792838239773</c:v>
                </c:pt>
                <c:pt idx="95">
                  <c:v>0.51412773147927127</c:v>
                </c:pt>
                <c:pt idx="96">
                  <c:v>0.39753589313855936</c:v>
                </c:pt>
                <c:pt idx="97">
                  <c:v>0.76463206499073544</c:v>
                </c:pt>
                <c:pt idx="98">
                  <c:v>0.69290122197372128</c:v>
                </c:pt>
                <c:pt idx="99">
                  <c:v>0.64671240292670806</c:v>
                </c:pt>
                <c:pt idx="100">
                  <c:v>1.0395941638122002</c:v>
                </c:pt>
                <c:pt idx="101">
                  <c:v>0.65976782484825081</c:v>
                </c:pt>
                <c:pt idx="102">
                  <c:v>0.95995113463758619</c:v>
                </c:pt>
                <c:pt idx="103">
                  <c:v>1.0891788684939654</c:v>
                </c:pt>
                <c:pt idx="104">
                  <c:v>1.0520954360364805</c:v>
                </c:pt>
                <c:pt idx="105">
                  <c:v>0.75417889617209155</c:v>
                </c:pt>
                <c:pt idx="106">
                  <c:v>0.86135011282857965</c:v>
                </c:pt>
                <c:pt idx="107">
                  <c:v>1.2998915580824668</c:v>
                </c:pt>
                <c:pt idx="108">
                  <c:v>0.74293057634054493</c:v>
                </c:pt>
                <c:pt idx="109">
                  <c:v>0.90709407372393591</c:v>
                </c:pt>
                <c:pt idx="110">
                  <c:v>1.6144141690522229</c:v>
                </c:pt>
                <c:pt idx="111">
                  <c:v>1.1398337826267724</c:v>
                </c:pt>
                <c:pt idx="112">
                  <c:v>0.49283990732632255</c:v>
                </c:pt>
                <c:pt idx="113">
                  <c:v>0.5786952736031109</c:v>
                </c:pt>
                <c:pt idx="114">
                  <c:v>0.82087749641927654</c:v>
                </c:pt>
                <c:pt idx="115">
                  <c:v>1.3530572401671679</c:v>
                </c:pt>
                <c:pt idx="116">
                  <c:v>0.66533360104104933</c:v>
                </c:pt>
                <c:pt idx="117">
                  <c:v>0.76927903555026533</c:v>
                </c:pt>
                <c:pt idx="118">
                  <c:v>1.0586990173002302</c:v>
                </c:pt>
                <c:pt idx="119">
                  <c:v>0.92653730162095593</c:v>
                </c:pt>
                <c:pt idx="120">
                  <c:v>0.66594436215113473</c:v>
                </c:pt>
                <c:pt idx="121">
                  <c:v>0.66540008693852504</c:v>
                </c:pt>
                <c:pt idx="122">
                  <c:v>0.78481507966018793</c:v>
                </c:pt>
                <c:pt idx="123">
                  <c:v>1.08131898757255</c:v>
                </c:pt>
                <c:pt idx="124">
                  <c:v>0.48288738450997459</c:v>
                </c:pt>
                <c:pt idx="125">
                  <c:v>0.93731040513779196</c:v>
                </c:pt>
                <c:pt idx="126">
                  <c:v>1.2152926940939692</c:v>
                </c:pt>
                <c:pt idx="127">
                  <c:v>0.80802656085718338</c:v>
                </c:pt>
                <c:pt idx="128">
                  <c:v>0.76650361380593857</c:v>
                </c:pt>
                <c:pt idx="129">
                  <c:v>0.88527815586892722</c:v>
                </c:pt>
                <c:pt idx="130">
                  <c:v>0.61664167953927462</c:v>
                </c:pt>
                <c:pt idx="131">
                  <c:v>0.62837888153467225</c:v>
                </c:pt>
                <c:pt idx="132">
                  <c:v>0.768649094196724</c:v>
                </c:pt>
                <c:pt idx="133">
                  <c:v>0.12853623442286136</c:v>
                </c:pt>
                <c:pt idx="134">
                  <c:v>0.65635018552106961</c:v>
                </c:pt>
                <c:pt idx="135">
                  <c:v>0.65475968301768062</c:v>
                </c:pt>
                <c:pt idx="136">
                  <c:v>0.59349476115192279</c:v>
                </c:pt>
                <c:pt idx="137">
                  <c:v>0.77870029507606031</c:v>
                </c:pt>
                <c:pt idx="138">
                  <c:v>0.11695206450115322</c:v>
                </c:pt>
                <c:pt idx="139">
                  <c:v>0.75364651590656229</c:v>
                </c:pt>
                <c:pt idx="140">
                  <c:v>0.97843287440326654</c:v>
                </c:pt>
                <c:pt idx="141">
                  <c:v>0.57105797863670227</c:v>
                </c:pt>
                <c:pt idx="142">
                  <c:v>0.24868556221167035</c:v>
                </c:pt>
                <c:pt idx="143">
                  <c:v>1.0220654119503576</c:v>
                </c:pt>
                <c:pt idx="144">
                  <c:v>0.82399806667600439</c:v>
                </c:pt>
                <c:pt idx="145">
                  <c:v>1.1565133685267404</c:v>
                </c:pt>
                <c:pt idx="146">
                  <c:v>0.65866646057807621</c:v>
                </c:pt>
                <c:pt idx="147">
                  <c:v>0.782718965536919</c:v>
                </c:pt>
                <c:pt idx="148">
                  <c:v>0.36236983710096526</c:v>
                </c:pt>
                <c:pt idx="149">
                  <c:v>0.88257253604278918</c:v>
                </c:pt>
                <c:pt idx="150">
                  <c:v>0.29459486941743479</c:v>
                </c:pt>
                <c:pt idx="151">
                  <c:v>0.19252850306296515</c:v>
                </c:pt>
                <c:pt idx="152">
                  <c:v>1.1246191690700937</c:v>
                </c:pt>
                <c:pt idx="153">
                  <c:v>1.3127066006733248</c:v>
                </c:pt>
                <c:pt idx="154">
                  <c:v>1.299877795102051</c:v>
                </c:pt>
                <c:pt idx="155">
                  <c:v>0.91302651848703054</c:v>
                </c:pt>
                <c:pt idx="156">
                  <c:v>1.1364728580085603</c:v>
                </c:pt>
                <c:pt idx="157">
                  <c:v>0.94036297273600589</c:v>
                </c:pt>
                <c:pt idx="158">
                  <c:v>0.64158897524005343</c:v>
                </c:pt>
                <c:pt idx="159">
                  <c:v>0.18787196592271535</c:v>
                </c:pt>
                <c:pt idx="160">
                  <c:v>0.74210745548188306</c:v>
                </c:pt>
                <c:pt idx="161">
                  <c:v>0.67730495748156605</c:v>
                </c:pt>
                <c:pt idx="162">
                  <c:v>0.5293586781960623</c:v>
                </c:pt>
                <c:pt idx="163">
                  <c:v>0.50379779368416477</c:v>
                </c:pt>
                <c:pt idx="164">
                  <c:v>1.4365443545758751</c:v>
                </c:pt>
                <c:pt idx="165">
                  <c:v>0.77960715008345816</c:v>
                </c:pt>
                <c:pt idx="166">
                  <c:v>0.3551724199427917</c:v>
                </c:pt>
                <c:pt idx="167">
                  <c:v>0.56262135251348588</c:v>
                </c:pt>
                <c:pt idx="168">
                  <c:v>0.14134424969928561</c:v>
                </c:pt>
                <c:pt idx="169">
                  <c:v>0.22432993069859661</c:v>
                </c:pt>
                <c:pt idx="170">
                  <c:v>0.78801561610381554</c:v>
                </c:pt>
                <c:pt idx="171">
                  <c:v>0.55725389355829125</c:v>
                </c:pt>
                <c:pt idx="172">
                  <c:v>0.93760300493069992</c:v>
                </c:pt>
                <c:pt idx="173">
                  <c:v>0.47550281234570813</c:v>
                </c:pt>
                <c:pt idx="174">
                  <c:v>0.45046108934359763</c:v>
                </c:pt>
                <c:pt idx="175">
                  <c:v>0.60210985478964196</c:v>
                </c:pt>
                <c:pt idx="176">
                  <c:v>0.2103497242064705</c:v>
                </c:pt>
                <c:pt idx="177">
                  <c:v>0.50568274077729702</c:v>
                </c:pt>
                <c:pt idx="178">
                  <c:v>0.61399465559332922</c:v>
                </c:pt>
                <c:pt idx="179">
                  <c:v>1.0908587110635766</c:v>
                </c:pt>
                <c:pt idx="180">
                  <c:v>0.78031384034748608</c:v>
                </c:pt>
                <c:pt idx="181">
                  <c:v>0.91045822344612548</c:v>
                </c:pt>
                <c:pt idx="182">
                  <c:v>0.68462988866740782</c:v>
                </c:pt>
                <c:pt idx="183">
                  <c:v>0.44497778964629431</c:v>
                </c:pt>
                <c:pt idx="184">
                  <c:v>0.42682081855872755</c:v>
                </c:pt>
                <c:pt idx="185">
                  <c:v>0.9993978076102874</c:v>
                </c:pt>
                <c:pt idx="186">
                  <c:v>0.71614501441270739</c:v>
                </c:pt>
                <c:pt idx="187">
                  <c:v>0.44485324041281632</c:v>
                </c:pt>
                <c:pt idx="188">
                  <c:v>0.26037809108455851</c:v>
                </c:pt>
                <c:pt idx="189">
                  <c:v>0.79083162578982025</c:v>
                </c:pt>
                <c:pt idx="190">
                  <c:v>0.92384961319747594</c:v>
                </c:pt>
                <c:pt idx="191">
                  <c:v>0.90356646035067001</c:v>
                </c:pt>
                <c:pt idx="192">
                  <c:v>0.69950704735384117</c:v>
                </c:pt>
                <c:pt idx="193">
                  <c:v>0.82525217517052141</c:v>
                </c:pt>
                <c:pt idx="194">
                  <c:v>0.74668108920057974</c:v>
                </c:pt>
                <c:pt idx="195">
                  <c:v>0.18201111480421162</c:v>
                </c:pt>
                <c:pt idx="196">
                  <c:v>0.96384935135106875</c:v>
                </c:pt>
                <c:pt idx="197">
                  <c:v>0.81579679754353918</c:v>
                </c:pt>
                <c:pt idx="198">
                  <c:v>0.49814625716852357</c:v>
                </c:pt>
                <c:pt idx="199">
                  <c:v>0.45922766953911076</c:v>
                </c:pt>
                <c:pt idx="200">
                  <c:v>0.97966982064382979</c:v>
                </c:pt>
                <c:pt idx="201">
                  <c:v>0.22394520020006309</c:v>
                </c:pt>
                <c:pt idx="202">
                  <c:v>1.0079811055823074</c:v>
                </c:pt>
                <c:pt idx="203">
                  <c:v>0.11007256038457328</c:v>
                </c:pt>
                <c:pt idx="204">
                  <c:v>0.92043510197948408</c:v>
                </c:pt>
                <c:pt idx="205">
                  <c:v>0.9014000516714169</c:v>
                </c:pt>
                <c:pt idx="206">
                  <c:v>0.95032473198144274</c:v>
                </c:pt>
                <c:pt idx="207">
                  <c:v>1.0106470693835983</c:v>
                </c:pt>
                <c:pt idx="208">
                  <c:v>1.235665521074518</c:v>
                </c:pt>
                <c:pt idx="209">
                  <c:v>0.8686609805685036</c:v>
                </c:pt>
                <c:pt idx="210">
                  <c:v>1.0798053207058829</c:v>
                </c:pt>
                <c:pt idx="211">
                  <c:v>0.8580591027112443</c:v>
                </c:pt>
                <c:pt idx="212">
                  <c:v>1.0614803401672241</c:v>
                </c:pt>
                <c:pt idx="213">
                  <c:v>1.1023464053537464</c:v>
                </c:pt>
                <c:pt idx="214">
                  <c:v>0.67387694073487514</c:v>
                </c:pt>
                <c:pt idx="215">
                  <c:v>0.94451213776589371</c:v>
                </c:pt>
                <c:pt idx="216">
                  <c:v>1.2549038215705255</c:v>
                </c:pt>
                <c:pt idx="217">
                  <c:v>0.52817806228871478</c:v>
                </c:pt>
                <c:pt idx="218">
                  <c:v>0.98176937925520336</c:v>
                </c:pt>
                <c:pt idx="219">
                  <c:v>0.11440057026717641</c:v>
                </c:pt>
                <c:pt idx="220">
                  <c:v>0.25628513901988814</c:v>
                </c:pt>
                <c:pt idx="221">
                  <c:v>0.49059207962845691</c:v>
                </c:pt>
                <c:pt idx="222">
                  <c:v>0.47721415108615522</c:v>
                </c:pt>
                <c:pt idx="223">
                  <c:v>0.89907459207286755</c:v>
                </c:pt>
                <c:pt idx="224">
                  <c:v>4.9601950415585162E-2</c:v>
                </c:pt>
                <c:pt idx="225">
                  <c:v>0.42278935478496499</c:v>
                </c:pt>
                <c:pt idx="226">
                  <c:v>0.73033309340857799</c:v>
                </c:pt>
                <c:pt idx="227">
                  <c:v>0.5010990169030185</c:v>
                </c:pt>
                <c:pt idx="228">
                  <c:v>0.25209312915423793</c:v>
                </c:pt>
                <c:pt idx="229">
                  <c:v>0.56289614014028566</c:v>
                </c:pt>
                <c:pt idx="230">
                  <c:v>0.52583047719322673</c:v>
                </c:pt>
                <c:pt idx="231">
                  <c:v>0.68189571524191261</c:v>
                </c:pt>
                <c:pt idx="232">
                  <c:v>0.29582636364049836</c:v>
                </c:pt>
                <c:pt idx="233">
                  <c:v>0.98643424620660736</c:v>
                </c:pt>
                <c:pt idx="234">
                  <c:v>0.67148095562892685</c:v>
                </c:pt>
                <c:pt idx="235">
                  <c:v>0.88965523435142757</c:v>
                </c:pt>
                <c:pt idx="236">
                  <c:v>1.3945308298462449</c:v>
                </c:pt>
                <c:pt idx="237">
                  <c:v>0.39230975953522784</c:v>
                </c:pt>
                <c:pt idx="238">
                  <c:v>0.67884499479866578</c:v>
                </c:pt>
                <c:pt idx="239">
                  <c:v>1.1227508647870819</c:v>
                </c:pt>
                <c:pt idx="240">
                  <c:v>1.2981692677204595</c:v>
                </c:pt>
                <c:pt idx="241">
                  <c:v>1.2318855340477952</c:v>
                </c:pt>
                <c:pt idx="242">
                  <c:v>2.0495673231823077</c:v>
                </c:pt>
                <c:pt idx="243">
                  <c:v>1.5162600626124523</c:v>
                </c:pt>
                <c:pt idx="244">
                  <c:v>0.86512720068575011</c:v>
                </c:pt>
                <c:pt idx="245">
                  <c:v>1.783813795590786</c:v>
                </c:pt>
                <c:pt idx="246">
                  <c:v>1.2556613170298598</c:v>
                </c:pt>
                <c:pt idx="247">
                  <c:v>0.46927062840817874</c:v>
                </c:pt>
                <c:pt idx="248">
                  <c:v>0.62932287755922212</c:v>
                </c:pt>
                <c:pt idx="249">
                  <c:v>0.61561888388814801</c:v>
                </c:pt>
                <c:pt idx="250">
                  <c:v>0.44067714811435338</c:v>
                </c:pt>
                <c:pt idx="251">
                  <c:v>0.67419975275014565</c:v>
                </c:pt>
                <c:pt idx="252">
                  <c:v>0.96283307101210336</c:v>
                </c:pt>
                <c:pt idx="253">
                  <c:v>0.54960251871964061</c:v>
                </c:pt>
                <c:pt idx="254">
                  <c:v>0.18351326990589648</c:v>
                </c:pt>
                <c:pt idx="255">
                  <c:v>0.86863177262542735</c:v>
                </c:pt>
                <c:pt idx="256">
                  <c:v>9.8968093299987236E-2</c:v>
                </c:pt>
                <c:pt idx="257">
                  <c:v>0.74311457340756382</c:v>
                </c:pt>
                <c:pt idx="258">
                  <c:v>0.47275152523127006</c:v>
                </c:pt>
                <c:pt idx="259">
                  <c:v>0.8287258273350403</c:v>
                </c:pt>
                <c:pt idx="260">
                  <c:v>0.40465761814972145</c:v>
                </c:pt>
                <c:pt idx="261">
                  <c:v>0.7238351791468749</c:v>
                </c:pt>
                <c:pt idx="262">
                  <c:v>0.96528179324823382</c:v>
                </c:pt>
                <c:pt idx="263">
                  <c:v>0.58797379071325018</c:v>
                </c:pt>
                <c:pt idx="264">
                  <c:v>0.93415208617024292</c:v>
                </c:pt>
                <c:pt idx="265">
                  <c:v>0.42977485500237106</c:v>
                </c:pt>
                <c:pt idx="266">
                  <c:v>0.58499968222072152</c:v>
                </c:pt>
                <c:pt idx="267">
                  <c:v>1.1553728887824946</c:v>
                </c:pt>
                <c:pt idx="268">
                  <c:v>1.4210934246019182</c:v>
                </c:pt>
                <c:pt idx="269">
                  <c:v>0.44057670734716298</c:v>
                </c:pt>
                <c:pt idx="270">
                  <c:v>0.28587008887895027</c:v>
                </c:pt>
                <c:pt idx="271">
                  <c:v>1.1237799205301329</c:v>
                </c:pt>
                <c:pt idx="272">
                  <c:v>1.2940803610775797</c:v>
                </c:pt>
                <c:pt idx="273">
                  <c:v>1.4621689173672046</c:v>
                </c:pt>
                <c:pt idx="274">
                  <c:v>1.1125538360386922</c:v>
                </c:pt>
                <c:pt idx="275">
                  <c:v>1.3811852366923054</c:v>
                </c:pt>
                <c:pt idx="276">
                  <c:v>0.68318492026134181</c:v>
                </c:pt>
                <c:pt idx="277">
                  <c:v>0.10781176073301675</c:v>
                </c:pt>
                <c:pt idx="278">
                  <c:v>0.81472209360808046</c:v>
                </c:pt>
                <c:pt idx="279">
                  <c:v>1.349080253685033</c:v>
                </c:pt>
                <c:pt idx="280">
                  <c:v>1.0681281243298058</c:v>
                </c:pt>
                <c:pt idx="281">
                  <c:v>1.0946547995295104</c:v>
                </c:pt>
                <c:pt idx="282">
                  <c:v>0.8922161853928352</c:v>
                </c:pt>
                <c:pt idx="283">
                  <c:v>1.0380758062064939</c:v>
                </c:pt>
                <c:pt idx="284">
                  <c:v>1.0376510193411055</c:v>
                </c:pt>
                <c:pt idx="285">
                  <c:v>1.0038085245916495</c:v>
                </c:pt>
                <c:pt idx="286">
                  <c:v>0.81779574666663157</c:v>
                </c:pt>
                <c:pt idx="287">
                  <c:v>0.31852369333928743</c:v>
                </c:pt>
                <c:pt idx="288">
                  <c:v>1.0734996460103461</c:v>
                </c:pt>
                <c:pt idx="289">
                  <c:v>0.87661006698837729</c:v>
                </c:pt>
                <c:pt idx="290">
                  <c:v>0.55098097991249662</c:v>
                </c:pt>
                <c:pt idx="291">
                  <c:v>0.55956860774968797</c:v>
                </c:pt>
                <c:pt idx="292">
                  <c:v>0.65904254249869043</c:v>
                </c:pt>
                <c:pt idx="293">
                  <c:v>1.2804509003381606</c:v>
                </c:pt>
                <c:pt idx="294">
                  <c:v>0.37396538818232788</c:v>
                </c:pt>
                <c:pt idx="295">
                  <c:v>0.51685717808164922</c:v>
                </c:pt>
                <c:pt idx="296">
                  <c:v>0.99521483763326979</c:v>
                </c:pt>
                <c:pt idx="297">
                  <c:v>0.50930985739502521</c:v>
                </c:pt>
                <c:pt idx="298">
                  <c:v>0.54147631541168306</c:v>
                </c:pt>
                <c:pt idx="299">
                  <c:v>1.2484222161797878</c:v>
                </c:pt>
                <c:pt idx="300">
                  <c:v>1.2549131775149236</c:v>
                </c:pt>
                <c:pt idx="301">
                  <c:v>0.50879268440797942</c:v>
                </c:pt>
                <c:pt idx="302">
                  <c:v>1.3522395832030416</c:v>
                </c:pt>
                <c:pt idx="303">
                  <c:v>0.72531248958619809</c:v>
                </c:pt>
                <c:pt idx="304">
                  <c:v>0.81928845982406029</c:v>
                </c:pt>
                <c:pt idx="305">
                  <c:v>0.4247698831801911</c:v>
                </c:pt>
                <c:pt idx="306">
                  <c:v>1.4249476178838989</c:v>
                </c:pt>
                <c:pt idx="307">
                  <c:v>1.3920789255784864</c:v>
                </c:pt>
                <c:pt idx="308">
                  <c:v>0.61107782751901196</c:v>
                </c:pt>
                <c:pt idx="309">
                  <c:v>0.79516384055391032</c:v>
                </c:pt>
                <c:pt idx="310">
                  <c:v>0.43195510794737341</c:v>
                </c:pt>
                <c:pt idx="311">
                  <c:v>0.97339607740662359</c:v>
                </c:pt>
                <c:pt idx="312">
                  <c:v>1.0802925259303664</c:v>
                </c:pt>
                <c:pt idx="313">
                  <c:v>1.2774746604753673</c:v>
                </c:pt>
                <c:pt idx="314">
                  <c:v>1.6531181862368947</c:v>
                </c:pt>
                <c:pt idx="315">
                  <c:v>0.62055201846907815</c:v>
                </c:pt>
                <c:pt idx="316">
                  <c:v>0.98850068394181489</c:v>
                </c:pt>
                <c:pt idx="317">
                  <c:v>0.91846656176489794</c:v>
                </c:pt>
                <c:pt idx="318">
                  <c:v>0.98320311628134927</c:v>
                </c:pt>
                <c:pt idx="319">
                  <c:v>1.005054126559336</c:v>
                </c:pt>
                <c:pt idx="320">
                  <c:v>1.8633510962183468</c:v>
                </c:pt>
                <c:pt idx="321">
                  <c:v>0.83301968605816989</c:v>
                </c:pt>
                <c:pt idx="322">
                  <c:v>1.2408012231218932</c:v>
                </c:pt>
                <c:pt idx="323">
                  <c:v>1.6190268100104259</c:v>
                </c:pt>
                <c:pt idx="324">
                  <c:v>1.6575270881645383</c:v>
                </c:pt>
                <c:pt idx="325">
                  <c:v>1.2464148690914052</c:v>
                </c:pt>
                <c:pt idx="326">
                  <c:v>0.29194431698390738</c:v>
                </c:pt>
                <c:pt idx="327">
                  <c:v>1.5424241768122602</c:v>
                </c:pt>
                <c:pt idx="328">
                  <c:v>0.85019484471835927</c:v>
                </c:pt>
                <c:pt idx="329">
                  <c:v>1.5995662211964601</c:v>
                </c:pt>
                <c:pt idx="330">
                  <c:v>0.746034872647523</c:v>
                </c:pt>
                <c:pt idx="331">
                  <c:v>1.8578704523107554</c:v>
                </c:pt>
                <c:pt idx="332">
                  <c:v>0.65707182308417644</c:v>
                </c:pt>
                <c:pt idx="333">
                  <c:v>0.95795026734906885</c:v>
                </c:pt>
                <c:pt idx="334">
                  <c:v>0.82658443458621911</c:v>
                </c:pt>
                <c:pt idx="335">
                  <c:v>0.79876668590071698</c:v>
                </c:pt>
                <c:pt idx="336">
                  <c:v>0.94179686818818087</c:v>
                </c:pt>
                <c:pt idx="337">
                  <c:v>1.175530628430548</c:v>
                </c:pt>
                <c:pt idx="338">
                  <c:v>0.26950587457377512</c:v>
                </c:pt>
                <c:pt idx="339">
                  <c:v>1.1019848266307724</c:v>
                </c:pt>
                <c:pt idx="340">
                  <c:v>1.4529857191252669</c:v>
                </c:pt>
                <c:pt idx="341">
                  <c:v>0.31420322201663331</c:v>
                </c:pt>
                <c:pt idx="342">
                  <c:v>0.69209247285424413</c:v>
                </c:pt>
                <c:pt idx="343">
                  <c:v>0.96101162649773963</c:v>
                </c:pt>
                <c:pt idx="344">
                  <c:v>1.1256468137257249</c:v>
                </c:pt>
                <c:pt idx="345">
                  <c:v>9.5253342283302525E-2</c:v>
                </c:pt>
                <c:pt idx="346">
                  <c:v>1.1133065768816177</c:v>
                </c:pt>
                <c:pt idx="347">
                  <c:v>0.9296150941061686</c:v>
                </c:pt>
                <c:pt idx="348">
                  <c:v>0.2683262952635464</c:v>
                </c:pt>
                <c:pt idx="349">
                  <c:v>0.20874667161331253</c:v>
                </c:pt>
                <c:pt idx="350">
                  <c:v>0.52437323288244853</c:v>
                </c:pt>
                <c:pt idx="351">
                  <c:v>0.27950942613998991</c:v>
                </c:pt>
                <c:pt idx="352">
                  <c:v>0.90991221128305877</c:v>
                </c:pt>
                <c:pt idx="353">
                  <c:v>0.53622111566176967</c:v>
                </c:pt>
                <c:pt idx="354">
                  <c:v>0.4471383133996692</c:v>
                </c:pt>
                <c:pt idx="355">
                  <c:v>0.96668887130455461</c:v>
                </c:pt>
                <c:pt idx="356">
                  <c:v>1.0525996336222974</c:v>
                </c:pt>
                <c:pt idx="357">
                  <c:v>1.1989694862400788</c:v>
                </c:pt>
                <c:pt idx="358">
                  <c:v>0.76206455555314856</c:v>
                </c:pt>
                <c:pt idx="359">
                  <c:v>1.1471720852609892</c:v>
                </c:pt>
                <c:pt idx="360">
                  <c:v>1.424885772944382</c:v>
                </c:pt>
                <c:pt idx="361">
                  <c:v>1.4960816577446874</c:v>
                </c:pt>
                <c:pt idx="362">
                  <c:v>0.87035456385760357</c:v>
                </c:pt>
                <c:pt idx="363">
                  <c:v>1.0151852631455835</c:v>
                </c:pt>
                <c:pt idx="364">
                  <c:v>0.93928148722237648</c:v>
                </c:pt>
                <c:pt idx="365">
                  <c:v>0.41454766462754383</c:v>
                </c:pt>
                <c:pt idx="366">
                  <c:v>0.76264682872681422</c:v>
                </c:pt>
                <c:pt idx="367">
                  <c:v>0.92739924961118869</c:v>
                </c:pt>
                <c:pt idx="368">
                  <c:v>1.275416288837369</c:v>
                </c:pt>
                <c:pt idx="369">
                  <c:v>0.36054364363532587</c:v>
                </c:pt>
                <c:pt idx="370">
                  <c:v>0.68223476848839715</c:v>
                </c:pt>
                <c:pt idx="371">
                  <c:v>1.2752915221704979</c:v>
                </c:pt>
                <c:pt idx="372">
                  <c:v>1.274010916116654</c:v>
                </c:pt>
                <c:pt idx="373">
                  <c:v>0.99795098492909839</c:v>
                </c:pt>
                <c:pt idx="374">
                  <c:v>0.68452220763525773</c:v>
                </c:pt>
                <c:pt idx="375">
                  <c:v>0.68846529443488769</c:v>
                </c:pt>
                <c:pt idx="376">
                  <c:v>0.39031449926077882</c:v>
                </c:pt>
                <c:pt idx="377">
                  <c:v>0.83181869978256806</c:v>
                </c:pt>
                <c:pt idx="378">
                  <c:v>1.1432707873606125</c:v>
                </c:pt>
                <c:pt idx="379">
                  <c:v>0.86173644636948932</c:v>
                </c:pt>
                <c:pt idx="380">
                  <c:v>1.0314850226699799</c:v>
                </c:pt>
                <c:pt idx="381">
                  <c:v>1.7998431338661076</c:v>
                </c:pt>
                <c:pt idx="382">
                  <c:v>1.1974673953775798</c:v>
                </c:pt>
                <c:pt idx="383">
                  <c:v>1.4955276861900517</c:v>
                </c:pt>
                <c:pt idx="384">
                  <c:v>0.17528253380803921</c:v>
                </c:pt>
                <c:pt idx="385">
                  <c:v>1.2177474909415031</c:v>
                </c:pt>
                <c:pt idx="386">
                  <c:v>0.70634494347379506</c:v>
                </c:pt>
                <c:pt idx="387">
                  <c:v>0.88844773688118894</c:v>
                </c:pt>
                <c:pt idx="388">
                  <c:v>1.7155054995797832</c:v>
                </c:pt>
                <c:pt idx="389">
                  <c:v>0.16676739269022969</c:v>
                </c:pt>
                <c:pt idx="390">
                  <c:v>0.87895618352773663</c:v>
                </c:pt>
                <c:pt idx="391">
                  <c:v>0.63204367109223714</c:v>
                </c:pt>
              </c:numCache>
            </c:numRef>
          </c:yVal>
          <c:smooth val="0"/>
          <c:extLst>
            <c:ext xmlns:c16="http://schemas.microsoft.com/office/drawing/2014/chart" uri="{C3380CC4-5D6E-409C-BE32-E72D297353CC}">
              <c16:uniqueId val="{00000002-D6C8-427D-BEBB-0E3714CEFB89}"/>
            </c:ext>
          </c:extLst>
        </c:ser>
        <c:dLbls>
          <c:showLegendKey val="0"/>
          <c:showVal val="0"/>
          <c:showCatName val="0"/>
          <c:showSerName val="0"/>
          <c:showPercent val="0"/>
          <c:showBubbleSize val="0"/>
        </c:dLbls>
        <c:axId val="966232944"/>
        <c:axId val="966231984"/>
      </c:scatterChart>
      <c:valAx>
        <c:axId val="966232944"/>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966231984"/>
        <c:crosses val="autoZero"/>
        <c:crossBetween val="midCat"/>
      </c:valAx>
      <c:valAx>
        <c:axId val="966231984"/>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9662329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0.010)</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392"/>
                <c:pt idx="0">
                  <c:v>3.6754428083901326E-4</c:v>
                </c:pt>
                <c:pt idx="1">
                  <c:v>2.3480728919648279E-5</c:v>
                </c:pt>
                <c:pt idx="2">
                  <c:v>3.1059732014923993E-4</c:v>
                </c:pt>
                <c:pt idx="3">
                  <c:v>1.8173549121271767E-4</c:v>
                </c:pt>
                <c:pt idx="4">
                  <c:v>5.038050051044507E-7</c:v>
                </c:pt>
                <c:pt idx="5">
                  <c:v>3.3692573430559101E-3</c:v>
                </c:pt>
                <c:pt idx="6">
                  <c:v>3.0063214519007314E-3</c:v>
                </c:pt>
                <c:pt idx="7">
                  <c:v>2.2972825975756234E-3</c:v>
                </c:pt>
                <c:pt idx="8">
                  <c:v>4.1804729026989852E-3</c:v>
                </c:pt>
                <c:pt idx="9">
                  <c:v>2.2142013145426813E-4</c:v>
                </c:pt>
                <c:pt idx="10">
                  <c:v>2.0077587758419256E-4</c:v>
                </c:pt>
                <c:pt idx="11">
                  <c:v>7.8733138753291087E-4</c:v>
                </c:pt>
                <c:pt idx="12">
                  <c:v>1.1219488900917721E-5</c:v>
                </c:pt>
                <c:pt idx="13">
                  <c:v>1.0355921898592794E-2</c:v>
                </c:pt>
                <c:pt idx="14">
                  <c:v>5.5292272908018377E-4</c:v>
                </c:pt>
                <c:pt idx="15">
                  <c:v>4.8179719659592206E-4</c:v>
                </c:pt>
                <c:pt idx="16">
                  <c:v>3.0471804305154848E-3</c:v>
                </c:pt>
                <c:pt idx="17">
                  <c:v>5.3100063365983695E-4</c:v>
                </c:pt>
                <c:pt idx="18">
                  <c:v>8.2410948129205415E-5</c:v>
                </c:pt>
                <c:pt idx="19">
                  <c:v>3.2940079133686553E-3</c:v>
                </c:pt>
                <c:pt idx="20">
                  <c:v>6.965639377163323E-4</c:v>
                </c:pt>
                <c:pt idx="21">
                  <c:v>2.6757104145412716E-4</c:v>
                </c:pt>
                <c:pt idx="22">
                  <c:v>1.2858378920081555E-6</c:v>
                </c:pt>
                <c:pt idx="23">
                  <c:v>9.1401420889618149E-5</c:v>
                </c:pt>
                <c:pt idx="24">
                  <c:v>2.3203088177439613E-4</c:v>
                </c:pt>
                <c:pt idx="25">
                  <c:v>8.7050537501608338E-6</c:v>
                </c:pt>
                <c:pt idx="26">
                  <c:v>4.6074819083101714E-4</c:v>
                </c:pt>
                <c:pt idx="27">
                  <c:v>2.7027747579034004E-6</c:v>
                </c:pt>
                <c:pt idx="28">
                  <c:v>1.06546463649807E-4</c:v>
                </c:pt>
                <c:pt idx="29">
                  <c:v>7.0215809939313362E-5</c:v>
                </c:pt>
                <c:pt idx="30">
                  <c:v>3.5652487247722314E-3</c:v>
                </c:pt>
                <c:pt idx="31">
                  <c:v>1.1944280641904739E-3</c:v>
                </c:pt>
                <c:pt idx="32">
                  <c:v>3.7854309026787822E-3</c:v>
                </c:pt>
                <c:pt idx="33">
                  <c:v>1.7090893677473816E-3</c:v>
                </c:pt>
                <c:pt idx="34">
                  <c:v>1.2533973309379882E-3</c:v>
                </c:pt>
                <c:pt idx="35">
                  <c:v>6.4644108034659519E-5</c:v>
                </c:pt>
                <c:pt idx="36">
                  <c:v>4.8578999244010582E-4</c:v>
                </c:pt>
                <c:pt idx="37">
                  <c:v>4.6561898072061958E-5</c:v>
                </c:pt>
                <c:pt idx="38">
                  <c:v>1.1301842896384872E-3</c:v>
                </c:pt>
                <c:pt idx="39">
                  <c:v>2.0682111384474675E-6</c:v>
                </c:pt>
                <c:pt idx="40">
                  <c:v>5.2020433725506404E-5</c:v>
                </c:pt>
                <c:pt idx="41">
                  <c:v>2.2281742354486539E-3</c:v>
                </c:pt>
                <c:pt idx="42">
                  <c:v>1.690061169542141E-3</c:v>
                </c:pt>
                <c:pt idx="43">
                  <c:v>7.7364623983456433E-3</c:v>
                </c:pt>
                <c:pt idx="44">
                  <c:v>2.1168747955341814E-3</c:v>
                </c:pt>
                <c:pt idx="45">
                  <c:v>1.5250187306289908E-3</c:v>
                </c:pt>
                <c:pt idx="46">
                  <c:v>3.5568681059560801E-5</c:v>
                </c:pt>
                <c:pt idx="47">
                  <c:v>1.5230080763382334E-3</c:v>
                </c:pt>
                <c:pt idx="48">
                  <c:v>1.2479823486709783E-3</c:v>
                </c:pt>
                <c:pt idx="49">
                  <c:v>1.7167428775596009E-4</c:v>
                </c:pt>
                <c:pt idx="50">
                  <c:v>1.5557403605267626E-3</c:v>
                </c:pt>
                <c:pt idx="51">
                  <c:v>1.6560625973104474E-3</c:v>
                </c:pt>
                <c:pt idx="52">
                  <c:v>6.720126895193272E-4</c:v>
                </c:pt>
                <c:pt idx="53">
                  <c:v>7.954020013824236E-3</c:v>
                </c:pt>
                <c:pt idx="54">
                  <c:v>1.8855578190512424E-3</c:v>
                </c:pt>
                <c:pt idx="55">
                  <c:v>1.1155389639298963E-4</c:v>
                </c:pt>
                <c:pt idx="56">
                  <c:v>5.8609937575262018E-4</c:v>
                </c:pt>
                <c:pt idx="57">
                  <c:v>1.825149449760913E-4</c:v>
                </c:pt>
                <c:pt idx="58">
                  <c:v>3.4854916482902495E-3</c:v>
                </c:pt>
                <c:pt idx="59">
                  <c:v>2.2992117628888612E-3</c:v>
                </c:pt>
                <c:pt idx="60">
                  <c:v>2.4490999147277954E-3</c:v>
                </c:pt>
                <c:pt idx="61">
                  <c:v>2.6160164199700729E-4</c:v>
                </c:pt>
                <c:pt idx="62">
                  <c:v>2.1190915902930089E-3</c:v>
                </c:pt>
                <c:pt idx="63">
                  <c:v>1.0897083862934844E-3</c:v>
                </c:pt>
                <c:pt idx="64">
                  <c:v>2.8878407312034809E-4</c:v>
                </c:pt>
                <c:pt idx="65">
                  <c:v>7.5406833956955465E-4</c:v>
                </c:pt>
                <c:pt idx="66">
                  <c:v>8.8009930219647798E-4</c:v>
                </c:pt>
                <c:pt idx="67">
                  <c:v>1.1588150254695077E-3</c:v>
                </c:pt>
                <c:pt idx="68">
                  <c:v>1.9083071939233432E-4</c:v>
                </c:pt>
                <c:pt idx="69">
                  <c:v>1.5029811765241243E-3</c:v>
                </c:pt>
                <c:pt idx="70">
                  <c:v>1.2041954383458014E-2</c:v>
                </c:pt>
                <c:pt idx="71">
                  <c:v>1.6365819459319042E-4</c:v>
                </c:pt>
                <c:pt idx="72">
                  <c:v>6.9609488850083681E-5</c:v>
                </c:pt>
                <c:pt idx="73">
                  <c:v>1.3442287771774764E-4</c:v>
                </c:pt>
                <c:pt idx="74">
                  <c:v>1.4083972970041565E-4</c:v>
                </c:pt>
                <c:pt idx="75">
                  <c:v>4.4117497165024454E-3</c:v>
                </c:pt>
                <c:pt idx="76">
                  <c:v>1.887510478444114E-3</c:v>
                </c:pt>
                <c:pt idx="77">
                  <c:v>2.2819180345162862E-4</c:v>
                </c:pt>
                <c:pt idx="78">
                  <c:v>2.1763544257768552E-6</c:v>
                </c:pt>
                <c:pt idx="79">
                  <c:v>2.1520678488999895E-4</c:v>
                </c:pt>
                <c:pt idx="80">
                  <c:v>2.363663796411754E-3</c:v>
                </c:pt>
                <c:pt idx="81">
                  <c:v>4.2739652627327992E-4</c:v>
                </c:pt>
                <c:pt idx="82">
                  <c:v>5.3187978632043345E-3</c:v>
                </c:pt>
                <c:pt idx="83">
                  <c:v>1.458061687709333E-4</c:v>
                </c:pt>
                <c:pt idx="84">
                  <c:v>7.7121370315230583E-5</c:v>
                </c:pt>
                <c:pt idx="85">
                  <c:v>1.633697648983581E-4</c:v>
                </c:pt>
                <c:pt idx="86">
                  <c:v>3.4107232934283933E-5</c:v>
                </c:pt>
                <c:pt idx="87">
                  <c:v>9.6938152578105491E-5</c:v>
                </c:pt>
                <c:pt idx="88">
                  <c:v>5.7514649367664931E-5</c:v>
                </c:pt>
                <c:pt idx="89">
                  <c:v>4.6064966597044246E-3</c:v>
                </c:pt>
                <c:pt idx="90">
                  <c:v>9.4323127268054275E-4</c:v>
                </c:pt>
                <c:pt idx="91">
                  <c:v>5.4502843087952826E-4</c:v>
                </c:pt>
                <c:pt idx="92">
                  <c:v>6.9685566042902985E-4</c:v>
                </c:pt>
                <c:pt idx="93">
                  <c:v>6.1298740672773187E-3</c:v>
                </c:pt>
                <c:pt idx="94">
                  <c:v>7.5886080672864309E-3</c:v>
                </c:pt>
                <c:pt idx="95">
                  <c:v>1.4731239043870204E-4</c:v>
                </c:pt>
                <c:pt idx="96">
                  <c:v>4.4993300213987189E-5</c:v>
                </c:pt>
                <c:pt idx="97">
                  <c:v>6.8042137360537218E-4</c:v>
                </c:pt>
                <c:pt idx="98">
                  <c:v>4.3036099915624301E-4</c:v>
                </c:pt>
                <c:pt idx="99">
                  <c:v>3.7937895031363978E-4</c:v>
                </c:pt>
                <c:pt idx="100">
                  <c:v>2.274561099706664E-3</c:v>
                </c:pt>
                <c:pt idx="101">
                  <c:v>5.6548084865628689E-4</c:v>
                </c:pt>
                <c:pt idx="102">
                  <c:v>2.7438770542934296E-3</c:v>
                </c:pt>
                <c:pt idx="103">
                  <c:v>3.3537592678973558E-3</c:v>
                </c:pt>
                <c:pt idx="104">
                  <c:v>2.4031468448560407E-3</c:v>
                </c:pt>
                <c:pt idx="105">
                  <c:v>6.0577184723646681E-4</c:v>
                </c:pt>
                <c:pt idx="106">
                  <c:v>1.0492289704715065E-3</c:v>
                </c:pt>
                <c:pt idx="107">
                  <c:v>7.0911158671741574E-3</c:v>
                </c:pt>
                <c:pt idx="108">
                  <c:v>7.4433226647681295E-4</c:v>
                </c:pt>
                <c:pt idx="109">
                  <c:v>1.6532889736620543E-3</c:v>
                </c:pt>
                <c:pt idx="110">
                  <c:v>1.7043893646453548E-2</c:v>
                </c:pt>
                <c:pt idx="111">
                  <c:v>3.9250309517006128E-3</c:v>
                </c:pt>
                <c:pt idx="112">
                  <c:v>1.3339369925580079E-4</c:v>
                </c:pt>
                <c:pt idx="113">
                  <c:v>2.696837951602174E-4</c:v>
                </c:pt>
                <c:pt idx="114">
                  <c:v>7.662738937713584E-4</c:v>
                </c:pt>
                <c:pt idx="115">
                  <c:v>1.5232369994827683E-2</c:v>
                </c:pt>
                <c:pt idx="116">
                  <c:v>5.6051582264195123E-4</c:v>
                </c:pt>
                <c:pt idx="117">
                  <c:v>8.5837605658505879E-4</c:v>
                </c:pt>
                <c:pt idx="118">
                  <c:v>2.9233755109492657E-3</c:v>
                </c:pt>
                <c:pt idx="119">
                  <c:v>1.7068052633930221E-3</c:v>
                </c:pt>
                <c:pt idx="120">
                  <c:v>3.6632914178232973E-4</c:v>
                </c:pt>
                <c:pt idx="121">
                  <c:v>4.635512730093214E-4</c:v>
                </c:pt>
                <c:pt idx="122">
                  <c:v>9.2443789980418479E-4</c:v>
                </c:pt>
                <c:pt idx="123">
                  <c:v>3.5214511972826083E-3</c:v>
                </c:pt>
                <c:pt idx="124">
                  <c:v>1.3911385496748812E-4</c:v>
                </c:pt>
                <c:pt idx="125">
                  <c:v>2.0209788357389903E-3</c:v>
                </c:pt>
                <c:pt idx="126">
                  <c:v>5.6155672815875321E-3</c:v>
                </c:pt>
                <c:pt idx="127">
                  <c:v>1.3085644958385587E-3</c:v>
                </c:pt>
                <c:pt idx="128">
                  <c:v>9.8121962635276542E-4</c:v>
                </c:pt>
                <c:pt idx="129">
                  <c:v>1.9128386377731898E-3</c:v>
                </c:pt>
                <c:pt idx="130">
                  <c:v>4.0258837650251894E-4</c:v>
                </c:pt>
                <c:pt idx="131">
                  <c:v>4.7423777402830631E-4</c:v>
                </c:pt>
                <c:pt idx="132">
                  <c:v>9.166778209952958E-4</c:v>
                </c:pt>
                <c:pt idx="133">
                  <c:v>7.3485180761293923E-7</c:v>
                </c:pt>
                <c:pt idx="134">
                  <c:v>5.1499756946701283E-4</c:v>
                </c:pt>
                <c:pt idx="135">
                  <c:v>6.1753686570019829E-4</c:v>
                </c:pt>
                <c:pt idx="136">
                  <c:v>3.7562131648232014E-4</c:v>
                </c:pt>
                <c:pt idx="137">
                  <c:v>1.2668404438458218E-3</c:v>
                </c:pt>
                <c:pt idx="138">
                  <c:v>5.3713449731636109E-7</c:v>
                </c:pt>
                <c:pt idx="139">
                  <c:v>1.0437196977374145E-3</c:v>
                </c:pt>
                <c:pt idx="140">
                  <c:v>2.9239765362483422E-3</c:v>
                </c:pt>
                <c:pt idx="141">
                  <c:v>3.2938884363681358E-4</c:v>
                </c:pt>
                <c:pt idx="142">
                  <c:v>1.2221370089459184E-5</c:v>
                </c:pt>
                <c:pt idx="143">
                  <c:v>3.365726204821565E-3</c:v>
                </c:pt>
                <c:pt idx="144">
                  <c:v>1.472301666513957E-3</c:v>
                </c:pt>
                <c:pt idx="145">
                  <c:v>5.6980339185634622E-3</c:v>
                </c:pt>
                <c:pt idx="146">
                  <c:v>5.8209173033594902E-4</c:v>
                </c:pt>
                <c:pt idx="147">
                  <c:v>1.1655083173075646E-3</c:v>
                </c:pt>
                <c:pt idx="148">
                  <c:v>5.3282971853462685E-5</c:v>
                </c:pt>
                <c:pt idx="149">
                  <c:v>1.9176603742006664E-3</c:v>
                </c:pt>
                <c:pt idx="150">
                  <c:v>1.6423450272721342E-5</c:v>
                </c:pt>
                <c:pt idx="151">
                  <c:v>2.934425628731252E-6</c:v>
                </c:pt>
                <c:pt idx="152">
                  <c:v>4.7930164375910222E-3</c:v>
                </c:pt>
                <c:pt idx="153">
                  <c:v>7.7830325589614939E-3</c:v>
                </c:pt>
                <c:pt idx="154">
                  <c:v>7.8805652842903369E-3</c:v>
                </c:pt>
                <c:pt idx="155">
                  <c:v>1.7163587022956824E-3</c:v>
                </c:pt>
                <c:pt idx="156">
                  <c:v>4.1842892969318549E-3</c:v>
                </c:pt>
                <c:pt idx="157">
                  <c:v>2.1046924450569423E-3</c:v>
                </c:pt>
                <c:pt idx="158">
                  <c:v>4.0237065341327491E-4</c:v>
                </c:pt>
                <c:pt idx="159">
                  <c:v>3.0971924792739827E-6</c:v>
                </c:pt>
                <c:pt idx="160">
                  <c:v>6.703536239642525E-4</c:v>
                </c:pt>
                <c:pt idx="161">
                  <c:v>5.5451159645288507E-4</c:v>
                </c:pt>
                <c:pt idx="162">
                  <c:v>1.8376966255360673E-4</c:v>
                </c:pt>
                <c:pt idx="163">
                  <c:v>1.4088353926933962E-4</c:v>
                </c:pt>
                <c:pt idx="164">
                  <c:v>1.1411024261701309E-2</c:v>
                </c:pt>
                <c:pt idx="165">
                  <c:v>1.0759320631190479E-3</c:v>
                </c:pt>
                <c:pt idx="166">
                  <c:v>3.854514300955223E-5</c:v>
                </c:pt>
                <c:pt idx="167">
                  <c:v>2.3182860362914691E-4</c:v>
                </c:pt>
                <c:pt idx="168">
                  <c:v>9.7743494523160441E-7</c:v>
                </c:pt>
                <c:pt idx="169">
                  <c:v>7.3578717393005573E-6</c:v>
                </c:pt>
                <c:pt idx="170">
                  <c:v>1.1042361165811219E-3</c:v>
                </c:pt>
                <c:pt idx="171">
                  <c:v>2.8547663095471171E-4</c:v>
                </c:pt>
                <c:pt idx="172">
                  <c:v>1.7261967878924667E-3</c:v>
                </c:pt>
                <c:pt idx="173">
                  <c:v>1.605217109917282E-4</c:v>
                </c:pt>
                <c:pt idx="174">
                  <c:v>9.1731960876768418E-5</c:v>
                </c:pt>
                <c:pt idx="175">
                  <c:v>3.8281358385705653E-4</c:v>
                </c:pt>
                <c:pt idx="176">
                  <c:v>5.571434990938852E-6</c:v>
                </c:pt>
                <c:pt idx="177">
                  <c:v>1.8806854102408383E-4</c:v>
                </c:pt>
                <c:pt idx="178">
                  <c:v>5.0629714512211372E-4</c:v>
                </c:pt>
                <c:pt idx="179">
                  <c:v>4.3254101044937383E-3</c:v>
                </c:pt>
                <c:pt idx="180">
                  <c:v>9.3603107765153845E-4</c:v>
                </c:pt>
                <c:pt idx="181">
                  <c:v>1.7976857890474422E-3</c:v>
                </c:pt>
                <c:pt idx="182">
                  <c:v>4.931457182961996E-4</c:v>
                </c:pt>
                <c:pt idx="183">
                  <c:v>9.7659410116933748E-5</c:v>
                </c:pt>
                <c:pt idx="184">
                  <c:v>8.8700600488573973E-5</c:v>
                </c:pt>
                <c:pt idx="185">
                  <c:v>2.1324903057254579E-3</c:v>
                </c:pt>
                <c:pt idx="186">
                  <c:v>5.6435892396385946E-4</c:v>
                </c:pt>
                <c:pt idx="187">
                  <c:v>8.2836039655799875E-5</c:v>
                </c:pt>
                <c:pt idx="188">
                  <c:v>9.9786410096200379E-6</c:v>
                </c:pt>
                <c:pt idx="189">
                  <c:v>7.5098489283514978E-4</c:v>
                </c:pt>
                <c:pt idx="190">
                  <c:v>1.3872122881645867E-3</c:v>
                </c:pt>
                <c:pt idx="191">
                  <c:v>1.4132422684014028E-3</c:v>
                </c:pt>
                <c:pt idx="192">
                  <c:v>4.7774766919710218E-4</c:v>
                </c:pt>
                <c:pt idx="193">
                  <c:v>1.2529702681123827E-3</c:v>
                </c:pt>
                <c:pt idx="194">
                  <c:v>7.8839270533019676E-4</c:v>
                </c:pt>
                <c:pt idx="195">
                  <c:v>2.9666174993555596E-6</c:v>
                </c:pt>
                <c:pt idx="196">
                  <c:v>2.4302122418027369E-3</c:v>
                </c:pt>
                <c:pt idx="197">
                  <c:v>9.74146806430747E-4</c:v>
                </c:pt>
                <c:pt idx="198">
                  <c:v>1.8045795205291648E-4</c:v>
                </c:pt>
                <c:pt idx="199">
                  <c:v>8.8371472904508343E-5</c:v>
                </c:pt>
                <c:pt idx="200">
                  <c:v>1.805473003637405E-3</c:v>
                </c:pt>
                <c:pt idx="201">
                  <c:v>7.2135723349857207E-6</c:v>
                </c:pt>
                <c:pt idx="202">
                  <c:v>2.797506100327017E-3</c:v>
                </c:pt>
                <c:pt idx="203">
                  <c:v>3.9129992780638131E-7</c:v>
                </c:pt>
                <c:pt idx="204">
                  <c:v>1.595401683831484E-3</c:v>
                </c:pt>
                <c:pt idx="205">
                  <c:v>1.7467117093002329E-3</c:v>
                </c:pt>
                <c:pt idx="206">
                  <c:v>1.7592596334059475E-3</c:v>
                </c:pt>
                <c:pt idx="207">
                  <c:v>3.056467474813369E-3</c:v>
                </c:pt>
                <c:pt idx="208">
                  <c:v>6.4772014803550233E-3</c:v>
                </c:pt>
                <c:pt idx="209">
                  <c:v>1.8424991340948147E-3</c:v>
                </c:pt>
                <c:pt idx="210">
                  <c:v>3.8013662770482819E-3</c:v>
                </c:pt>
                <c:pt idx="211">
                  <c:v>1.1231914493353228E-3</c:v>
                </c:pt>
                <c:pt idx="212">
                  <c:v>2.488612264338563E-3</c:v>
                </c:pt>
                <c:pt idx="213">
                  <c:v>3.3500178156531685E-3</c:v>
                </c:pt>
                <c:pt idx="214">
                  <c:v>6.0591474413001275E-4</c:v>
                </c:pt>
                <c:pt idx="215">
                  <c:v>2.3145490611005686E-3</c:v>
                </c:pt>
                <c:pt idx="216">
                  <c:v>7.8703278063428517E-3</c:v>
                </c:pt>
                <c:pt idx="217">
                  <c:v>2.3010283096978177E-4</c:v>
                </c:pt>
                <c:pt idx="218">
                  <c:v>2.7211822643756342E-3</c:v>
                </c:pt>
                <c:pt idx="219">
                  <c:v>4.152806715817869E-7</c:v>
                </c:pt>
                <c:pt idx="220">
                  <c:v>1.3747217368724143E-5</c:v>
                </c:pt>
                <c:pt idx="221">
                  <c:v>1.4626070451054707E-4</c:v>
                </c:pt>
                <c:pt idx="222">
                  <c:v>1.5320306744410125E-4</c:v>
                </c:pt>
                <c:pt idx="223">
                  <c:v>1.5644948348165107E-3</c:v>
                </c:pt>
                <c:pt idx="224">
                  <c:v>1.4582748947142504E-8</c:v>
                </c:pt>
                <c:pt idx="225">
                  <c:v>8.8496100589806518E-5</c:v>
                </c:pt>
                <c:pt idx="226">
                  <c:v>7.6394464843268701E-4</c:v>
                </c:pt>
                <c:pt idx="227">
                  <c:v>1.97587597916635E-4</c:v>
                </c:pt>
                <c:pt idx="228">
                  <c:v>1.1468956821848809E-5</c:v>
                </c:pt>
                <c:pt idx="229">
                  <c:v>3.4758605236241431E-4</c:v>
                </c:pt>
                <c:pt idx="230">
                  <c:v>2.0485049891334815E-4</c:v>
                </c:pt>
                <c:pt idx="231">
                  <c:v>7.1073948431204321E-4</c:v>
                </c:pt>
                <c:pt idx="232">
                  <c:v>1.8745056327979337E-5</c:v>
                </c:pt>
                <c:pt idx="233">
                  <c:v>2.76886967731647E-3</c:v>
                </c:pt>
                <c:pt idx="234">
                  <c:v>4.9552907027580761E-4</c:v>
                </c:pt>
                <c:pt idx="235">
                  <c:v>1.8657578421682388E-3</c:v>
                </c:pt>
                <c:pt idx="236">
                  <c:v>1.1643930329232586E-2</c:v>
                </c:pt>
                <c:pt idx="237">
                  <c:v>6.9675617228155684E-5</c:v>
                </c:pt>
                <c:pt idx="238">
                  <c:v>6.5438157939956662E-4</c:v>
                </c:pt>
                <c:pt idx="239">
                  <c:v>4.7914182815414867E-3</c:v>
                </c:pt>
                <c:pt idx="240">
                  <c:v>9.6043353193524684E-3</c:v>
                </c:pt>
                <c:pt idx="241">
                  <c:v>6.8690855003637535E-3</c:v>
                </c:pt>
                <c:pt idx="242">
                  <c:v>4.6959959279888726E-2</c:v>
                </c:pt>
                <c:pt idx="243">
                  <c:v>1.4175460654412676E-2</c:v>
                </c:pt>
                <c:pt idx="244">
                  <c:v>1.4805288140073017E-3</c:v>
                </c:pt>
                <c:pt idx="245">
                  <c:v>2.4090286148254435E-2</c:v>
                </c:pt>
                <c:pt idx="246">
                  <c:v>6.0570846398093547E-3</c:v>
                </c:pt>
                <c:pt idx="247">
                  <c:v>8.8675516438311305E-5</c:v>
                </c:pt>
                <c:pt idx="248">
                  <c:v>3.0289446441745935E-4</c:v>
                </c:pt>
                <c:pt idx="249">
                  <c:v>2.8027998610575215E-4</c:v>
                </c:pt>
                <c:pt idx="250">
                  <c:v>7.6674663450094862E-5</c:v>
                </c:pt>
                <c:pt idx="251">
                  <c:v>3.9596916404452924E-4</c:v>
                </c:pt>
                <c:pt idx="252">
                  <c:v>1.7161009038442034E-3</c:v>
                </c:pt>
                <c:pt idx="253">
                  <c:v>1.7494475780529747E-4</c:v>
                </c:pt>
                <c:pt idx="254">
                  <c:v>2.3101286779811931E-6</c:v>
                </c:pt>
                <c:pt idx="255">
                  <c:v>1.1754212964191113E-3</c:v>
                </c:pt>
                <c:pt idx="256">
                  <c:v>1.8192816649835131E-7</c:v>
                </c:pt>
                <c:pt idx="257">
                  <c:v>6.3078274113855144E-4</c:v>
                </c:pt>
                <c:pt idx="258">
                  <c:v>1.0077273787285317E-4</c:v>
                </c:pt>
                <c:pt idx="259">
                  <c:v>8.5073862793209193E-4</c:v>
                </c:pt>
                <c:pt idx="260">
                  <c:v>5.897113607667801E-5</c:v>
                </c:pt>
                <c:pt idx="261">
                  <c:v>8.3326283140428665E-4</c:v>
                </c:pt>
                <c:pt idx="262">
                  <c:v>1.9674980339092064E-3</c:v>
                </c:pt>
                <c:pt idx="263">
                  <c:v>2.481360277760713E-4</c:v>
                </c:pt>
                <c:pt idx="264">
                  <c:v>1.7340277398246878E-3</c:v>
                </c:pt>
                <c:pt idx="265">
                  <c:v>8.1712338986327825E-5</c:v>
                </c:pt>
                <c:pt idx="266">
                  <c:v>2.8493018540552142E-4</c:v>
                </c:pt>
                <c:pt idx="267">
                  <c:v>3.9362088773436145E-3</c:v>
                </c:pt>
                <c:pt idx="268">
                  <c:v>9.7253797156011471E-3</c:v>
                </c:pt>
                <c:pt idx="269">
                  <c:v>7.4400837671904815E-5</c:v>
                </c:pt>
                <c:pt idx="270">
                  <c:v>1.3036241783375258E-5</c:v>
                </c:pt>
                <c:pt idx="271">
                  <c:v>3.8234802921392722E-3</c:v>
                </c:pt>
                <c:pt idx="272">
                  <c:v>7.360021754444398E-3</c:v>
                </c:pt>
                <c:pt idx="273">
                  <c:v>1.3507185613380109E-2</c:v>
                </c:pt>
                <c:pt idx="274">
                  <c:v>4.3542221406322711E-3</c:v>
                </c:pt>
                <c:pt idx="275">
                  <c:v>1.1369816866149593E-2</c:v>
                </c:pt>
                <c:pt idx="276">
                  <c:v>5.5545715540963208E-4</c:v>
                </c:pt>
                <c:pt idx="277">
                  <c:v>3.2715896315129271E-7</c:v>
                </c:pt>
                <c:pt idx="278">
                  <c:v>9.5393026049185906E-4</c:v>
                </c:pt>
                <c:pt idx="279">
                  <c:v>7.5226280013667027E-3</c:v>
                </c:pt>
                <c:pt idx="280">
                  <c:v>2.8829331984404462E-3</c:v>
                </c:pt>
                <c:pt idx="281">
                  <c:v>3.3731143674384906E-3</c:v>
                </c:pt>
                <c:pt idx="282">
                  <c:v>1.3579036099850778E-3</c:v>
                </c:pt>
                <c:pt idx="283">
                  <c:v>2.6367413490506536E-3</c:v>
                </c:pt>
                <c:pt idx="284">
                  <c:v>2.5812756200591122E-3</c:v>
                </c:pt>
                <c:pt idx="285">
                  <c:v>2.3702172657121567E-3</c:v>
                </c:pt>
                <c:pt idx="286">
                  <c:v>1.0193912173724641E-3</c:v>
                </c:pt>
                <c:pt idx="287">
                  <c:v>2.7125005284355675E-5</c:v>
                </c:pt>
                <c:pt idx="288">
                  <c:v>3.1801117960045381E-3</c:v>
                </c:pt>
                <c:pt idx="289">
                  <c:v>1.2930022535661784E-3</c:v>
                </c:pt>
                <c:pt idx="290">
                  <c:v>2.274058365684563E-4</c:v>
                </c:pt>
                <c:pt idx="291">
                  <c:v>3.1208813131614516E-4</c:v>
                </c:pt>
                <c:pt idx="292">
                  <c:v>5.8692470421661531E-4</c:v>
                </c:pt>
                <c:pt idx="293">
                  <c:v>8.5663255114176839E-3</c:v>
                </c:pt>
                <c:pt idx="294">
                  <c:v>4.490875077693415E-5</c:v>
                </c:pt>
                <c:pt idx="295">
                  <c:v>3.3430031485071754E-4</c:v>
                </c:pt>
                <c:pt idx="296">
                  <c:v>2.2941891516981036E-3</c:v>
                </c:pt>
                <c:pt idx="297">
                  <c:v>2.7179456028936504E-4</c:v>
                </c:pt>
                <c:pt idx="298">
                  <c:v>2.163524581184638E-4</c:v>
                </c:pt>
                <c:pt idx="299">
                  <c:v>6.2860466992159239E-3</c:v>
                </c:pt>
                <c:pt idx="300">
                  <c:v>6.5431503106133443E-3</c:v>
                </c:pt>
                <c:pt idx="301">
                  <c:v>2.0855291577571007E-4</c:v>
                </c:pt>
                <c:pt idx="302">
                  <c:v>1.0091989933447912E-2</c:v>
                </c:pt>
                <c:pt idx="303">
                  <c:v>6.3192329082867251E-4</c:v>
                </c:pt>
                <c:pt idx="304">
                  <c:v>1.3219268319857554E-3</c:v>
                </c:pt>
                <c:pt idx="305">
                  <c:v>8.8993893524175988E-5</c:v>
                </c:pt>
                <c:pt idx="306">
                  <c:v>9.7910413829515597E-3</c:v>
                </c:pt>
                <c:pt idx="307">
                  <c:v>1.1625515480960729E-2</c:v>
                </c:pt>
                <c:pt idx="308">
                  <c:v>3.6644549050543078E-4</c:v>
                </c:pt>
                <c:pt idx="309">
                  <c:v>1.3116666064300086E-3</c:v>
                </c:pt>
                <c:pt idx="310">
                  <c:v>9.0854569129826499E-5</c:v>
                </c:pt>
                <c:pt idx="311">
                  <c:v>2.5929603784530454E-3</c:v>
                </c:pt>
                <c:pt idx="312">
                  <c:v>3.7943507873432637E-3</c:v>
                </c:pt>
                <c:pt idx="313">
                  <c:v>7.3712586997698197E-3</c:v>
                </c:pt>
                <c:pt idx="314">
                  <c:v>2.2225518853665204E-2</c:v>
                </c:pt>
                <c:pt idx="315">
                  <c:v>4.5938133914693344E-4</c:v>
                </c:pt>
                <c:pt idx="316">
                  <c:v>2.5924934821647872E-3</c:v>
                </c:pt>
                <c:pt idx="317">
                  <c:v>1.9409652460274261E-3</c:v>
                </c:pt>
                <c:pt idx="318">
                  <c:v>2.5080789491044959E-3</c:v>
                </c:pt>
                <c:pt idx="319">
                  <c:v>2.6537921553328268E-3</c:v>
                </c:pt>
                <c:pt idx="320">
                  <c:v>3.1509345424163747E-2</c:v>
                </c:pt>
                <c:pt idx="321">
                  <c:v>1.4451526667439423E-3</c:v>
                </c:pt>
                <c:pt idx="322">
                  <c:v>6.1954015492519301E-3</c:v>
                </c:pt>
                <c:pt idx="323">
                  <c:v>2.0873683660506796E-2</c:v>
                </c:pt>
                <c:pt idx="324">
                  <c:v>2.4238765461914447E-2</c:v>
                </c:pt>
                <c:pt idx="325">
                  <c:v>8.5125792525217875E-3</c:v>
                </c:pt>
                <c:pt idx="326">
                  <c:v>3.0396331523539491E-5</c:v>
                </c:pt>
                <c:pt idx="327">
                  <c:v>1.5138834664551943E-2</c:v>
                </c:pt>
                <c:pt idx="328">
                  <c:v>1.3629351933446641E-3</c:v>
                </c:pt>
                <c:pt idx="329">
                  <c:v>2.042630902284125E-2</c:v>
                </c:pt>
                <c:pt idx="330">
                  <c:v>1.0666275308936104E-3</c:v>
                </c:pt>
                <c:pt idx="331">
                  <c:v>3.3725966329777667E-2</c:v>
                </c:pt>
                <c:pt idx="332">
                  <c:v>5.7449906899616145E-4</c:v>
                </c:pt>
                <c:pt idx="333">
                  <c:v>2.2025036410607533E-3</c:v>
                </c:pt>
                <c:pt idx="334">
                  <c:v>1.2221021344029661E-3</c:v>
                </c:pt>
                <c:pt idx="335">
                  <c:v>1.0261645662393761E-3</c:v>
                </c:pt>
                <c:pt idx="336">
                  <c:v>2.044596893501617E-3</c:v>
                </c:pt>
                <c:pt idx="337">
                  <c:v>5.4963222423871517E-3</c:v>
                </c:pt>
                <c:pt idx="338">
                  <c:v>1.43639955958465E-5</c:v>
                </c:pt>
                <c:pt idx="339">
                  <c:v>3.7984921914540146E-3</c:v>
                </c:pt>
                <c:pt idx="340">
                  <c:v>1.3865269089159273E-2</c:v>
                </c:pt>
                <c:pt idx="341">
                  <c:v>2.5143442298404654E-5</c:v>
                </c:pt>
                <c:pt idx="342">
                  <c:v>5.8371953236483268E-4</c:v>
                </c:pt>
                <c:pt idx="343">
                  <c:v>2.1699524290074929E-3</c:v>
                </c:pt>
                <c:pt idx="344">
                  <c:v>4.1160404126380249E-3</c:v>
                </c:pt>
                <c:pt idx="345">
                  <c:v>2.0974923110860844E-7</c:v>
                </c:pt>
                <c:pt idx="346">
                  <c:v>4.2137008791074864E-3</c:v>
                </c:pt>
                <c:pt idx="347">
                  <c:v>2.1614175219013608E-3</c:v>
                </c:pt>
                <c:pt idx="348">
                  <c:v>1.379939696200102E-5</c:v>
                </c:pt>
                <c:pt idx="349">
                  <c:v>6.1398716568030643E-6</c:v>
                </c:pt>
                <c:pt idx="350">
                  <c:v>1.932110876824581E-4</c:v>
                </c:pt>
                <c:pt idx="351">
                  <c:v>1.5831434276900426E-5</c:v>
                </c:pt>
                <c:pt idx="352">
                  <c:v>1.883351681889054E-3</c:v>
                </c:pt>
                <c:pt idx="353">
                  <c:v>2.3559477951897974E-4</c:v>
                </c:pt>
                <c:pt idx="354">
                  <c:v>1.6001116978650207E-4</c:v>
                </c:pt>
                <c:pt idx="355">
                  <c:v>3.4755931599012536E-3</c:v>
                </c:pt>
                <c:pt idx="356">
                  <c:v>3.6816435904012154E-3</c:v>
                </c:pt>
                <c:pt idx="357">
                  <c:v>6.3685165871422622E-3</c:v>
                </c:pt>
                <c:pt idx="358">
                  <c:v>8.3750582565428886E-4</c:v>
                </c:pt>
                <c:pt idx="359">
                  <c:v>4.8578202243035294E-3</c:v>
                </c:pt>
                <c:pt idx="360">
                  <c:v>1.0279387077060619E-2</c:v>
                </c:pt>
                <c:pt idx="361">
                  <c:v>1.4946822807055404E-2</c:v>
                </c:pt>
                <c:pt idx="362">
                  <c:v>1.2464009927449363E-3</c:v>
                </c:pt>
                <c:pt idx="363">
                  <c:v>2.2981735940034425E-3</c:v>
                </c:pt>
                <c:pt idx="364">
                  <c:v>1.7811442916588999E-3</c:v>
                </c:pt>
                <c:pt idx="365">
                  <c:v>6.4192953679568677E-5</c:v>
                </c:pt>
                <c:pt idx="366">
                  <c:v>7.3928958454275813E-4</c:v>
                </c:pt>
                <c:pt idx="367">
                  <c:v>1.5930214168418649E-3</c:v>
                </c:pt>
                <c:pt idx="368">
                  <c:v>5.713338701512167E-3</c:v>
                </c:pt>
                <c:pt idx="369">
                  <c:v>5.3534806589593171E-5</c:v>
                </c:pt>
                <c:pt idx="370">
                  <c:v>5.679886923732236E-4</c:v>
                </c:pt>
                <c:pt idx="371">
                  <c:v>6.8871388294999749E-3</c:v>
                </c:pt>
                <c:pt idx="372">
                  <c:v>6.1900720136637355E-3</c:v>
                </c:pt>
                <c:pt idx="373">
                  <c:v>2.3252585222383751E-3</c:v>
                </c:pt>
                <c:pt idx="374">
                  <c:v>5.9691306285993148E-4</c:v>
                </c:pt>
                <c:pt idx="375">
                  <c:v>6.00273573409868E-4</c:v>
                </c:pt>
                <c:pt idx="376">
                  <c:v>6.3705487945313292E-5</c:v>
                </c:pt>
                <c:pt idx="377">
                  <c:v>1.2473156859063412E-3</c:v>
                </c:pt>
                <c:pt idx="378">
                  <c:v>4.4510051121384609E-3</c:v>
                </c:pt>
                <c:pt idx="379">
                  <c:v>1.4421360839352274E-3</c:v>
                </c:pt>
                <c:pt idx="380">
                  <c:v>2.5357816141103589E-3</c:v>
                </c:pt>
                <c:pt idx="381">
                  <c:v>2.4396798261845615E-2</c:v>
                </c:pt>
                <c:pt idx="382">
                  <c:v>4.5320589621589595E-3</c:v>
                </c:pt>
                <c:pt idx="383">
                  <c:v>1.172548535804269E-2</c:v>
                </c:pt>
                <c:pt idx="384">
                  <c:v>2.7494206600971211E-6</c:v>
                </c:pt>
                <c:pt idx="385">
                  <c:v>4.9770355711066059E-3</c:v>
                </c:pt>
                <c:pt idx="386">
                  <c:v>5.4855298049971799E-4</c:v>
                </c:pt>
                <c:pt idx="387">
                  <c:v>1.3562994941526427E-3</c:v>
                </c:pt>
                <c:pt idx="388">
                  <c:v>2.7739153271080976E-2</c:v>
                </c:pt>
                <c:pt idx="389">
                  <c:v>1.7970117380834397E-6</c:v>
                </c:pt>
                <c:pt idx="390">
                  <c:v>1.3108660454863997E-3</c:v>
                </c:pt>
                <c:pt idx="391">
                  <c:v>3.4972597563338989E-4</c:v>
                </c:pt>
              </c:numCache>
            </c:numRef>
          </c:val>
          <c:extLst>
            <c:ext xmlns:c16="http://schemas.microsoft.com/office/drawing/2014/chart" uri="{C3380CC4-5D6E-409C-BE32-E72D297353CC}">
              <c16:uniqueId val="{00000002-A430-4D96-9A77-095BD07423C2}"/>
            </c:ext>
          </c:extLst>
        </c:ser>
        <c:dLbls>
          <c:showLegendKey val="0"/>
          <c:showVal val="0"/>
          <c:showCatName val="0"/>
          <c:showSerName val="0"/>
          <c:showPercent val="0"/>
          <c:showBubbleSize val="0"/>
        </c:dLbls>
        <c:gapWidth val="150"/>
        <c:axId val="966234384"/>
        <c:axId val="966235344"/>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392"/>
                <c:pt idx="0">
                  <c:v>chevrolet chevelle malibu</c:v>
                </c:pt>
                <c:pt idx="1">
                  <c:v>buick skylark 320</c:v>
                </c:pt>
                <c:pt idx="2">
                  <c:v>plymouth satellite</c:v>
                </c:pt>
                <c:pt idx="3">
                  <c:v>amc rebel sst</c:v>
                </c:pt>
                <c:pt idx="4">
                  <c:v>ford torino</c:v>
                </c:pt>
                <c:pt idx="5">
                  <c:v>ford galaxie 500</c:v>
                </c:pt>
                <c:pt idx="6">
                  <c:v>chevrolet impala</c:v>
                </c:pt>
                <c:pt idx="7">
                  <c:v>plymouth fury iii</c:v>
                </c:pt>
                <c:pt idx="8">
                  <c:v>pontiac catalina</c:v>
                </c:pt>
                <c:pt idx="9">
                  <c:v>amc ambassador dpl</c:v>
                </c:pt>
                <c:pt idx="10">
                  <c:v>dodge challenger se</c:v>
                </c:pt>
                <c:pt idx="11">
                  <c:v>plymouth 'cuda 340</c:v>
                </c:pt>
                <c:pt idx="12">
                  <c:v>chevrolet monte carlo</c:v>
                </c:pt>
                <c:pt idx="13">
                  <c:v>buick estate wagon (sw)</c:v>
                </c:pt>
                <c:pt idx="14">
                  <c:v>toyota corona mark ii</c:v>
                </c:pt>
                <c:pt idx="15">
                  <c:v>plymouth duster</c:v>
                </c:pt>
                <c:pt idx="16">
                  <c:v>amc hornet</c:v>
                </c:pt>
                <c:pt idx="17">
                  <c:v>ford maverick</c:v>
                </c:pt>
                <c:pt idx="18">
                  <c:v>datsun pl510</c:v>
                </c:pt>
                <c:pt idx="19">
                  <c:v>volkswagen 1131 deluxe sedan</c:v>
                </c:pt>
                <c:pt idx="20">
                  <c:v>peugeot 504</c:v>
                </c:pt>
                <c:pt idx="21">
                  <c:v>audi 100 ls</c:v>
                </c:pt>
                <c:pt idx="22">
                  <c:v>saab 99e</c:v>
                </c:pt>
                <c:pt idx="23">
                  <c:v>bmw 2002</c:v>
                </c:pt>
                <c:pt idx="24">
                  <c:v>amc gremlin</c:v>
                </c:pt>
                <c:pt idx="25">
                  <c:v>ford f250</c:v>
                </c:pt>
                <c:pt idx="26">
                  <c:v>chevy c20</c:v>
                </c:pt>
                <c:pt idx="27">
                  <c:v>dodge d200</c:v>
                </c:pt>
                <c:pt idx="28">
                  <c:v>hi 1200d</c:v>
                </c:pt>
                <c:pt idx="29">
                  <c:v>datsun pl510</c:v>
                </c:pt>
                <c:pt idx="30">
                  <c:v>chevrolet vega 2300</c:v>
                </c:pt>
                <c:pt idx="31">
                  <c:v>toyota corona</c:v>
                </c:pt>
                <c:pt idx="32">
                  <c:v>amc gremlin</c:v>
                </c:pt>
                <c:pt idx="33">
                  <c:v>plymouth satellite custom</c:v>
                </c:pt>
                <c:pt idx="34">
                  <c:v>chevrolet chevelle malibu</c:v>
                </c:pt>
                <c:pt idx="35">
                  <c:v>ford torino 500</c:v>
                </c:pt>
                <c:pt idx="36">
                  <c:v>amc matador</c:v>
                </c:pt>
                <c:pt idx="37">
                  <c:v>chevrolet impala</c:v>
                </c:pt>
                <c:pt idx="38">
                  <c:v>pontiac catalina brougham</c:v>
                </c:pt>
                <c:pt idx="39">
                  <c:v>ford galaxie 500</c:v>
                </c:pt>
                <c:pt idx="40">
                  <c:v>plymouth fury iii</c:v>
                </c:pt>
                <c:pt idx="41">
                  <c:v>dodge monaco (sw)</c:v>
                </c:pt>
                <c:pt idx="42">
                  <c:v>ford country squire (sw)</c:v>
                </c:pt>
                <c:pt idx="43">
                  <c:v>pontiac safari (sw)</c:v>
                </c:pt>
                <c:pt idx="44">
                  <c:v>amc hornet sportabout (sw)</c:v>
                </c:pt>
                <c:pt idx="45">
                  <c:v>chevrolet vega (sw)</c:v>
                </c:pt>
                <c:pt idx="46">
                  <c:v>pontiac firebird</c:v>
                </c:pt>
                <c:pt idx="47">
                  <c:v>ford mustang</c:v>
                </c:pt>
                <c:pt idx="48">
                  <c:v>mercury capri 2000</c:v>
                </c:pt>
                <c:pt idx="49">
                  <c:v>opel 1900</c:v>
                </c:pt>
                <c:pt idx="50">
                  <c:v>peugeot 304</c:v>
                </c:pt>
                <c:pt idx="51">
                  <c:v>fiat 124b</c:v>
                </c:pt>
                <c:pt idx="52">
                  <c:v>toyota corolla 1200</c:v>
                </c:pt>
                <c:pt idx="53">
                  <c:v>datsun 1200</c:v>
                </c:pt>
                <c:pt idx="54">
                  <c:v>volkswagen model 111</c:v>
                </c:pt>
                <c:pt idx="55">
                  <c:v>plymouth cricket</c:v>
                </c:pt>
                <c:pt idx="56">
                  <c:v>toyota corona hardtop</c:v>
                </c:pt>
                <c:pt idx="57">
                  <c:v>dodge colt hardtop</c:v>
                </c:pt>
                <c:pt idx="58">
                  <c:v>volkswagen type 3</c:v>
                </c:pt>
                <c:pt idx="59">
                  <c:v>chevrolet vega</c:v>
                </c:pt>
                <c:pt idx="60">
                  <c:v>ford pinto runabout</c:v>
                </c:pt>
                <c:pt idx="61">
                  <c:v>chevrolet impala</c:v>
                </c:pt>
                <c:pt idx="62">
                  <c:v>pontiac catalina</c:v>
                </c:pt>
                <c:pt idx="63">
                  <c:v>plymouth fury iii</c:v>
                </c:pt>
                <c:pt idx="64">
                  <c:v>ford galaxie 500</c:v>
                </c:pt>
                <c:pt idx="65">
                  <c:v>amc ambassador sst</c:v>
                </c:pt>
                <c:pt idx="66">
                  <c:v>mercury marquis</c:v>
                </c:pt>
                <c:pt idx="67">
                  <c:v>buick lesabre custom</c:v>
                </c:pt>
                <c:pt idx="68">
                  <c:v>oldsmobile delta 88 royale</c:v>
                </c:pt>
                <c:pt idx="69">
                  <c:v>chrysler newport royal</c:v>
                </c:pt>
                <c:pt idx="70">
                  <c:v>mazda rx2 coupe</c:v>
                </c:pt>
                <c:pt idx="71">
                  <c:v>amc matador (sw)</c:v>
                </c:pt>
                <c:pt idx="72">
                  <c:v>chevrolet chevelle concours (sw)</c:v>
                </c:pt>
                <c:pt idx="73">
                  <c:v>ford gran torino (sw)</c:v>
                </c:pt>
                <c:pt idx="74">
                  <c:v>plymouth satellite custom (sw)</c:v>
                </c:pt>
                <c:pt idx="75">
                  <c:v>volvo 145e (sw)</c:v>
                </c:pt>
                <c:pt idx="76">
                  <c:v>volkswagen 411 (sw)</c:v>
                </c:pt>
                <c:pt idx="77">
                  <c:v>peugeot 504 (sw)</c:v>
                </c:pt>
                <c:pt idx="78">
                  <c:v>renault 12 (sw)</c:v>
                </c:pt>
                <c:pt idx="79">
                  <c:v>ford pinto (sw)</c:v>
                </c:pt>
                <c:pt idx="80">
                  <c:v>datsun 510 (sw)</c:v>
                </c:pt>
                <c:pt idx="81">
                  <c:v>toyouta corona mark ii (sw)</c:v>
                </c:pt>
                <c:pt idx="82">
                  <c:v>dodge colt (sw)</c:v>
                </c:pt>
                <c:pt idx="83">
                  <c:v>toyota corolla 1600 (sw)</c:v>
                </c:pt>
                <c:pt idx="84">
                  <c:v>buick century 350</c:v>
                </c:pt>
                <c:pt idx="85">
                  <c:v>amc matador</c:v>
                </c:pt>
                <c:pt idx="86">
                  <c:v>chevrolet malibu</c:v>
                </c:pt>
                <c:pt idx="87">
                  <c:v>ford gran torino</c:v>
                </c:pt>
                <c:pt idx="88">
                  <c:v>dodge coronet custom</c:v>
                </c:pt>
                <c:pt idx="89">
                  <c:v>mercury marquis brougham</c:v>
                </c:pt>
                <c:pt idx="90">
                  <c:v>chevrolet caprice classic</c:v>
                </c:pt>
                <c:pt idx="91">
                  <c:v>ford ltd</c:v>
                </c:pt>
                <c:pt idx="92">
                  <c:v>plymouth fury gran sedan</c:v>
                </c:pt>
                <c:pt idx="93">
                  <c:v>chrysler new yorker brougham</c:v>
                </c:pt>
                <c:pt idx="94">
                  <c:v>buick electra 225 custom</c:v>
                </c:pt>
                <c:pt idx="95">
                  <c:v>amc ambassador brougham</c:v>
                </c:pt>
                <c:pt idx="96">
                  <c:v>plymouth valiant</c:v>
                </c:pt>
                <c:pt idx="97">
                  <c:v>chevrolet nova custom</c:v>
                </c:pt>
                <c:pt idx="98">
                  <c:v>amc hornet</c:v>
                </c:pt>
                <c:pt idx="99">
                  <c:v>ford maverick</c:v>
                </c:pt>
                <c:pt idx="100">
                  <c:v>plymouth duster</c:v>
                </c:pt>
                <c:pt idx="101">
                  <c:v>volkswagen super beetle</c:v>
                </c:pt>
                <c:pt idx="102">
                  <c:v>chevrolet impala</c:v>
                </c:pt>
                <c:pt idx="103">
                  <c:v>ford country</c:v>
                </c:pt>
                <c:pt idx="104">
                  <c:v>plymouth custom suburb</c:v>
                </c:pt>
                <c:pt idx="105">
                  <c:v>oldsmobile vista cruiser</c:v>
                </c:pt>
                <c:pt idx="106">
                  <c:v>amc gremlin</c:v>
                </c:pt>
                <c:pt idx="107">
                  <c:v>toyota carina</c:v>
                </c:pt>
                <c:pt idx="108">
                  <c:v>chevrolet vega</c:v>
                </c:pt>
                <c:pt idx="109">
                  <c:v>datsun 610</c:v>
                </c:pt>
                <c:pt idx="110">
                  <c:v>maxda rx3</c:v>
                </c:pt>
                <c:pt idx="111">
                  <c:v>ford pinto</c:v>
                </c:pt>
                <c:pt idx="112">
                  <c:v>mercury capri v6</c:v>
                </c:pt>
                <c:pt idx="113">
                  <c:v>fiat 124 sport coupe</c:v>
                </c:pt>
                <c:pt idx="114">
                  <c:v>chevrolet monte carlo s</c:v>
                </c:pt>
                <c:pt idx="115">
                  <c:v>pontiac grand prix</c:v>
                </c:pt>
                <c:pt idx="116">
                  <c:v>fiat 128</c:v>
                </c:pt>
                <c:pt idx="117">
                  <c:v>opel manta</c:v>
                </c:pt>
                <c:pt idx="118">
                  <c:v>audi 100ls</c:v>
                </c:pt>
                <c:pt idx="119">
                  <c:v>volvo 144ea</c:v>
                </c:pt>
                <c:pt idx="120">
                  <c:v>dodge dart custom</c:v>
                </c:pt>
                <c:pt idx="121">
                  <c:v>saab 99le</c:v>
                </c:pt>
                <c:pt idx="122">
                  <c:v>toyota mark ii</c:v>
                </c:pt>
                <c:pt idx="123">
                  <c:v>oldsmobile omega</c:v>
                </c:pt>
                <c:pt idx="124">
                  <c:v>plymouth duster</c:v>
                </c:pt>
                <c:pt idx="125">
                  <c:v>amc hornet</c:v>
                </c:pt>
                <c:pt idx="126">
                  <c:v>chevrolet nova</c:v>
                </c:pt>
                <c:pt idx="127">
                  <c:v>datsun b210</c:v>
                </c:pt>
                <c:pt idx="128">
                  <c:v>ford pinto</c:v>
                </c:pt>
                <c:pt idx="129">
                  <c:v>toyota corolla 1200</c:v>
                </c:pt>
                <c:pt idx="130">
                  <c:v>chevrolet vega</c:v>
                </c:pt>
                <c:pt idx="131">
                  <c:v>chevrolet chevelle malibu classic</c:v>
                </c:pt>
                <c:pt idx="132">
                  <c:v>amc matador</c:v>
                </c:pt>
                <c:pt idx="133">
                  <c:v>plymouth satellite sebring</c:v>
                </c:pt>
                <c:pt idx="134">
                  <c:v>ford gran torino</c:v>
                </c:pt>
                <c:pt idx="135">
                  <c:v>buick century luxus (sw)</c:v>
                </c:pt>
                <c:pt idx="136">
                  <c:v>dodge coronet custom (sw)</c:v>
                </c:pt>
                <c:pt idx="137">
                  <c:v>ford gran torino (sw)</c:v>
                </c:pt>
                <c:pt idx="138">
                  <c:v>amc matador (sw)</c:v>
                </c:pt>
                <c:pt idx="139">
                  <c:v>audi fox</c:v>
                </c:pt>
                <c:pt idx="140">
                  <c:v>volkswagen dasher</c:v>
                </c:pt>
                <c:pt idx="141">
                  <c:v>opel manta</c:v>
                </c:pt>
                <c:pt idx="142">
                  <c:v>toyota corona</c:v>
                </c:pt>
                <c:pt idx="143">
                  <c:v>datsun 710</c:v>
                </c:pt>
                <c:pt idx="144">
                  <c:v>dodge colt</c:v>
                </c:pt>
                <c:pt idx="145">
                  <c:v>fiat 128</c:v>
                </c:pt>
                <c:pt idx="146">
                  <c:v>fiat 124 tc</c:v>
                </c:pt>
                <c:pt idx="147">
                  <c:v>honda civic</c:v>
                </c:pt>
                <c:pt idx="148">
                  <c:v>subaru</c:v>
                </c:pt>
                <c:pt idx="149">
                  <c:v>fiat x1.9</c:v>
                </c:pt>
                <c:pt idx="150">
                  <c:v>plymouth valiant custom</c:v>
                </c:pt>
                <c:pt idx="151">
                  <c:v>chevrolet nova</c:v>
                </c:pt>
                <c:pt idx="152">
                  <c:v>mercury monarch</c:v>
                </c:pt>
                <c:pt idx="153">
                  <c:v>ford maverick</c:v>
                </c:pt>
                <c:pt idx="154">
                  <c:v>pontiac catalina</c:v>
                </c:pt>
                <c:pt idx="155">
                  <c:v>chevrolet bel air</c:v>
                </c:pt>
                <c:pt idx="156">
                  <c:v>plymouth grand fury</c:v>
                </c:pt>
                <c:pt idx="157">
                  <c:v>ford ltd</c:v>
                </c:pt>
                <c:pt idx="158">
                  <c:v>buick century</c:v>
                </c:pt>
                <c:pt idx="159">
                  <c:v>chevroelt chevelle malibu</c:v>
                </c:pt>
                <c:pt idx="160">
                  <c:v>amc matador</c:v>
                </c:pt>
                <c:pt idx="161">
                  <c:v>plymouth fury</c:v>
                </c:pt>
                <c:pt idx="162">
                  <c:v>buick skyhawk</c:v>
                </c:pt>
                <c:pt idx="163">
                  <c:v>chevrolet monza 2+2</c:v>
                </c:pt>
                <c:pt idx="164">
                  <c:v>ford mustang ii</c:v>
                </c:pt>
                <c:pt idx="165">
                  <c:v>toyota corolla</c:v>
                </c:pt>
                <c:pt idx="166">
                  <c:v>ford pinto</c:v>
                </c:pt>
                <c:pt idx="167">
                  <c:v>amc gremlin</c:v>
                </c:pt>
                <c:pt idx="168">
                  <c:v>pontiac astro</c:v>
                </c:pt>
                <c:pt idx="169">
                  <c:v>toyota corona</c:v>
                </c:pt>
                <c:pt idx="170">
                  <c:v>volkswagen dasher</c:v>
                </c:pt>
                <c:pt idx="171">
                  <c:v>datsun 710</c:v>
                </c:pt>
                <c:pt idx="172">
                  <c:v>ford pinto</c:v>
                </c:pt>
                <c:pt idx="173">
                  <c:v>volkswagen rabbit</c:v>
                </c:pt>
                <c:pt idx="174">
                  <c:v>amc pacer</c:v>
                </c:pt>
                <c:pt idx="175">
                  <c:v>audi 100ls</c:v>
                </c:pt>
                <c:pt idx="176">
                  <c:v>peugeot 504</c:v>
                </c:pt>
                <c:pt idx="177">
                  <c:v>volvo 244dl</c:v>
                </c:pt>
                <c:pt idx="178">
                  <c:v>saab 99le</c:v>
                </c:pt>
                <c:pt idx="179">
                  <c:v>honda civic cvcc</c:v>
                </c:pt>
                <c:pt idx="180">
                  <c:v>fiat 131</c:v>
                </c:pt>
                <c:pt idx="181">
                  <c:v>opel 1900</c:v>
                </c:pt>
                <c:pt idx="182">
                  <c:v>capri ii</c:v>
                </c:pt>
                <c:pt idx="183">
                  <c:v>dodge colt</c:v>
                </c:pt>
                <c:pt idx="184">
                  <c:v>renault 12tl</c:v>
                </c:pt>
                <c:pt idx="185">
                  <c:v>chevrolet chevelle malibu classic</c:v>
                </c:pt>
                <c:pt idx="186">
                  <c:v>dodge coronet brougham</c:v>
                </c:pt>
                <c:pt idx="187">
                  <c:v>amc matador</c:v>
                </c:pt>
                <c:pt idx="188">
                  <c:v>ford gran torino</c:v>
                </c:pt>
                <c:pt idx="189">
                  <c:v>plymouth valiant</c:v>
                </c:pt>
                <c:pt idx="190">
                  <c:v>chevrolet nova</c:v>
                </c:pt>
                <c:pt idx="191">
                  <c:v>ford maverick</c:v>
                </c:pt>
                <c:pt idx="192">
                  <c:v>amc hornet</c:v>
                </c:pt>
                <c:pt idx="193">
                  <c:v>chevrolet chevette</c:v>
                </c:pt>
                <c:pt idx="194">
                  <c:v>chevrolet woody</c:v>
                </c:pt>
                <c:pt idx="195">
                  <c:v>vw rabbit</c:v>
                </c:pt>
                <c:pt idx="196">
                  <c:v>honda civic</c:v>
                </c:pt>
                <c:pt idx="197">
                  <c:v>dodge aspen se</c:v>
                </c:pt>
                <c:pt idx="198">
                  <c:v>ford granada ghia</c:v>
                </c:pt>
                <c:pt idx="199">
                  <c:v>pontiac ventura sj</c:v>
                </c:pt>
                <c:pt idx="200">
                  <c:v>amc pacer d/l</c:v>
                </c:pt>
                <c:pt idx="201">
                  <c:v>volkswagen rabbit</c:v>
                </c:pt>
                <c:pt idx="202">
                  <c:v>datsun b-210</c:v>
                </c:pt>
                <c:pt idx="203">
                  <c:v>toyota corolla</c:v>
                </c:pt>
                <c:pt idx="204">
                  <c:v>ford pinto</c:v>
                </c:pt>
                <c:pt idx="205">
                  <c:v>volvo 245</c:v>
                </c:pt>
                <c:pt idx="206">
                  <c:v>plymouth volare premier v8</c:v>
                </c:pt>
                <c:pt idx="207">
                  <c:v>peugeot 504</c:v>
                </c:pt>
                <c:pt idx="208">
                  <c:v>toyota mark ii</c:v>
                </c:pt>
                <c:pt idx="209">
                  <c:v>mercedes-benz 280s</c:v>
                </c:pt>
                <c:pt idx="210">
                  <c:v>cadillac seville</c:v>
                </c:pt>
                <c:pt idx="211">
                  <c:v>chevy c10</c:v>
                </c:pt>
                <c:pt idx="212">
                  <c:v>ford f108</c:v>
                </c:pt>
                <c:pt idx="213">
                  <c:v>dodge d100</c:v>
                </c:pt>
                <c:pt idx="214">
                  <c:v>honda accord cvcc</c:v>
                </c:pt>
                <c:pt idx="215">
                  <c:v>buick opel isuzu deluxe</c:v>
                </c:pt>
                <c:pt idx="216">
                  <c:v>renault 5 gtl</c:v>
                </c:pt>
                <c:pt idx="217">
                  <c:v>plymouth arrow gs</c:v>
                </c:pt>
                <c:pt idx="218">
                  <c:v>datsun f-10 hatchback</c:v>
                </c:pt>
                <c:pt idx="219">
                  <c:v>chevrolet caprice classic</c:v>
                </c:pt>
                <c:pt idx="220">
                  <c:v>oldsmobile cutlass supreme</c:v>
                </c:pt>
                <c:pt idx="221">
                  <c:v>dodge monaco brougham</c:v>
                </c:pt>
                <c:pt idx="222">
                  <c:v>mercury cougar brougham</c:v>
                </c:pt>
                <c:pt idx="223">
                  <c:v>chevrolet concours</c:v>
                </c:pt>
                <c:pt idx="224">
                  <c:v>buick skylark</c:v>
                </c:pt>
                <c:pt idx="225">
                  <c:v>plymouth volare custom</c:v>
                </c:pt>
                <c:pt idx="226">
                  <c:v>ford granada</c:v>
                </c:pt>
                <c:pt idx="227">
                  <c:v>pontiac grand prix lj</c:v>
                </c:pt>
                <c:pt idx="228">
                  <c:v>chevrolet monte carlo landau</c:v>
                </c:pt>
                <c:pt idx="229">
                  <c:v>chrysler cordoba</c:v>
                </c:pt>
                <c:pt idx="230">
                  <c:v>ford thunderbird</c:v>
                </c:pt>
                <c:pt idx="231">
                  <c:v>volkswagen rabbit custom</c:v>
                </c:pt>
                <c:pt idx="232">
                  <c:v>pontiac sunbird coupe</c:v>
                </c:pt>
                <c:pt idx="233">
                  <c:v>toyota corolla liftback</c:v>
                </c:pt>
                <c:pt idx="234">
                  <c:v>ford mustang ii 2+2</c:v>
                </c:pt>
                <c:pt idx="235">
                  <c:v>chevrolet chevette</c:v>
                </c:pt>
                <c:pt idx="236">
                  <c:v>dodge colt m/m</c:v>
                </c:pt>
                <c:pt idx="237">
                  <c:v>subaru dl</c:v>
                </c:pt>
                <c:pt idx="238">
                  <c:v>volkswagen dasher</c:v>
                </c:pt>
                <c:pt idx="239">
                  <c:v>datsun 810</c:v>
                </c:pt>
                <c:pt idx="240">
                  <c:v>bmw 320i</c:v>
                </c:pt>
                <c:pt idx="241">
                  <c:v>mazda rx-4</c:v>
                </c:pt>
                <c:pt idx="242">
                  <c:v>volkswagen rabbit custom diesel</c:v>
                </c:pt>
                <c:pt idx="243">
                  <c:v>ford fiesta</c:v>
                </c:pt>
                <c:pt idx="244">
                  <c:v>mazda glc deluxe</c:v>
                </c:pt>
                <c:pt idx="245">
                  <c:v>datsun b210 gx</c:v>
                </c:pt>
                <c:pt idx="246">
                  <c:v>honda civic cvcc</c:v>
                </c:pt>
                <c:pt idx="247">
                  <c:v>oldsmobile cutlass salon brougham</c:v>
                </c:pt>
                <c:pt idx="248">
                  <c:v>dodge diplomat</c:v>
                </c:pt>
                <c:pt idx="249">
                  <c:v>mercury monarch ghia</c:v>
                </c:pt>
                <c:pt idx="250">
                  <c:v>pontiac phoenix lj</c:v>
                </c:pt>
                <c:pt idx="251">
                  <c:v>chevrolet malibu</c:v>
                </c:pt>
                <c:pt idx="252">
                  <c:v>ford fairmont (auto)</c:v>
                </c:pt>
                <c:pt idx="253">
                  <c:v>ford fairmont (man)</c:v>
                </c:pt>
                <c:pt idx="254">
                  <c:v>plymouth volare</c:v>
                </c:pt>
                <c:pt idx="255">
                  <c:v>amc concord</c:v>
                </c:pt>
                <c:pt idx="256">
                  <c:v>buick century special</c:v>
                </c:pt>
                <c:pt idx="257">
                  <c:v>mercury zephyr</c:v>
                </c:pt>
                <c:pt idx="258">
                  <c:v>dodge aspen</c:v>
                </c:pt>
                <c:pt idx="259">
                  <c:v>amc concord d/l</c:v>
                </c:pt>
                <c:pt idx="260">
                  <c:v>chevrolet monte carlo landau</c:v>
                </c:pt>
                <c:pt idx="261">
                  <c:v>buick regal sport coupe (turbo)</c:v>
                </c:pt>
                <c:pt idx="262">
                  <c:v>ford futura</c:v>
                </c:pt>
                <c:pt idx="263">
                  <c:v>dodge magnum xe</c:v>
                </c:pt>
                <c:pt idx="264">
                  <c:v>chevrolet chevette</c:v>
                </c:pt>
                <c:pt idx="265">
                  <c:v>toyota corona</c:v>
                </c:pt>
                <c:pt idx="266">
                  <c:v>datsun 510</c:v>
                </c:pt>
                <c:pt idx="267">
                  <c:v>dodge omni</c:v>
                </c:pt>
                <c:pt idx="268">
                  <c:v>toyota celica gt liftback</c:v>
                </c:pt>
                <c:pt idx="269">
                  <c:v>plymouth sapporo</c:v>
                </c:pt>
                <c:pt idx="270">
                  <c:v>oldsmobile starfire sx</c:v>
                </c:pt>
                <c:pt idx="271">
                  <c:v>datsun 200-sx</c:v>
                </c:pt>
                <c:pt idx="272">
                  <c:v>audi 5000</c:v>
                </c:pt>
                <c:pt idx="273">
                  <c:v>volvo 264gl</c:v>
                </c:pt>
                <c:pt idx="274">
                  <c:v>saab 99gle</c:v>
                </c:pt>
                <c:pt idx="275">
                  <c:v>peugeot 604sl</c:v>
                </c:pt>
                <c:pt idx="276">
                  <c:v>volkswagen scirocco</c:v>
                </c:pt>
                <c:pt idx="277">
                  <c:v>honda accord lx</c:v>
                </c:pt>
                <c:pt idx="278">
                  <c:v>pontiac lemans v6</c:v>
                </c:pt>
                <c:pt idx="279">
                  <c:v>mercury zephyr 6</c:v>
                </c:pt>
                <c:pt idx="280">
                  <c:v>ford fairmont 4</c:v>
                </c:pt>
                <c:pt idx="281">
                  <c:v>amc concord dl 6</c:v>
                </c:pt>
                <c:pt idx="282">
                  <c:v>dodge aspen 6</c:v>
                </c:pt>
                <c:pt idx="283">
                  <c:v>chevrolet caprice classic</c:v>
                </c:pt>
                <c:pt idx="284">
                  <c:v>ford ltd landau</c:v>
                </c:pt>
                <c:pt idx="285">
                  <c:v>mercury grand marquis</c:v>
                </c:pt>
                <c:pt idx="286">
                  <c:v>dodge st. regis</c:v>
                </c:pt>
                <c:pt idx="287">
                  <c:v>buick estate wagon (sw)</c:v>
                </c:pt>
                <c:pt idx="288">
                  <c:v>ford country squire (sw)</c:v>
                </c:pt>
                <c:pt idx="289">
                  <c:v>chevrolet malibu classic (sw)</c:v>
                </c:pt>
                <c:pt idx="290">
                  <c:v>chrysler lebaron town @ country (sw)</c:v>
                </c:pt>
                <c:pt idx="291">
                  <c:v>vw rabbit custom</c:v>
                </c:pt>
                <c:pt idx="292">
                  <c:v>maxda glc deluxe</c:v>
                </c:pt>
                <c:pt idx="293">
                  <c:v>dodge colt hatchback custom</c:v>
                </c:pt>
                <c:pt idx="294">
                  <c:v>amc spirit dl</c:v>
                </c:pt>
                <c:pt idx="295">
                  <c:v>mercedes benz 300d</c:v>
                </c:pt>
                <c:pt idx="296">
                  <c:v>cadillac eldorado</c:v>
                </c:pt>
                <c:pt idx="297">
                  <c:v>peugeot 504</c:v>
                </c:pt>
                <c:pt idx="298">
                  <c:v>oldsmobile cutlass salon brougham</c:v>
                </c:pt>
                <c:pt idx="299">
                  <c:v>plymouth horizon</c:v>
                </c:pt>
                <c:pt idx="300">
                  <c:v>plymouth horizon tc3</c:v>
                </c:pt>
                <c:pt idx="301">
                  <c:v>datsun 210</c:v>
                </c:pt>
                <c:pt idx="302">
                  <c:v>fiat strada custom</c:v>
                </c:pt>
                <c:pt idx="303">
                  <c:v>buick skylark limited</c:v>
                </c:pt>
                <c:pt idx="304">
                  <c:v>chevrolet citation</c:v>
                </c:pt>
                <c:pt idx="305">
                  <c:v>oldsmobile omega brougham</c:v>
                </c:pt>
                <c:pt idx="306">
                  <c:v>pontiac phoenix</c:v>
                </c:pt>
                <c:pt idx="307">
                  <c:v>vw rabbit</c:v>
                </c:pt>
                <c:pt idx="308">
                  <c:v>toyota corolla tercel</c:v>
                </c:pt>
                <c:pt idx="309">
                  <c:v>chevrolet chevette</c:v>
                </c:pt>
                <c:pt idx="310">
                  <c:v>datsun 310</c:v>
                </c:pt>
                <c:pt idx="311">
                  <c:v>chevrolet citation</c:v>
                </c:pt>
                <c:pt idx="312">
                  <c:v>ford fairmont</c:v>
                </c:pt>
                <c:pt idx="313">
                  <c:v>amc concord</c:v>
                </c:pt>
                <c:pt idx="314">
                  <c:v>dodge aspen</c:v>
                </c:pt>
                <c:pt idx="315">
                  <c:v>audi 4000</c:v>
                </c:pt>
                <c:pt idx="316">
                  <c:v>toyota corona liftback</c:v>
                </c:pt>
                <c:pt idx="317">
                  <c:v>mazda 626</c:v>
                </c:pt>
                <c:pt idx="318">
                  <c:v>datsun 510 hatchback</c:v>
                </c:pt>
                <c:pt idx="319">
                  <c:v>toyota corolla</c:v>
                </c:pt>
                <c:pt idx="320">
                  <c:v>mazda glc</c:v>
                </c:pt>
                <c:pt idx="321">
                  <c:v>dodge colt</c:v>
                </c:pt>
                <c:pt idx="322">
                  <c:v>datsun 210</c:v>
                </c:pt>
                <c:pt idx="323">
                  <c:v>vw rabbit c (diesel)</c:v>
                </c:pt>
                <c:pt idx="324">
                  <c:v>vw dasher (diesel)</c:v>
                </c:pt>
                <c:pt idx="325">
                  <c:v>audi 5000s (diesel)</c:v>
                </c:pt>
                <c:pt idx="326">
                  <c:v>mercedes-benz 240d</c:v>
                </c:pt>
                <c:pt idx="327">
                  <c:v>honda civic 1500 gl</c:v>
                </c:pt>
                <c:pt idx="328">
                  <c:v>subaru dl</c:v>
                </c:pt>
                <c:pt idx="329">
                  <c:v>vokswagen rabbit</c:v>
                </c:pt>
                <c:pt idx="330">
                  <c:v>datsun 280-zx</c:v>
                </c:pt>
                <c:pt idx="331">
                  <c:v>mazda rx-7 gs</c:v>
                </c:pt>
                <c:pt idx="332">
                  <c:v>triumph tr7 coupe</c:v>
                </c:pt>
                <c:pt idx="333">
                  <c:v>honda accord</c:v>
                </c:pt>
                <c:pt idx="334">
                  <c:v>plymouth reliant</c:v>
                </c:pt>
                <c:pt idx="335">
                  <c:v>buick skylark</c:v>
                </c:pt>
                <c:pt idx="336">
                  <c:v>dodge aries wagon (sw)</c:v>
                </c:pt>
                <c:pt idx="337">
                  <c:v>chevrolet citation</c:v>
                </c:pt>
                <c:pt idx="338">
                  <c:v>plymouth reliant</c:v>
                </c:pt>
                <c:pt idx="339">
                  <c:v>toyota starlet</c:v>
                </c:pt>
                <c:pt idx="340">
                  <c:v>plymouth champ</c:v>
                </c:pt>
                <c:pt idx="341">
                  <c:v>honda civic 1300</c:v>
                </c:pt>
                <c:pt idx="342">
                  <c:v>subaru</c:v>
                </c:pt>
                <c:pt idx="343">
                  <c:v>datsun 210 mpg</c:v>
                </c:pt>
                <c:pt idx="344">
                  <c:v>toyota tercel</c:v>
                </c:pt>
                <c:pt idx="345">
                  <c:v>mazda glc 4</c:v>
                </c:pt>
                <c:pt idx="346">
                  <c:v>plymouth horizon 4</c:v>
                </c:pt>
                <c:pt idx="347">
                  <c:v>ford escort 4w</c:v>
                </c:pt>
                <c:pt idx="348">
                  <c:v>ford escort 2h</c:v>
                </c:pt>
                <c:pt idx="349">
                  <c:v>volkswagen jetta</c:v>
                </c:pt>
                <c:pt idx="350">
                  <c:v>honda prelude</c:v>
                </c:pt>
                <c:pt idx="351">
                  <c:v>toyota corolla</c:v>
                </c:pt>
                <c:pt idx="352">
                  <c:v>datsun 200sx</c:v>
                </c:pt>
                <c:pt idx="353">
                  <c:v>mazda 626</c:v>
                </c:pt>
                <c:pt idx="354">
                  <c:v>peugeot 505s turbo diesel</c:v>
                </c:pt>
                <c:pt idx="355">
                  <c:v>volvo diesel</c:v>
                </c:pt>
                <c:pt idx="356">
                  <c:v>toyota cressida</c:v>
                </c:pt>
                <c:pt idx="357">
                  <c:v>datsun 810 maxima</c:v>
                </c:pt>
                <c:pt idx="358">
                  <c:v>buick century</c:v>
                </c:pt>
                <c:pt idx="359">
                  <c:v>oldsmobile cutlass ls</c:v>
                </c:pt>
                <c:pt idx="360">
                  <c:v>ford granada gl</c:v>
                </c:pt>
                <c:pt idx="361">
                  <c:v>chrysler lebaron salon</c:v>
                </c:pt>
                <c:pt idx="362">
                  <c:v>chevrolet cavalier</c:v>
                </c:pt>
                <c:pt idx="363">
                  <c:v>chevrolet cavalier wagon</c:v>
                </c:pt>
                <c:pt idx="364">
                  <c:v>chevrolet cavalier 2-door</c:v>
                </c:pt>
                <c:pt idx="365">
                  <c:v>pontiac j2000 se hatchback</c:v>
                </c:pt>
                <c:pt idx="366">
                  <c:v>dodge aries se</c:v>
                </c:pt>
                <c:pt idx="367">
                  <c:v>pontiac phoenix</c:v>
                </c:pt>
                <c:pt idx="368">
                  <c:v>ford fairmont futura</c:v>
                </c:pt>
                <c:pt idx="369">
                  <c:v>volkswagen rabbit l</c:v>
                </c:pt>
                <c:pt idx="370">
                  <c:v>mazda glc custom l</c:v>
                </c:pt>
                <c:pt idx="371">
                  <c:v>mazda glc custom</c:v>
                </c:pt>
                <c:pt idx="372">
                  <c:v>plymouth horizon miser</c:v>
                </c:pt>
                <c:pt idx="373">
                  <c:v>mercury lynx l</c:v>
                </c:pt>
                <c:pt idx="374">
                  <c:v>nissan stanza xe</c:v>
                </c:pt>
                <c:pt idx="375">
                  <c:v>honda accord</c:v>
                </c:pt>
                <c:pt idx="376">
                  <c:v>toyota corolla</c:v>
                </c:pt>
                <c:pt idx="377">
                  <c:v>honda civic</c:v>
                </c:pt>
                <c:pt idx="378">
                  <c:v>honda civic (auto)</c:v>
                </c:pt>
                <c:pt idx="379">
                  <c:v>datsun 310 gx</c:v>
                </c:pt>
                <c:pt idx="380">
                  <c:v>buick century limited</c:v>
                </c:pt>
                <c:pt idx="381">
                  <c:v>oldsmobile cutlass ciera (diesel)</c:v>
                </c:pt>
                <c:pt idx="382">
                  <c:v>chrysler lebaron medallion</c:v>
                </c:pt>
                <c:pt idx="383">
                  <c:v>ford granada l</c:v>
                </c:pt>
                <c:pt idx="384">
                  <c:v>toyota celica gt</c:v>
                </c:pt>
                <c:pt idx="385">
                  <c:v>dodge charger 2.2</c:v>
                </c:pt>
                <c:pt idx="386">
                  <c:v>chevrolet camaro</c:v>
                </c:pt>
                <c:pt idx="387">
                  <c:v>ford mustang gl</c:v>
                </c:pt>
                <c:pt idx="388">
                  <c:v>vw pickup</c:v>
                </c:pt>
                <c:pt idx="389">
                  <c:v>dodge rampage</c:v>
                </c:pt>
                <c:pt idx="390">
                  <c:v>ford ranger</c:v>
                </c:pt>
                <c:pt idx="391">
                  <c:v>chevy s-10</c:v>
                </c:pt>
              </c:strCache>
            </c:strRef>
          </c:cat>
          <c:val>
            <c:numRef>
              <c:f>Regression!RegChartCookDistFlag</c:f>
              <c:numCache>
                <c:formatCode>0.0000</c:formatCode>
                <c:ptCount val="392"/>
                <c:pt idx="0">
                  <c:v>#N/A</c:v>
                </c:pt>
                <c:pt idx="1">
                  <c:v>#N/A</c:v>
                </c:pt>
                <c:pt idx="2">
                  <c:v>#N/A</c:v>
                </c:pt>
                <c:pt idx="3">
                  <c:v>#N/A</c:v>
                </c:pt>
                <c:pt idx="4">
                  <c:v>#N/A</c:v>
                </c:pt>
                <c:pt idx="5">
                  <c:v>#N/A</c:v>
                </c:pt>
                <c:pt idx="6">
                  <c:v>#N/A</c:v>
                </c:pt>
                <c:pt idx="7">
                  <c:v>#N/A</c:v>
                </c:pt>
                <c:pt idx="8">
                  <c:v>#N/A</c:v>
                </c:pt>
                <c:pt idx="9">
                  <c:v>#N/A</c:v>
                </c:pt>
                <c:pt idx="10">
                  <c:v>#N/A</c:v>
                </c:pt>
                <c:pt idx="11">
                  <c:v>#N/A</c:v>
                </c:pt>
                <c:pt idx="12">
                  <c:v>#N/A</c:v>
                </c:pt>
                <c:pt idx="13">
                  <c:v>1.0355921898592794E-2</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1.2041954383458014E-2</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1.7043893646453548E-2</c:v>
                </c:pt>
                <c:pt idx="111">
                  <c:v>#N/A</c:v>
                </c:pt>
                <c:pt idx="112">
                  <c:v>#N/A</c:v>
                </c:pt>
                <c:pt idx="113">
                  <c:v>#N/A</c:v>
                </c:pt>
                <c:pt idx="114">
                  <c:v>#N/A</c:v>
                </c:pt>
                <c:pt idx="115">
                  <c:v>1.5232369994827683E-2</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1.1411024261701309E-2</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1.1643930329232586E-2</c:v>
                </c:pt>
                <c:pt idx="237">
                  <c:v>#N/A</c:v>
                </c:pt>
                <c:pt idx="238">
                  <c:v>#N/A</c:v>
                </c:pt>
                <c:pt idx="239">
                  <c:v>#N/A</c:v>
                </c:pt>
                <c:pt idx="240">
                  <c:v>#N/A</c:v>
                </c:pt>
                <c:pt idx="241">
                  <c:v>#N/A</c:v>
                </c:pt>
                <c:pt idx="242">
                  <c:v>4.6959959279888726E-2</c:v>
                </c:pt>
                <c:pt idx="243">
                  <c:v>1.4175460654412676E-2</c:v>
                </c:pt>
                <c:pt idx="244">
                  <c:v>#N/A</c:v>
                </c:pt>
                <c:pt idx="245">
                  <c:v>2.4090286148254435E-2</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1.3507185613380109E-2</c:v>
                </c:pt>
                <c:pt idx="274">
                  <c:v>#N/A</c:v>
                </c:pt>
                <c:pt idx="275">
                  <c:v>1.1369816866149593E-2</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1.1625515480960729E-2</c:v>
                </c:pt>
                <c:pt idx="308">
                  <c:v>#N/A</c:v>
                </c:pt>
                <c:pt idx="309">
                  <c:v>#N/A</c:v>
                </c:pt>
                <c:pt idx="310">
                  <c:v>#N/A</c:v>
                </c:pt>
                <c:pt idx="311">
                  <c:v>#N/A</c:v>
                </c:pt>
                <c:pt idx="312">
                  <c:v>#N/A</c:v>
                </c:pt>
                <c:pt idx="313">
                  <c:v>#N/A</c:v>
                </c:pt>
                <c:pt idx="314">
                  <c:v>2.2225518853665204E-2</c:v>
                </c:pt>
                <c:pt idx="315">
                  <c:v>#N/A</c:v>
                </c:pt>
                <c:pt idx="316">
                  <c:v>#N/A</c:v>
                </c:pt>
                <c:pt idx="317">
                  <c:v>#N/A</c:v>
                </c:pt>
                <c:pt idx="318">
                  <c:v>#N/A</c:v>
                </c:pt>
                <c:pt idx="319">
                  <c:v>#N/A</c:v>
                </c:pt>
                <c:pt idx="320">
                  <c:v>3.1509345424163747E-2</c:v>
                </c:pt>
                <c:pt idx="321">
                  <c:v>#N/A</c:v>
                </c:pt>
                <c:pt idx="322">
                  <c:v>#N/A</c:v>
                </c:pt>
                <c:pt idx="323">
                  <c:v>2.0873683660506796E-2</c:v>
                </c:pt>
                <c:pt idx="324">
                  <c:v>2.4238765461914447E-2</c:v>
                </c:pt>
                <c:pt idx="325">
                  <c:v>#N/A</c:v>
                </c:pt>
                <c:pt idx="326">
                  <c:v>#N/A</c:v>
                </c:pt>
                <c:pt idx="327">
                  <c:v>1.5138834664551943E-2</c:v>
                </c:pt>
                <c:pt idx="328">
                  <c:v>#N/A</c:v>
                </c:pt>
                <c:pt idx="329">
                  <c:v>2.042630902284125E-2</c:v>
                </c:pt>
                <c:pt idx="330">
                  <c:v>#N/A</c:v>
                </c:pt>
                <c:pt idx="331">
                  <c:v>3.3725966329777667E-2</c:v>
                </c:pt>
                <c:pt idx="332">
                  <c:v>#N/A</c:v>
                </c:pt>
                <c:pt idx="333">
                  <c:v>#N/A</c:v>
                </c:pt>
                <c:pt idx="334">
                  <c:v>#N/A</c:v>
                </c:pt>
                <c:pt idx="335">
                  <c:v>#N/A</c:v>
                </c:pt>
                <c:pt idx="336">
                  <c:v>#N/A</c:v>
                </c:pt>
                <c:pt idx="337">
                  <c:v>#N/A</c:v>
                </c:pt>
                <c:pt idx="338">
                  <c:v>#N/A</c:v>
                </c:pt>
                <c:pt idx="339">
                  <c:v>#N/A</c:v>
                </c:pt>
                <c:pt idx="340">
                  <c:v>1.3865269089159273E-2</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1.0279387077060619E-2</c:v>
                </c:pt>
                <c:pt idx="361">
                  <c:v>1.4946822807055404E-2</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2.4396798261845615E-2</c:v>
                </c:pt>
                <c:pt idx="382">
                  <c:v>#N/A</c:v>
                </c:pt>
                <c:pt idx="383">
                  <c:v>1.172548535804269E-2</c:v>
                </c:pt>
                <c:pt idx="384">
                  <c:v>#N/A</c:v>
                </c:pt>
                <c:pt idx="385">
                  <c:v>#N/A</c:v>
                </c:pt>
                <c:pt idx="386">
                  <c:v>#N/A</c:v>
                </c:pt>
                <c:pt idx="387">
                  <c:v>#N/A</c:v>
                </c:pt>
                <c:pt idx="388">
                  <c:v>2.7739153271080976E-2</c:v>
                </c:pt>
                <c:pt idx="389">
                  <c:v>#N/A</c:v>
                </c:pt>
                <c:pt idx="390">
                  <c:v>#N/A</c:v>
                </c:pt>
                <c:pt idx="391">
                  <c:v>#N/A</c:v>
                </c:pt>
              </c:numCache>
            </c:numRef>
          </c:val>
          <c:smooth val="0"/>
          <c:extLst>
            <c:ext xmlns:c16="http://schemas.microsoft.com/office/drawing/2014/chart" uri="{C3380CC4-5D6E-409C-BE32-E72D297353CC}">
              <c16:uniqueId val="{00000003-A430-4D96-9A77-095BD07423C2}"/>
            </c:ext>
          </c:extLst>
        </c:ser>
        <c:dLbls>
          <c:showLegendKey val="0"/>
          <c:showVal val="0"/>
          <c:showCatName val="0"/>
          <c:showSerName val="0"/>
          <c:showPercent val="0"/>
          <c:showBubbleSize val="0"/>
        </c:dLbls>
        <c:marker val="1"/>
        <c:smooth val="0"/>
        <c:axId val="966234384"/>
        <c:axId val="966235344"/>
      </c:lineChart>
      <c:catAx>
        <c:axId val="966234384"/>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966235344"/>
        <c:crosses val="autoZero"/>
        <c:auto val="1"/>
        <c:lblAlgn val="ctr"/>
        <c:lblOffset val="100"/>
        <c:noMultiLvlLbl val="0"/>
      </c:catAx>
      <c:valAx>
        <c:axId val="966235344"/>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96623438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0.043)</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392"/>
                <c:pt idx="0">
                  <c:v>4.0149898039742615E-2</c:v>
                </c:pt>
                <c:pt idx="1">
                  <c:v>3.5578253857220431E-2</c:v>
                </c:pt>
                <c:pt idx="2">
                  <c:v>3.544727708510207E-2</c:v>
                </c:pt>
                <c:pt idx="3">
                  <c:v>3.5454383105468036E-2</c:v>
                </c:pt>
                <c:pt idx="4">
                  <c:v>3.6442373899522838E-2</c:v>
                </c:pt>
                <c:pt idx="5">
                  <c:v>4.042419204907835E-2</c:v>
                </c:pt>
                <c:pt idx="6">
                  <c:v>5.0603384396069082E-2</c:v>
                </c:pt>
                <c:pt idx="7">
                  <c:v>4.8040491817131645E-2</c:v>
                </c:pt>
                <c:pt idx="8">
                  <c:v>5.2897375567846273E-2</c:v>
                </c:pt>
                <c:pt idx="9">
                  <c:v>4.132014629964112E-2</c:v>
                </c:pt>
                <c:pt idx="10">
                  <c:v>3.7522532485470127E-2</c:v>
                </c:pt>
                <c:pt idx="11">
                  <c:v>3.5380032445534768E-2</c:v>
                </c:pt>
                <c:pt idx="12">
                  <c:v>3.6838396596956549E-2</c:v>
                </c:pt>
                <c:pt idx="13">
                  <c:v>0.11212017961465819</c:v>
                </c:pt>
                <c:pt idx="14">
                  <c:v>5.4985468923604633E-2</c:v>
                </c:pt>
                <c:pt idx="15">
                  <c:v>4.8771107501306768E-2</c:v>
                </c:pt>
                <c:pt idx="16">
                  <c:v>4.695010427724941E-2</c:v>
                </c:pt>
                <c:pt idx="17">
                  <c:v>5.1942024882097544E-2</c:v>
                </c:pt>
                <c:pt idx="18">
                  <c:v>5.5009922789087756E-2</c:v>
                </c:pt>
                <c:pt idx="19">
                  <c:v>6.8142656866106793E-2</c:v>
                </c:pt>
                <c:pt idx="20">
                  <c:v>5.7444350257130856E-2</c:v>
                </c:pt>
                <c:pt idx="21">
                  <c:v>5.1568524658183831E-2</c:v>
                </c:pt>
                <c:pt idx="22">
                  <c:v>4.9464537797579741E-2</c:v>
                </c:pt>
                <c:pt idx="23">
                  <c:v>4.9413009365655451E-2</c:v>
                </c:pt>
                <c:pt idx="24">
                  <c:v>4.9584288806374846E-2</c:v>
                </c:pt>
                <c:pt idx="25">
                  <c:v>4.5553437442162031E-2</c:v>
                </c:pt>
                <c:pt idx="26">
                  <c:v>4.0933470674793776E-2</c:v>
                </c:pt>
                <c:pt idx="27">
                  <c:v>4.4587292508687454E-2</c:v>
                </c:pt>
                <c:pt idx="28">
                  <c:v>4.3597810529259505E-2</c:v>
                </c:pt>
                <c:pt idx="29">
                  <c:v>5.0482475252271251E-2</c:v>
                </c:pt>
                <c:pt idx="30">
                  <c:v>4.6906901296231408E-2</c:v>
                </c:pt>
                <c:pt idx="31">
                  <c:v>5.0935386039696162E-2</c:v>
                </c:pt>
                <c:pt idx="32">
                  <c:v>4.1917364463458243E-2</c:v>
                </c:pt>
                <c:pt idx="33">
                  <c:v>4.0762584893143786E-2</c:v>
                </c:pt>
                <c:pt idx="34">
                  <c:v>4.0942536286414317E-2</c:v>
                </c:pt>
                <c:pt idx="35">
                  <c:v>4.5737615254886607E-2</c:v>
                </c:pt>
                <c:pt idx="36">
                  <c:v>4.045648501890594E-2</c:v>
                </c:pt>
                <c:pt idx="37">
                  <c:v>4.490969346053824E-2</c:v>
                </c:pt>
                <c:pt idx="38">
                  <c:v>4.8236454390409113E-2</c:v>
                </c:pt>
                <c:pt idx="39">
                  <c:v>4.2572422246359647E-2</c:v>
                </c:pt>
                <c:pt idx="40">
                  <c:v>4.1929569462095764E-2</c:v>
                </c:pt>
                <c:pt idx="41">
                  <c:v>5.4827297260499556E-2</c:v>
                </c:pt>
                <c:pt idx="42">
                  <c:v>5.0818250261889436E-2</c:v>
                </c:pt>
                <c:pt idx="43">
                  <c:v>6.0087439699154588E-2</c:v>
                </c:pt>
                <c:pt idx="44">
                  <c:v>3.9345147076828242E-2</c:v>
                </c:pt>
                <c:pt idx="45">
                  <c:v>4.4387571078158897E-2</c:v>
                </c:pt>
                <c:pt idx="46">
                  <c:v>4.0391072118825221E-2</c:v>
                </c:pt>
                <c:pt idx="47">
                  <c:v>4.2955679782943249E-2</c:v>
                </c:pt>
                <c:pt idx="48">
                  <c:v>4.6967075740257901E-2</c:v>
                </c:pt>
                <c:pt idx="49">
                  <c:v>5.4491719512995432E-2</c:v>
                </c:pt>
                <c:pt idx="50">
                  <c:v>5.0904856771056842E-2</c:v>
                </c:pt>
                <c:pt idx="51">
                  <c:v>5.1536941571397543E-2</c:v>
                </c:pt>
                <c:pt idx="52">
                  <c:v>5.1440861703403784E-2</c:v>
                </c:pt>
                <c:pt idx="53">
                  <c:v>5.3281992204502804E-2</c:v>
                </c:pt>
                <c:pt idx="54">
                  <c:v>5.2154473018058457E-2</c:v>
                </c:pt>
                <c:pt idx="55">
                  <c:v>5.0200126232252701E-2</c:v>
                </c:pt>
                <c:pt idx="56">
                  <c:v>4.812672986947801E-2</c:v>
                </c:pt>
                <c:pt idx="57">
                  <c:v>5.0955596766720554E-2</c:v>
                </c:pt>
                <c:pt idx="58">
                  <c:v>5.5489928772256662E-2</c:v>
                </c:pt>
                <c:pt idx="59">
                  <c:v>4.618302958520222E-2</c:v>
                </c:pt>
                <c:pt idx="60">
                  <c:v>4.93615349739061E-2</c:v>
                </c:pt>
                <c:pt idx="61">
                  <c:v>4.0564604334394488E-2</c:v>
                </c:pt>
                <c:pt idx="62">
                  <c:v>4.2648578571305377E-2</c:v>
                </c:pt>
                <c:pt idx="63">
                  <c:v>3.9159162685000928E-2</c:v>
                </c:pt>
                <c:pt idx="64">
                  <c:v>3.9029459660414413E-2</c:v>
                </c:pt>
                <c:pt idx="65">
                  <c:v>3.9309167670658646E-2</c:v>
                </c:pt>
                <c:pt idx="66">
                  <c:v>5.6427203997578376E-2</c:v>
                </c:pt>
                <c:pt idx="67">
                  <c:v>4.3819711275624673E-2</c:v>
                </c:pt>
                <c:pt idx="68">
                  <c:v>4.2181857106601633E-2</c:v>
                </c:pt>
                <c:pt idx="69">
                  <c:v>4.8030921024309239E-2</c:v>
                </c:pt>
                <c:pt idx="70">
                  <c:v>4.7965750122984138E-2</c:v>
                </c:pt>
                <c:pt idx="71">
                  <c:v>3.8154178376464405E-2</c:v>
                </c:pt>
                <c:pt idx="72">
                  <c:v>4.3315666055294896E-2</c:v>
                </c:pt>
                <c:pt idx="73">
                  <c:v>4.3819711639490791E-2</c:v>
                </c:pt>
                <c:pt idx="74">
                  <c:v>3.8701777045903059E-2</c:v>
                </c:pt>
                <c:pt idx="75">
                  <c:v>4.8872568958417593E-2</c:v>
                </c:pt>
                <c:pt idx="76">
                  <c:v>4.996481696967215E-2</c:v>
                </c:pt>
                <c:pt idx="77">
                  <c:v>5.286145261151471E-2</c:v>
                </c:pt>
                <c:pt idx="78">
                  <c:v>5.0003897923478341E-2</c:v>
                </c:pt>
                <c:pt idx="79">
                  <c:v>4.6305603284802668E-2</c:v>
                </c:pt>
                <c:pt idx="80">
                  <c:v>4.794178277891481E-2</c:v>
                </c:pt>
                <c:pt idx="81">
                  <c:v>4.7582585184613516E-2</c:v>
                </c:pt>
                <c:pt idx="82">
                  <c:v>5.0180308887671402E-2</c:v>
                </c:pt>
                <c:pt idx="83">
                  <c:v>4.8924810565100008E-2</c:v>
                </c:pt>
                <c:pt idx="84">
                  <c:v>3.0545392578793636E-2</c:v>
                </c:pt>
                <c:pt idx="85">
                  <c:v>2.7011897802173251E-2</c:v>
                </c:pt>
                <c:pt idx="86">
                  <c:v>2.6908924211681815E-2</c:v>
                </c:pt>
                <c:pt idx="87">
                  <c:v>2.9356198266036856E-2</c:v>
                </c:pt>
                <c:pt idx="88">
                  <c:v>2.6400911104933582E-2</c:v>
                </c:pt>
                <c:pt idx="89">
                  <c:v>3.6900707411663757E-2</c:v>
                </c:pt>
                <c:pt idx="90">
                  <c:v>3.3433098722742423E-2</c:v>
                </c:pt>
                <c:pt idx="91">
                  <c:v>2.9386956950390161E-2</c:v>
                </c:pt>
                <c:pt idx="92">
                  <c:v>2.8992761758663603E-2</c:v>
                </c:pt>
                <c:pt idx="93">
                  <c:v>4.457601353687983E-2</c:v>
                </c:pt>
                <c:pt idx="94">
                  <c:v>4.893022194556227E-2</c:v>
                </c:pt>
                <c:pt idx="95">
                  <c:v>3.4602713165386309E-2</c:v>
                </c:pt>
                <c:pt idx="96">
                  <c:v>2.9715993614829274E-2</c:v>
                </c:pt>
                <c:pt idx="97">
                  <c:v>3.273135274350103E-2</c:v>
                </c:pt>
                <c:pt idx="98">
                  <c:v>3.0762850246968242E-2</c:v>
                </c:pt>
                <c:pt idx="99">
                  <c:v>3.555927772974711E-2</c:v>
                </c:pt>
                <c:pt idx="100">
                  <c:v>3.2044006496218955E-2</c:v>
                </c:pt>
                <c:pt idx="101">
                  <c:v>4.8284679576095293E-2</c:v>
                </c:pt>
                <c:pt idx="102">
                  <c:v>5.207065402060785E-2</c:v>
                </c:pt>
                <c:pt idx="103">
                  <c:v>3.8934703793749144E-2</c:v>
                </c:pt>
                <c:pt idx="104">
                  <c:v>3.2267405941791109E-2</c:v>
                </c:pt>
                <c:pt idx="105">
                  <c:v>3.0849747810183924E-2</c:v>
                </c:pt>
                <c:pt idx="106">
                  <c:v>3.1387057487757081E-2</c:v>
                </c:pt>
                <c:pt idx="107">
                  <c:v>4.0511183142984845E-2</c:v>
                </c:pt>
                <c:pt idx="108">
                  <c:v>3.987940076710407E-2</c:v>
                </c:pt>
                <c:pt idx="109">
                  <c:v>3.9858734662671737E-2</c:v>
                </c:pt>
                <c:pt idx="110">
                  <c:v>4.0908895826768793E-2</c:v>
                </c:pt>
                <c:pt idx="111">
                  <c:v>3.8026724320240957E-2</c:v>
                </c:pt>
                <c:pt idx="112">
                  <c:v>3.7015208274130552E-2</c:v>
                </c:pt>
                <c:pt idx="113">
                  <c:v>3.9273864426025172E-2</c:v>
                </c:pt>
                <c:pt idx="114">
                  <c:v>2.788915394975712E-2</c:v>
                </c:pt>
                <c:pt idx="115">
                  <c:v>7.1718533906216742E-2</c:v>
                </c:pt>
                <c:pt idx="116">
                  <c:v>4.6372217608839757E-2</c:v>
                </c:pt>
                <c:pt idx="117">
                  <c:v>4.0000191815181163E-2</c:v>
                </c:pt>
                <c:pt idx="118">
                  <c:v>3.805348292346615E-2</c:v>
                </c:pt>
                <c:pt idx="119">
                  <c:v>3.7880044790532488E-2</c:v>
                </c:pt>
                <c:pt idx="120">
                  <c:v>3.0692356983148181E-2</c:v>
                </c:pt>
                <c:pt idx="121">
                  <c:v>3.8645493093118238E-2</c:v>
                </c:pt>
                <c:pt idx="122">
                  <c:v>3.9776770121747546E-2</c:v>
                </c:pt>
                <c:pt idx="123">
                  <c:v>4.1951063219862798E-2</c:v>
                </c:pt>
                <c:pt idx="124">
                  <c:v>4.1681720845725925E-2</c:v>
                </c:pt>
                <c:pt idx="125">
                  <c:v>4.2615099595863973E-2</c:v>
                </c:pt>
                <c:pt idx="126">
                  <c:v>4.1929203309126278E-2</c:v>
                </c:pt>
                <c:pt idx="127">
                  <c:v>4.9596337656819603E-2</c:v>
                </c:pt>
                <c:pt idx="128">
                  <c:v>4.6095974662596628E-2</c:v>
                </c:pt>
                <c:pt idx="129">
                  <c:v>5.0280943298176672E-2</c:v>
                </c:pt>
                <c:pt idx="130">
                  <c:v>4.5195292486137739E-2</c:v>
                </c:pt>
                <c:pt idx="131">
                  <c:v>4.9165845778550502E-2</c:v>
                </c:pt>
                <c:pt idx="132">
                  <c:v>4.2735154312296256E-2</c:v>
                </c:pt>
                <c:pt idx="133">
                  <c:v>4.3763467871605954E-2</c:v>
                </c:pt>
                <c:pt idx="134">
                  <c:v>4.5049751282210906E-2</c:v>
                </c:pt>
                <c:pt idx="135">
                  <c:v>5.4033117323552399E-2</c:v>
                </c:pt>
                <c:pt idx="136">
                  <c:v>4.8948096978339982E-2</c:v>
                </c:pt>
                <c:pt idx="137">
                  <c:v>5.5331075663274977E-2</c:v>
                </c:pt>
                <c:pt idx="138">
                  <c:v>4.653759851025966E-2</c:v>
                </c:pt>
                <c:pt idx="139">
                  <c:v>5.2132625039320549E-2</c:v>
                </c:pt>
                <c:pt idx="140">
                  <c:v>5.1447023247990456E-2</c:v>
                </c:pt>
                <c:pt idx="141">
                  <c:v>5.0020849802743295E-2</c:v>
                </c:pt>
                <c:pt idx="142">
                  <c:v>5.1522121063569362E-2</c:v>
                </c:pt>
                <c:pt idx="143">
                  <c:v>4.9821646072405704E-2</c:v>
                </c:pt>
                <c:pt idx="144">
                  <c:v>5.1496745076147758E-2</c:v>
                </c:pt>
                <c:pt idx="145">
                  <c:v>5.1365356097886748E-2</c:v>
                </c:pt>
                <c:pt idx="146">
                  <c:v>4.9948811373861986E-2</c:v>
                </c:pt>
                <c:pt idx="147">
                  <c:v>5.0141769981706191E-2</c:v>
                </c:pt>
                <c:pt idx="148">
                  <c:v>4.9910696077755404E-2</c:v>
                </c:pt>
                <c:pt idx="149">
                  <c:v>5.0990530009204414E-2</c:v>
                </c:pt>
                <c:pt idx="150">
                  <c:v>3.574414313936964E-2</c:v>
                </c:pt>
                <c:pt idx="151">
                  <c:v>3.503510364992779E-2</c:v>
                </c:pt>
                <c:pt idx="152">
                  <c:v>4.8468447253223503E-2</c:v>
                </c:pt>
                <c:pt idx="153">
                  <c:v>4.265740901741475E-2</c:v>
                </c:pt>
                <c:pt idx="154">
                  <c:v>4.4820942448239413E-2</c:v>
                </c:pt>
                <c:pt idx="155">
                  <c:v>4.0295891210602973E-2</c:v>
                </c:pt>
                <c:pt idx="156">
                  <c:v>4.0897736141287049E-2</c:v>
                </c:pt>
                <c:pt idx="157">
                  <c:v>4.375470825654347E-2</c:v>
                </c:pt>
                <c:pt idx="158">
                  <c:v>3.8802549304697426E-2</c:v>
                </c:pt>
                <c:pt idx="159">
                  <c:v>4.0550061485985271E-2</c:v>
                </c:pt>
                <c:pt idx="160">
                  <c:v>3.6213181908382158E-2</c:v>
                </c:pt>
                <c:pt idx="161">
                  <c:v>4.2873777663927769E-2</c:v>
                </c:pt>
                <c:pt idx="162">
                  <c:v>3.8262991290562078E-2</c:v>
                </c:pt>
                <c:pt idx="163">
                  <c:v>3.5845191221584291E-2</c:v>
                </c:pt>
                <c:pt idx="164">
                  <c:v>4.3566451925430752E-2</c:v>
                </c:pt>
                <c:pt idx="165">
                  <c:v>4.7178286413457775E-2</c:v>
                </c:pt>
                <c:pt idx="166">
                  <c:v>3.9549118220708876E-2</c:v>
                </c:pt>
                <c:pt idx="167">
                  <c:v>3.7843962917676E-2</c:v>
                </c:pt>
                <c:pt idx="168">
                  <c:v>3.9967778821523768E-2</c:v>
                </c:pt>
                <c:pt idx="169">
                  <c:v>4.7066803238434332E-2</c:v>
                </c:pt>
                <c:pt idx="170">
                  <c:v>4.6422402489413581E-2</c:v>
                </c:pt>
                <c:pt idx="171">
                  <c:v>4.7916183652933104E-2</c:v>
                </c:pt>
                <c:pt idx="172">
                  <c:v>3.6582858116322593E-2</c:v>
                </c:pt>
                <c:pt idx="173">
                  <c:v>5.0674058742774059E-2</c:v>
                </c:pt>
                <c:pt idx="174">
                  <c:v>3.649184830731441E-2</c:v>
                </c:pt>
                <c:pt idx="175">
                  <c:v>4.7178576518786146E-2</c:v>
                </c:pt>
                <c:pt idx="176">
                  <c:v>4.6145599109593788E-2</c:v>
                </c:pt>
                <c:pt idx="177">
                  <c:v>4.661450658576885E-2</c:v>
                </c:pt>
                <c:pt idx="178">
                  <c:v>5.710316922230399E-2</c:v>
                </c:pt>
                <c:pt idx="179">
                  <c:v>4.9364660077821906E-2</c:v>
                </c:pt>
                <c:pt idx="180">
                  <c:v>4.1153887070672017E-2</c:v>
                </c:pt>
                <c:pt idx="181">
                  <c:v>4.2581826113320717E-2</c:v>
                </c:pt>
                <c:pt idx="182">
                  <c:v>3.6756720464821639E-2</c:v>
                </c:pt>
                <c:pt idx="183">
                  <c:v>4.0625422118048454E-2</c:v>
                </c:pt>
                <c:pt idx="184">
                  <c:v>4.3460623886076202E-2</c:v>
                </c:pt>
                <c:pt idx="185">
                  <c:v>3.5065516812038573E-2</c:v>
                </c:pt>
                <c:pt idx="186">
                  <c:v>3.519179467288841E-2</c:v>
                </c:pt>
                <c:pt idx="187">
                  <c:v>3.4710340110544365E-2</c:v>
                </c:pt>
                <c:pt idx="188">
                  <c:v>3.5592867582380963E-2</c:v>
                </c:pt>
                <c:pt idx="189">
                  <c:v>3.1607871987985987E-2</c:v>
                </c:pt>
                <c:pt idx="190">
                  <c:v>3.1358116348539258E-2</c:v>
                </c:pt>
                <c:pt idx="191">
                  <c:v>3.4789421341587426E-2</c:v>
                </c:pt>
                <c:pt idx="192">
                  <c:v>3.2808881221181266E-2</c:v>
                </c:pt>
                <c:pt idx="193">
                  <c:v>4.3907903822605801E-2</c:v>
                </c:pt>
                <c:pt idx="194">
                  <c:v>4.1334985344032231E-2</c:v>
                </c:pt>
                <c:pt idx="195">
                  <c:v>4.393457692484759E-2</c:v>
                </c:pt>
                <c:pt idx="196">
                  <c:v>4.5682451098333909E-2</c:v>
                </c:pt>
                <c:pt idx="197">
                  <c:v>3.6041566214087523E-2</c:v>
                </c:pt>
                <c:pt idx="198">
                  <c:v>4.7455102359536781E-2</c:v>
                </c:pt>
                <c:pt idx="199">
                  <c:v>3.2675410542189164E-2</c:v>
                </c:pt>
                <c:pt idx="200">
                  <c:v>3.2246727730245492E-2</c:v>
                </c:pt>
                <c:pt idx="201">
                  <c:v>4.6489794191789918E-2</c:v>
                </c:pt>
                <c:pt idx="202">
                  <c:v>4.4040272230168237E-2</c:v>
                </c:pt>
                <c:pt idx="203">
                  <c:v>4.3350610044236071E-2</c:v>
                </c:pt>
                <c:pt idx="204">
                  <c:v>3.6411444622850564E-2</c:v>
                </c:pt>
                <c:pt idx="205">
                  <c:v>4.3042025864849058E-2</c:v>
                </c:pt>
                <c:pt idx="206">
                  <c:v>3.5371291299942126E-2</c:v>
                </c:pt>
                <c:pt idx="207">
                  <c:v>4.7441901732412563E-2</c:v>
                </c:pt>
                <c:pt idx="208">
                  <c:v>4.5101384794468423E-2</c:v>
                </c:pt>
                <c:pt idx="209">
                  <c:v>5.2143200958480455E-2</c:v>
                </c:pt>
                <c:pt idx="210">
                  <c:v>4.5377289279871169E-2</c:v>
                </c:pt>
                <c:pt idx="211">
                  <c:v>3.4025124972775156E-2</c:v>
                </c:pt>
                <c:pt idx="212">
                  <c:v>3.2249410702291689E-2</c:v>
                </c:pt>
                <c:pt idx="213">
                  <c:v>3.7135465112778508E-2</c:v>
                </c:pt>
                <c:pt idx="214">
                  <c:v>4.7573961811810575E-2</c:v>
                </c:pt>
                <c:pt idx="215">
                  <c:v>4.7111530230497453E-2</c:v>
                </c:pt>
                <c:pt idx="216">
                  <c:v>5.1189340081255051E-2</c:v>
                </c:pt>
                <c:pt idx="217">
                  <c:v>4.7857645864700191E-2</c:v>
                </c:pt>
                <c:pt idx="218">
                  <c:v>4.7431289784227601E-2</c:v>
                </c:pt>
                <c:pt idx="219">
                  <c:v>3.9585539885507684E-2</c:v>
                </c:pt>
                <c:pt idx="220">
                  <c:v>5.1387654780163682E-2</c:v>
                </c:pt>
                <c:pt idx="221">
                  <c:v>4.1156840419458537E-2</c:v>
                </c:pt>
                <c:pt idx="222">
                  <c:v>4.7817128542920702E-2</c:v>
                </c:pt>
                <c:pt idx="223">
                  <c:v>3.9112251127676453E-2</c:v>
                </c:pt>
                <c:pt idx="224">
                  <c:v>3.9342493844486986E-2</c:v>
                </c:pt>
                <c:pt idx="225">
                  <c:v>4.4967132968366005E-2</c:v>
                </c:pt>
                <c:pt idx="226">
                  <c:v>4.3655720287064367E-2</c:v>
                </c:pt>
                <c:pt idx="227">
                  <c:v>5.057933115994296E-2</c:v>
                </c:pt>
                <c:pt idx="228">
                  <c:v>4.6052506658354996E-2</c:v>
                </c:pt>
                <c:pt idx="229">
                  <c:v>5.5585416560546497E-2</c:v>
                </c:pt>
                <c:pt idx="230">
                  <c:v>4.3566983395152824E-2</c:v>
                </c:pt>
                <c:pt idx="231">
                  <c:v>5.2926272357712363E-2</c:v>
                </c:pt>
                <c:pt idx="232">
                  <c:v>3.9946930254294279E-2</c:v>
                </c:pt>
                <c:pt idx="233">
                  <c:v>4.7359583478988977E-2</c:v>
                </c:pt>
                <c:pt idx="234">
                  <c:v>3.9787848643024322E-2</c:v>
                </c:pt>
                <c:pt idx="235">
                  <c:v>4.8191117508989904E-2</c:v>
                </c:pt>
                <c:pt idx="236">
                  <c:v>4.9737029725843013E-2</c:v>
                </c:pt>
                <c:pt idx="237">
                  <c:v>4.7623568685319598E-2</c:v>
                </c:pt>
                <c:pt idx="238">
                  <c:v>4.9776381999582162E-2</c:v>
                </c:pt>
                <c:pt idx="239">
                  <c:v>4.876062171298863E-2</c:v>
                </c:pt>
                <c:pt idx="240">
                  <c:v>5.4364418410564282E-2</c:v>
                </c:pt>
                <c:pt idx="241">
                  <c:v>4.8259727863398397E-2</c:v>
                </c:pt>
                <c:pt idx="242">
                  <c:v>4.3282429427152436E-2</c:v>
                </c:pt>
                <c:pt idx="243">
                  <c:v>4.3604262924426471E-2</c:v>
                </c:pt>
                <c:pt idx="244">
                  <c:v>4.2998995586674138E-2</c:v>
                </c:pt>
                <c:pt idx="245">
                  <c:v>3.8875196033690343E-2</c:v>
                </c:pt>
                <c:pt idx="246">
                  <c:v>3.977370933084589E-2</c:v>
                </c:pt>
                <c:pt idx="247">
                  <c:v>3.0148411795750178E-2</c:v>
                </c:pt>
                <c:pt idx="248">
                  <c:v>3.1784700220696488E-2</c:v>
                </c:pt>
                <c:pt idx="249">
                  <c:v>3.2108495315757317E-2</c:v>
                </c:pt>
                <c:pt idx="250">
                  <c:v>3.340884753772768E-2</c:v>
                </c:pt>
                <c:pt idx="251">
                  <c:v>3.1552376124896538E-2</c:v>
                </c:pt>
                <c:pt idx="252">
                  <c:v>3.2831438900877988E-2</c:v>
                </c:pt>
                <c:pt idx="253">
                  <c:v>3.1566385285221446E-2</c:v>
                </c:pt>
                <c:pt idx="254">
                  <c:v>3.346812475978498E-2</c:v>
                </c:pt>
                <c:pt idx="255">
                  <c:v>3.3909202683638458E-2</c:v>
                </c:pt>
                <c:pt idx="256">
                  <c:v>3.1231166756803205E-2</c:v>
                </c:pt>
                <c:pt idx="257">
                  <c:v>3.397005111054123E-2</c:v>
                </c:pt>
                <c:pt idx="258">
                  <c:v>3.3160023066221296E-2</c:v>
                </c:pt>
                <c:pt idx="259">
                  <c:v>2.9749884328060014E-2</c:v>
                </c:pt>
                <c:pt idx="260">
                  <c:v>3.6040940985145986E-2</c:v>
                </c:pt>
                <c:pt idx="261">
                  <c:v>4.9070502455294401E-2</c:v>
                </c:pt>
                <c:pt idx="262">
                  <c:v>3.7096220197083127E-2</c:v>
                </c:pt>
                <c:pt idx="263">
                  <c:v>3.4091253908339864E-2</c:v>
                </c:pt>
                <c:pt idx="264">
                  <c:v>3.7268324735451754E-2</c:v>
                </c:pt>
                <c:pt idx="265">
                  <c:v>3.9123709977541374E-2</c:v>
                </c:pt>
                <c:pt idx="266">
                  <c:v>3.9715916765860677E-2</c:v>
                </c:pt>
                <c:pt idx="267">
                  <c:v>3.6193310154119702E-2</c:v>
                </c:pt>
                <c:pt idx="268">
                  <c:v>3.8958920979371689E-2</c:v>
                </c:pt>
                <c:pt idx="269">
                  <c:v>3.2478881764690756E-2</c:v>
                </c:pt>
                <c:pt idx="270">
                  <c:v>3.2118027257318493E-2</c:v>
                </c:pt>
                <c:pt idx="271">
                  <c:v>3.9159228669035963E-2</c:v>
                </c:pt>
                <c:pt idx="272">
                  <c:v>4.2709716114289586E-2</c:v>
                </c:pt>
                <c:pt idx="273">
                  <c:v>4.7833954880443882E-2</c:v>
                </c:pt>
                <c:pt idx="274">
                  <c:v>4.6087575958202398E-2</c:v>
                </c:pt>
                <c:pt idx="275">
                  <c:v>5.0433605497255063E-2</c:v>
                </c:pt>
                <c:pt idx="276">
                  <c:v>4.1544941705203203E-2</c:v>
                </c:pt>
                <c:pt idx="277">
                  <c:v>3.9538758919076281E-2</c:v>
                </c:pt>
                <c:pt idx="278">
                  <c:v>3.5500114423946343E-2</c:v>
                </c:pt>
                <c:pt idx="279">
                  <c:v>3.7172012207959099E-2</c:v>
                </c:pt>
                <c:pt idx="280">
                  <c:v>3.6285933243070362E-2</c:v>
                </c:pt>
                <c:pt idx="281">
                  <c:v>3.8402931379088068E-2</c:v>
                </c:pt>
                <c:pt idx="282">
                  <c:v>3.5147809350873277E-2</c:v>
                </c:pt>
                <c:pt idx="283">
                  <c:v>3.7166475367221063E-2</c:v>
                </c:pt>
                <c:pt idx="284">
                  <c:v>3.6470607710320291E-2</c:v>
                </c:pt>
                <c:pt idx="285">
                  <c:v>3.8170821658972939E-2</c:v>
                </c:pt>
                <c:pt idx="286">
                  <c:v>3.7299384768416474E-2</c:v>
                </c:pt>
                <c:pt idx="287">
                  <c:v>4.2876541042037614E-2</c:v>
                </c:pt>
                <c:pt idx="288">
                  <c:v>3.9116018286594861E-2</c:v>
                </c:pt>
                <c:pt idx="289">
                  <c:v>3.5888049414081885E-2</c:v>
                </c:pt>
                <c:pt idx="290">
                  <c:v>4.0258569851032752E-2</c:v>
                </c:pt>
                <c:pt idx="291">
                  <c:v>5.1336358751507799E-2</c:v>
                </c:pt>
                <c:pt idx="292">
                  <c:v>5.0233601015170104E-2</c:v>
                </c:pt>
                <c:pt idx="293">
                  <c:v>5.1390096085500124E-2</c:v>
                </c:pt>
                <c:pt idx="294">
                  <c:v>3.7568519575838552E-2</c:v>
                </c:pt>
                <c:pt idx="295">
                  <c:v>7.376096318342551E-2</c:v>
                </c:pt>
                <c:pt idx="296">
                  <c:v>3.823657901527007E-2</c:v>
                </c:pt>
                <c:pt idx="297">
                  <c:v>6.4256653349343162E-2</c:v>
                </c:pt>
                <c:pt idx="298">
                  <c:v>4.1029673787680812E-2</c:v>
                </c:pt>
                <c:pt idx="299">
                  <c:v>4.2138891843300122E-2</c:v>
                </c:pt>
                <c:pt idx="300">
                  <c:v>4.2926586189464336E-2</c:v>
                </c:pt>
                <c:pt idx="301">
                  <c:v>5.0247251768750244E-2</c:v>
                </c:pt>
                <c:pt idx="302">
                  <c:v>4.8806752355090292E-2</c:v>
                </c:pt>
                <c:pt idx="303">
                  <c:v>3.7365772034929169E-2</c:v>
                </c:pt>
                <c:pt idx="304">
                  <c:v>4.7508372778672189E-2</c:v>
                </c:pt>
                <c:pt idx="305">
                  <c:v>4.4408542497802156E-2</c:v>
                </c:pt>
                <c:pt idx="306">
                  <c:v>3.880551738458058E-2</c:v>
                </c:pt>
                <c:pt idx="307">
                  <c:v>4.9995549357879324E-2</c:v>
                </c:pt>
                <c:pt idx="308">
                  <c:v>4.2765216076787169E-2</c:v>
                </c:pt>
                <c:pt idx="309">
                  <c:v>5.2829218384543734E-2</c:v>
                </c:pt>
                <c:pt idx="310">
                  <c:v>4.2480429377182466E-2</c:v>
                </c:pt>
                <c:pt idx="311">
                  <c:v>4.6802528507141401E-2</c:v>
                </c:pt>
                <c:pt idx="312">
                  <c:v>4.5219370689363984E-2</c:v>
                </c:pt>
                <c:pt idx="313">
                  <c:v>4.4937923213259942E-2</c:v>
                </c:pt>
                <c:pt idx="314">
                  <c:v>4.8156061843653876E-2</c:v>
                </c:pt>
                <c:pt idx="315">
                  <c:v>5.002878398459612E-2</c:v>
                </c:pt>
                <c:pt idx="316">
                  <c:v>4.4122580147146255E-2</c:v>
                </c:pt>
                <c:pt idx="317">
                  <c:v>4.4312786169455297E-2</c:v>
                </c:pt>
                <c:pt idx="318">
                  <c:v>4.3635560442854847E-2</c:v>
                </c:pt>
                <c:pt idx="319">
                  <c:v>4.2341728892895142E-2</c:v>
                </c:pt>
                <c:pt idx="320">
                  <c:v>4.2543065339562161E-2</c:v>
                </c:pt>
                <c:pt idx="321">
                  <c:v>4.8543440672513642E-2</c:v>
                </c:pt>
                <c:pt idx="322">
                  <c:v>4.2543065339562161E-2</c:v>
                </c:pt>
                <c:pt idx="323">
                  <c:v>4.9109161636258357E-2</c:v>
                </c:pt>
                <c:pt idx="324">
                  <c:v>5.1764620516722759E-2</c:v>
                </c:pt>
                <c:pt idx="325">
                  <c:v>5.6567924201591298E-2</c:v>
                </c:pt>
                <c:pt idx="326">
                  <c:v>6.6408958190973158E-2</c:v>
                </c:pt>
                <c:pt idx="327">
                  <c:v>4.3492507562084851E-2</c:v>
                </c:pt>
                <c:pt idx="328">
                  <c:v>4.2462545848669514E-2</c:v>
                </c:pt>
                <c:pt idx="329">
                  <c:v>5.037136542363066E-2</c:v>
                </c:pt>
                <c:pt idx="330">
                  <c:v>5.5299275867682678E-2</c:v>
                </c:pt>
                <c:pt idx="331">
                  <c:v>4.5913395389664366E-2</c:v>
                </c:pt>
                <c:pt idx="332">
                  <c:v>4.9786115999968433E-2</c:v>
                </c:pt>
                <c:pt idx="333">
                  <c:v>4.2569726514608816E-2</c:v>
                </c:pt>
                <c:pt idx="334">
                  <c:v>4.2608580271655559E-2</c:v>
                </c:pt>
                <c:pt idx="335">
                  <c:v>4.1092528424654287E-2</c:v>
                </c:pt>
                <c:pt idx="336">
                  <c:v>4.2310893601892552E-2</c:v>
                </c:pt>
                <c:pt idx="337">
                  <c:v>4.6648569894361711E-2</c:v>
                </c:pt>
                <c:pt idx="338">
                  <c:v>4.4238536928883715E-2</c:v>
                </c:pt>
                <c:pt idx="339">
                  <c:v>4.1951287323382581E-2</c:v>
                </c:pt>
                <c:pt idx="340">
                  <c:v>5.022858407809927E-2</c:v>
                </c:pt>
                <c:pt idx="341">
                  <c:v>4.2013652542506719E-2</c:v>
                </c:pt>
                <c:pt idx="342">
                  <c:v>4.145794906136302E-2</c:v>
                </c:pt>
                <c:pt idx="343">
                  <c:v>4.1456844028665445E-2</c:v>
                </c:pt>
                <c:pt idx="344">
                  <c:v>4.1763111862033346E-2</c:v>
                </c:pt>
                <c:pt idx="345">
                  <c:v>4.1515795674472153E-2</c:v>
                </c:pt>
                <c:pt idx="346">
                  <c:v>4.4551350782135554E-2</c:v>
                </c:pt>
                <c:pt idx="347">
                  <c:v>4.6893881316315424E-2</c:v>
                </c:pt>
                <c:pt idx="348">
                  <c:v>4.3294655821143453E-2</c:v>
                </c:pt>
                <c:pt idx="349">
                  <c:v>5.2106229203956106E-2</c:v>
                </c:pt>
                <c:pt idx="350">
                  <c:v>4.1634199205982172E-2</c:v>
                </c:pt>
                <c:pt idx="351">
                  <c:v>4.2232188432905597E-2</c:v>
                </c:pt>
                <c:pt idx="352">
                  <c:v>4.4622841874438268E-2</c:v>
                </c:pt>
                <c:pt idx="353">
                  <c:v>4.6205507722798973E-2</c:v>
                </c:pt>
                <c:pt idx="354">
                  <c:v>6.371473386729605E-2</c:v>
                </c:pt>
                <c:pt idx="355">
                  <c:v>6.3372096018761231E-2</c:v>
                </c:pt>
                <c:pt idx="356">
                  <c:v>4.8511143620971447E-2</c:v>
                </c:pt>
                <c:pt idx="357">
                  <c:v>4.9782609569163784E-2</c:v>
                </c:pt>
                <c:pt idx="358">
                  <c:v>4.0505338903003972E-2</c:v>
                </c:pt>
                <c:pt idx="359">
                  <c:v>4.5514063559417423E-2</c:v>
                </c:pt>
                <c:pt idx="360">
                  <c:v>4.0669083135311486E-2</c:v>
                </c:pt>
                <c:pt idx="361">
                  <c:v>4.8271382998579748E-2</c:v>
                </c:pt>
                <c:pt idx="362">
                  <c:v>3.5610204688537747E-2</c:v>
                </c:pt>
                <c:pt idx="363">
                  <c:v>3.5478279036810861E-2</c:v>
                </c:pt>
                <c:pt idx="364">
                  <c:v>3.7444725577322431E-2</c:v>
                </c:pt>
                <c:pt idx="365">
                  <c:v>3.563524260105199E-2</c:v>
                </c:pt>
                <c:pt idx="366">
                  <c:v>3.5820172682296966E-2</c:v>
                </c:pt>
                <c:pt idx="367">
                  <c:v>3.5317344801761894E-2</c:v>
                </c:pt>
                <c:pt idx="368">
                  <c:v>3.5405901429528638E-2</c:v>
                </c:pt>
                <c:pt idx="369">
                  <c:v>5.1105954864069499E-2</c:v>
                </c:pt>
                <c:pt idx="370">
                  <c:v>4.2669270414959395E-2</c:v>
                </c:pt>
                <c:pt idx="371">
                  <c:v>4.2387674968809748E-2</c:v>
                </c:pt>
                <c:pt idx="372">
                  <c:v>3.8409800761363619E-2</c:v>
                </c:pt>
                <c:pt idx="373">
                  <c:v>3.8327502244710633E-2</c:v>
                </c:pt>
                <c:pt idx="374">
                  <c:v>4.4176133885526568E-2</c:v>
                </c:pt>
                <c:pt idx="375">
                  <c:v>4.3448835492164536E-2</c:v>
                </c:pt>
                <c:pt idx="376">
                  <c:v>4.4582088373450866E-2</c:v>
                </c:pt>
                <c:pt idx="377">
                  <c:v>4.2412049592578729E-2</c:v>
                </c:pt>
                <c:pt idx="378">
                  <c:v>4.2412049592578729E-2</c:v>
                </c:pt>
                <c:pt idx="379">
                  <c:v>4.2566311963328538E-2</c:v>
                </c:pt>
                <c:pt idx="380">
                  <c:v>3.6684093867170968E-2</c:v>
                </c:pt>
                <c:pt idx="381">
                  <c:v>3.8019752769928257E-2</c:v>
                </c:pt>
                <c:pt idx="382">
                  <c:v>3.6117187184438668E-2</c:v>
                </c:pt>
                <c:pt idx="383">
                  <c:v>3.8320594343835251E-2</c:v>
                </c:pt>
                <c:pt idx="384">
                  <c:v>4.7178806629519218E-2</c:v>
                </c:pt>
                <c:pt idx="385">
                  <c:v>3.7050510776076906E-2</c:v>
                </c:pt>
                <c:pt idx="386">
                  <c:v>3.611000998796679E-2</c:v>
                </c:pt>
                <c:pt idx="387">
                  <c:v>3.5685808262497551E-2</c:v>
                </c:pt>
                <c:pt idx="388">
                  <c:v>5.1635563700410413E-2</c:v>
                </c:pt>
                <c:pt idx="389">
                  <c:v>3.7995518466340882E-2</c:v>
                </c:pt>
                <c:pt idx="390">
                  <c:v>3.599303784431826E-2</c:v>
                </c:pt>
                <c:pt idx="391">
                  <c:v>3.5917225983654891E-2</c:v>
                </c:pt>
              </c:numCache>
            </c:numRef>
          </c:xVal>
          <c:yVal>
            <c:numRef>
              <c:f>Regression!RegChartStudResid</c:f>
              <c:numCache>
                <c:formatCode>0.0000</c:formatCode>
                <c:ptCount val="392"/>
                <c:pt idx="0">
                  <c:v>0.38649046111356711</c:v>
                </c:pt>
                <c:pt idx="1">
                  <c:v>-0.10402109723737363</c:v>
                </c:pt>
                <c:pt idx="2">
                  <c:v>0.3790485664453398</c:v>
                </c:pt>
                <c:pt idx="3">
                  <c:v>-0.28991504577289978</c:v>
                </c:pt>
                <c:pt idx="4">
                  <c:v>1.5048430824006871E-2</c:v>
                </c:pt>
                <c:pt idx="5">
                  <c:v>1.1660321456416103</c:v>
                </c:pt>
                <c:pt idx="6">
                  <c:v>0.97921087107925164</c:v>
                </c:pt>
                <c:pt idx="7">
                  <c:v>0.87970525767099483</c:v>
                </c:pt>
                <c:pt idx="8">
                  <c:v>1.128024738712412</c:v>
                </c:pt>
                <c:pt idx="9">
                  <c:v>0.29552136767782289</c:v>
                </c:pt>
                <c:pt idx="10">
                  <c:v>-0.29588942339117646</c:v>
                </c:pt>
                <c:pt idx="11">
                  <c:v>-0.60409084446562589</c:v>
                </c:pt>
                <c:pt idx="12">
                  <c:v>-7.0617155228765965E-2</c:v>
                </c:pt>
                <c:pt idx="13">
                  <c:v>-1.1807393696594861</c:v>
                </c:pt>
                <c:pt idx="14">
                  <c:v>-0.40193142131392123</c:v>
                </c:pt>
                <c:pt idx="15">
                  <c:v>0.39968495672632448</c:v>
                </c:pt>
                <c:pt idx="16">
                  <c:v>-1.0254466826344708</c:v>
                </c:pt>
                <c:pt idx="17">
                  <c:v>-0.405910223941163</c:v>
                </c:pt>
                <c:pt idx="18">
                  <c:v>0.15513508303134854</c:v>
                </c:pt>
                <c:pt idx="19">
                  <c:v>-0.87508847543409352</c:v>
                </c:pt>
                <c:pt idx="20">
                  <c:v>0.44079310612391331</c:v>
                </c:pt>
                <c:pt idx="21">
                  <c:v>-0.28923752793395507</c:v>
                </c:pt>
                <c:pt idx="22">
                  <c:v>-2.049532242537162E-2</c:v>
                </c:pt>
                <c:pt idx="23">
                  <c:v>0.172892524355413</c:v>
                </c:pt>
                <c:pt idx="24">
                  <c:v>-0.2749679749002365</c:v>
                </c:pt>
                <c:pt idx="25">
                  <c:v>5.5683358456545526E-2</c:v>
                </c:pt>
                <c:pt idx="26">
                  <c:v>-0.42839201056708598</c:v>
                </c:pt>
                <c:pt idx="27">
                  <c:v>-3.1377572652108353E-2</c:v>
                </c:pt>
                <c:pt idx="28">
                  <c:v>-0.1993342477661991</c:v>
                </c:pt>
                <c:pt idx="29">
                  <c:v>-0.14983838636844124</c:v>
                </c:pt>
                <c:pt idx="30">
                  <c:v>1.1097334264431626</c:v>
                </c:pt>
                <c:pt idx="31">
                  <c:v>-0.61509549983121925</c:v>
                </c:pt>
                <c:pt idx="32">
                  <c:v>-1.2127928346337942</c:v>
                </c:pt>
                <c:pt idx="33">
                  <c:v>-0.82687344310872324</c:v>
                </c:pt>
                <c:pt idx="34">
                  <c:v>-0.70648636894146044</c:v>
                </c:pt>
                <c:pt idx="35">
                  <c:v>-0.15142098901853809</c:v>
                </c:pt>
                <c:pt idx="36">
                  <c:v>-0.44257513070662569</c:v>
                </c:pt>
                <c:pt idx="37">
                  <c:v>0.12974540077510244</c:v>
                </c:pt>
                <c:pt idx="38">
                  <c:v>0.61570961852166328</c:v>
                </c:pt>
                <c:pt idx="39">
                  <c:v>-2.8119699994232576E-2</c:v>
                </c:pt>
                <c:pt idx="40">
                  <c:v>-0.14215101395796509</c:v>
                </c:pt>
                <c:pt idx="41">
                  <c:v>0.80808342930665766</c:v>
                </c:pt>
                <c:pt idx="42">
                  <c:v>0.73255545774191388</c:v>
                </c:pt>
                <c:pt idx="43">
                  <c:v>1.4343249307838877</c:v>
                </c:pt>
                <c:pt idx="44">
                  <c:v>-0.93736805879047547</c:v>
                </c:pt>
                <c:pt idx="45">
                  <c:v>-0.74708884873176529</c:v>
                </c:pt>
                <c:pt idx="46">
                  <c:v>-0.11985683096866286</c:v>
                </c:pt>
                <c:pt idx="47">
                  <c:v>-0.75950614299185049</c:v>
                </c:pt>
                <c:pt idx="48">
                  <c:v>-0.65612392430107758</c:v>
                </c:pt>
                <c:pt idx="49">
                  <c:v>0.22503211391070585</c:v>
                </c:pt>
                <c:pt idx="50">
                  <c:v>0.70221206283556192</c:v>
                </c:pt>
                <c:pt idx="51">
                  <c:v>0.7198031188897932</c:v>
                </c:pt>
                <c:pt idx="52">
                  <c:v>0.45897738397456883</c:v>
                </c:pt>
                <c:pt idx="53">
                  <c:v>1.5500221062846515</c:v>
                </c:pt>
                <c:pt idx="54">
                  <c:v>-0.76325101320992839</c:v>
                </c:pt>
                <c:pt idx="55">
                  <c:v>-0.18942202796256211</c:v>
                </c:pt>
                <c:pt idx="56">
                  <c:v>-0.4439218066323502</c:v>
                </c:pt>
                <c:pt idx="57">
                  <c:v>0.24039254577345812</c:v>
                </c:pt>
                <c:pt idx="58">
                  <c:v>-1.0042751043337617</c:v>
                </c:pt>
                <c:pt idx="59">
                  <c:v>-0.89847347465828531</c:v>
                </c:pt>
                <c:pt idx="60">
                  <c:v>-0.89544945314468616</c:v>
                </c:pt>
                <c:pt idx="61">
                  <c:v>0.32432388942400503</c:v>
                </c:pt>
                <c:pt idx="62">
                  <c:v>0.89925474334882116</c:v>
                </c:pt>
                <c:pt idx="63">
                  <c:v>0.67419982475816331</c:v>
                </c:pt>
                <c:pt idx="64">
                  <c:v>0.34767210505293183</c:v>
                </c:pt>
                <c:pt idx="65">
                  <c:v>0.55972501051095702</c:v>
                </c:pt>
                <c:pt idx="66">
                  <c:v>0.50018854209737185</c:v>
                </c:pt>
                <c:pt idx="67">
                  <c:v>0.65564183486321792</c:v>
                </c:pt>
                <c:pt idx="68">
                  <c:v>0.27141090048236372</c:v>
                </c:pt>
                <c:pt idx="69">
                  <c:v>0.71162663600436038</c:v>
                </c:pt>
                <c:pt idx="70">
                  <c:v>-2.0157358299478298</c:v>
                </c:pt>
                <c:pt idx="71">
                  <c:v>0.26483477874394057</c:v>
                </c:pt>
                <c:pt idx="72">
                  <c:v>-0.16166667853581648</c:v>
                </c:pt>
                <c:pt idx="73">
                  <c:v>0.22330383955664967</c:v>
                </c:pt>
                <c:pt idx="74">
                  <c:v>0.24386567077228108</c:v>
                </c:pt>
                <c:pt idx="75">
                  <c:v>-1.2081383307454219</c:v>
                </c:pt>
                <c:pt idx="76">
                  <c:v>-0.78110036437010055</c:v>
                </c:pt>
                <c:pt idx="77">
                  <c:v>-0.26364023528520586</c:v>
                </c:pt>
                <c:pt idx="78">
                  <c:v>-2.6512351797496374E-2</c:v>
                </c:pt>
                <c:pt idx="79">
                  <c:v>-0.2744986939956604</c:v>
                </c:pt>
                <c:pt idx="80">
                  <c:v>0.89328897781380101</c:v>
                </c:pt>
                <c:pt idx="81">
                  <c:v>-0.38135513775663893</c:v>
                </c:pt>
                <c:pt idx="82">
                  <c:v>1.3082330687569474</c:v>
                </c:pt>
                <c:pt idx="83">
                  <c:v>0.21951048018534444</c:v>
                </c:pt>
                <c:pt idx="84">
                  <c:v>0.20398710450776986</c:v>
                </c:pt>
                <c:pt idx="85">
                  <c:v>-0.31629077006854361</c:v>
                </c:pt>
                <c:pt idx="86">
                  <c:v>-0.14480257381873682</c:v>
                </c:pt>
                <c:pt idx="87">
                  <c:v>0.23342741831090721</c:v>
                </c:pt>
                <c:pt idx="88">
                  <c:v>0.18988660114211489</c:v>
                </c:pt>
                <c:pt idx="89">
                  <c:v>1.4296443982960332</c:v>
                </c:pt>
                <c:pt idx="90">
                  <c:v>0.68086529918535865</c:v>
                </c:pt>
                <c:pt idx="91">
                  <c:v>0.55319696979359612</c:v>
                </c:pt>
                <c:pt idx="92">
                  <c:v>0.62988652393519196</c:v>
                </c:pt>
                <c:pt idx="93">
                  <c:v>1.4945061059531588</c:v>
                </c:pt>
                <c:pt idx="94">
                  <c:v>1.5835184219573464</c:v>
                </c:pt>
                <c:pt idx="95">
                  <c:v>-0.26432732427602168</c:v>
                </c:pt>
                <c:pt idx="96">
                  <c:v>-0.15803478633347209</c:v>
                </c:pt>
                <c:pt idx="97">
                  <c:v>-0.58466219481199633</c:v>
                </c:pt>
                <c:pt idx="98">
                  <c:v>-0.48011210341267613</c:v>
                </c:pt>
                <c:pt idx="99">
                  <c:v>-0.41823693209923679</c:v>
                </c:pt>
                <c:pt idx="100">
                  <c:v>1.0807560254323878</c:v>
                </c:pt>
                <c:pt idx="101">
                  <c:v>-0.43529358270499213</c:v>
                </c:pt>
                <c:pt idx="102">
                  <c:v>0.92150618089198921</c:v>
                </c:pt>
                <c:pt idx="103">
                  <c:v>1.1863106075737948</c:v>
                </c:pt>
                <c:pt idx="104">
                  <c:v>1.1069048065287921</c:v>
                </c:pt>
                <c:pt idx="105">
                  <c:v>0.56878580743135443</c:v>
                </c:pt>
                <c:pt idx="106">
                  <c:v>-0.7419240168698068</c:v>
                </c:pt>
                <c:pt idx="107">
                  <c:v>-1.6897180627740633</c:v>
                </c:pt>
                <c:pt idx="108">
                  <c:v>-0.55194584126169433</c:v>
                </c:pt>
                <c:pt idx="109">
                  <c:v>-0.82281965858508532</c:v>
                </c:pt>
                <c:pt idx="110">
                  <c:v>-2.6063331092365791</c:v>
                </c:pt>
                <c:pt idx="111">
                  <c:v>-1.2992210520172562</c:v>
                </c:pt>
                <c:pt idx="112">
                  <c:v>-0.24289117425341822</c:v>
                </c:pt>
                <c:pt idx="113">
                  <c:v>0.33488821969057941</c:v>
                </c:pt>
                <c:pt idx="114">
                  <c:v>0.67383986412757946</c:v>
                </c:pt>
                <c:pt idx="115">
                  <c:v>1.8307638951687928</c:v>
                </c:pt>
                <c:pt idx="116">
                  <c:v>0.44266880067425013</c:v>
                </c:pt>
                <c:pt idx="117">
                  <c:v>-0.59179023453714641</c:v>
                </c:pt>
                <c:pt idx="118">
                  <c:v>-1.1208436092324729</c:v>
                </c:pt>
                <c:pt idx="119">
                  <c:v>-0.85847137129504225</c:v>
                </c:pt>
                <c:pt idx="120">
                  <c:v>-0.44348189348088168</c:v>
                </c:pt>
                <c:pt idx="121">
                  <c:v>0.44275727569779671</c:v>
                </c:pt>
                <c:pt idx="122">
                  <c:v>-0.61593470926202709</c:v>
                </c:pt>
                <c:pt idx="123">
                  <c:v>-1.1692507528849245</c:v>
                </c:pt>
                <c:pt idx="124">
                  <c:v>-0.23318022611888406</c:v>
                </c:pt>
                <c:pt idx="125">
                  <c:v>-0.87855079557957172</c:v>
                </c:pt>
                <c:pt idx="126">
                  <c:v>-1.4769363323181779</c:v>
                </c:pt>
                <c:pt idx="127">
                  <c:v>0.65290692305068754</c:v>
                </c:pt>
                <c:pt idx="128">
                  <c:v>0.58752778997756339</c:v>
                </c:pt>
                <c:pt idx="129">
                  <c:v>0.7837174132586886</c:v>
                </c:pt>
                <c:pt idx="130">
                  <c:v>0.38024696094501742</c:v>
                </c:pt>
                <c:pt idx="131">
                  <c:v>-0.3948600187587657</c:v>
                </c:pt>
                <c:pt idx="132">
                  <c:v>-0.59082143000944431</c:v>
                </c:pt>
                <c:pt idx="133">
                  <c:v>1.6521563559608765E-2</c:v>
                </c:pt>
                <c:pt idx="134">
                  <c:v>0.43079556603354252</c:v>
                </c:pt>
                <c:pt idx="135">
                  <c:v>0.42871024250541362</c:v>
                </c:pt>
                <c:pt idx="136">
                  <c:v>0.35223603151477784</c:v>
                </c:pt>
                <c:pt idx="137">
                  <c:v>0.60637414955154345</c:v>
                </c:pt>
                <c:pt idx="138">
                  <c:v>1.3677785391081904E-2</c:v>
                </c:pt>
                <c:pt idx="139">
                  <c:v>0.5679830709381003</c:v>
                </c:pt>
                <c:pt idx="140">
                  <c:v>-0.95733088971303826</c:v>
                </c:pt>
                <c:pt idx="141">
                  <c:v>-0.32610721496463629</c:v>
                </c:pt>
                <c:pt idx="142">
                  <c:v>6.1844508852534556E-2</c:v>
                </c:pt>
                <c:pt idx="143">
                  <c:v>1.0446177063052544</c:v>
                </c:pt>
                <c:pt idx="144">
                  <c:v>0.678972813885793</c:v>
                </c:pt>
                <c:pt idx="145">
                  <c:v>-1.3375231715810678</c:v>
                </c:pt>
                <c:pt idx="146">
                  <c:v>-0.43384150629045037</c:v>
                </c:pt>
                <c:pt idx="147">
                  <c:v>-0.61264897901118454</c:v>
                </c:pt>
                <c:pt idx="148">
                  <c:v>-0.13131189884058012</c:v>
                </c:pt>
                <c:pt idx="149">
                  <c:v>0.77893428137700038</c:v>
                </c:pt>
                <c:pt idx="150">
                  <c:v>-8.6786137087075457E-2</c:v>
                </c:pt>
                <c:pt idx="151">
                  <c:v>-3.7067224491666183E-2</c:v>
                </c:pt>
                <c:pt idx="152">
                  <c:v>-1.2647682754399081</c:v>
                </c:pt>
                <c:pt idx="153">
                  <c:v>-1.7231986194513158</c:v>
                </c:pt>
                <c:pt idx="154">
                  <c:v>1.6896822821993696</c:v>
                </c:pt>
                <c:pt idx="155">
                  <c:v>0.83361742346054801</c:v>
                </c:pt>
                <c:pt idx="156">
                  <c:v>1.2915705569901454</c:v>
                </c:pt>
                <c:pt idx="157">
                  <c:v>0.88428252049289813</c:v>
                </c:pt>
                <c:pt idx="158">
                  <c:v>0.41163641314958188</c:v>
                </c:pt>
                <c:pt idx="159">
                  <c:v>3.5295875579665917E-2</c:v>
                </c:pt>
                <c:pt idx="160">
                  <c:v>-0.55072347548179512</c:v>
                </c:pt>
                <c:pt idx="161">
                  <c:v>0.45874200542910593</c:v>
                </c:pt>
                <c:pt idx="162">
                  <c:v>0.2802206101814822</c:v>
                </c:pt>
                <c:pt idx="163">
                  <c:v>0.25381221692103223</c:v>
                </c:pt>
                <c:pt idx="164">
                  <c:v>-2.0636596826638174</c:v>
                </c:pt>
                <c:pt idx="165">
                  <c:v>0.60778730846125162</c:v>
                </c:pt>
                <c:pt idx="166">
                  <c:v>0.12614744788801879</c:v>
                </c:pt>
                <c:pt idx="167">
                  <c:v>-0.31654278630410415</c:v>
                </c:pt>
                <c:pt idx="168">
                  <c:v>1.9978196923054001E-2</c:v>
                </c:pt>
                <c:pt idx="169">
                  <c:v>-5.0323917807237162E-2</c:v>
                </c:pt>
                <c:pt idx="170">
                  <c:v>-0.62096861122347591</c:v>
                </c:pt>
                <c:pt idx="171">
                  <c:v>-0.31053190188587537</c:v>
                </c:pt>
                <c:pt idx="172">
                  <c:v>-0.87909939485507804</c:v>
                </c:pt>
                <c:pt idx="173">
                  <c:v>0.2261029245486777</c:v>
                </c:pt>
                <c:pt idx="174">
                  <c:v>-0.20291519301262065</c:v>
                </c:pt>
                <c:pt idx="175">
                  <c:v>-0.36253627723480369</c:v>
                </c:pt>
                <c:pt idx="176">
                  <c:v>4.42470064737382E-2</c:v>
                </c:pt>
                <c:pt idx="177">
                  <c:v>-0.25571503432003895</c:v>
                </c:pt>
                <c:pt idx="178">
                  <c:v>0.37698943709717092</c:v>
                </c:pt>
                <c:pt idx="179">
                  <c:v>1.1899727275032879</c:v>
                </c:pt>
                <c:pt idx="180">
                  <c:v>0.60888968943784194</c:v>
                </c:pt>
                <c:pt idx="181">
                  <c:v>-0.82893417664067504</c:v>
                </c:pt>
                <c:pt idx="182">
                  <c:v>0.46871808445674717</c:v>
                </c:pt>
                <c:pt idx="183">
                  <c:v>0.19800523327850172</c:v>
                </c:pt>
                <c:pt idx="184">
                  <c:v>-0.18217601115514223</c:v>
                </c:pt>
                <c:pt idx="185">
                  <c:v>0.99879597785624907</c:v>
                </c:pt>
                <c:pt idx="186">
                  <c:v>0.51286368166817686</c:v>
                </c:pt>
                <c:pt idx="187">
                  <c:v>-0.19789440550578294</c:v>
                </c:pt>
                <c:pt idx="188">
                  <c:v>6.7796750316838655E-2</c:v>
                </c:pt>
                <c:pt idx="189">
                  <c:v>0.62541466034937021</c:v>
                </c:pt>
                <c:pt idx="190">
                  <c:v>0.85349810780512592</c:v>
                </c:pt>
                <c:pt idx="191">
                  <c:v>0.81643234827063882</c:v>
                </c:pt>
                <c:pt idx="192">
                  <c:v>0.48931010929768898</c:v>
                </c:pt>
                <c:pt idx="193">
                  <c:v>0.68104115262367693</c:v>
                </c:pt>
                <c:pt idx="194">
                  <c:v>-0.55753264896976418</c:v>
                </c:pt>
                <c:pt idx="195">
                  <c:v>-3.3128045912271899E-2</c:v>
                </c:pt>
                <c:pt idx="196">
                  <c:v>0.929005572099876</c:v>
                </c:pt>
                <c:pt idx="197">
                  <c:v>0.6655244148822943</c:v>
                </c:pt>
                <c:pt idx="198">
                  <c:v>-0.2481496935310088</c:v>
                </c:pt>
                <c:pt idx="199">
                  <c:v>0.21089005247032272</c:v>
                </c:pt>
                <c:pt idx="200">
                  <c:v>-0.95975295748031364</c:v>
                </c:pt>
                <c:pt idx="201">
                  <c:v>-5.0151452692646335E-2</c:v>
                </c:pt>
                <c:pt idx="202">
                  <c:v>1.0160259092109305</c:v>
                </c:pt>
                <c:pt idx="203">
                  <c:v>-1.2115968549615531E-2</c:v>
                </c:pt>
                <c:pt idx="204">
                  <c:v>0.84720077695598328</c:v>
                </c:pt>
                <c:pt idx="205">
                  <c:v>-0.81252205315323311</c:v>
                </c:pt>
                <c:pt idx="206">
                  <c:v>-0.90311709621560088</c:v>
                </c:pt>
                <c:pt idx="207">
                  <c:v>-1.0214074988536559</c:v>
                </c:pt>
                <c:pt idx="208">
                  <c:v>-1.52686927997236</c:v>
                </c:pt>
                <c:pt idx="209">
                  <c:v>-0.75457189916223411</c:v>
                </c:pt>
                <c:pt idx="210">
                  <c:v>1.1659795306247347</c:v>
                </c:pt>
                <c:pt idx="211">
                  <c:v>-0.73626542374562576</c:v>
                </c:pt>
                <c:pt idx="212">
                  <c:v>-1.1267405125615257</c:v>
                </c:pt>
                <c:pt idx="213">
                  <c:v>-1.2151675973963261</c:v>
                </c:pt>
                <c:pt idx="214">
                  <c:v>0.45411013125419436</c:v>
                </c:pt>
                <c:pt idx="215">
                  <c:v>0.89210317838709852</c:v>
                </c:pt>
                <c:pt idx="216">
                  <c:v>1.5747836013923096</c:v>
                </c:pt>
                <c:pt idx="217">
                  <c:v>-0.27897206548306153</c:v>
                </c:pt>
                <c:pt idx="218">
                  <c:v>0.9638711140431474</c:v>
                </c:pt>
                <c:pt idx="219">
                  <c:v>-1.3087490477455169E-2</c:v>
                </c:pt>
                <c:pt idx="220">
                  <c:v>-6.5682072482443399E-2</c:v>
                </c:pt>
                <c:pt idx="221">
                  <c:v>-0.24068058859417421</c:v>
                </c:pt>
                <c:pt idx="222">
                  <c:v>-0.2277333459968798</c:v>
                </c:pt>
                <c:pt idx="223">
                  <c:v>-0.80833512211099312</c:v>
                </c:pt>
                <c:pt idx="224">
                  <c:v>2.460353485030169E-3</c:v>
                </c:pt>
                <c:pt idx="225">
                  <c:v>-0.178750838519487</c:v>
                </c:pt>
                <c:pt idx="226">
                  <c:v>-0.53338642732774277</c:v>
                </c:pt>
                <c:pt idx="227">
                  <c:v>0.25110022474117161</c:v>
                </c:pt>
                <c:pt idx="228">
                  <c:v>-6.355094576677528E-2</c:v>
                </c:pt>
                <c:pt idx="229">
                  <c:v>0.31685206458483206</c:v>
                </c:pt>
                <c:pt idx="230">
                  <c:v>0.27649769074525654</c:v>
                </c:pt>
                <c:pt idx="231">
                  <c:v>-0.46498176646527956</c:v>
                </c:pt>
                <c:pt idx="232">
                  <c:v>8.7513237424760373E-2</c:v>
                </c:pt>
                <c:pt idx="233">
                  <c:v>-0.97305252208919768</c:v>
                </c:pt>
                <c:pt idx="234">
                  <c:v>0.45088667377233677</c:v>
                </c:pt>
                <c:pt idx="235">
                  <c:v>0.79148643600889357</c:v>
                </c:pt>
                <c:pt idx="236">
                  <c:v>1.9447162353916565</c:v>
                </c:pt>
                <c:pt idx="237">
                  <c:v>-0.15390694742658828</c:v>
                </c:pt>
                <c:pt idx="238">
                  <c:v>0.46083052696320054</c:v>
                </c:pt>
                <c:pt idx="239">
                  <c:v>-1.2605695043801399</c:v>
                </c:pt>
                <c:pt idx="240">
                  <c:v>-1.6852434476538738</c:v>
                </c:pt>
                <c:pt idx="241">
                  <c:v>-1.5175419689962215</c:v>
                </c:pt>
                <c:pt idx="242">
                  <c:v>4.2007262122566909</c:v>
                </c:pt>
                <c:pt idx="243">
                  <c:v>2.2990445774735178</c:v>
                </c:pt>
                <c:pt idx="244">
                  <c:v>0.74844507336636212</c:v>
                </c:pt>
                <c:pt idx="245">
                  <c:v>3.1819916573400064</c:v>
                </c:pt>
                <c:pt idx="246">
                  <c:v>1.5766853430851624</c:v>
                </c:pt>
                <c:pt idx="247">
                  <c:v>-0.22021492268660697</c:v>
                </c:pt>
                <c:pt idx="248">
                  <c:v>0.39604728421941965</c:v>
                </c:pt>
                <c:pt idx="249">
                  <c:v>0.37898661019968899</c:v>
                </c:pt>
                <c:pt idx="250">
                  <c:v>-0.19419634887019976</c:v>
                </c:pt>
                <c:pt idx="251">
                  <c:v>-0.45454530660835746</c:v>
                </c:pt>
                <c:pt idx="252">
                  <c:v>-0.927047522634598</c:v>
                </c:pt>
                <c:pt idx="253">
                  <c:v>0.3020629285829729</c:v>
                </c:pt>
                <c:pt idx="254">
                  <c:v>3.3677120231554412E-2</c:v>
                </c:pt>
                <c:pt idx="255">
                  <c:v>-0.7545211564143921</c:v>
                </c:pt>
                <c:pt idx="256">
                  <c:v>9.794683491434978E-3</c:v>
                </c:pt>
                <c:pt idx="257">
                  <c:v>-0.55221926921070552</c:v>
                </c:pt>
                <c:pt idx="258">
                  <c:v>-0.2234940046084922</c:v>
                </c:pt>
                <c:pt idx="259">
                  <c:v>-0.6867864968921471</c:v>
                </c:pt>
                <c:pt idx="260">
                  <c:v>-0.1637477879266058</c:v>
                </c:pt>
                <c:pt idx="261">
                  <c:v>-0.52393736657058854</c:v>
                </c:pt>
                <c:pt idx="262">
                  <c:v>-0.93176894037652602</c:v>
                </c:pt>
                <c:pt idx="263">
                  <c:v>0.34571317856570893</c:v>
                </c:pt>
                <c:pt idx="264">
                  <c:v>0.87264012009621705</c:v>
                </c:pt>
                <c:pt idx="265">
                  <c:v>0.18470642599230908</c:v>
                </c:pt>
                <c:pt idx="266">
                  <c:v>-0.3422246281983452</c:v>
                </c:pt>
                <c:pt idx="267">
                  <c:v>1.3348865121336064</c:v>
                </c:pt>
                <c:pt idx="268">
                  <c:v>-2.0195065214468078</c:v>
                </c:pt>
                <c:pt idx="269">
                  <c:v>-0.19410783505686771</c:v>
                </c:pt>
                <c:pt idx="270">
                  <c:v>8.1721707715658939E-2</c:v>
                </c:pt>
                <c:pt idx="271">
                  <c:v>-1.2628813097867118</c:v>
                </c:pt>
                <c:pt idx="272">
                  <c:v>-1.6746439809266791</c:v>
                </c:pt>
                <c:pt idx="273">
                  <c:v>-2.1379379429147831</c:v>
                </c:pt>
                <c:pt idx="274">
                  <c:v>-1.2377760380844094</c:v>
                </c:pt>
                <c:pt idx="275">
                  <c:v>-1.9076726580567798</c:v>
                </c:pt>
                <c:pt idx="276">
                  <c:v>0.46674163527249601</c:v>
                </c:pt>
                <c:pt idx="277">
                  <c:v>-1.1623375752353253E-2</c:v>
                </c:pt>
                <c:pt idx="278">
                  <c:v>-0.66377208981313374</c:v>
                </c:pt>
                <c:pt idx="279">
                  <c:v>-1.8200175308828732</c:v>
                </c:pt>
                <c:pt idx="280">
                  <c:v>-1.1408976899843088</c:v>
                </c:pt>
                <c:pt idx="281">
                  <c:v>-1.1982691301329926</c:v>
                </c:pt>
                <c:pt idx="282">
                  <c:v>-0.79604972147694208</c:v>
                </c:pt>
                <c:pt idx="283">
                  <c:v>-1.0776013794312624</c:v>
                </c:pt>
                <c:pt idx="284">
                  <c:v>-1.0767196379396351</c:v>
                </c:pt>
                <c:pt idx="285">
                  <c:v>-1.007631554042864</c:v>
                </c:pt>
                <c:pt idx="286">
                  <c:v>-0.6687898832660335</c:v>
                </c:pt>
                <c:pt idx="287">
                  <c:v>-0.10145734321850042</c:v>
                </c:pt>
                <c:pt idx="288">
                  <c:v>-1.1524014899843384</c:v>
                </c:pt>
                <c:pt idx="289">
                  <c:v>-0.76844520954536732</c:v>
                </c:pt>
                <c:pt idx="290">
                  <c:v>-0.30358004022533502</c:v>
                </c:pt>
                <c:pt idx="291">
                  <c:v>-0.31311702677892411</c:v>
                </c:pt>
                <c:pt idx="292">
                  <c:v>0.43433707282313821</c:v>
                </c:pt>
                <c:pt idx="293">
                  <c:v>1.6395545081768057</c:v>
                </c:pt>
                <c:pt idx="294">
                  <c:v>0.13985011155835916</c:v>
                </c:pt>
                <c:pt idx="295">
                  <c:v>0.26714134253452559</c:v>
                </c:pt>
                <c:pt idx="296">
                  <c:v>0.99045257304541545</c:v>
                </c:pt>
                <c:pt idx="297">
                  <c:v>0.2593965308397409</c:v>
                </c:pt>
                <c:pt idx="298">
                  <c:v>0.29319660015181248</c:v>
                </c:pt>
                <c:pt idx="299">
                  <c:v>1.5585580298512527</c:v>
                </c:pt>
                <c:pt idx="300">
                  <c:v>1.574807083100602</c:v>
                </c:pt>
                <c:pt idx="301">
                  <c:v>-0.25886999570707769</c:v>
                </c:pt>
                <c:pt idx="302">
                  <c:v>1.828551890381136</c:v>
                </c:pt>
                <c:pt idx="303">
                  <c:v>0.52607820754972878</c:v>
                </c:pt>
                <c:pt idx="304">
                  <c:v>0.67123358040088088</c:v>
                </c:pt>
                <c:pt idx="305">
                  <c:v>0.18042945365691318</c:v>
                </c:pt>
                <c:pt idx="306">
                  <c:v>2.0304757137129981</c:v>
                </c:pt>
                <c:pt idx="307">
                  <c:v>1.9378837350397533</c:v>
                </c:pt>
                <c:pt idx="308">
                  <c:v>0.3734161112853554</c:v>
                </c:pt>
                <c:pt idx="309">
                  <c:v>-0.63228553332444448</c:v>
                </c:pt>
                <c:pt idx="310">
                  <c:v>0.186585215281827</c:v>
                </c:pt>
                <c:pt idx="311">
                  <c:v>-0.94749992351060164</c:v>
                </c:pt>
                <c:pt idx="312">
                  <c:v>-1.1670319415810113</c:v>
                </c:pt>
                <c:pt idx="313">
                  <c:v>-1.6319415081566548</c:v>
                </c:pt>
                <c:pt idx="314">
                  <c:v>-2.7327997376671602</c:v>
                </c:pt>
                <c:pt idx="315">
                  <c:v>-0.38508480762604713</c:v>
                </c:pt>
                <c:pt idx="316">
                  <c:v>-0.97713360215343592</c:v>
                </c:pt>
                <c:pt idx="317">
                  <c:v>-0.84358082508023313</c:v>
                </c:pt>
                <c:pt idx="318">
                  <c:v>0.9666883678653565</c:v>
                </c:pt>
                <c:pt idx="319">
                  <c:v>-1.0101337973139497</c:v>
                </c:pt>
                <c:pt idx="320">
                  <c:v>3.4720773077781151</c:v>
                </c:pt>
                <c:pt idx="321">
                  <c:v>-0.6939217973604519</c:v>
                </c:pt>
                <c:pt idx="322">
                  <c:v>1.539587675300786</c:v>
                </c:pt>
                <c:pt idx="323">
                  <c:v>2.6212478115325357</c:v>
                </c:pt>
                <c:pt idx="324">
                  <c:v>2.7473960479992132</c:v>
                </c:pt>
                <c:pt idx="325">
                  <c:v>1.5535500258921446</c:v>
                </c:pt>
                <c:pt idx="326">
                  <c:v>-8.5231484219200196E-2</c:v>
                </c:pt>
                <c:pt idx="327">
                  <c:v>2.3790723412149783</c:v>
                </c:pt>
                <c:pt idx="328">
                  <c:v>-0.72283127398567504</c:v>
                </c:pt>
                <c:pt idx="329">
                  <c:v>-2.5586120959927223</c:v>
                </c:pt>
                <c:pt idx="330">
                  <c:v>0.5565680312062059</c:v>
                </c:pt>
                <c:pt idx="331">
                  <c:v>-3.4516826175693711</c:v>
                </c:pt>
                <c:pt idx="332">
                  <c:v>0.43174338069116325</c:v>
                </c:pt>
                <c:pt idx="333">
                  <c:v>-0.91766871471415257</c:v>
                </c:pt>
                <c:pt idx="334">
                  <c:v>-0.68324182750021945</c:v>
                </c:pt>
                <c:pt idx="335">
                  <c:v>-0.63802821850481473</c:v>
                </c:pt>
                <c:pt idx="336">
                  <c:v>-0.88698134092906566</c:v>
                </c:pt>
                <c:pt idx="337">
                  <c:v>-1.3818722583783192</c:v>
                </c:pt>
                <c:pt idx="338">
                  <c:v>7.2633416429775416E-2</c:v>
                </c:pt>
                <c:pt idx="339">
                  <c:v>1.2143705581244535</c:v>
                </c:pt>
                <c:pt idx="340">
                  <c:v>2.1111674999819692</c:v>
                </c:pt>
                <c:pt idx="341">
                  <c:v>-9.8723664725633778E-2</c:v>
                </c:pt>
                <c:pt idx="342">
                  <c:v>-0.47899199098150264</c:v>
                </c:pt>
                <c:pt idx="343">
                  <c:v>0.92354334626383094</c:v>
                </c:pt>
                <c:pt idx="344">
                  <c:v>1.2670807492508769</c:v>
                </c:pt>
                <c:pt idx="345">
                  <c:v>-9.0731992161399884E-3</c:v>
                </c:pt>
                <c:pt idx="346">
                  <c:v>1.2394515341278656</c:v>
                </c:pt>
                <c:pt idx="347">
                  <c:v>0.86418422319002075</c:v>
                </c:pt>
                <c:pt idx="348">
                  <c:v>-7.1999000729859874E-2</c:v>
                </c:pt>
                <c:pt idx="349">
                  <c:v>4.357517290963614E-2</c:v>
                </c:pt>
                <c:pt idx="350">
                  <c:v>0.27496728736359061</c:v>
                </c:pt>
                <c:pt idx="351">
                  <c:v>7.8125519301106491E-2</c:v>
                </c:pt>
                <c:pt idx="352">
                  <c:v>0.82794023224202573</c:v>
                </c:pt>
                <c:pt idx="353">
                  <c:v>0.28753308488155299</c:v>
                </c:pt>
                <c:pt idx="354">
                  <c:v>0.19993267130990081</c:v>
                </c:pt>
                <c:pt idx="355">
                  <c:v>0.93448737390407366</c:v>
                </c:pt>
                <c:pt idx="356">
                  <c:v>-1.1079659887017947</c:v>
                </c:pt>
                <c:pt idx="357">
                  <c:v>-1.4375278289347984</c:v>
                </c:pt>
                <c:pt idx="358">
                  <c:v>-0.5807423868304179</c:v>
                </c:pt>
                <c:pt idx="359">
                  <c:v>1.3160037932020465</c:v>
                </c:pt>
                <c:pt idx="360">
                  <c:v>-2.0302994659393092</c:v>
                </c:pt>
                <c:pt idx="361">
                  <c:v>-2.2382603266400922</c:v>
                </c:pt>
                <c:pt idx="362">
                  <c:v>-0.75751706682775932</c:v>
                </c:pt>
                <c:pt idx="363">
                  <c:v>-1.0306011185079675</c:v>
                </c:pt>
                <c:pt idx="364">
                  <c:v>0.88224971223867943</c:v>
                </c:pt>
                <c:pt idx="365">
                  <c:v>0.17184976624815054</c:v>
                </c:pt>
                <c:pt idx="366">
                  <c:v>-0.58163018536706668</c:v>
                </c:pt>
                <c:pt idx="367">
                  <c:v>-0.86006936817939583</c:v>
                </c:pt>
                <c:pt idx="368">
                  <c:v>-1.6266867098316871</c:v>
                </c:pt>
                <c:pt idx="369">
                  <c:v>0.12999171896583686</c:v>
                </c:pt>
                <c:pt idx="370">
                  <c:v>0.46544427933441679</c:v>
                </c:pt>
                <c:pt idx="371">
                  <c:v>-1.6263684665199458</c:v>
                </c:pt>
                <c:pt idx="372">
                  <c:v>1.6231038143843957</c:v>
                </c:pt>
                <c:pt idx="373">
                  <c:v>0.99590616832095746</c:v>
                </c:pt>
                <c:pt idx="374">
                  <c:v>0.46857065274584686</c:v>
                </c:pt>
                <c:pt idx="375">
                  <c:v>0.47398446164131658</c:v>
                </c:pt>
                <c:pt idx="376">
                  <c:v>-0.15234540833319252</c:v>
                </c:pt>
                <c:pt idx="377">
                  <c:v>0.69192234930796215</c:v>
                </c:pt>
                <c:pt idx="378">
                  <c:v>-1.3070680932321548</c:v>
                </c:pt>
                <c:pt idx="379">
                  <c:v>0.74258970300151583</c:v>
                </c:pt>
                <c:pt idx="380">
                  <c:v>-1.0639613519924889</c:v>
                </c:pt>
                <c:pt idx="381">
                  <c:v>3.2394353065249715</c:v>
                </c:pt>
                <c:pt idx="382">
                  <c:v>-1.4339281629923653</c:v>
                </c:pt>
                <c:pt idx="383">
                  <c:v>-2.2366030601609697</c:v>
                </c:pt>
                <c:pt idx="384">
                  <c:v>3.0723966658166412E-2</c:v>
                </c:pt>
                <c:pt idx="385">
                  <c:v>1.4829089516943263</c:v>
                </c:pt>
                <c:pt idx="386">
                  <c:v>-0.49892317917099871</c:v>
                </c:pt>
                <c:pt idx="387">
                  <c:v>-0.78933938116930624</c:v>
                </c:pt>
                <c:pt idx="388">
                  <c:v>2.9429591190884814</c:v>
                </c:pt>
                <c:pt idx="389">
                  <c:v>2.781136326469728E-2</c:v>
                </c:pt>
                <c:pt idx="390">
                  <c:v>-0.77256397256164433</c:v>
                </c:pt>
                <c:pt idx="391">
                  <c:v>0.39947920216775201</c:v>
                </c:pt>
              </c:numCache>
            </c:numRef>
          </c:yVal>
          <c:smooth val="0"/>
          <c:extLst>
            <c:ext xmlns:c16="http://schemas.microsoft.com/office/drawing/2014/chart" uri="{C3380CC4-5D6E-409C-BE32-E72D297353CC}">
              <c16:uniqueId val="{00000002-D467-4389-840F-F46875F05402}"/>
            </c:ext>
          </c:extLst>
        </c:ser>
        <c:dLbls>
          <c:showLegendKey val="0"/>
          <c:showVal val="0"/>
          <c:showCatName val="0"/>
          <c:showSerName val="0"/>
          <c:showPercent val="0"/>
          <c:showBubbleSize val="0"/>
        </c:dLbls>
        <c:axId val="648510624"/>
        <c:axId val="648505824"/>
      </c:scatterChart>
      <c:valAx>
        <c:axId val="648510624"/>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648505824"/>
        <c:crosses val="autoZero"/>
        <c:crossBetween val="midCat"/>
      </c:valAx>
      <c:valAx>
        <c:axId val="648505824"/>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64851062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3,865.0234)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392"/>
                <c:pt idx="0">
                  <c:v>1.2100080743820918</c:v>
                </c:pt>
                <c:pt idx="1">
                  <c:v>-0.32489208383551893</c:v>
                </c:pt>
                <c:pt idx="2">
                  <c:v>1.1838129027935078</c:v>
                </c:pt>
                <c:pt idx="3">
                  <c:v>-0.90544185234691688</c:v>
                </c:pt>
                <c:pt idx="4">
                  <c:v>4.7022267319638135E-2</c:v>
                </c:pt>
                <c:pt idx="5">
                  <c:v>3.6510860999541497</c:v>
                </c:pt>
                <c:pt idx="6">
                  <c:v>3.0825035334412796</c:v>
                </c:pt>
                <c:pt idx="7">
                  <c:v>2.765534916142641</c:v>
                </c:pt>
                <c:pt idx="8">
                  <c:v>3.555259459550268</c:v>
                </c:pt>
                <c:pt idx="9">
                  <c:v>0.92577038537480072</c:v>
                </c:pt>
                <c:pt idx="10">
                  <c:v>-0.92509290975650249</c:v>
                </c:pt>
                <c:pt idx="11">
                  <c:v>-1.8865804352483262</c:v>
                </c:pt>
                <c:pt idx="12">
                  <c:v>-0.22070482827048382</c:v>
                </c:pt>
                <c:pt idx="13">
                  <c:v>-3.8435111730357319</c:v>
                </c:pt>
                <c:pt idx="14">
                  <c:v>-1.2681887958395983</c:v>
                </c:pt>
                <c:pt idx="15">
                  <c:v>1.2569745440661688</c:v>
                </c:pt>
                <c:pt idx="16">
                  <c:v>-3.2218584921045386</c:v>
                </c:pt>
                <c:pt idx="17">
                  <c:v>-1.2786854952116748</c:v>
                </c:pt>
                <c:pt idx="18">
                  <c:v>0.48949425015711573</c:v>
                </c:pt>
                <c:pt idx="19">
                  <c:v>-2.7805355040656163</c:v>
                </c:pt>
                <c:pt idx="20">
                  <c:v>1.3926195562012067</c:v>
                </c:pt>
                <c:pt idx="21">
                  <c:v>-0.91096744764442683</c:v>
                </c:pt>
                <c:pt idx="22">
                  <c:v>-6.4479519027606541E-2</c:v>
                </c:pt>
                <c:pt idx="23">
                  <c:v>0.54391555439418926</c:v>
                </c:pt>
                <c:pt idx="24">
                  <c:v>-0.86512031043821536</c:v>
                </c:pt>
                <c:pt idx="25">
                  <c:v>0.17482390168277548</c:v>
                </c:pt>
                <c:pt idx="26">
                  <c:v>-1.3417394580617257</c:v>
                </c:pt>
                <c:pt idx="27">
                  <c:v>-9.846344656944056E-2</c:v>
                </c:pt>
                <c:pt idx="28">
                  <c:v>-0.62519117226828824</c:v>
                </c:pt>
                <c:pt idx="29">
                  <c:v>-0.47165320666573141</c:v>
                </c:pt>
                <c:pt idx="30">
                  <c:v>3.4866006087113437</c:v>
                </c:pt>
                <c:pt idx="31">
                  <c:v>-1.9366264344286563</c:v>
                </c:pt>
                <c:pt idx="32">
                  <c:v>-3.8004614734856883</c:v>
                </c:pt>
                <c:pt idx="33">
                  <c:v>-2.5895671975627259</c:v>
                </c:pt>
                <c:pt idx="34">
                  <c:v>-2.2127516260067228</c:v>
                </c:pt>
                <c:pt idx="35">
                  <c:v>-0.47544838041368248</c:v>
                </c:pt>
                <c:pt idx="36">
                  <c:v>-1.3858169387055965</c:v>
                </c:pt>
                <c:pt idx="37">
                  <c:v>0.4072123581967369</c:v>
                </c:pt>
                <c:pt idx="38">
                  <c:v>1.935809430720433</c:v>
                </c:pt>
                <c:pt idx="39">
                  <c:v>-8.8147279458087743E-2</c:v>
                </c:pt>
                <c:pt idx="40">
                  <c:v>-0.44545356603367431</c:v>
                </c:pt>
                <c:pt idx="41">
                  <c:v>2.5494811913343209</c:v>
                </c:pt>
                <c:pt idx="42">
                  <c:v>2.3063064578582293</c:v>
                </c:pt>
                <c:pt idx="43">
                  <c:v>4.5379009999192625</c:v>
                </c:pt>
                <c:pt idx="44">
                  <c:v>-2.9334430184822335</c:v>
                </c:pt>
                <c:pt idx="45">
                  <c:v>-2.3441346561546261</c:v>
                </c:pt>
                <c:pt idx="46">
                  <c:v>-0.37528987456565416</c:v>
                </c:pt>
                <c:pt idx="47">
                  <c:v>-2.3813128863916244</c:v>
                </c:pt>
                <c:pt idx="48">
                  <c:v>-2.0614989501083594</c:v>
                </c:pt>
                <c:pt idx="49">
                  <c:v>0.70984418335590227</c:v>
                </c:pt>
                <c:pt idx="50">
                  <c:v>2.2108771264682758</c:v>
                </c:pt>
                <c:pt idx="51">
                  <c:v>2.2670166529781119</c:v>
                </c:pt>
                <c:pt idx="52">
                  <c:v>1.4454739739280063</c:v>
                </c:pt>
                <c:pt idx="53">
                  <c:v>4.8862847209451683</c:v>
                </c:pt>
                <c:pt idx="54">
                  <c:v>-2.4046385400095391</c:v>
                </c:pt>
                <c:pt idx="55">
                  <c:v>-0.59616383164651066</c:v>
                </c:pt>
                <c:pt idx="56">
                  <c:v>-1.3956229739450925</c:v>
                </c:pt>
                <c:pt idx="57">
                  <c:v>0.75688330680051863</c:v>
                </c:pt>
                <c:pt idx="58">
                  <c:v>-3.1695718173709952</c:v>
                </c:pt>
                <c:pt idx="59">
                  <c:v>-2.8217850869349341</c:v>
                </c:pt>
                <c:pt idx="60">
                  <c:v>-2.816985298899978</c:v>
                </c:pt>
                <c:pt idx="61">
                  <c:v>1.0155990074407157</c:v>
                </c:pt>
                <c:pt idx="62">
                  <c:v>2.8190205414092691</c:v>
                </c:pt>
                <c:pt idx="63">
                  <c:v>2.1096679502107745</c:v>
                </c:pt>
                <c:pt idx="64">
                  <c:v>1.0878424613699889</c:v>
                </c:pt>
                <c:pt idx="65">
                  <c:v>1.7515965712486514</c:v>
                </c:pt>
                <c:pt idx="66">
                  <c:v>1.5794185331375663</c:v>
                </c:pt>
                <c:pt idx="67">
                  <c:v>2.0565911381379003</c:v>
                </c:pt>
                <c:pt idx="68">
                  <c:v>0.85062266962685473</c:v>
                </c:pt>
                <c:pt idx="69">
                  <c:v>2.237133857024852</c:v>
                </c:pt>
                <c:pt idx="70">
                  <c:v>-6.3366325748937591</c:v>
                </c:pt>
                <c:pt idx="71">
                  <c:v>0.82827295742579765</c:v>
                </c:pt>
                <c:pt idx="72">
                  <c:v>-0.50697597722033172</c:v>
                </c:pt>
                <c:pt idx="73">
                  <c:v>0.70045057104625297</c:v>
                </c:pt>
                <c:pt idx="74">
                  <c:v>0.7629090999530399</c:v>
                </c:pt>
                <c:pt idx="75">
                  <c:v>-3.7996929781103947</c:v>
                </c:pt>
                <c:pt idx="76">
                  <c:v>-2.4580357345029782</c:v>
                </c:pt>
                <c:pt idx="77">
                  <c:v>-0.83091410409805389</c:v>
                </c:pt>
                <c:pt idx="78">
                  <c:v>-8.3433130402063932E-2</c:v>
                </c:pt>
                <c:pt idx="79">
                  <c:v>-0.86215800200214598</c:v>
                </c:pt>
                <c:pt idx="80">
                  <c:v>2.808092559734003</c:v>
                </c:pt>
                <c:pt idx="81">
                  <c:v>-1.1985802970076613</c:v>
                </c:pt>
                <c:pt idx="82">
                  <c:v>4.117330550406197</c:v>
                </c:pt>
                <c:pt idx="83">
                  <c:v>0.69039721364845952</c:v>
                </c:pt>
                <c:pt idx="84">
                  <c:v>0.63546285600235564</c:v>
                </c:pt>
                <c:pt idx="85">
                  <c:v>-0.98352170838508535</c:v>
                </c:pt>
                <c:pt idx="86">
                  <c:v>-0.45024690165598985</c:v>
                </c:pt>
                <c:pt idx="87">
                  <c:v>0.72673005321320705</c:v>
                </c:pt>
                <c:pt idx="88">
                  <c:v>0.59027642448546946</c:v>
                </c:pt>
                <c:pt idx="89">
                  <c:v>4.4683140707558069</c:v>
                </c:pt>
                <c:pt idx="90">
                  <c:v>2.1242050518669062</c:v>
                </c:pt>
                <c:pt idx="91">
                  <c:v>1.7222965332401621</c:v>
                </c:pt>
                <c:pt idx="92">
                  <c:v>1.9606599591133125</c:v>
                </c:pt>
                <c:pt idx="93">
                  <c:v>4.6897621797464186</c:v>
                </c:pt>
                <c:pt idx="94">
                  <c:v>4.9804447402667789</c:v>
                </c:pt>
                <c:pt idx="95">
                  <c:v>-0.82516389872299112</c:v>
                </c:pt>
                <c:pt idx="96">
                  <c:v>-0.49210123346205142</c:v>
                </c:pt>
                <c:pt idx="97">
                  <c:v>-1.823402951752368</c:v>
                </c:pt>
                <c:pt idx="98">
                  <c:v>-1.4958182409210292</c:v>
                </c:pt>
                <c:pt idx="99">
                  <c:v>-1.3062785840346178</c:v>
                </c:pt>
                <c:pt idx="100">
                  <c:v>3.369388236161452</c:v>
                </c:pt>
                <c:pt idx="101">
                  <c:v>-1.3686106991324332</c:v>
                </c:pt>
                <c:pt idx="102">
                  <c:v>2.9030964503735723</c:v>
                </c:pt>
                <c:pt idx="103">
                  <c:v>3.7117025261795997</c:v>
                </c:pt>
                <c:pt idx="104">
                  <c:v>3.4513085341037879</c:v>
                </c:pt>
                <c:pt idx="105">
                  <c:v>1.7721659628268027</c:v>
                </c:pt>
                <c:pt idx="106">
                  <c:v>-2.3122537497053934</c:v>
                </c:pt>
                <c:pt idx="107">
                  <c:v>-5.2910940882228807</c:v>
                </c:pt>
                <c:pt idx="108">
                  <c:v>-1.7277653817936243</c:v>
                </c:pt>
                <c:pt idx="109">
                  <c:v>-2.5756585438355892</c:v>
                </c:pt>
                <c:pt idx="110">
                  <c:v>-8.1630261181215644</c:v>
                </c:pt>
                <c:pt idx="111">
                  <c:v>-4.0630553801187883</c:v>
                </c:pt>
                <c:pt idx="112">
                  <c:v>-0.75919478577024446</c:v>
                </c:pt>
                <c:pt idx="113">
                  <c:v>1.0479758251352937</c:v>
                </c:pt>
                <c:pt idx="114">
                  <c:v>2.0962834333121556</c:v>
                </c:pt>
                <c:pt idx="115">
                  <c:v>5.828324123822866</c:v>
                </c:pt>
                <c:pt idx="116">
                  <c:v>1.3904028932765085</c:v>
                </c:pt>
                <c:pt idx="117">
                  <c:v>-1.8526074987725818</c:v>
                </c:pt>
                <c:pt idx="118">
                  <c:v>-3.5052641654598435</c:v>
                </c:pt>
                <c:pt idx="119">
                  <c:v>-2.6844937790394447</c:v>
                </c:pt>
                <c:pt idx="120">
                  <c:v>-1.3816443675927541</c:v>
                </c:pt>
                <c:pt idx="121">
                  <c:v>1.3850808334828841</c:v>
                </c:pt>
                <c:pt idx="122">
                  <c:v>-1.9279677743484873</c:v>
                </c:pt>
                <c:pt idx="123">
                  <c:v>-3.6640805120294941</c:v>
                </c:pt>
                <c:pt idx="124">
                  <c:v>-0.73061406659340378</c:v>
                </c:pt>
                <c:pt idx="125">
                  <c:v>-2.7540688042828303</c:v>
                </c:pt>
                <c:pt idx="126">
                  <c:v>-4.6282218606746435</c:v>
                </c:pt>
                <c:pt idx="127">
                  <c:v>2.0542269352690155</c:v>
                </c:pt>
                <c:pt idx="128">
                  <c:v>1.8451312705275975</c:v>
                </c:pt>
                <c:pt idx="129">
                  <c:v>2.4666817265611605</c:v>
                </c:pt>
                <c:pt idx="130">
                  <c:v>1.193602369648521</c:v>
                </c:pt>
                <c:pt idx="131">
                  <c:v>-1.2420582720429578</c:v>
                </c:pt>
                <c:pt idx="132">
                  <c:v>-1.8522149305868709</c:v>
                </c:pt>
                <c:pt idx="133">
                  <c:v>5.1822657021974659E-2</c:v>
                </c:pt>
                <c:pt idx="134">
                  <c:v>1.3521723406279178</c:v>
                </c:pt>
                <c:pt idx="135">
                  <c:v>1.3520012393498824</c:v>
                </c:pt>
                <c:pt idx="136">
                  <c:v>1.1078548579280361</c:v>
                </c:pt>
                <c:pt idx="137">
                  <c:v>1.9136039570415784</c:v>
                </c:pt>
                <c:pt idx="138">
                  <c:v>4.2965037548302588E-2</c:v>
                </c:pt>
                <c:pt idx="139">
                  <c:v>1.7894221143616815</c:v>
                </c:pt>
                <c:pt idx="140">
                  <c:v>-3.0149663757131751</c:v>
                </c:pt>
                <c:pt idx="141">
                  <c:v>-1.0262533009321508</c:v>
                </c:pt>
                <c:pt idx="142">
                  <c:v>0.19477747790764327</c:v>
                </c:pt>
                <c:pt idx="143">
                  <c:v>3.2870477500707498</c:v>
                </c:pt>
                <c:pt idx="144">
                  <c:v>2.1383764804257392</c:v>
                </c:pt>
                <c:pt idx="145">
                  <c:v>-4.2121421627966695</c:v>
                </c:pt>
                <c:pt idx="146">
                  <c:v>-1.3652393358501407</c:v>
                </c:pt>
                <c:pt idx="147">
                  <c:v>-1.9281175847125003</c:v>
                </c:pt>
                <c:pt idx="148">
                  <c:v>-0.4132121314881152</c:v>
                </c:pt>
                <c:pt idx="149">
                  <c:v>2.4525436245561867</c:v>
                </c:pt>
                <c:pt idx="150">
                  <c:v>-0.27108495279249961</c:v>
                </c:pt>
                <c:pt idx="151">
                  <c:v>-0.11574054079710225</c:v>
                </c:pt>
                <c:pt idx="152">
                  <c:v>-3.9769539560774163</c:v>
                </c:pt>
                <c:pt idx="153">
                  <c:v>-5.4019784101142578</c:v>
                </c:pt>
                <c:pt idx="154">
                  <c:v>5.3029050445110393</c:v>
                </c:pt>
                <c:pt idx="155">
                  <c:v>2.6100528576220499</c:v>
                </c:pt>
                <c:pt idx="156">
                  <c:v>4.0451709012266459</c:v>
                </c:pt>
                <c:pt idx="157">
                  <c:v>2.773687836018039</c:v>
                </c:pt>
                <c:pt idx="158">
                  <c:v>1.2878304114215022</c:v>
                </c:pt>
                <c:pt idx="159">
                  <c:v>0.11052588385340585</c:v>
                </c:pt>
                <c:pt idx="160">
                  <c:v>-1.7206569568705072</c:v>
                </c:pt>
                <c:pt idx="161">
                  <c:v>1.4382523683020674</c:v>
                </c:pt>
                <c:pt idx="162">
                  <c:v>0.87644184931179847</c:v>
                </c:pt>
                <c:pt idx="163">
                  <c:v>0.79284872663205896</c:v>
                </c:pt>
                <c:pt idx="164">
                  <c:v>-6.4723482283894267</c:v>
                </c:pt>
                <c:pt idx="165">
                  <c:v>1.9098400688423787</c:v>
                </c:pt>
                <c:pt idx="166">
                  <c:v>0.39481358273116629</c:v>
                </c:pt>
                <c:pt idx="167">
                  <c:v>-0.98983057035957844</c:v>
                </c:pt>
                <c:pt idx="168">
                  <c:v>6.2540965469571427E-2</c:v>
                </c:pt>
                <c:pt idx="169">
                  <c:v>-0.15812276956042562</c:v>
                </c:pt>
                <c:pt idx="170">
                  <c:v>-1.9504859422695862</c:v>
                </c:pt>
                <c:pt idx="171">
                  <c:v>-0.97615734869187465</c:v>
                </c:pt>
                <c:pt idx="172">
                  <c:v>-2.7471475923584023</c:v>
                </c:pt>
                <c:pt idx="173">
                  <c:v>0.71178642650446722</c:v>
                </c:pt>
                <c:pt idx="174">
                  <c:v>-0.63407125485400384</c:v>
                </c:pt>
                <c:pt idx="175">
                  <c:v>-1.1391919581707821</c:v>
                </c:pt>
                <c:pt idx="176">
                  <c:v>0.13896135696869169</c:v>
                </c:pt>
                <c:pt idx="177">
                  <c:v>-0.80329153237383821</c:v>
                </c:pt>
                <c:pt idx="178">
                  <c:v>1.1908259504853833</c:v>
                </c:pt>
                <c:pt idx="179">
                  <c:v>3.7435292160505722</c:v>
                </c:pt>
                <c:pt idx="180">
                  <c:v>1.9072839775669341</c:v>
                </c:pt>
                <c:pt idx="181">
                  <c:v>-2.5984861636940373</c:v>
                </c:pt>
                <c:pt idx="182">
                  <c:v>1.4648559272859156</c:v>
                </c:pt>
                <c:pt idx="183">
                  <c:v>0.62006006597622276</c:v>
                </c:pt>
                <c:pt idx="184">
                  <c:v>-0.57133516980662513</c:v>
                </c:pt>
                <c:pt idx="185">
                  <c:v>3.1187392629080719</c:v>
                </c:pt>
                <c:pt idx="186">
                  <c:v>1.6015210375266502</c:v>
                </c:pt>
                <c:pt idx="187">
                  <c:v>-0.61781135510293095</c:v>
                </c:pt>
                <c:pt idx="188">
                  <c:v>0.21175314390589406</c:v>
                </c:pt>
                <c:pt idx="189">
                  <c:v>1.9493670839118005</c:v>
                </c:pt>
                <c:pt idx="190">
                  <c:v>2.6599418172327685</c:v>
                </c:pt>
                <c:pt idx="191">
                  <c:v>2.5489444075794121</c:v>
                </c:pt>
                <c:pt idx="192">
                  <c:v>1.5260867965339342</c:v>
                </c:pt>
                <c:pt idx="193">
                  <c:v>2.1363612293758814</c:v>
                </c:pt>
                <c:pt idx="194">
                  <c:v>-1.7465783067471083</c:v>
                </c:pt>
                <c:pt idx="195">
                  <c:v>-0.10392097432115546</c:v>
                </c:pt>
                <c:pt idx="196">
                  <c:v>2.9169102071070303</c:v>
                </c:pt>
                <c:pt idx="197">
                  <c:v>2.0791510168267702</c:v>
                </c:pt>
                <c:pt idx="198">
                  <c:v>-0.77986999604669482</c:v>
                </c:pt>
                <c:pt idx="199">
                  <c:v>0.65768990736194288</c:v>
                </c:pt>
                <c:pt idx="200">
                  <c:v>-2.9924598435242737</c:v>
                </c:pt>
                <c:pt idx="201">
                  <c:v>-0.15753318035327957</c:v>
                </c:pt>
                <c:pt idx="202">
                  <c:v>3.1873971558185099</c:v>
                </c:pt>
                <c:pt idx="203">
                  <c:v>-3.7995567392899297E-2</c:v>
                </c:pt>
                <c:pt idx="204">
                  <c:v>2.6472303005616276</c:v>
                </c:pt>
                <c:pt idx="205">
                  <c:v>-2.5476509214881182</c:v>
                </c:pt>
                <c:pt idx="206">
                  <c:v>-2.8204289808416347</c:v>
                </c:pt>
                <c:pt idx="207">
                  <c:v>-3.2099960765935616</c:v>
                </c:pt>
                <c:pt idx="208">
                  <c:v>-4.7926357388214118</c:v>
                </c:pt>
                <c:pt idx="209">
                  <c:v>-2.3772806711071146</c:v>
                </c:pt>
                <c:pt idx="210">
                  <c:v>3.6603805715581217</c:v>
                </c:pt>
                <c:pt idx="211">
                  <c:v>-2.2977495348791677</c:v>
                </c:pt>
                <c:pt idx="212">
                  <c:v>-3.5131232318501775</c:v>
                </c:pt>
                <c:pt idx="213">
                  <c:v>-3.798435721795971</c:v>
                </c:pt>
                <c:pt idx="214">
                  <c:v>1.4272391744059334</c:v>
                </c:pt>
                <c:pt idx="215">
                  <c:v>2.8031429588783472</c:v>
                </c:pt>
                <c:pt idx="216">
                  <c:v>4.9588651964746191</c:v>
                </c:pt>
                <c:pt idx="217">
                  <c:v>-0.87692201307329187</c:v>
                </c:pt>
                <c:pt idx="218">
                  <c:v>3.0291585518993434</c:v>
                </c:pt>
                <c:pt idx="219">
                  <c:v>-4.0961724283094615E-2</c:v>
                </c:pt>
                <c:pt idx="220">
                  <c:v>-0.2068491106555812</c:v>
                </c:pt>
                <c:pt idx="221">
                  <c:v>-0.75390821236977856</c:v>
                </c:pt>
                <c:pt idx="222">
                  <c:v>-0.71584276694594873</c:v>
                </c:pt>
                <c:pt idx="223">
                  <c:v>-2.5293347896056964</c:v>
                </c:pt>
                <c:pt idx="224">
                  <c:v>7.6995335175544122E-3</c:v>
                </c:pt>
                <c:pt idx="225">
                  <c:v>-0.56103521930779066</c:v>
                </c:pt>
                <c:pt idx="226">
                  <c:v>-1.6729617998821813</c:v>
                </c:pt>
                <c:pt idx="227">
                  <c:v>0.79044008607668192</c:v>
                </c:pt>
                <c:pt idx="228">
                  <c:v>-0.19957722463213765</c:v>
                </c:pt>
                <c:pt idx="229">
                  <c:v>1.0000607793284233</c:v>
                </c:pt>
                <c:pt idx="230">
                  <c:v>0.8671923239578464</c:v>
                </c:pt>
                <c:pt idx="231">
                  <c:v>-1.465531727008073</c:v>
                </c:pt>
                <c:pt idx="232">
                  <c:v>0.27395379837911998</c:v>
                </c:pt>
                <c:pt idx="233">
                  <c:v>-3.0578978784161834</c:v>
                </c:pt>
                <c:pt idx="234">
                  <c:v>1.4113508763323692</c:v>
                </c:pt>
                <c:pt idx="235">
                  <c:v>2.4883977288064218</c:v>
                </c:pt>
                <c:pt idx="236">
                  <c:v>6.1190715761600645</c:v>
                </c:pt>
                <c:pt idx="237">
                  <c:v>-0.48373231559098068</c:v>
                </c:pt>
                <c:pt idx="238">
                  <c:v>1.4500384772618928</c:v>
                </c:pt>
                <c:pt idx="239">
                  <c:v>-3.9643599743230742</c:v>
                </c:pt>
                <c:pt idx="240">
                  <c:v>-5.315595695686925</c:v>
                </c:pt>
                <c:pt idx="241">
                  <c:v>-4.7712556127595418</c:v>
                </c:pt>
                <c:pt idx="242">
                  <c:v>13.172969859036932</c:v>
                </c:pt>
                <c:pt idx="243">
                  <c:v>7.2107389430349258</c:v>
                </c:pt>
                <c:pt idx="244">
                  <c:v>2.3466857362476921</c:v>
                </c:pt>
                <c:pt idx="245">
                  <c:v>9.955437274736628</c:v>
                </c:pt>
                <c:pt idx="246">
                  <c:v>4.9352531059743772</c:v>
                </c:pt>
                <c:pt idx="247">
                  <c:v>-0.68587551764978794</c:v>
                </c:pt>
                <c:pt idx="248">
                  <c:v>1.2345601813654739</c:v>
                </c:pt>
                <c:pt idx="249">
                  <c:v>1.1815761705870711</c:v>
                </c:pt>
                <c:pt idx="250">
                  <c:v>-0.6058580029510191</c:v>
                </c:pt>
                <c:pt idx="251">
                  <c:v>-1.4167404873075904</c:v>
                </c:pt>
                <c:pt idx="252">
                  <c:v>-2.8913596010713207</c:v>
                </c:pt>
                <c:pt idx="253">
                  <c:v>0.94148563341357638</c:v>
                </c:pt>
                <c:pt idx="254">
                  <c:v>0.10506983571429478</c:v>
                </c:pt>
                <c:pt idx="255">
                  <c:v>-2.3545810557722091</c:v>
                </c:pt>
                <c:pt idx="256">
                  <c:v>3.0523302712988375E-2</c:v>
                </c:pt>
                <c:pt idx="257">
                  <c:v>-1.7233260700818278</c:v>
                </c:pt>
                <c:pt idx="258">
                  <c:v>-0.69717173920131836</c:v>
                </c:pt>
                <c:pt idx="259">
                  <c:v>-2.1386075346668534</c:v>
                </c:pt>
                <c:pt idx="260">
                  <c:v>-0.51156090106781227</c:v>
                </c:pt>
                <c:pt idx="261">
                  <c:v>-1.6479969729567587</c:v>
                </c:pt>
                <c:pt idx="262">
                  <c:v>-2.9125137222361435</c:v>
                </c:pt>
                <c:pt idx="263">
                  <c:v>1.0789444422452157</c:v>
                </c:pt>
                <c:pt idx="264">
                  <c:v>2.7279332663852509</c:v>
                </c:pt>
                <c:pt idx="265">
                  <c:v>0.57796223623425536</c:v>
                </c:pt>
                <c:pt idx="266">
                  <c:v>-1.0711803357534173</c:v>
                </c:pt>
                <c:pt idx="267">
                  <c:v>4.1706195347204673</c:v>
                </c:pt>
                <c:pt idx="268">
                  <c:v>-6.3186671786628725</c:v>
                </c:pt>
                <c:pt idx="269">
                  <c:v>-0.60529074787669379</c:v>
                </c:pt>
                <c:pt idx="270">
                  <c:v>0.25478709625108392</c:v>
                </c:pt>
                <c:pt idx="271">
                  <c:v>-3.9517368854472421</c:v>
                </c:pt>
                <c:pt idx="272">
                  <c:v>-5.2499100655391642</c:v>
                </c:pt>
                <c:pt idx="273">
                  <c:v>-6.7203198918387068</c:v>
                </c:pt>
                <c:pt idx="274">
                  <c:v>-3.8872190534951563</c:v>
                </c:pt>
                <c:pt idx="275">
                  <c:v>-6.0047147778711896</c:v>
                </c:pt>
                <c:pt idx="276">
                  <c:v>1.4623181250331483</c:v>
                </c:pt>
                <c:pt idx="277">
                  <c:v>-3.637839649316725E-2</c:v>
                </c:pt>
                <c:pt idx="278">
                  <c:v>-2.0730944715248292</c:v>
                </c:pt>
                <c:pt idx="279">
                  <c:v>-5.6892158936889681</c:v>
                </c:pt>
                <c:pt idx="280">
                  <c:v>-3.5647066647545076</c:v>
                </c:pt>
                <c:pt idx="281">
                  <c:v>-3.7480812959207248</c:v>
                </c:pt>
                <c:pt idx="282">
                  <c:v>-2.4857703157514175</c:v>
                </c:pt>
                <c:pt idx="283">
                  <c:v>-3.3684781400953461</c:v>
                </c:pt>
                <c:pt idx="284">
                  <c:v>-3.3645063076537771</c:v>
                </c:pt>
                <c:pt idx="285">
                  <c:v>-3.1514032711482218</c:v>
                </c:pt>
                <c:pt idx="286">
                  <c:v>-2.090717077370682</c:v>
                </c:pt>
                <c:pt idx="287">
                  <c:v>-0.31809050204317652</c:v>
                </c:pt>
                <c:pt idx="288">
                  <c:v>-3.6059485901935253</c:v>
                </c:pt>
                <c:pt idx="289">
                  <c:v>-2.4004925965186126</c:v>
                </c:pt>
                <c:pt idx="290">
                  <c:v>-0.95048942458635544</c:v>
                </c:pt>
                <c:pt idx="291">
                  <c:v>-0.98605639233944986</c:v>
                </c:pt>
                <c:pt idx="292">
                  <c:v>1.3670037188506494</c:v>
                </c:pt>
                <c:pt idx="293">
                  <c:v>5.1633697821778357</c:v>
                </c:pt>
                <c:pt idx="294">
                  <c:v>0.43724928051441087</c:v>
                </c:pt>
                <c:pt idx="295">
                  <c:v>0.85139434315021034</c:v>
                </c:pt>
                <c:pt idx="296">
                  <c:v>3.0977812961656914</c:v>
                </c:pt>
                <c:pt idx="297">
                  <c:v>0.82250204422444351</c:v>
                </c:pt>
                <c:pt idx="298">
                  <c:v>0.9183485444343914</c:v>
                </c:pt>
                <c:pt idx="299">
                  <c:v>4.8845313729495397</c:v>
                </c:pt>
                <c:pt idx="300">
                  <c:v>4.9374865969260453</c:v>
                </c:pt>
                <c:pt idx="301">
                  <c:v>-0.81475612395879127</c:v>
                </c:pt>
                <c:pt idx="302">
                  <c:v>5.7507449438926077</c:v>
                </c:pt>
                <c:pt idx="303">
                  <c:v>1.6446400365817277</c:v>
                </c:pt>
                <c:pt idx="304">
                  <c:v>2.1095716877447814</c:v>
                </c:pt>
                <c:pt idx="305">
                  <c:v>0.56613825389505923</c:v>
                </c:pt>
                <c:pt idx="306">
                  <c:v>6.3524807998872292</c:v>
                </c:pt>
                <c:pt idx="307">
                  <c:v>6.098402630255066</c:v>
                </c:pt>
                <c:pt idx="308">
                  <c:v>1.1706714109260479</c:v>
                </c:pt>
                <c:pt idx="309">
                  <c:v>-1.9927384262907635</c:v>
                </c:pt>
                <c:pt idx="310">
                  <c:v>0.58486360216875022</c:v>
                </c:pt>
                <c:pt idx="311">
                  <c:v>-2.9767265370890916</c:v>
                </c:pt>
                <c:pt idx="312">
                  <c:v>-3.6633814291028175</c:v>
                </c:pt>
                <c:pt idx="313">
                  <c:v>-5.1220048439410393</c:v>
                </c:pt>
                <c:pt idx="314">
                  <c:v>-8.5916411516912756</c:v>
                </c:pt>
                <c:pt idx="315">
                  <c:v>-1.2118597417157855</c:v>
                </c:pt>
                <c:pt idx="316">
                  <c:v>-3.0655192197449659</c:v>
                </c:pt>
                <c:pt idx="317">
                  <c:v>-2.646793187070422</c:v>
                </c:pt>
                <c:pt idx="318">
                  <c:v>3.0319775373322293</c:v>
                </c:pt>
                <c:pt idx="319">
                  <c:v>-3.1661013760358685</c:v>
                </c:pt>
                <c:pt idx="320">
                  <c:v>10.883810167287459</c:v>
                </c:pt>
                <c:pt idx="321">
                  <c:v>-2.182062791809571</c:v>
                </c:pt>
                <c:pt idx="322">
                  <c:v>4.826096457106881</c:v>
                </c:pt>
                <c:pt idx="323">
                  <c:v>8.2450623796627838</c:v>
                </c:pt>
                <c:pt idx="324">
                  <c:v>8.6539501266128429</c:v>
                </c:pt>
                <c:pt idx="325">
                  <c:v>4.9059274339758039</c:v>
                </c:pt>
                <c:pt idx="326">
                  <c:v>-0.27056580601219182</c:v>
                </c:pt>
                <c:pt idx="327">
                  <c:v>7.4613026459247758</c:v>
                </c:pt>
                <c:pt idx="328">
                  <c:v>-2.2657409064897038</c:v>
                </c:pt>
                <c:pt idx="329">
                  <c:v>-8.0533902446309611</c:v>
                </c:pt>
                <c:pt idx="330">
                  <c:v>1.7563955555361721</c:v>
                </c:pt>
                <c:pt idx="331">
                  <c:v>-10.838973454580973</c:v>
                </c:pt>
                <c:pt idx="332">
                  <c:v>1.3585205064988719</c:v>
                </c:pt>
                <c:pt idx="333">
                  <c:v>-2.8766269478620812</c:v>
                </c:pt>
                <c:pt idx="334">
                  <c:v>-2.1418096775819828</c:v>
                </c:pt>
                <c:pt idx="335">
                  <c:v>-1.9984934632617573</c:v>
                </c:pt>
                <c:pt idx="336">
                  <c:v>-2.7800551187515015</c:v>
                </c:pt>
                <c:pt idx="337">
                  <c:v>-4.3410279640583687</c:v>
                </c:pt>
                <c:pt idx="338">
                  <c:v>0.22788351573076224</c:v>
                </c:pt>
                <c:pt idx="339">
                  <c:v>3.8054728687064672</c:v>
                </c:pt>
                <c:pt idx="340">
                  <c:v>6.6445311301547934</c:v>
                </c:pt>
                <c:pt idx="341">
                  <c:v>-0.30938040590443527</c:v>
                </c:pt>
                <c:pt idx="342">
                  <c:v>-1.5006308250466132</c:v>
                </c:pt>
                <c:pt idx="343">
                  <c:v>2.8933611436410236</c:v>
                </c:pt>
                <c:pt idx="344">
                  <c:v>3.9702608972363653</c:v>
                </c:pt>
                <c:pt idx="345">
                  <c:v>-2.8426223274991645E-2</c:v>
                </c:pt>
                <c:pt idx="346">
                  <c:v>3.8893503903662676</c:v>
                </c:pt>
                <c:pt idx="347">
                  <c:v>2.7151066973755169</c:v>
                </c:pt>
                <c:pt idx="348">
                  <c:v>-0.22578160987867449</c:v>
                </c:pt>
                <c:pt idx="349">
                  <c:v>0.13728101479455224</c:v>
                </c:pt>
                <c:pt idx="350">
                  <c:v>0.86152239613963622</c:v>
                </c:pt>
                <c:pt idx="351">
                  <c:v>0.24485782917569779</c:v>
                </c:pt>
                <c:pt idx="352">
                  <c:v>2.5981412397478678</c:v>
                </c:pt>
                <c:pt idx="353">
                  <c:v>0.9030496218247096</c:v>
                </c:pt>
                <c:pt idx="354">
                  <c:v>0.63376882204495821</c:v>
                </c:pt>
                <c:pt idx="355">
                  <c:v>2.9617001560079528</c:v>
                </c:pt>
                <c:pt idx="356">
                  <c:v>-3.4839809548703768</c:v>
                </c:pt>
                <c:pt idx="357">
                  <c:v>-4.5233060154576421</c:v>
                </c:pt>
                <c:pt idx="358">
                  <c:v>-1.8185005649100467</c:v>
                </c:pt>
                <c:pt idx="359">
                  <c:v>4.1316504383413903</c:v>
                </c:pt>
                <c:pt idx="360">
                  <c:v>-6.358095931602012</c:v>
                </c:pt>
                <c:pt idx="361">
                  <c:v>-7.0372864508557207</c:v>
                </c:pt>
                <c:pt idx="362">
                  <c:v>-2.3660140278767665</c:v>
                </c:pt>
                <c:pt idx="363">
                  <c:v>-3.2187392777622286</c:v>
                </c:pt>
                <c:pt idx="364">
                  <c:v>2.7582262206913204</c:v>
                </c:pt>
                <c:pt idx="365">
                  <c:v>0.53675917505933146</c:v>
                </c:pt>
                <c:pt idx="366">
                  <c:v>-1.8168501678208349</c:v>
                </c:pt>
                <c:pt idx="367">
                  <c:v>-2.6859160950120078</c:v>
                </c:pt>
                <c:pt idx="368">
                  <c:v>-5.0802234469046947</c:v>
                </c:pt>
                <c:pt idx="369">
                  <c:v>0.40931534136623815</c:v>
                </c:pt>
                <c:pt idx="370">
                  <c:v>1.4591095280309576</c:v>
                </c:pt>
                <c:pt idx="371">
                  <c:v>-5.0977117902675984</c:v>
                </c:pt>
                <c:pt idx="372">
                  <c:v>5.0769452576811958</c:v>
                </c:pt>
                <c:pt idx="373">
                  <c:v>3.1149854368554237</c:v>
                </c:pt>
                <c:pt idx="374">
                  <c:v>1.4700677352177094</c:v>
                </c:pt>
                <c:pt idx="375">
                  <c:v>1.4864872849135566</c:v>
                </c:pt>
                <c:pt idx="376">
                  <c:v>-0.47806161701039257</c:v>
                </c:pt>
                <c:pt idx="377">
                  <c:v>2.1687985727788122</c:v>
                </c:pt>
                <c:pt idx="378">
                  <c:v>-4.0969444301977838</c:v>
                </c:pt>
                <c:pt idx="379">
                  <c:v>2.327800553140706</c:v>
                </c:pt>
                <c:pt idx="380">
                  <c:v>-3.3250079143703783</c:v>
                </c:pt>
                <c:pt idx="381">
                  <c:v>10.130652776239737</c:v>
                </c:pt>
                <c:pt idx="382">
                  <c:v>-4.4798809472729513</c:v>
                </c:pt>
                <c:pt idx="383">
                  <c:v>-6.9955997457344195</c:v>
                </c:pt>
                <c:pt idx="384">
                  <c:v>9.6543441758277754E-2</c:v>
                </c:pt>
                <c:pt idx="385">
                  <c:v>4.6351514576143584</c:v>
                </c:pt>
                <c:pt idx="386">
                  <c:v>-1.5587308909671449</c:v>
                </c:pt>
                <c:pt idx="387">
                  <c:v>-2.4655038674426133</c:v>
                </c:pt>
                <c:pt idx="388">
                  <c:v>9.2693183050970251</c:v>
                </c:pt>
                <c:pt idx="389">
                  <c:v>8.6973095300065112E-2</c:v>
                </c:pt>
                <c:pt idx="390">
                  <c:v>-2.413490328041763</c:v>
                </c:pt>
                <c:pt idx="391">
                  <c:v>1.2479242056747404</c:v>
                </c:pt>
              </c:numCache>
            </c:numRef>
          </c:val>
          <c:extLst>
            <c:ext xmlns:c16="http://schemas.microsoft.com/office/drawing/2014/chart" uri="{C3380CC4-5D6E-409C-BE32-E72D297353CC}">
              <c16:uniqueId val="{00000002-7F8A-4940-A7EA-DBC2BD38D0ED}"/>
            </c:ext>
          </c:extLst>
        </c:ser>
        <c:dLbls>
          <c:showLegendKey val="0"/>
          <c:showVal val="0"/>
          <c:showCatName val="0"/>
          <c:showSerName val="0"/>
          <c:showPercent val="0"/>
          <c:showBubbleSize val="0"/>
        </c:dLbls>
        <c:gapWidth val="150"/>
        <c:axId val="648506304"/>
        <c:axId val="648513984"/>
      </c:barChart>
      <c:catAx>
        <c:axId val="648506304"/>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648513984"/>
        <c:crosses val="autoZero"/>
        <c:auto val="1"/>
        <c:lblAlgn val="ctr"/>
        <c:lblOffset val="100"/>
        <c:noMultiLvlLbl val="0"/>
      </c:catAx>
      <c:valAx>
        <c:axId val="648513984"/>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648506304"/>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59F473F6-6354-0F68-ED09-08B8D393EA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19F4CD55-3E42-15B9-065C-89C7656C28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85AD344A-CB5A-A0CF-8541-30131A73A3C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D30AA784-F3CB-3C06-E9B5-7B51970846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A374FF4C-8342-D309-83CC-C34B3EF664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B5CD8890-EAE3-F5BE-5403-7E65531428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AE0BFC11-A85B-5344-DAB4-56E295884C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D27D665-0B14-4E76-ADC1-19825B456592}" name="MileageData" displayName="MileageData" ref="A1:L407" totalsRowShown="0">
  <autoFilter ref="A1:L407" xr:uid="{ED27D665-0B14-4E76-ADC1-19825B456592}"/>
  <tableColumns count="12">
    <tableColumn id="1" xr3:uid="{EA7CCAC9-250C-40B2-AAD9-682BE58324DA}" name="MPG"/>
    <tableColumn id="2" xr3:uid="{AC4661C4-3010-4DD6-B4E7-BD966533A89A}" name="Cylinders"/>
    <tableColumn id="3" xr3:uid="{C4CD93E8-BFD3-41C7-9DF8-D7EA1A61D180}" name="Displacement"/>
    <tableColumn id="4" xr3:uid="{FEC02DA2-E49A-4631-B013-785AEF3236F7}" name="Horsepower"/>
    <tableColumn id="5" xr3:uid="{00109F02-F725-4DBE-B4EC-320DA5C73719}" name="Weight"/>
    <tableColumn id="6" xr3:uid="{29FD8932-785C-4A28-BA22-1C9DAD0DA065}" name="Acceleration"/>
    <tableColumn id="7" xr3:uid="{5ACBBEB2-748B-4FB3-BD4E-346EB7CC89D9}" name="Model Year"/>
    <tableColumn id="8" xr3:uid="{BB206C7B-E604-4BB3-A849-0CBB401F4FBA}" name="Origin"/>
    <tableColumn id="9" xr3:uid="{2465EABC-ACC4-48BB-942A-3B9BCBD5F34F}" name="Car Name"/>
    <tableColumn id="10" xr3:uid="{2B4FAE23-71BF-4D8C-863A-91832C068D61}" name="Make"/>
    <tableColumn id="11" xr3:uid="{2CF619D6-DCAF-4447-AF80-D199773105D5}" name="Model?"/>
    <tableColumn id="12" xr3:uid="{B2FA2B75-352F-40B4-B457-54B8E03CCAC8}"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43251E1-6385-4482-A8A5-FC4736B9C352}" name="LifeExpectancyData" displayName="LifeExpectancyData" ref="A1:W2939" totalsRowShown="0">
  <autoFilter ref="A1:W2939" xr:uid="{143251E1-6385-4482-A8A5-FC4736B9C352}"/>
  <tableColumns count="23">
    <tableColumn id="1" xr3:uid="{46BA6C21-725C-4C51-B5E6-2EEF103A4E9C}" name="Country"/>
    <tableColumn id="2" xr3:uid="{7722DCED-F585-4F37-903A-9EF9AE6F5628}" name="Year"/>
    <tableColumn id="3" xr3:uid="{2F6D5BC6-EB60-44EB-869F-56A0AFBCF7ED}" name="Status"/>
    <tableColumn id="4" xr3:uid="{FB2ED60E-C9D1-4CB1-ACBC-58154290EFAB}" name="Life expectancy"/>
    <tableColumn id="5" xr3:uid="{876BA960-8905-4237-9494-1EC4E8E188A3}" name="Adult Mortality"/>
    <tableColumn id="6" xr3:uid="{10CB1904-3224-4699-A691-3B64B4530B14}" name="infant deaths"/>
    <tableColumn id="7" xr3:uid="{65F5EC82-83D0-431F-BF76-B0A6CB9322EE}" name="Alcohol"/>
    <tableColumn id="8" xr3:uid="{6C137685-1057-4AF2-97CC-309B7C268449}" name="percentage expenditure"/>
    <tableColumn id="9" xr3:uid="{0BB68D32-B7B1-4C4E-97A6-9D584F303BEB}" name="Hepatitis B"/>
    <tableColumn id="10" xr3:uid="{82AC4CB5-C0C2-46D5-BAF0-E57FA4F48BF2}" name="Measles"/>
    <tableColumn id="11" xr3:uid="{D434551B-70DF-445F-94A0-A72BADD667EE}" name="BMI"/>
    <tableColumn id="12" xr3:uid="{5733072F-4028-46B6-A508-6919FC3D418C}" name="under-five deaths"/>
    <tableColumn id="13" xr3:uid="{8592AEF4-E64B-4844-A464-2EAE1E57E913}" name="Polio"/>
    <tableColumn id="14" xr3:uid="{FAFE463F-F6D8-4514-BE92-AA1708AD2465}" name="Total expenditure"/>
    <tableColumn id="15" xr3:uid="{6A595FC2-7452-4468-BDD3-687C18934790}" name="Diphtheria"/>
    <tableColumn id="16" xr3:uid="{E36AB2C9-614F-43E0-A977-8FD71FD3329E}" name="HIV/AIDS"/>
    <tableColumn id="17" xr3:uid="{22BE774D-876D-4408-82A3-848C2150CD83}" name="GDP"/>
    <tableColumn id="18" xr3:uid="{F339E84A-C46A-4E01-A713-D88D59410A8C}" name="Population"/>
    <tableColumn id="19" xr3:uid="{8ECA8D77-8692-4BAF-8059-819D8A4F0C3D}" name="thinness 1-19 years"/>
    <tableColumn id="20" xr3:uid="{10ACAEBC-4E8B-420B-B250-3A8E95D7290D}" name="thinness 5-9 years"/>
    <tableColumn id="21" xr3:uid="{C03044F7-E142-4969-BDF3-2BC2CA26AEDF}" name="Income composition of resources"/>
    <tableColumn id="22" xr3:uid="{314F4E8D-99B8-4D05-AE35-340AA8DD34FE}" name="Schooling"/>
    <tableColumn id="23" xr3:uid="{B394464D-29E4-4216-BD04-B307400A2509}"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0FC5BF3-D240-4E49-9FE6-7F26AAB0ED93}" name="ProductionLotsData" displayName="ProductionLotsData" ref="A1:K52" totalsRowShown="0">
  <autoFilter ref="A1:K52" xr:uid="{A0FC5BF3-D240-4E49-9FE6-7F26AAB0ED93}"/>
  <tableColumns count="11">
    <tableColumn id="1" xr3:uid="{4BB144A4-88A6-41E1-B52B-BB6C16F6DF28}" name="Lot_ID"/>
    <tableColumn id="2" xr3:uid="{F2D4451E-58CA-4771-B267-BAC74592D4BE}" name="Facility"/>
    <tableColumn id="3" xr3:uid="{7DFA6767-1E2A-4FCD-8118-A9F9BE16C34E}" name="Fiscal_Year"/>
    <tableColumn id="4" xr3:uid="{435AE41A-61C0-4A75-95B5-582C8280B4A6}" name="Lot_Quantity"/>
    <tableColumn id="5" xr3:uid="{572ECFB0-69B3-47D5-9AC4-1CCECE65A723}" name="Cumulative_Units"/>
    <tableColumn id="6" xr3:uid="{B981CF7F-2EBD-4AC1-85DF-AACFE5C0BD90}" name="Experience_Stock"/>
    <tableColumn id="7" xr3:uid="{B5EE0409-4129-4C0A-A789-1FA4731A0CD8}" name="Unit_Cost_BY"/>
    <tableColumn id="8" xr3:uid="{56453F46-B73A-4FC1-AFFC-4C36E453EBEF}" name="log Cum Units"/>
    <tableColumn id="9" xr3:uid="{C927EAB3-6BC7-4F22-8A7F-8E3DD3BAC73A}" name="log experience"/>
    <tableColumn id="10" xr3:uid="{15B6C1E3-E207-48D0-AD2A-B5EF6A344CB0}" name="log Unit Cost"/>
    <tableColumn id="11" xr3:uid="{6043AF06-A0FE-4C6A-8AE7-65FE57C97727}"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E468CD-863E-4764-8827-E8022C9652B7}" name="LAMBDAFunctionsCatalog" displayName="LAMBDAFunctionsCatalog" ref="A1:G141" totalsRowShown="0" headerRowDxfId="57" dataDxfId="56">
  <autoFilter ref="A1:G141" xr:uid="{31E468CD-863E-4764-8827-E8022C9652B7}"/>
  <tableColumns count="7">
    <tableColumn id="1" xr3:uid="{67AA0608-ED7B-4B7C-B303-0FB60B370034}" name="Function Name" dataDxfId="55"/>
    <tableColumn id="2" xr3:uid="{9012D942-2E82-41B2-BBA5-8AAD5155128A}" name="Scope" dataDxfId="54"/>
    <tableColumn id="3" xr3:uid="{6E4CE31E-3C99-4F53-951C-496B7E8B6E67}" name="Definition" dataDxfId="53"/>
    <tableColumn id="4" xr3:uid="{A9FDACCB-6748-4B57-87FF-06F30BFD5428}" name="Arguments" dataDxfId="52"/>
    <tableColumn id="5" xr3:uid="{D6950F0B-0B2E-4B38-A3A3-215EE929B820}" name="Yields" dataDxfId="51"/>
    <tableColumn id="6" xr3:uid="{AA2C096C-D966-41FD-AF39-508968A80CA0}" name="Plain-Language Summary" dataDxfId="50"/>
    <tableColumn id="7" xr3:uid="{BCE1AC13-9DAF-42A7-AD61-C86B76567F57}"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881</v>
      </c>
      <c r="B1" t="s">
        <v>882</v>
      </c>
      <c r="C1" t="s">
        <v>883</v>
      </c>
      <c r="D1" t="s">
        <v>884</v>
      </c>
      <c r="E1" t="s">
        <v>885</v>
      </c>
      <c r="F1" t="s">
        <v>886</v>
      </c>
      <c r="G1" t="s">
        <v>887</v>
      </c>
      <c r="H1" t="s">
        <v>888</v>
      </c>
      <c r="I1" t="s">
        <v>889</v>
      </c>
      <c r="J1" t="s">
        <v>890</v>
      </c>
      <c r="K1" t="s">
        <v>891</v>
      </c>
      <c r="L1" t="s">
        <v>318</v>
      </c>
    </row>
    <row r="2" spans="1:12" x14ac:dyDescent="0.25">
      <c r="A2">
        <v>18</v>
      </c>
      <c r="B2">
        <v>8</v>
      </c>
      <c r="C2">
        <v>307</v>
      </c>
      <c r="D2">
        <v>130</v>
      </c>
      <c r="E2">
        <v>3504</v>
      </c>
      <c r="F2">
        <v>12</v>
      </c>
      <c r="G2">
        <v>70</v>
      </c>
      <c r="H2" t="s">
        <v>1543</v>
      </c>
      <c r="I2" t="s">
        <v>892</v>
      </c>
      <c r="J2" t="s">
        <v>893</v>
      </c>
      <c r="K2" t="s">
        <v>894</v>
      </c>
      <c r="L2" t="b">
        <f>Data_Completeness(MileageData[[#This Row],[MPG]:[Acceleration]])</f>
        <v>1</v>
      </c>
    </row>
    <row r="3" spans="1:12" x14ac:dyDescent="0.25">
      <c r="A3">
        <v>15</v>
      </c>
      <c r="B3">
        <v>8</v>
      </c>
      <c r="C3">
        <v>350</v>
      </c>
      <c r="D3">
        <v>165</v>
      </c>
      <c r="E3">
        <v>3693</v>
      </c>
      <c r="F3">
        <v>11.5</v>
      </c>
      <c r="G3">
        <v>70</v>
      </c>
      <c r="H3" t="s">
        <v>1543</v>
      </c>
      <c r="I3" t="s">
        <v>895</v>
      </c>
      <c r="J3" t="s">
        <v>896</v>
      </c>
      <c r="K3" t="s">
        <v>897</v>
      </c>
      <c r="L3" t="b">
        <f>Data_Completeness(MileageData[[#This Row],[MPG]:[Acceleration]])</f>
        <v>1</v>
      </c>
    </row>
    <row r="4" spans="1:12" x14ac:dyDescent="0.25">
      <c r="A4">
        <v>18</v>
      </c>
      <c r="B4">
        <v>8</v>
      </c>
      <c r="C4">
        <v>318</v>
      </c>
      <c r="D4">
        <v>150</v>
      </c>
      <c r="E4">
        <v>3436</v>
      </c>
      <c r="F4">
        <v>11</v>
      </c>
      <c r="G4">
        <v>70</v>
      </c>
      <c r="H4" t="s">
        <v>1543</v>
      </c>
      <c r="I4" t="s">
        <v>898</v>
      </c>
      <c r="J4" t="s">
        <v>899</v>
      </c>
      <c r="K4" t="s">
        <v>900</v>
      </c>
      <c r="L4" t="b">
        <f>Data_Completeness(MileageData[[#This Row],[MPG]:[Acceleration]])</f>
        <v>1</v>
      </c>
    </row>
    <row r="5" spans="1:12" x14ac:dyDescent="0.25">
      <c r="A5">
        <v>16</v>
      </c>
      <c r="B5">
        <v>8</v>
      </c>
      <c r="C5">
        <v>304</v>
      </c>
      <c r="D5">
        <v>150</v>
      </c>
      <c r="E5">
        <v>3433</v>
      </c>
      <c r="F5">
        <v>12</v>
      </c>
      <c r="G5">
        <v>70</v>
      </c>
      <c r="H5" t="s">
        <v>1543</v>
      </c>
      <c r="I5" t="s">
        <v>901</v>
      </c>
      <c r="J5" t="s">
        <v>902</v>
      </c>
      <c r="K5" t="s">
        <v>903</v>
      </c>
      <c r="L5" t="b">
        <f>Data_Completeness(MileageData[[#This Row],[MPG]:[Acceleration]])</f>
        <v>1</v>
      </c>
    </row>
    <row r="6" spans="1:12" x14ac:dyDescent="0.25">
      <c r="A6">
        <v>17</v>
      </c>
      <c r="B6">
        <v>8</v>
      </c>
      <c r="C6">
        <v>302</v>
      </c>
      <c r="D6">
        <v>140</v>
      </c>
      <c r="E6">
        <v>3449</v>
      </c>
      <c r="F6">
        <v>10.5</v>
      </c>
      <c r="G6">
        <v>70</v>
      </c>
      <c r="H6" t="s">
        <v>1543</v>
      </c>
      <c r="I6" t="s">
        <v>904</v>
      </c>
      <c r="J6" t="s">
        <v>905</v>
      </c>
      <c r="K6" t="s">
        <v>906</v>
      </c>
      <c r="L6" t="b">
        <f>Data_Completeness(MileageData[[#This Row],[MPG]:[Acceleration]])</f>
        <v>1</v>
      </c>
    </row>
    <row r="7" spans="1:12" x14ac:dyDescent="0.25">
      <c r="A7">
        <v>15</v>
      </c>
      <c r="B7">
        <v>8</v>
      </c>
      <c r="C7">
        <v>429</v>
      </c>
      <c r="D7">
        <v>198</v>
      </c>
      <c r="E7">
        <v>4341</v>
      </c>
      <c r="F7">
        <v>10</v>
      </c>
      <c r="G7">
        <v>70</v>
      </c>
      <c r="H7" t="s">
        <v>1543</v>
      </c>
      <c r="I7" t="s">
        <v>907</v>
      </c>
      <c r="J7" t="s">
        <v>905</v>
      </c>
      <c r="K7" t="s">
        <v>908</v>
      </c>
      <c r="L7" t="b">
        <f>Data_Completeness(MileageData[[#This Row],[MPG]:[Acceleration]])</f>
        <v>1</v>
      </c>
    </row>
    <row r="8" spans="1:12" x14ac:dyDescent="0.25">
      <c r="A8">
        <v>14</v>
      </c>
      <c r="B8">
        <v>8</v>
      </c>
      <c r="C8">
        <v>454</v>
      </c>
      <c r="D8">
        <v>220</v>
      </c>
      <c r="E8">
        <v>4354</v>
      </c>
      <c r="F8">
        <v>9</v>
      </c>
      <c r="G8">
        <v>70</v>
      </c>
      <c r="H8" t="s">
        <v>1543</v>
      </c>
      <c r="I8" t="s">
        <v>909</v>
      </c>
      <c r="J8" t="s">
        <v>893</v>
      </c>
      <c r="K8" t="s">
        <v>910</v>
      </c>
      <c r="L8" t="b">
        <f>Data_Completeness(MileageData[[#This Row],[MPG]:[Acceleration]])</f>
        <v>1</v>
      </c>
    </row>
    <row r="9" spans="1:12" x14ac:dyDescent="0.25">
      <c r="A9">
        <v>14</v>
      </c>
      <c r="B9">
        <v>8</v>
      </c>
      <c r="C9">
        <v>440</v>
      </c>
      <c r="D9">
        <v>215</v>
      </c>
      <c r="E9">
        <v>4312</v>
      </c>
      <c r="F9">
        <v>8.5</v>
      </c>
      <c r="G9">
        <v>70</v>
      </c>
      <c r="H9" t="s">
        <v>1543</v>
      </c>
      <c r="I9" t="s">
        <v>911</v>
      </c>
      <c r="J9" t="s">
        <v>899</v>
      </c>
      <c r="K9" t="s">
        <v>912</v>
      </c>
      <c r="L9" t="b">
        <f>Data_Completeness(MileageData[[#This Row],[MPG]:[Acceleration]])</f>
        <v>1</v>
      </c>
    </row>
    <row r="10" spans="1:12" x14ac:dyDescent="0.25">
      <c r="A10">
        <v>14</v>
      </c>
      <c r="B10">
        <v>8</v>
      </c>
      <c r="C10">
        <v>455</v>
      </c>
      <c r="D10">
        <v>225</v>
      </c>
      <c r="E10">
        <v>4425</v>
      </c>
      <c r="F10">
        <v>10</v>
      </c>
      <c r="G10">
        <v>70</v>
      </c>
      <c r="H10" t="s">
        <v>1543</v>
      </c>
      <c r="I10" t="s">
        <v>913</v>
      </c>
      <c r="J10" t="s">
        <v>914</v>
      </c>
      <c r="K10" t="s">
        <v>915</v>
      </c>
      <c r="L10" t="b">
        <f>Data_Completeness(MileageData[[#This Row],[MPG]:[Acceleration]])</f>
        <v>1</v>
      </c>
    </row>
    <row r="11" spans="1:12" x14ac:dyDescent="0.25">
      <c r="A11">
        <v>15</v>
      </c>
      <c r="B11">
        <v>8</v>
      </c>
      <c r="C11">
        <v>390</v>
      </c>
      <c r="D11">
        <v>190</v>
      </c>
      <c r="E11">
        <v>3850</v>
      </c>
      <c r="F11">
        <v>8.5</v>
      </c>
      <c r="G11">
        <v>70</v>
      </c>
      <c r="H11" t="s">
        <v>1543</v>
      </c>
      <c r="I11" t="s">
        <v>916</v>
      </c>
      <c r="J11" t="s">
        <v>902</v>
      </c>
      <c r="K11" t="s">
        <v>917</v>
      </c>
      <c r="L11" t="b">
        <f>Data_Completeness(MileageData[[#This Row],[MPG]:[Acceleration]])</f>
        <v>1</v>
      </c>
    </row>
    <row r="12" spans="1:12" x14ac:dyDescent="0.25">
      <c r="B12">
        <v>4</v>
      </c>
      <c r="C12">
        <v>133</v>
      </c>
      <c r="D12">
        <v>115</v>
      </c>
      <c r="E12">
        <v>3090</v>
      </c>
      <c r="F12">
        <v>17.5</v>
      </c>
      <c r="G12">
        <v>70</v>
      </c>
      <c r="H12" t="s">
        <v>1544</v>
      </c>
      <c r="I12" t="s">
        <v>918</v>
      </c>
      <c r="J12" t="s">
        <v>919</v>
      </c>
      <c r="K12" t="s">
        <v>920</v>
      </c>
      <c r="L12" t="b">
        <f>Data_Completeness(MileageData[[#This Row],[MPG]:[Acceleration]])</f>
        <v>0</v>
      </c>
    </row>
    <row r="13" spans="1:12" x14ac:dyDescent="0.25">
      <c r="B13">
        <v>8</v>
      </c>
      <c r="C13">
        <v>350</v>
      </c>
      <c r="D13">
        <v>165</v>
      </c>
      <c r="E13">
        <v>4142</v>
      </c>
      <c r="F13">
        <v>11.5</v>
      </c>
      <c r="G13">
        <v>70</v>
      </c>
      <c r="H13" t="s">
        <v>1543</v>
      </c>
      <c r="I13" t="s">
        <v>921</v>
      </c>
      <c r="J13" t="s">
        <v>893</v>
      </c>
      <c r="K13" t="s">
        <v>922</v>
      </c>
      <c r="L13" t="b">
        <f>Data_Completeness(MileageData[[#This Row],[MPG]:[Acceleration]])</f>
        <v>0</v>
      </c>
    </row>
    <row r="14" spans="1:12" x14ac:dyDescent="0.25">
      <c r="B14">
        <v>8</v>
      </c>
      <c r="C14">
        <v>351</v>
      </c>
      <c r="D14">
        <v>153</v>
      </c>
      <c r="E14">
        <v>4034</v>
      </c>
      <c r="F14">
        <v>11</v>
      </c>
      <c r="G14">
        <v>70</v>
      </c>
      <c r="H14" t="s">
        <v>1543</v>
      </c>
      <c r="I14" t="s">
        <v>923</v>
      </c>
      <c r="J14" t="s">
        <v>905</v>
      </c>
      <c r="K14" t="s">
        <v>924</v>
      </c>
      <c r="L14" t="b">
        <f>Data_Completeness(MileageData[[#This Row],[MPG]:[Acceleration]])</f>
        <v>0</v>
      </c>
    </row>
    <row r="15" spans="1:12" x14ac:dyDescent="0.25">
      <c r="B15">
        <v>8</v>
      </c>
      <c r="C15">
        <v>383</v>
      </c>
      <c r="D15">
        <v>175</v>
      </c>
      <c r="E15">
        <v>4166</v>
      </c>
      <c r="F15">
        <v>10.5</v>
      </c>
      <c r="G15">
        <v>70</v>
      </c>
      <c r="H15" t="s">
        <v>1543</v>
      </c>
      <c r="I15" t="s">
        <v>925</v>
      </c>
      <c r="J15" t="s">
        <v>899</v>
      </c>
      <c r="K15" t="s">
        <v>926</v>
      </c>
      <c r="L15" t="b">
        <f>Data_Completeness(MileageData[[#This Row],[MPG]:[Acceleration]])</f>
        <v>0</v>
      </c>
    </row>
    <row r="16" spans="1:12" x14ac:dyDescent="0.25">
      <c r="B16">
        <v>8</v>
      </c>
      <c r="C16">
        <v>360</v>
      </c>
      <c r="D16">
        <v>175</v>
      </c>
      <c r="E16">
        <v>3850</v>
      </c>
      <c r="F16">
        <v>11</v>
      </c>
      <c r="G16">
        <v>70</v>
      </c>
      <c r="H16" t="s">
        <v>1543</v>
      </c>
      <c r="I16" t="s">
        <v>927</v>
      </c>
      <c r="J16" t="s">
        <v>902</v>
      </c>
      <c r="K16" t="s">
        <v>928</v>
      </c>
      <c r="L16" t="b">
        <f>Data_Completeness(MileageData[[#This Row],[MPG]:[Acceleration]])</f>
        <v>0</v>
      </c>
    </row>
    <row r="17" spans="1:12" x14ac:dyDescent="0.25">
      <c r="A17">
        <v>15</v>
      </c>
      <c r="B17">
        <v>8</v>
      </c>
      <c r="C17">
        <v>383</v>
      </c>
      <c r="D17">
        <v>170</v>
      </c>
      <c r="E17">
        <v>3563</v>
      </c>
      <c r="F17">
        <v>10</v>
      </c>
      <c r="G17">
        <v>70</v>
      </c>
      <c r="H17" t="s">
        <v>1543</v>
      </c>
      <c r="I17" t="s">
        <v>929</v>
      </c>
      <c r="J17" t="s">
        <v>930</v>
      </c>
      <c r="K17" t="s">
        <v>931</v>
      </c>
      <c r="L17" t="b">
        <f>Data_Completeness(MileageData[[#This Row],[MPG]:[Acceleration]])</f>
        <v>1</v>
      </c>
    </row>
    <row r="18" spans="1:12" x14ac:dyDescent="0.25">
      <c r="A18">
        <v>14</v>
      </c>
      <c r="B18">
        <v>8</v>
      </c>
      <c r="C18">
        <v>340</v>
      </c>
      <c r="D18">
        <v>160</v>
      </c>
      <c r="E18">
        <v>3609</v>
      </c>
      <c r="F18">
        <v>8</v>
      </c>
      <c r="G18">
        <v>70</v>
      </c>
      <c r="H18" t="s">
        <v>1543</v>
      </c>
      <c r="I18" t="s">
        <v>932</v>
      </c>
      <c r="J18" t="s">
        <v>899</v>
      </c>
      <c r="K18" s="32" t="s">
        <v>1534</v>
      </c>
      <c r="L18" t="b">
        <f>Data_Completeness(MileageData[[#This Row],[MPG]:[Acceleration]])</f>
        <v>1</v>
      </c>
    </row>
    <row r="19" spans="1:12" x14ac:dyDescent="0.25">
      <c r="B19">
        <v>8</v>
      </c>
      <c r="C19">
        <v>302</v>
      </c>
      <c r="D19">
        <v>140</v>
      </c>
      <c r="E19">
        <v>3353</v>
      </c>
      <c r="F19">
        <v>8</v>
      </c>
      <c r="G19">
        <v>70</v>
      </c>
      <c r="H19" t="s">
        <v>1543</v>
      </c>
      <c r="I19" t="s">
        <v>933</v>
      </c>
      <c r="J19" t="s">
        <v>905</v>
      </c>
      <c r="K19" t="s">
        <v>934</v>
      </c>
      <c r="L19" t="b">
        <f>Data_Completeness(MileageData[[#This Row],[MPG]:[Acceleration]])</f>
        <v>0</v>
      </c>
    </row>
    <row r="20" spans="1:12" x14ac:dyDescent="0.25">
      <c r="A20">
        <v>15</v>
      </c>
      <c r="B20">
        <v>8</v>
      </c>
      <c r="C20">
        <v>400</v>
      </c>
      <c r="D20">
        <v>150</v>
      </c>
      <c r="E20">
        <v>3761</v>
      </c>
      <c r="F20">
        <v>9.5</v>
      </c>
      <c r="G20">
        <v>70</v>
      </c>
      <c r="H20" t="s">
        <v>1543</v>
      </c>
      <c r="I20" t="s">
        <v>935</v>
      </c>
      <c r="J20" t="s">
        <v>893</v>
      </c>
      <c r="K20" t="s">
        <v>936</v>
      </c>
      <c r="L20" t="b">
        <f>Data_Completeness(MileageData[[#This Row],[MPG]:[Acceleration]])</f>
        <v>1</v>
      </c>
    </row>
    <row r="21" spans="1:12" x14ac:dyDescent="0.25">
      <c r="A21">
        <v>14</v>
      </c>
      <c r="B21">
        <v>8</v>
      </c>
      <c r="C21">
        <v>455</v>
      </c>
      <c r="D21">
        <v>225</v>
      </c>
      <c r="E21">
        <v>3086</v>
      </c>
      <c r="F21">
        <v>10</v>
      </c>
      <c r="G21">
        <v>70</v>
      </c>
      <c r="H21" t="s">
        <v>1543</v>
      </c>
      <c r="I21" t="s">
        <v>937</v>
      </c>
      <c r="J21" t="s">
        <v>896</v>
      </c>
      <c r="K21" t="s">
        <v>938</v>
      </c>
      <c r="L21" t="b">
        <f>Data_Completeness(MileageData[[#This Row],[MPG]:[Acceleration]])</f>
        <v>1</v>
      </c>
    </row>
    <row r="22" spans="1:12" x14ac:dyDescent="0.25">
      <c r="A22">
        <v>24</v>
      </c>
      <c r="B22">
        <v>4</v>
      </c>
      <c r="C22">
        <v>113</v>
      </c>
      <c r="D22">
        <v>95</v>
      </c>
      <c r="E22">
        <v>2372</v>
      </c>
      <c r="F22">
        <v>15</v>
      </c>
      <c r="G22">
        <v>70</v>
      </c>
      <c r="H22" t="s">
        <v>1545</v>
      </c>
      <c r="I22" t="s">
        <v>939</v>
      </c>
      <c r="J22" t="s">
        <v>940</v>
      </c>
      <c r="K22" t="s">
        <v>941</v>
      </c>
      <c r="L22" t="b">
        <f>Data_Completeness(MileageData[[#This Row],[MPG]:[Acceleration]])</f>
        <v>1</v>
      </c>
    </row>
    <row r="23" spans="1:12" x14ac:dyDescent="0.25">
      <c r="A23">
        <v>22</v>
      </c>
      <c r="B23">
        <v>6</v>
      </c>
      <c r="C23">
        <v>198</v>
      </c>
      <c r="D23">
        <v>95</v>
      </c>
      <c r="E23">
        <v>2833</v>
      </c>
      <c r="F23">
        <v>15.5</v>
      </c>
      <c r="G23">
        <v>70</v>
      </c>
      <c r="H23" t="s">
        <v>1543</v>
      </c>
      <c r="I23" t="s">
        <v>942</v>
      </c>
      <c r="J23" t="s">
        <v>899</v>
      </c>
      <c r="K23" t="s">
        <v>943</v>
      </c>
      <c r="L23" t="b">
        <f>Data_Completeness(MileageData[[#This Row],[MPG]:[Acceleration]])</f>
        <v>1</v>
      </c>
    </row>
    <row r="24" spans="1:12" x14ac:dyDescent="0.25">
      <c r="A24">
        <v>18</v>
      </c>
      <c r="B24">
        <v>6</v>
      </c>
      <c r="C24">
        <v>199</v>
      </c>
      <c r="D24">
        <v>97</v>
      </c>
      <c r="E24">
        <v>2774</v>
      </c>
      <c r="F24">
        <v>15.5</v>
      </c>
      <c r="G24">
        <v>70</v>
      </c>
      <c r="H24" t="s">
        <v>1543</v>
      </c>
      <c r="I24" t="s">
        <v>944</v>
      </c>
      <c r="J24" t="s">
        <v>902</v>
      </c>
      <c r="K24" t="s">
        <v>945</v>
      </c>
      <c r="L24" t="b">
        <f>Data_Completeness(MileageData[[#This Row],[MPG]:[Acceleration]])</f>
        <v>1</v>
      </c>
    </row>
    <row r="25" spans="1:12" x14ac:dyDescent="0.25">
      <c r="A25">
        <v>21</v>
      </c>
      <c r="B25">
        <v>6</v>
      </c>
      <c r="C25">
        <v>200</v>
      </c>
      <c r="D25">
        <v>85</v>
      </c>
      <c r="E25">
        <v>2587</v>
      </c>
      <c r="F25">
        <v>16</v>
      </c>
      <c r="G25">
        <v>70</v>
      </c>
      <c r="H25" t="s">
        <v>1543</v>
      </c>
      <c r="I25" t="s">
        <v>946</v>
      </c>
      <c r="J25" t="s">
        <v>905</v>
      </c>
      <c r="K25" t="s">
        <v>947</v>
      </c>
      <c r="L25" t="b">
        <f>Data_Completeness(MileageData[[#This Row],[MPG]:[Acceleration]])</f>
        <v>1</v>
      </c>
    </row>
    <row r="26" spans="1:12" x14ac:dyDescent="0.25">
      <c r="A26">
        <v>27</v>
      </c>
      <c r="B26">
        <v>4</v>
      </c>
      <c r="C26">
        <v>97</v>
      </c>
      <c r="D26">
        <v>88</v>
      </c>
      <c r="E26">
        <v>2130</v>
      </c>
      <c r="F26">
        <v>14.5</v>
      </c>
      <c r="G26">
        <v>70</v>
      </c>
      <c r="H26" t="s">
        <v>1545</v>
      </c>
      <c r="I26" t="s">
        <v>948</v>
      </c>
      <c r="J26" t="s">
        <v>949</v>
      </c>
      <c r="K26" t="s">
        <v>950</v>
      </c>
      <c r="L26" t="b">
        <f>Data_Completeness(MileageData[[#This Row],[MPG]:[Acceleration]])</f>
        <v>1</v>
      </c>
    </row>
    <row r="27" spans="1:12" x14ac:dyDescent="0.25">
      <c r="A27">
        <v>26</v>
      </c>
      <c r="B27">
        <v>4</v>
      </c>
      <c r="C27">
        <v>97</v>
      </c>
      <c r="D27">
        <v>46</v>
      </c>
      <c r="E27">
        <v>1835</v>
      </c>
      <c r="F27">
        <v>20.5</v>
      </c>
      <c r="G27">
        <v>70</v>
      </c>
      <c r="H27" t="s">
        <v>1544</v>
      </c>
      <c r="I27" t="s">
        <v>951</v>
      </c>
      <c r="J27" t="s">
        <v>952</v>
      </c>
      <c r="K27" t="s">
        <v>953</v>
      </c>
      <c r="L27" t="b">
        <f>Data_Completeness(MileageData[[#This Row],[MPG]:[Acceleration]])</f>
        <v>1</v>
      </c>
    </row>
    <row r="28" spans="1:12" x14ac:dyDescent="0.25">
      <c r="A28">
        <v>25</v>
      </c>
      <c r="B28">
        <v>4</v>
      </c>
      <c r="C28">
        <v>110</v>
      </c>
      <c r="D28">
        <v>87</v>
      </c>
      <c r="E28">
        <v>2672</v>
      </c>
      <c r="F28">
        <v>17.5</v>
      </c>
      <c r="G28">
        <v>70</v>
      </c>
      <c r="H28" t="s">
        <v>1544</v>
      </c>
      <c r="I28" t="s">
        <v>954</v>
      </c>
      <c r="J28" t="s">
        <v>955</v>
      </c>
      <c r="K28">
        <v>504</v>
      </c>
      <c r="L28" t="b">
        <f>Data_Completeness(MileageData[[#This Row],[MPG]:[Acceleration]])</f>
        <v>1</v>
      </c>
    </row>
    <row r="29" spans="1:12" x14ac:dyDescent="0.25">
      <c r="A29">
        <v>24</v>
      </c>
      <c r="B29">
        <v>4</v>
      </c>
      <c r="C29">
        <v>107</v>
      </c>
      <c r="D29">
        <v>90</v>
      </c>
      <c r="E29">
        <v>2430</v>
      </c>
      <c r="F29">
        <v>14.5</v>
      </c>
      <c r="G29">
        <v>70</v>
      </c>
      <c r="H29" t="s">
        <v>1544</v>
      </c>
      <c r="I29" t="s">
        <v>956</v>
      </c>
      <c r="J29" t="s">
        <v>957</v>
      </c>
      <c r="K29" t="s">
        <v>958</v>
      </c>
      <c r="L29" t="b">
        <f>Data_Completeness(MileageData[[#This Row],[MPG]:[Acceleration]])</f>
        <v>1</v>
      </c>
    </row>
    <row r="30" spans="1:12" x14ac:dyDescent="0.25">
      <c r="A30">
        <v>25</v>
      </c>
      <c r="B30">
        <v>4</v>
      </c>
      <c r="C30">
        <v>104</v>
      </c>
      <c r="D30">
        <v>95</v>
      </c>
      <c r="E30">
        <v>2375</v>
      </c>
      <c r="F30">
        <v>17.5</v>
      </c>
      <c r="G30">
        <v>70</v>
      </c>
      <c r="H30" t="s">
        <v>1544</v>
      </c>
      <c r="I30" t="s">
        <v>959</v>
      </c>
      <c r="J30" t="s">
        <v>960</v>
      </c>
      <c r="K30" t="s">
        <v>961</v>
      </c>
      <c r="L30" t="b">
        <f>Data_Completeness(MileageData[[#This Row],[MPG]:[Acceleration]])</f>
        <v>1</v>
      </c>
    </row>
    <row r="31" spans="1:12" x14ac:dyDescent="0.25">
      <c r="A31">
        <v>26</v>
      </c>
      <c r="B31">
        <v>4</v>
      </c>
      <c r="C31">
        <v>121</v>
      </c>
      <c r="D31">
        <v>113</v>
      </c>
      <c r="E31">
        <v>2234</v>
      </c>
      <c r="F31">
        <v>12.5</v>
      </c>
      <c r="G31">
        <v>70</v>
      </c>
      <c r="H31" t="s">
        <v>1544</v>
      </c>
      <c r="I31" t="s">
        <v>962</v>
      </c>
      <c r="J31" t="s">
        <v>963</v>
      </c>
      <c r="K31">
        <v>2002</v>
      </c>
      <c r="L31" t="b">
        <f>Data_Completeness(MileageData[[#This Row],[MPG]:[Acceleration]])</f>
        <v>1</v>
      </c>
    </row>
    <row r="32" spans="1:12" x14ac:dyDescent="0.25">
      <c r="A32">
        <v>21</v>
      </c>
      <c r="B32">
        <v>6</v>
      </c>
      <c r="C32">
        <v>199</v>
      </c>
      <c r="D32">
        <v>90</v>
      </c>
      <c r="E32">
        <v>2648</v>
      </c>
      <c r="F32">
        <v>15</v>
      </c>
      <c r="G32">
        <v>70</v>
      </c>
      <c r="H32" t="s">
        <v>1543</v>
      </c>
      <c r="I32" t="s">
        <v>964</v>
      </c>
      <c r="J32" t="s">
        <v>902</v>
      </c>
      <c r="K32" t="s">
        <v>965</v>
      </c>
      <c r="L32" t="b">
        <f>Data_Completeness(MileageData[[#This Row],[MPG]:[Acceleration]])</f>
        <v>1</v>
      </c>
    </row>
    <row r="33" spans="1:12" x14ac:dyDescent="0.25">
      <c r="A33">
        <v>10</v>
      </c>
      <c r="B33">
        <v>8</v>
      </c>
      <c r="C33">
        <v>360</v>
      </c>
      <c r="D33">
        <v>215</v>
      </c>
      <c r="E33">
        <v>4615</v>
      </c>
      <c r="F33">
        <v>14</v>
      </c>
      <c r="G33">
        <v>70</v>
      </c>
      <c r="H33" t="s">
        <v>1543</v>
      </c>
      <c r="I33" t="s">
        <v>966</v>
      </c>
      <c r="J33" t="s">
        <v>905</v>
      </c>
      <c r="K33" t="s">
        <v>967</v>
      </c>
      <c r="L33" t="b">
        <f>Data_Completeness(MileageData[[#This Row],[MPG]:[Acceleration]])</f>
        <v>1</v>
      </c>
    </row>
    <row r="34" spans="1:12" x14ac:dyDescent="0.25">
      <c r="A34">
        <v>10</v>
      </c>
      <c r="B34">
        <v>8</v>
      </c>
      <c r="C34">
        <v>307</v>
      </c>
      <c r="D34">
        <v>200</v>
      </c>
      <c r="E34">
        <v>4376</v>
      </c>
      <c r="F34">
        <v>15</v>
      </c>
      <c r="G34">
        <v>70</v>
      </c>
      <c r="H34" t="s">
        <v>1543</v>
      </c>
      <c r="I34" t="s">
        <v>968</v>
      </c>
      <c r="J34" t="s">
        <v>969</v>
      </c>
      <c r="K34" t="s">
        <v>970</v>
      </c>
      <c r="L34" t="b">
        <f>Data_Completeness(MileageData[[#This Row],[MPG]:[Acceleration]])</f>
        <v>1</v>
      </c>
    </row>
    <row r="35" spans="1:12" x14ac:dyDescent="0.25">
      <c r="A35">
        <v>11</v>
      </c>
      <c r="B35">
        <v>8</v>
      </c>
      <c r="C35">
        <v>318</v>
      </c>
      <c r="D35">
        <v>210</v>
      </c>
      <c r="E35">
        <v>4382</v>
      </c>
      <c r="F35">
        <v>13.5</v>
      </c>
      <c r="G35">
        <v>70</v>
      </c>
      <c r="H35" t="s">
        <v>1543</v>
      </c>
      <c r="I35" t="s">
        <v>971</v>
      </c>
      <c r="J35" t="s">
        <v>930</v>
      </c>
      <c r="K35" t="s">
        <v>972</v>
      </c>
      <c r="L35" t="b">
        <f>Data_Completeness(MileageData[[#This Row],[MPG]:[Acceleration]])</f>
        <v>1</v>
      </c>
    </row>
    <row r="36" spans="1:12" x14ac:dyDescent="0.25">
      <c r="A36">
        <v>9</v>
      </c>
      <c r="B36">
        <v>8</v>
      </c>
      <c r="C36">
        <v>304</v>
      </c>
      <c r="D36">
        <v>193</v>
      </c>
      <c r="E36">
        <v>4732</v>
      </c>
      <c r="F36">
        <v>18.5</v>
      </c>
      <c r="G36">
        <v>70</v>
      </c>
      <c r="H36" t="s">
        <v>1543</v>
      </c>
      <c r="I36" t="s">
        <v>973</v>
      </c>
      <c r="J36" t="s">
        <v>974</v>
      </c>
      <c r="K36" t="s">
        <v>975</v>
      </c>
      <c r="L36" t="b">
        <f>Data_Completeness(MileageData[[#This Row],[MPG]:[Acceleration]])</f>
        <v>1</v>
      </c>
    </row>
    <row r="37" spans="1:12" x14ac:dyDescent="0.25">
      <c r="A37">
        <v>27</v>
      </c>
      <c r="B37">
        <v>4</v>
      </c>
      <c r="C37">
        <v>97</v>
      </c>
      <c r="D37">
        <v>88</v>
      </c>
      <c r="E37">
        <v>2130</v>
      </c>
      <c r="F37">
        <v>14.5</v>
      </c>
      <c r="G37">
        <v>71</v>
      </c>
      <c r="H37" t="s">
        <v>1545</v>
      </c>
      <c r="I37" t="s">
        <v>948</v>
      </c>
      <c r="J37" t="s">
        <v>949</v>
      </c>
      <c r="K37" t="s">
        <v>950</v>
      </c>
      <c r="L37" t="b">
        <f>Data_Completeness(MileageData[[#This Row],[MPG]:[Acceleration]])</f>
        <v>1</v>
      </c>
    </row>
    <row r="38" spans="1:12" x14ac:dyDescent="0.25">
      <c r="A38">
        <v>28</v>
      </c>
      <c r="B38">
        <v>4</v>
      </c>
      <c r="C38">
        <v>140</v>
      </c>
      <c r="D38">
        <v>90</v>
      </c>
      <c r="E38">
        <v>2264</v>
      </c>
      <c r="F38">
        <v>15.5</v>
      </c>
      <c r="G38">
        <v>71</v>
      </c>
      <c r="H38" t="s">
        <v>1543</v>
      </c>
      <c r="I38" t="s">
        <v>976</v>
      </c>
      <c r="J38" t="s">
        <v>893</v>
      </c>
      <c r="K38" t="s">
        <v>977</v>
      </c>
      <c r="L38" t="b">
        <f>Data_Completeness(MileageData[[#This Row],[MPG]:[Acceleration]])</f>
        <v>1</v>
      </c>
    </row>
    <row r="39" spans="1:12" x14ac:dyDescent="0.25">
      <c r="A39">
        <v>25</v>
      </c>
      <c r="B39">
        <v>4</v>
      </c>
      <c r="C39">
        <v>113</v>
      </c>
      <c r="D39">
        <v>95</v>
      </c>
      <c r="E39">
        <v>2228</v>
      </c>
      <c r="F39">
        <v>14</v>
      </c>
      <c r="G39">
        <v>71</v>
      </c>
      <c r="H39" t="s">
        <v>1545</v>
      </c>
      <c r="I39" t="s">
        <v>978</v>
      </c>
      <c r="J39" t="s">
        <v>940</v>
      </c>
      <c r="K39" t="s">
        <v>979</v>
      </c>
      <c r="L39" t="b">
        <f>Data_Completeness(MileageData[[#This Row],[MPG]:[Acceleration]])</f>
        <v>1</v>
      </c>
    </row>
    <row r="40" spans="1:12" x14ac:dyDescent="0.25">
      <c r="A40">
        <v>25</v>
      </c>
      <c r="B40">
        <v>4</v>
      </c>
      <c r="C40">
        <v>98</v>
      </c>
      <c r="E40">
        <v>2046</v>
      </c>
      <c r="F40">
        <v>19</v>
      </c>
      <c r="G40">
        <v>71</v>
      </c>
      <c r="H40" t="s">
        <v>1543</v>
      </c>
      <c r="I40" t="s">
        <v>980</v>
      </c>
      <c r="J40" t="s">
        <v>905</v>
      </c>
      <c r="K40" t="s">
        <v>981</v>
      </c>
      <c r="L40" t="b">
        <f>Data_Completeness(MileageData[[#This Row],[MPG]:[Acceleration]])</f>
        <v>0</v>
      </c>
    </row>
    <row r="41" spans="1:12" x14ac:dyDescent="0.25">
      <c r="B41">
        <v>4</v>
      </c>
      <c r="C41">
        <v>97</v>
      </c>
      <c r="D41">
        <v>48</v>
      </c>
      <c r="E41">
        <v>1978</v>
      </c>
      <c r="F41">
        <v>20</v>
      </c>
      <c r="G41">
        <v>71</v>
      </c>
      <c r="H41" t="s">
        <v>1544</v>
      </c>
      <c r="I41" t="s">
        <v>982</v>
      </c>
      <c r="J41" t="s">
        <v>952</v>
      </c>
      <c r="K41" t="s">
        <v>983</v>
      </c>
      <c r="L41" t="b">
        <f>Data_Completeness(MileageData[[#This Row],[MPG]:[Acceleration]])</f>
        <v>0</v>
      </c>
    </row>
    <row r="42" spans="1:12" x14ac:dyDescent="0.25">
      <c r="A42">
        <v>19</v>
      </c>
      <c r="B42">
        <v>6</v>
      </c>
      <c r="C42">
        <v>232</v>
      </c>
      <c r="D42">
        <v>100</v>
      </c>
      <c r="E42">
        <v>2634</v>
      </c>
      <c r="F42">
        <v>13</v>
      </c>
      <c r="G42">
        <v>71</v>
      </c>
      <c r="H42" t="s">
        <v>1543</v>
      </c>
      <c r="I42" t="s">
        <v>964</v>
      </c>
      <c r="J42" t="s">
        <v>902</v>
      </c>
      <c r="K42" t="s">
        <v>965</v>
      </c>
      <c r="L42" t="b">
        <f>Data_Completeness(MileageData[[#This Row],[MPG]:[Acceleration]])</f>
        <v>1</v>
      </c>
    </row>
    <row r="43" spans="1:12" x14ac:dyDescent="0.25">
      <c r="A43">
        <v>16</v>
      </c>
      <c r="B43">
        <v>6</v>
      </c>
      <c r="C43">
        <v>225</v>
      </c>
      <c r="D43">
        <v>105</v>
      </c>
      <c r="E43">
        <v>3439</v>
      </c>
      <c r="F43">
        <v>15.5</v>
      </c>
      <c r="G43">
        <v>71</v>
      </c>
      <c r="H43" t="s">
        <v>1543</v>
      </c>
      <c r="I43" t="s">
        <v>984</v>
      </c>
      <c r="J43" t="s">
        <v>899</v>
      </c>
      <c r="K43" t="s">
        <v>985</v>
      </c>
      <c r="L43" t="b">
        <f>Data_Completeness(MileageData[[#This Row],[MPG]:[Acceleration]])</f>
        <v>1</v>
      </c>
    </row>
    <row r="44" spans="1:12" x14ac:dyDescent="0.25">
      <c r="A44">
        <v>17</v>
      </c>
      <c r="B44">
        <v>6</v>
      </c>
      <c r="C44">
        <v>250</v>
      </c>
      <c r="D44">
        <v>100</v>
      </c>
      <c r="E44">
        <v>3329</v>
      </c>
      <c r="F44">
        <v>15.5</v>
      </c>
      <c r="G44">
        <v>71</v>
      </c>
      <c r="H44" t="s">
        <v>1543</v>
      </c>
      <c r="I44" t="s">
        <v>892</v>
      </c>
      <c r="J44" t="s">
        <v>893</v>
      </c>
      <c r="K44" t="s">
        <v>894</v>
      </c>
      <c r="L44" t="b">
        <f>Data_Completeness(MileageData[[#This Row],[MPG]:[Acceleration]])</f>
        <v>1</v>
      </c>
    </row>
    <row r="45" spans="1:12" x14ac:dyDescent="0.25">
      <c r="A45">
        <v>19</v>
      </c>
      <c r="B45">
        <v>6</v>
      </c>
      <c r="C45">
        <v>250</v>
      </c>
      <c r="D45">
        <v>88</v>
      </c>
      <c r="E45">
        <v>3302</v>
      </c>
      <c r="F45">
        <v>15.5</v>
      </c>
      <c r="G45">
        <v>71</v>
      </c>
      <c r="H45" t="s">
        <v>1543</v>
      </c>
      <c r="I45" t="s">
        <v>986</v>
      </c>
      <c r="J45" t="s">
        <v>905</v>
      </c>
      <c r="K45" t="s">
        <v>987</v>
      </c>
      <c r="L45" t="b">
        <f>Data_Completeness(MileageData[[#This Row],[MPG]:[Acceleration]])</f>
        <v>1</v>
      </c>
    </row>
    <row r="46" spans="1:12" x14ac:dyDescent="0.25">
      <c r="A46">
        <v>18</v>
      </c>
      <c r="B46">
        <v>6</v>
      </c>
      <c r="C46">
        <v>232</v>
      </c>
      <c r="D46">
        <v>100</v>
      </c>
      <c r="E46">
        <v>3288</v>
      </c>
      <c r="F46">
        <v>15.5</v>
      </c>
      <c r="G46">
        <v>71</v>
      </c>
      <c r="H46" t="s">
        <v>1543</v>
      </c>
      <c r="I46" t="s">
        <v>988</v>
      </c>
      <c r="J46" t="s">
        <v>902</v>
      </c>
      <c r="K46" t="s">
        <v>989</v>
      </c>
      <c r="L46" t="b">
        <f>Data_Completeness(MileageData[[#This Row],[MPG]:[Acceleration]])</f>
        <v>1</v>
      </c>
    </row>
    <row r="47" spans="1:12" x14ac:dyDescent="0.25">
      <c r="A47">
        <v>14</v>
      </c>
      <c r="B47">
        <v>8</v>
      </c>
      <c r="C47">
        <v>350</v>
      </c>
      <c r="D47">
        <v>165</v>
      </c>
      <c r="E47">
        <v>4209</v>
      </c>
      <c r="F47">
        <v>12</v>
      </c>
      <c r="G47">
        <v>71</v>
      </c>
      <c r="H47" t="s">
        <v>1543</v>
      </c>
      <c r="I47" t="s">
        <v>909</v>
      </c>
      <c r="J47" t="s">
        <v>893</v>
      </c>
      <c r="K47" t="s">
        <v>910</v>
      </c>
      <c r="L47" t="b">
        <f>Data_Completeness(MileageData[[#This Row],[MPG]:[Acceleration]])</f>
        <v>1</v>
      </c>
    </row>
    <row r="48" spans="1:12" x14ac:dyDescent="0.25">
      <c r="A48">
        <v>14</v>
      </c>
      <c r="B48">
        <v>8</v>
      </c>
      <c r="C48">
        <v>400</v>
      </c>
      <c r="D48">
        <v>175</v>
      </c>
      <c r="E48">
        <v>4464</v>
      </c>
      <c r="F48">
        <v>11.5</v>
      </c>
      <c r="G48">
        <v>71</v>
      </c>
      <c r="H48" t="s">
        <v>1543</v>
      </c>
      <c r="I48" t="s">
        <v>990</v>
      </c>
      <c r="J48" t="s">
        <v>914</v>
      </c>
      <c r="K48" t="s">
        <v>991</v>
      </c>
      <c r="L48" t="b">
        <f>Data_Completeness(MileageData[[#This Row],[MPG]:[Acceleration]])</f>
        <v>1</v>
      </c>
    </row>
    <row r="49" spans="1:12" x14ac:dyDescent="0.25">
      <c r="A49">
        <v>14</v>
      </c>
      <c r="B49">
        <v>8</v>
      </c>
      <c r="C49">
        <v>351</v>
      </c>
      <c r="D49">
        <v>153</v>
      </c>
      <c r="E49">
        <v>4154</v>
      </c>
      <c r="F49">
        <v>13.5</v>
      </c>
      <c r="G49">
        <v>71</v>
      </c>
      <c r="H49" t="s">
        <v>1543</v>
      </c>
      <c r="I49" t="s">
        <v>907</v>
      </c>
      <c r="J49" t="s">
        <v>905</v>
      </c>
      <c r="K49" t="s">
        <v>908</v>
      </c>
      <c r="L49" t="b">
        <f>Data_Completeness(MileageData[[#This Row],[MPG]:[Acceleration]])</f>
        <v>1</v>
      </c>
    </row>
    <row r="50" spans="1:12" x14ac:dyDescent="0.25">
      <c r="A50">
        <v>14</v>
      </c>
      <c r="B50">
        <v>8</v>
      </c>
      <c r="C50">
        <v>318</v>
      </c>
      <c r="D50">
        <v>150</v>
      </c>
      <c r="E50">
        <v>4096</v>
      </c>
      <c r="F50">
        <v>13</v>
      </c>
      <c r="G50">
        <v>71</v>
      </c>
      <c r="H50" t="s">
        <v>1543</v>
      </c>
      <c r="I50" t="s">
        <v>911</v>
      </c>
      <c r="J50" t="s">
        <v>899</v>
      </c>
      <c r="K50" t="s">
        <v>912</v>
      </c>
      <c r="L50" t="b">
        <f>Data_Completeness(MileageData[[#This Row],[MPG]:[Acceleration]])</f>
        <v>1</v>
      </c>
    </row>
    <row r="51" spans="1:12" x14ac:dyDescent="0.25">
      <c r="A51">
        <v>12</v>
      </c>
      <c r="B51">
        <v>8</v>
      </c>
      <c r="C51">
        <v>383</v>
      </c>
      <c r="D51">
        <v>180</v>
      </c>
      <c r="E51">
        <v>4955</v>
      </c>
      <c r="F51">
        <v>11.5</v>
      </c>
      <c r="G51">
        <v>71</v>
      </c>
      <c r="H51" t="s">
        <v>1543</v>
      </c>
      <c r="I51" t="s">
        <v>992</v>
      </c>
      <c r="J51" t="s">
        <v>930</v>
      </c>
      <c r="K51" t="s">
        <v>993</v>
      </c>
      <c r="L51" t="b">
        <f>Data_Completeness(MileageData[[#This Row],[MPG]:[Acceleration]])</f>
        <v>1</v>
      </c>
    </row>
    <row r="52" spans="1:12" x14ac:dyDescent="0.25">
      <c r="A52">
        <v>13</v>
      </c>
      <c r="B52">
        <v>8</v>
      </c>
      <c r="C52">
        <v>400</v>
      </c>
      <c r="D52">
        <v>170</v>
      </c>
      <c r="E52">
        <v>4746</v>
      </c>
      <c r="F52">
        <v>12</v>
      </c>
      <c r="G52">
        <v>71</v>
      </c>
      <c r="H52" t="s">
        <v>1543</v>
      </c>
      <c r="I52" t="s">
        <v>994</v>
      </c>
      <c r="J52" t="s">
        <v>905</v>
      </c>
      <c r="K52" t="s">
        <v>995</v>
      </c>
      <c r="L52" t="b">
        <f>Data_Completeness(MileageData[[#This Row],[MPG]:[Acceleration]])</f>
        <v>1</v>
      </c>
    </row>
    <row r="53" spans="1:12" x14ac:dyDescent="0.25">
      <c r="A53">
        <v>13</v>
      </c>
      <c r="B53">
        <v>8</v>
      </c>
      <c r="C53">
        <v>400</v>
      </c>
      <c r="D53">
        <v>175</v>
      </c>
      <c r="E53">
        <v>5140</v>
      </c>
      <c r="F53">
        <v>12</v>
      </c>
      <c r="G53">
        <v>71</v>
      </c>
      <c r="H53" t="s">
        <v>1543</v>
      </c>
      <c r="I53" t="s">
        <v>996</v>
      </c>
      <c r="J53" t="s">
        <v>914</v>
      </c>
      <c r="K53" t="s">
        <v>997</v>
      </c>
      <c r="L53" t="b">
        <f>Data_Completeness(MileageData[[#This Row],[MPG]:[Acceleration]])</f>
        <v>1</v>
      </c>
    </row>
    <row r="54" spans="1:12" x14ac:dyDescent="0.25">
      <c r="A54">
        <v>18</v>
      </c>
      <c r="B54">
        <v>6</v>
      </c>
      <c r="C54">
        <v>258</v>
      </c>
      <c r="D54">
        <v>110</v>
      </c>
      <c r="E54">
        <v>2962</v>
      </c>
      <c r="F54">
        <v>13.5</v>
      </c>
      <c r="G54">
        <v>71</v>
      </c>
      <c r="H54" t="s">
        <v>1543</v>
      </c>
      <c r="I54" t="s">
        <v>998</v>
      </c>
      <c r="J54" t="s">
        <v>902</v>
      </c>
      <c r="K54" t="s">
        <v>999</v>
      </c>
      <c r="L54" t="b">
        <f>Data_Completeness(MileageData[[#This Row],[MPG]:[Acceleration]])</f>
        <v>1</v>
      </c>
    </row>
    <row r="55" spans="1:12" x14ac:dyDescent="0.25">
      <c r="A55">
        <v>22</v>
      </c>
      <c r="B55">
        <v>4</v>
      </c>
      <c r="C55">
        <v>140</v>
      </c>
      <c r="D55">
        <v>72</v>
      </c>
      <c r="E55">
        <v>2408</v>
      </c>
      <c r="F55">
        <v>19</v>
      </c>
      <c r="G55">
        <v>71</v>
      </c>
      <c r="H55" t="s">
        <v>1543</v>
      </c>
      <c r="I55" t="s">
        <v>1000</v>
      </c>
      <c r="J55" t="s">
        <v>893</v>
      </c>
      <c r="K55" t="s">
        <v>1001</v>
      </c>
      <c r="L55" t="b">
        <f>Data_Completeness(MileageData[[#This Row],[MPG]:[Acceleration]])</f>
        <v>1</v>
      </c>
    </row>
    <row r="56" spans="1:12" x14ac:dyDescent="0.25">
      <c r="A56">
        <v>19</v>
      </c>
      <c r="B56">
        <v>6</v>
      </c>
      <c r="C56">
        <v>250</v>
      </c>
      <c r="D56">
        <v>100</v>
      </c>
      <c r="E56">
        <v>3282</v>
      </c>
      <c r="F56">
        <v>15</v>
      </c>
      <c r="G56">
        <v>71</v>
      </c>
      <c r="H56" t="s">
        <v>1543</v>
      </c>
      <c r="I56" t="s">
        <v>1002</v>
      </c>
      <c r="J56" t="s">
        <v>914</v>
      </c>
      <c r="K56" t="s">
        <v>1003</v>
      </c>
      <c r="L56" t="b">
        <f>Data_Completeness(MileageData[[#This Row],[MPG]:[Acceleration]])</f>
        <v>1</v>
      </c>
    </row>
    <row r="57" spans="1:12" x14ac:dyDescent="0.25">
      <c r="A57">
        <v>18</v>
      </c>
      <c r="B57">
        <v>6</v>
      </c>
      <c r="C57">
        <v>250</v>
      </c>
      <c r="D57">
        <v>88</v>
      </c>
      <c r="E57">
        <v>3139</v>
      </c>
      <c r="F57">
        <v>14.5</v>
      </c>
      <c r="G57">
        <v>71</v>
      </c>
      <c r="H57" t="s">
        <v>1543</v>
      </c>
      <c r="I57" t="s">
        <v>1004</v>
      </c>
      <c r="J57" t="s">
        <v>905</v>
      </c>
      <c r="K57" t="s">
        <v>1005</v>
      </c>
      <c r="L57" t="b">
        <f>Data_Completeness(MileageData[[#This Row],[MPG]:[Acceleration]])</f>
        <v>1</v>
      </c>
    </row>
    <row r="58" spans="1:12" x14ac:dyDescent="0.25">
      <c r="A58">
        <v>23</v>
      </c>
      <c r="B58">
        <v>4</v>
      </c>
      <c r="C58">
        <v>122</v>
      </c>
      <c r="D58">
        <v>86</v>
      </c>
      <c r="E58">
        <v>2220</v>
      </c>
      <c r="F58">
        <v>14</v>
      </c>
      <c r="G58">
        <v>71</v>
      </c>
      <c r="H58" t="s">
        <v>1543</v>
      </c>
      <c r="I58" t="s">
        <v>1006</v>
      </c>
      <c r="J58" t="s">
        <v>1007</v>
      </c>
      <c r="K58" t="s">
        <v>1008</v>
      </c>
      <c r="L58" t="b">
        <f>Data_Completeness(MileageData[[#This Row],[MPG]:[Acceleration]])</f>
        <v>1</v>
      </c>
    </row>
    <row r="59" spans="1:12" x14ac:dyDescent="0.25">
      <c r="A59">
        <v>28</v>
      </c>
      <c r="B59">
        <v>4</v>
      </c>
      <c r="C59">
        <v>116</v>
      </c>
      <c r="D59">
        <v>90</v>
      </c>
      <c r="E59">
        <v>2123</v>
      </c>
      <c r="F59">
        <v>14</v>
      </c>
      <c r="G59">
        <v>71</v>
      </c>
      <c r="H59" t="s">
        <v>1544</v>
      </c>
      <c r="I59" t="s">
        <v>1009</v>
      </c>
      <c r="J59" t="s">
        <v>1010</v>
      </c>
      <c r="K59">
        <v>1900</v>
      </c>
      <c r="L59" t="b">
        <f>Data_Completeness(MileageData[[#This Row],[MPG]:[Acceleration]])</f>
        <v>1</v>
      </c>
    </row>
    <row r="60" spans="1:12" x14ac:dyDescent="0.25">
      <c r="A60">
        <v>30</v>
      </c>
      <c r="B60">
        <v>4</v>
      </c>
      <c r="C60">
        <v>79</v>
      </c>
      <c r="D60">
        <v>70</v>
      </c>
      <c r="E60">
        <v>2074</v>
      </c>
      <c r="F60">
        <v>19.5</v>
      </c>
      <c r="G60">
        <v>71</v>
      </c>
      <c r="H60" t="s">
        <v>1544</v>
      </c>
      <c r="I60" t="s">
        <v>1011</v>
      </c>
      <c r="J60" t="s">
        <v>955</v>
      </c>
      <c r="K60">
        <v>304</v>
      </c>
      <c r="L60" t="b">
        <f>Data_Completeness(MileageData[[#This Row],[MPG]:[Acceleration]])</f>
        <v>1</v>
      </c>
    </row>
    <row r="61" spans="1:12" x14ac:dyDescent="0.25">
      <c r="A61">
        <v>30</v>
      </c>
      <c r="B61">
        <v>4</v>
      </c>
      <c r="C61">
        <v>88</v>
      </c>
      <c r="D61">
        <v>76</v>
      </c>
      <c r="E61">
        <v>2065</v>
      </c>
      <c r="F61">
        <v>14.5</v>
      </c>
      <c r="G61">
        <v>71</v>
      </c>
      <c r="H61" t="s">
        <v>1544</v>
      </c>
      <c r="I61" t="s">
        <v>1012</v>
      </c>
      <c r="J61" t="s">
        <v>1013</v>
      </c>
      <c r="K61" t="s">
        <v>1014</v>
      </c>
      <c r="L61" t="b">
        <f>Data_Completeness(MileageData[[#This Row],[MPG]:[Acceleration]])</f>
        <v>1</v>
      </c>
    </row>
    <row r="62" spans="1:12" x14ac:dyDescent="0.25">
      <c r="A62">
        <v>31</v>
      </c>
      <c r="B62">
        <v>4</v>
      </c>
      <c r="C62">
        <v>71</v>
      </c>
      <c r="D62">
        <v>65</v>
      </c>
      <c r="E62">
        <v>1773</v>
      </c>
      <c r="F62">
        <v>19</v>
      </c>
      <c r="G62">
        <v>71</v>
      </c>
      <c r="H62" t="s">
        <v>1545</v>
      </c>
      <c r="I62" t="s">
        <v>1015</v>
      </c>
      <c r="J62" t="s">
        <v>940</v>
      </c>
      <c r="K62" t="s">
        <v>1016</v>
      </c>
      <c r="L62" t="b">
        <f>Data_Completeness(MileageData[[#This Row],[MPG]:[Acceleration]])</f>
        <v>1</v>
      </c>
    </row>
    <row r="63" spans="1:12" x14ac:dyDescent="0.25">
      <c r="A63">
        <v>35</v>
      </c>
      <c r="B63">
        <v>4</v>
      </c>
      <c r="C63">
        <v>72</v>
      </c>
      <c r="D63">
        <v>69</v>
      </c>
      <c r="E63">
        <v>1613</v>
      </c>
      <c r="F63">
        <v>18</v>
      </c>
      <c r="G63">
        <v>71</v>
      </c>
      <c r="H63" t="s">
        <v>1545</v>
      </c>
      <c r="I63" t="s">
        <v>1017</v>
      </c>
      <c r="J63" t="s">
        <v>949</v>
      </c>
      <c r="K63">
        <v>1200</v>
      </c>
      <c r="L63" t="b">
        <f>Data_Completeness(MileageData[[#This Row],[MPG]:[Acceleration]])</f>
        <v>1</v>
      </c>
    </row>
    <row r="64" spans="1:12" x14ac:dyDescent="0.25">
      <c r="A64">
        <v>27</v>
      </c>
      <c r="B64">
        <v>4</v>
      </c>
      <c r="C64">
        <v>97</v>
      </c>
      <c r="D64">
        <v>60</v>
      </c>
      <c r="E64">
        <v>1834</v>
      </c>
      <c r="F64">
        <v>19</v>
      </c>
      <c r="G64">
        <v>71</v>
      </c>
      <c r="H64" t="s">
        <v>1544</v>
      </c>
      <c r="I64" t="s">
        <v>1018</v>
      </c>
      <c r="J64" t="s">
        <v>952</v>
      </c>
      <c r="K64" t="s">
        <v>1019</v>
      </c>
      <c r="L64" t="b">
        <f>Data_Completeness(MileageData[[#This Row],[MPG]:[Acceleration]])</f>
        <v>1</v>
      </c>
    </row>
    <row r="65" spans="1:12" x14ac:dyDescent="0.25">
      <c r="A65">
        <v>26</v>
      </c>
      <c r="B65">
        <v>4</v>
      </c>
      <c r="C65">
        <v>91</v>
      </c>
      <c r="D65">
        <v>70</v>
      </c>
      <c r="E65">
        <v>1955</v>
      </c>
      <c r="F65">
        <v>20.5</v>
      </c>
      <c r="G65">
        <v>71</v>
      </c>
      <c r="H65" t="s">
        <v>1543</v>
      </c>
      <c r="I65" t="s">
        <v>1020</v>
      </c>
      <c r="J65" t="s">
        <v>899</v>
      </c>
      <c r="K65" t="s">
        <v>1021</v>
      </c>
      <c r="L65" t="b">
        <f>Data_Completeness(MileageData[[#This Row],[MPG]:[Acceleration]])</f>
        <v>1</v>
      </c>
    </row>
    <row r="66" spans="1:12" x14ac:dyDescent="0.25">
      <c r="A66">
        <v>24</v>
      </c>
      <c r="B66">
        <v>4</v>
      </c>
      <c r="C66">
        <v>113</v>
      </c>
      <c r="D66">
        <v>95</v>
      </c>
      <c r="E66">
        <v>2278</v>
      </c>
      <c r="F66">
        <v>15.5</v>
      </c>
      <c r="G66">
        <v>72</v>
      </c>
      <c r="H66" t="s">
        <v>1545</v>
      </c>
      <c r="I66" t="s">
        <v>1022</v>
      </c>
      <c r="J66" t="s">
        <v>940</v>
      </c>
      <c r="K66" t="s">
        <v>1023</v>
      </c>
      <c r="L66" t="b">
        <f>Data_Completeness(MileageData[[#This Row],[MPG]:[Acceleration]])</f>
        <v>1</v>
      </c>
    </row>
    <row r="67" spans="1:12" x14ac:dyDescent="0.25">
      <c r="A67">
        <v>25</v>
      </c>
      <c r="B67">
        <v>4</v>
      </c>
      <c r="C67">
        <v>97.5</v>
      </c>
      <c r="D67">
        <v>80</v>
      </c>
      <c r="E67">
        <v>2126</v>
      </c>
      <c r="F67">
        <v>17</v>
      </c>
      <c r="G67">
        <v>72</v>
      </c>
      <c r="H67" t="s">
        <v>1543</v>
      </c>
      <c r="I67" t="s">
        <v>1024</v>
      </c>
      <c r="J67" t="s">
        <v>930</v>
      </c>
      <c r="K67" t="s">
        <v>1025</v>
      </c>
      <c r="L67" t="b">
        <f>Data_Completeness(MileageData[[#This Row],[MPG]:[Acceleration]])</f>
        <v>1</v>
      </c>
    </row>
    <row r="68" spans="1:12" x14ac:dyDescent="0.25">
      <c r="A68">
        <v>23</v>
      </c>
      <c r="B68">
        <v>4</v>
      </c>
      <c r="C68">
        <v>97</v>
      </c>
      <c r="D68">
        <v>54</v>
      </c>
      <c r="E68">
        <v>2254</v>
      </c>
      <c r="F68">
        <v>23.5</v>
      </c>
      <c r="G68">
        <v>72</v>
      </c>
      <c r="H68" t="s">
        <v>1544</v>
      </c>
      <c r="I68" t="s">
        <v>1026</v>
      </c>
      <c r="J68" t="s">
        <v>952</v>
      </c>
      <c r="K68" t="s">
        <v>1027</v>
      </c>
      <c r="L68" t="b">
        <f>Data_Completeness(MileageData[[#This Row],[MPG]:[Acceleration]])</f>
        <v>1</v>
      </c>
    </row>
    <row r="69" spans="1:12" x14ac:dyDescent="0.25">
      <c r="A69">
        <v>20</v>
      </c>
      <c r="B69">
        <v>4</v>
      </c>
      <c r="C69">
        <v>140</v>
      </c>
      <c r="D69">
        <v>90</v>
      </c>
      <c r="E69">
        <v>2408</v>
      </c>
      <c r="F69">
        <v>19.5</v>
      </c>
      <c r="G69">
        <v>72</v>
      </c>
      <c r="H69" t="s">
        <v>1543</v>
      </c>
      <c r="I69" t="s">
        <v>1028</v>
      </c>
      <c r="J69" t="s">
        <v>893</v>
      </c>
      <c r="K69" t="s">
        <v>1029</v>
      </c>
      <c r="L69" t="b">
        <f>Data_Completeness(MileageData[[#This Row],[MPG]:[Acceleration]])</f>
        <v>1</v>
      </c>
    </row>
    <row r="70" spans="1:12" x14ac:dyDescent="0.25">
      <c r="A70">
        <v>21</v>
      </c>
      <c r="B70">
        <v>4</v>
      </c>
      <c r="C70">
        <v>122</v>
      </c>
      <c r="D70">
        <v>86</v>
      </c>
      <c r="E70">
        <v>2226</v>
      </c>
      <c r="F70">
        <v>16.5</v>
      </c>
      <c r="G70">
        <v>72</v>
      </c>
      <c r="H70" t="s">
        <v>1543</v>
      </c>
      <c r="I70" t="s">
        <v>1030</v>
      </c>
      <c r="J70" t="s">
        <v>905</v>
      </c>
      <c r="K70" t="s">
        <v>1031</v>
      </c>
      <c r="L70" t="b">
        <f>Data_Completeness(MileageData[[#This Row],[MPG]:[Acceleration]])</f>
        <v>1</v>
      </c>
    </row>
    <row r="71" spans="1:12" x14ac:dyDescent="0.25">
      <c r="A71">
        <v>13</v>
      </c>
      <c r="B71">
        <v>8</v>
      </c>
      <c r="C71">
        <v>350</v>
      </c>
      <c r="D71">
        <v>165</v>
      </c>
      <c r="E71">
        <v>4274</v>
      </c>
      <c r="F71">
        <v>12</v>
      </c>
      <c r="G71">
        <v>72</v>
      </c>
      <c r="H71" t="s">
        <v>1543</v>
      </c>
      <c r="I71" t="s">
        <v>909</v>
      </c>
      <c r="J71" t="s">
        <v>893</v>
      </c>
      <c r="K71" t="s">
        <v>910</v>
      </c>
      <c r="L71" t="b">
        <f>Data_Completeness(MileageData[[#This Row],[MPG]:[Acceleration]])</f>
        <v>1</v>
      </c>
    </row>
    <row r="72" spans="1:12" x14ac:dyDescent="0.25">
      <c r="A72">
        <v>14</v>
      </c>
      <c r="B72">
        <v>8</v>
      </c>
      <c r="C72">
        <v>400</v>
      </c>
      <c r="D72">
        <v>175</v>
      </c>
      <c r="E72">
        <v>4385</v>
      </c>
      <c r="F72">
        <v>12</v>
      </c>
      <c r="G72">
        <v>72</v>
      </c>
      <c r="H72" t="s">
        <v>1543</v>
      </c>
      <c r="I72" t="s">
        <v>913</v>
      </c>
      <c r="J72" t="s">
        <v>914</v>
      </c>
      <c r="K72" t="s">
        <v>915</v>
      </c>
      <c r="L72" t="b">
        <f>Data_Completeness(MileageData[[#This Row],[MPG]:[Acceleration]])</f>
        <v>1</v>
      </c>
    </row>
    <row r="73" spans="1:12" x14ac:dyDescent="0.25">
      <c r="A73">
        <v>15</v>
      </c>
      <c r="B73">
        <v>8</v>
      </c>
      <c r="C73">
        <v>318</v>
      </c>
      <c r="D73">
        <v>150</v>
      </c>
      <c r="E73">
        <v>4135</v>
      </c>
      <c r="F73">
        <v>13.5</v>
      </c>
      <c r="G73">
        <v>72</v>
      </c>
      <c r="H73" t="s">
        <v>1543</v>
      </c>
      <c r="I73" t="s">
        <v>911</v>
      </c>
      <c r="J73" t="s">
        <v>899</v>
      </c>
      <c r="K73" t="s">
        <v>912</v>
      </c>
      <c r="L73" t="b">
        <f>Data_Completeness(MileageData[[#This Row],[MPG]:[Acceleration]])</f>
        <v>1</v>
      </c>
    </row>
    <row r="74" spans="1:12" x14ac:dyDescent="0.25">
      <c r="A74">
        <v>14</v>
      </c>
      <c r="B74">
        <v>8</v>
      </c>
      <c r="C74">
        <v>351</v>
      </c>
      <c r="D74">
        <v>153</v>
      </c>
      <c r="E74">
        <v>4129</v>
      </c>
      <c r="F74">
        <v>13</v>
      </c>
      <c r="G74">
        <v>72</v>
      </c>
      <c r="H74" t="s">
        <v>1543</v>
      </c>
      <c r="I74" t="s">
        <v>907</v>
      </c>
      <c r="J74" t="s">
        <v>905</v>
      </c>
      <c r="K74" t="s">
        <v>908</v>
      </c>
      <c r="L74" t="b">
        <f>Data_Completeness(MileageData[[#This Row],[MPG]:[Acceleration]])</f>
        <v>1</v>
      </c>
    </row>
    <row r="75" spans="1:12" x14ac:dyDescent="0.25">
      <c r="A75">
        <v>17</v>
      </c>
      <c r="B75">
        <v>8</v>
      </c>
      <c r="C75">
        <v>304</v>
      </c>
      <c r="D75">
        <v>150</v>
      </c>
      <c r="E75">
        <v>3672</v>
      </c>
      <c r="F75">
        <v>11.5</v>
      </c>
      <c r="G75">
        <v>72</v>
      </c>
      <c r="H75" t="s">
        <v>1543</v>
      </c>
      <c r="I75" t="s">
        <v>1032</v>
      </c>
      <c r="J75" t="s">
        <v>902</v>
      </c>
      <c r="K75" t="s">
        <v>1033</v>
      </c>
      <c r="L75" t="b">
        <f>Data_Completeness(MileageData[[#This Row],[MPG]:[Acceleration]])</f>
        <v>1</v>
      </c>
    </row>
    <row r="76" spans="1:12" x14ac:dyDescent="0.25">
      <c r="A76">
        <v>11</v>
      </c>
      <c r="B76">
        <v>8</v>
      </c>
      <c r="C76">
        <v>429</v>
      </c>
      <c r="D76">
        <v>208</v>
      </c>
      <c r="E76">
        <v>4633</v>
      </c>
      <c r="F76">
        <v>11</v>
      </c>
      <c r="G76">
        <v>72</v>
      </c>
      <c r="H76" t="s">
        <v>1543</v>
      </c>
      <c r="I76" t="s">
        <v>1034</v>
      </c>
      <c r="J76" t="s">
        <v>1007</v>
      </c>
      <c r="K76" t="s">
        <v>1035</v>
      </c>
      <c r="L76" t="b">
        <f>Data_Completeness(MileageData[[#This Row],[MPG]:[Acceleration]])</f>
        <v>1</v>
      </c>
    </row>
    <row r="77" spans="1:12" x14ac:dyDescent="0.25">
      <c r="A77">
        <v>13</v>
      </c>
      <c r="B77">
        <v>8</v>
      </c>
      <c r="C77">
        <v>350</v>
      </c>
      <c r="D77">
        <v>155</v>
      </c>
      <c r="E77">
        <v>4502</v>
      </c>
      <c r="F77">
        <v>13.5</v>
      </c>
      <c r="G77">
        <v>72</v>
      </c>
      <c r="H77" t="s">
        <v>1543</v>
      </c>
      <c r="I77" t="s">
        <v>1036</v>
      </c>
      <c r="J77" t="s">
        <v>896</v>
      </c>
      <c r="K77" t="s">
        <v>1037</v>
      </c>
      <c r="L77" t="b">
        <f>Data_Completeness(MileageData[[#This Row],[MPG]:[Acceleration]])</f>
        <v>1</v>
      </c>
    </row>
    <row r="78" spans="1:12" x14ac:dyDescent="0.25">
      <c r="A78">
        <v>12</v>
      </c>
      <c r="B78">
        <v>8</v>
      </c>
      <c r="C78">
        <v>350</v>
      </c>
      <c r="D78">
        <v>160</v>
      </c>
      <c r="E78">
        <v>4456</v>
      </c>
      <c r="F78">
        <v>13.5</v>
      </c>
      <c r="G78">
        <v>72</v>
      </c>
      <c r="H78" t="s">
        <v>1543</v>
      </c>
      <c r="I78" t="s">
        <v>1038</v>
      </c>
      <c r="J78" t="s">
        <v>1039</v>
      </c>
      <c r="K78" t="s">
        <v>1040</v>
      </c>
      <c r="L78" t="b">
        <f>Data_Completeness(MileageData[[#This Row],[MPG]:[Acceleration]])</f>
        <v>1</v>
      </c>
    </row>
    <row r="79" spans="1:12" x14ac:dyDescent="0.25">
      <c r="A79">
        <v>13</v>
      </c>
      <c r="B79">
        <v>8</v>
      </c>
      <c r="C79">
        <v>400</v>
      </c>
      <c r="D79">
        <v>190</v>
      </c>
      <c r="E79">
        <v>4422</v>
      </c>
      <c r="F79">
        <v>12.5</v>
      </c>
      <c r="G79">
        <v>72</v>
      </c>
      <c r="H79" t="s">
        <v>1543</v>
      </c>
      <c r="I79" t="s">
        <v>1041</v>
      </c>
      <c r="J79" t="s">
        <v>1042</v>
      </c>
      <c r="K79" t="s">
        <v>1043</v>
      </c>
      <c r="L79" t="b">
        <f>Data_Completeness(MileageData[[#This Row],[MPG]:[Acceleration]])</f>
        <v>1</v>
      </c>
    </row>
    <row r="80" spans="1:12" x14ac:dyDescent="0.25">
      <c r="A80">
        <v>19</v>
      </c>
      <c r="B80">
        <v>3</v>
      </c>
      <c r="C80">
        <v>70</v>
      </c>
      <c r="D80">
        <v>97</v>
      </c>
      <c r="E80">
        <v>2330</v>
      </c>
      <c r="F80">
        <v>13.5</v>
      </c>
      <c r="G80">
        <v>72</v>
      </c>
      <c r="H80" t="s">
        <v>1545</v>
      </c>
      <c r="I80" t="s">
        <v>1044</v>
      </c>
      <c r="J80" t="s">
        <v>1045</v>
      </c>
      <c r="K80" t="s">
        <v>1046</v>
      </c>
      <c r="L80" t="b">
        <f>Data_Completeness(MileageData[[#This Row],[MPG]:[Acceleration]])</f>
        <v>1</v>
      </c>
    </row>
    <row r="81" spans="1:12" x14ac:dyDescent="0.25">
      <c r="A81">
        <v>15</v>
      </c>
      <c r="B81">
        <v>8</v>
      </c>
      <c r="C81">
        <v>304</v>
      </c>
      <c r="D81">
        <v>150</v>
      </c>
      <c r="E81">
        <v>3892</v>
      </c>
      <c r="F81">
        <v>12.5</v>
      </c>
      <c r="G81">
        <v>72</v>
      </c>
      <c r="H81" t="s">
        <v>1543</v>
      </c>
      <c r="I81" t="s">
        <v>1047</v>
      </c>
      <c r="J81" t="s">
        <v>902</v>
      </c>
      <c r="K81" t="s">
        <v>1048</v>
      </c>
      <c r="L81" t="b">
        <f>Data_Completeness(MileageData[[#This Row],[MPG]:[Acceleration]])</f>
        <v>1</v>
      </c>
    </row>
    <row r="82" spans="1:12" x14ac:dyDescent="0.25">
      <c r="A82">
        <v>13</v>
      </c>
      <c r="B82">
        <v>8</v>
      </c>
      <c r="C82">
        <v>307</v>
      </c>
      <c r="D82">
        <v>130</v>
      </c>
      <c r="E82">
        <v>4098</v>
      </c>
      <c r="F82">
        <v>14</v>
      </c>
      <c r="G82">
        <v>72</v>
      </c>
      <c r="H82" t="s">
        <v>1543</v>
      </c>
      <c r="I82" t="s">
        <v>921</v>
      </c>
      <c r="J82" t="s">
        <v>893</v>
      </c>
      <c r="K82" t="s">
        <v>922</v>
      </c>
      <c r="L82" t="b">
        <f>Data_Completeness(MileageData[[#This Row],[MPG]:[Acceleration]])</f>
        <v>1</v>
      </c>
    </row>
    <row r="83" spans="1:12" x14ac:dyDescent="0.25">
      <c r="A83">
        <v>13</v>
      </c>
      <c r="B83">
        <v>8</v>
      </c>
      <c r="C83">
        <v>302</v>
      </c>
      <c r="D83">
        <v>140</v>
      </c>
      <c r="E83">
        <v>4294</v>
      </c>
      <c r="F83">
        <v>16</v>
      </c>
      <c r="G83">
        <v>72</v>
      </c>
      <c r="H83" t="s">
        <v>1543</v>
      </c>
      <c r="I83" t="s">
        <v>1049</v>
      </c>
      <c r="J83" t="s">
        <v>905</v>
      </c>
      <c r="K83" t="s">
        <v>1050</v>
      </c>
      <c r="L83" t="b">
        <f>Data_Completeness(MileageData[[#This Row],[MPG]:[Acceleration]])</f>
        <v>1</v>
      </c>
    </row>
    <row r="84" spans="1:12" x14ac:dyDescent="0.25">
      <c r="A84">
        <v>14</v>
      </c>
      <c r="B84">
        <v>8</v>
      </c>
      <c r="C84">
        <v>318</v>
      </c>
      <c r="D84">
        <v>150</v>
      </c>
      <c r="E84">
        <v>4077</v>
      </c>
      <c r="F84">
        <v>14</v>
      </c>
      <c r="G84">
        <v>72</v>
      </c>
      <c r="H84" t="s">
        <v>1543</v>
      </c>
      <c r="I84" t="s">
        <v>1051</v>
      </c>
      <c r="J84" t="s">
        <v>899</v>
      </c>
      <c r="K84" t="s">
        <v>1052</v>
      </c>
      <c r="L84" t="b">
        <f>Data_Completeness(MileageData[[#This Row],[MPG]:[Acceleration]])</f>
        <v>1</v>
      </c>
    </row>
    <row r="85" spans="1:12" x14ac:dyDescent="0.25">
      <c r="A85">
        <v>18</v>
      </c>
      <c r="B85">
        <v>4</v>
      </c>
      <c r="C85">
        <v>121</v>
      </c>
      <c r="D85">
        <v>112</v>
      </c>
      <c r="E85">
        <v>2933</v>
      </c>
      <c r="F85">
        <v>14.5</v>
      </c>
      <c r="G85">
        <v>72</v>
      </c>
      <c r="H85" t="s">
        <v>1544</v>
      </c>
      <c r="I85" t="s">
        <v>1053</v>
      </c>
      <c r="J85" t="s">
        <v>1054</v>
      </c>
      <c r="K85" t="s">
        <v>1055</v>
      </c>
      <c r="L85" t="b">
        <f>Data_Completeness(MileageData[[#This Row],[MPG]:[Acceleration]])</f>
        <v>1</v>
      </c>
    </row>
    <row r="86" spans="1:12" x14ac:dyDescent="0.25">
      <c r="A86">
        <v>22</v>
      </c>
      <c r="B86">
        <v>4</v>
      </c>
      <c r="C86">
        <v>121</v>
      </c>
      <c r="D86">
        <v>76</v>
      </c>
      <c r="E86">
        <v>2511</v>
      </c>
      <c r="F86">
        <v>18</v>
      </c>
      <c r="G86">
        <v>72</v>
      </c>
      <c r="H86" t="s">
        <v>1544</v>
      </c>
      <c r="I86" t="s">
        <v>1056</v>
      </c>
      <c r="J86" t="s">
        <v>952</v>
      </c>
      <c r="K86" t="s">
        <v>1057</v>
      </c>
      <c r="L86" t="b">
        <f>Data_Completeness(MileageData[[#This Row],[MPG]:[Acceleration]])</f>
        <v>1</v>
      </c>
    </row>
    <row r="87" spans="1:12" x14ac:dyDescent="0.25">
      <c r="A87">
        <v>21</v>
      </c>
      <c r="B87">
        <v>4</v>
      </c>
      <c r="C87">
        <v>120</v>
      </c>
      <c r="D87">
        <v>87</v>
      </c>
      <c r="E87">
        <v>2979</v>
      </c>
      <c r="F87">
        <v>19.5</v>
      </c>
      <c r="G87">
        <v>72</v>
      </c>
      <c r="H87" t="s">
        <v>1544</v>
      </c>
      <c r="I87" t="s">
        <v>1058</v>
      </c>
      <c r="J87" t="s">
        <v>955</v>
      </c>
      <c r="K87" t="s">
        <v>1059</v>
      </c>
      <c r="L87" t="b">
        <f>Data_Completeness(MileageData[[#This Row],[MPG]:[Acceleration]])</f>
        <v>1</v>
      </c>
    </row>
    <row r="88" spans="1:12" x14ac:dyDescent="0.25">
      <c r="A88">
        <v>26</v>
      </c>
      <c r="B88">
        <v>4</v>
      </c>
      <c r="C88">
        <v>96</v>
      </c>
      <c r="D88">
        <v>69</v>
      </c>
      <c r="E88">
        <v>2189</v>
      </c>
      <c r="F88">
        <v>18</v>
      </c>
      <c r="G88">
        <v>72</v>
      </c>
      <c r="H88" t="s">
        <v>1544</v>
      </c>
      <c r="I88" t="s">
        <v>1060</v>
      </c>
      <c r="J88" t="s">
        <v>1061</v>
      </c>
      <c r="K88" t="s">
        <v>1062</v>
      </c>
      <c r="L88" t="b">
        <f>Data_Completeness(MileageData[[#This Row],[MPG]:[Acceleration]])</f>
        <v>1</v>
      </c>
    </row>
    <row r="89" spans="1:12" x14ac:dyDescent="0.25">
      <c r="A89">
        <v>22</v>
      </c>
      <c r="B89">
        <v>4</v>
      </c>
      <c r="C89">
        <v>122</v>
      </c>
      <c r="D89">
        <v>86</v>
      </c>
      <c r="E89">
        <v>2395</v>
      </c>
      <c r="F89">
        <v>16</v>
      </c>
      <c r="G89">
        <v>72</v>
      </c>
      <c r="H89" t="s">
        <v>1543</v>
      </c>
      <c r="I89" t="s">
        <v>1063</v>
      </c>
      <c r="J89" t="s">
        <v>905</v>
      </c>
      <c r="K89" t="s">
        <v>1064</v>
      </c>
      <c r="L89" t="b">
        <f>Data_Completeness(MileageData[[#This Row],[MPG]:[Acceleration]])</f>
        <v>1</v>
      </c>
    </row>
    <row r="90" spans="1:12" x14ac:dyDescent="0.25">
      <c r="A90">
        <v>28</v>
      </c>
      <c r="B90">
        <v>4</v>
      </c>
      <c r="C90">
        <v>97</v>
      </c>
      <c r="D90">
        <v>92</v>
      </c>
      <c r="E90">
        <v>2288</v>
      </c>
      <c r="F90">
        <v>17</v>
      </c>
      <c r="G90">
        <v>72</v>
      </c>
      <c r="H90" t="s">
        <v>1545</v>
      </c>
      <c r="I90" t="s">
        <v>1065</v>
      </c>
      <c r="J90" t="s">
        <v>949</v>
      </c>
      <c r="K90" t="s">
        <v>1066</v>
      </c>
      <c r="L90" t="b">
        <f>Data_Completeness(MileageData[[#This Row],[MPG]:[Acceleration]])</f>
        <v>1</v>
      </c>
    </row>
    <row r="91" spans="1:12" x14ac:dyDescent="0.25">
      <c r="A91">
        <v>23</v>
      </c>
      <c r="B91">
        <v>4</v>
      </c>
      <c r="C91">
        <v>120</v>
      </c>
      <c r="D91">
        <v>97</v>
      </c>
      <c r="E91">
        <v>2506</v>
      </c>
      <c r="F91">
        <v>14.5</v>
      </c>
      <c r="G91">
        <v>72</v>
      </c>
      <c r="H91" t="s">
        <v>1545</v>
      </c>
      <c r="I91" t="s">
        <v>1067</v>
      </c>
      <c r="J91" t="s">
        <v>1068</v>
      </c>
      <c r="K91" t="s">
        <v>1069</v>
      </c>
      <c r="L91" t="b">
        <f>Data_Completeness(MileageData[[#This Row],[MPG]:[Acceleration]])</f>
        <v>1</v>
      </c>
    </row>
    <row r="92" spans="1:12" x14ac:dyDescent="0.25">
      <c r="A92">
        <v>28</v>
      </c>
      <c r="B92">
        <v>4</v>
      </c>
      <c r="C92">
        <v>98</v>
      </c>
      <c r="D92">
        <v>80</v>
      </c>
      <c r="E92">
        <v>2164</v>
      </c>
      <c r="F92">
        <v>15</v>
      </c>
      <c r="G92">
        <v>72</v>
      </c>
      <c r="H92" t="s">
        <v>1543</v>
      </c>
      <c r="I92" t="s">
        <v>1070</v>
      </c>
      <c r="J92" t="s">
        <v>930</v>
      </c>
      <c r="K92" t="s">
        <v>1071</v>
      </c>
      <c r="L92" t="b">
        <f>Data_Completeness(MileageData[[#This Row],[MPG]:[Acceleration]])</f>
        <v>1</v>
      </c>
    </row>
    <row r="93" spans="1:12" x14ac:dyDescent="0.25">
      <c r="A93">
        <v>27</v>
      </c>
      <c r="B93">
        <v>4</v>
      </c>
      <c r="C93">
        <v>97</v>
      </c>
      <c r="D93">
        <v>88</v>
      </c>
      <c r="E93">
        <v>2100</v>
      </c>
      <c r="F93">
        <v>16.5</v>
      </c>
      <c r="G93">
        <v>72</v>
      </c>
      <c r="H93" t="s">
        <v>1545</v>
      </c>
      <c r="I93" t="s">
        <v>1072</v>
      </c>
      <c r="J93" t="s">
        <v>940</v>
      </c>
      <c r="K93" t="s">
        <v>1073</v>
      </c>
      <c r="L93" t="b">
        <f>Data_Completeness(MileageData[[#This Row],[MPG]:[Acceleration]])</f>
        <v>1</v>
      </c>
    </row>
    <row r="94" spans="1:12" x14ac:dyDescent="0.25">
      <c r="A94">
        <v>13</v>
      </c>
      <c r="B94">
        <v>8</v>
      </c>
      <c r="C94">
        <v>350</v>
      </c>
      <c r="D94">
        <v>175</v>
      </c>
      <c r="E94">
        <v>4100</v>
      </c>
      <c r="F94">
        <v>13</v>
      </c>
      <c r="G94">
        <v>73</v>
      </c>
      <c r="H94" t="s">
        <v>1543</v>
      </c>
      <c r="I94" t="s">
        <v>1074</v>
      </c>
      <c r="J94" t="s">
        <v>896</v>
      </c>
      <c r="K94" t="s">
        <v>1075</v>
      </c>
      <c r="L94" t="b">
        <f>Data_Completeness(MileageData[[#This Row],[MPG]:[Acceleration]])</f>
        <v>1</v>
      </c>
    </row>
    <row r="95" spans="1:12" x14ac:dyDescent="0.25">
      <c r="A95">
        <v>14</v>
      </c>
      <c r="B95">
        <v>8</v>
      </c>
      <c r="C95">
        <v>304</v>
      </c>
      <c r="D95">
        <v>150</v>
      </c>
      <c r="E95">
        <v>3672</v>
      </c>
      <c r="F95">
        <v>11.5</v>
      </c>
      <c r="G95">
        <v>73</v>
      </c>
      <c r="H95" t="s">
        <v>1543</v>
      </c>
      <c r="I95" t="s">
        <v>988</v>
      </c>
      <c r="J95" t="s">
        <v>902</v>
      </c>
      <c r="K95" t="s">
        <v>989</v>
      </c>
      <c r="L95" t="b">
        <f>Data_Completeness(MileageData[[#This Row],[MPG]:[Acceleration]])</f>
        <v>1</v>
      </c>
    </row>
    <row r="96" spans="1:12" x14ac:dyDescent="0.25">
      <c r="A96">
        <v>13</v>
      </c>
      <c r="B96">
        <v>8</v>
      </c>
      <c r="C96">
        <v>350</v>
      </c>
      <c r="D96">
        <v>145</v>
      </c>
      <c r="E96">
        <v>3988</v>
      </c>
      <c r="F96">
        <v>13</v>
      </c>
      <c r="G96">
        <v>73</v>
      </c>
      <c r="H96" t="s">
        <v>1543</v>
      </c>
      <c r="I96" t="s">
        <v>1076</v>
      </c>
      <c r="J96" t="s">
        <v>893</v>
      </c>
      <c r="K96" t="s">
        <v>1077</v>
      </c>
      <c r="L96" t="b">
        <f>Data_Completeness(MileageData[[#This Row],[MPG]:[Acceleration]])</f>
        <v>1</v>
      </c>
    </row>
    <row r="97" spans="1:12" x14ac:dyDescent="0.25">
      <c r="A97">
        <v>14</v>
      </c>
      <c r="B97">
        <v>8</v>
      </c>
      <c r="C97">
        <v>302</v>
      </c>
      <c r="D97">
        <v>137</v>
      </c>
      <c r="E97">
        <v>4042</v>
      </c>
      <c r="F97">
        <v>14.5</v>
      </c>
      <c r="G97">
        <v>73</v>
      </c>
      <c r="H97" t="s">
        <v>1543</v>
      </c>
      <c r="I97" t="s">
        <v>1078</v>
      </c>
      <c r="J97" t="s">
        <v>905</v>
      </c>
      <c r="K97" t="s">
        <v>1079</v>
      </c>
      <c r="L97" t="b">
        <f>Data_Completeness(MileageData[[#This Row],[MPG]:[Acceleration]])</f>
        <v>1</v>
      </c>
    </row>
    <row r="98" spans="1:12" x14ac:dyDescent="0.25">
      <c r="A98">
        <v>15</v>
      </c>
      <c r="B98">
        <v>8</v>
      </c>
      <c r="C98">
        <v>318</v>
      </c>
      <c r="D98">
        <v>150</v>
      </c>
      <c r="E98">
        <v>3777</v>
      </c>
      <c r="F98">
        <v>12.5</v>
      </c>
      <c r="G98">
        <v>73</v>
      </c>
      <c r="H98" t="s">
        <v>1543</v>
      </c>
      <c r="I98" t="s">
        <v>1080</v>
      </c>
      <c r="J98" t="s">
        <v>930</v>
      </c>
      <c r="K98" t="s">
        <v>1081</v>
      </c>
      <c r="L98" t="b">
        <f>Data_Completeness(MileageData[[#This Row],[MPG]:[Acceleration]])</f>
        <v>1</v>
      </c>
    </row>
    <row r="99" spans="1:12" x14ac:dyDescent="0.25">
      <c r="A99">
        <v>12</v>
      </c>
      <c r="B99">
        <v>8</v>
      </c>
      <c r="C99">
        <v>429</v>
      </c>
      <c r="D99">
        <v>198</v>
      </c>
      <c r="E99">
        <v>4952</v>
      </c>
      <c r="F99">
        <v>11.5</v>
      </c>
      <c r="G99">
        <v>73</v>
      </c>
      <c r="H99" t="s">
        <v>1543</v>
      </c>
      <c r="I99" t="s">
        <v>1082</v>
      </c>
      <c r="J99" t="s">
        <v>1007</v>
      </c>
      <c r="K99" t="s">
        <v>1083</v>
      </c>
      <c r="L99" t="b">
        <f>Data_Completeness(MileageData[[#This Row],[MPG]:[Acceleration]])</f>
        <v>1</v>
      </c>
    </row>
    <row r="100" spans="1:12" x14ac:dyDescent="0.25">
      <c r="A100">
        <v>13</v>
      </c>
      <c r="B100">
        <v>8</v>
      </c>
      <c r="C100">
        <v>400</v>
      </c>
      <c r="D100">
        <v>150</v>
      </c>
      <c r="E100">
        <v>4464</v>
      </c>
      <c r="F100">
        <v>12</v>
      </c>
      <c r="G100">
        <v>73</v>
      </c>
      <c r="H100" t="s">
        <v>1543</v>
      </c>
      <c r="I100" t="s">
        <v>1084</v>
      </c>
      <c r="J100" t="s">
        <v>893</v>
      </c>
      <c r="K100" t="s">
        <v>1085</v>
      </c>
      <c r="L100" t="b">
        <f>Data_Completeness(MileageData[[#This Row],[MPG]:[Acceleration]])</f>
        <v>1</v>
      </c>
    </row>
    <row r="101" spans="1:12" x14ac:dyDescent="0.25">
      <c r="A101">
        <v>13</v>
      </c>
      <c r="B101">
        <v>8</v>
      </c>
      <c r="C101">
        <v>351</v>
      </c>
      <c r="D101">
        <v>158</v>
      </c>
      <c r="E101">
        <v>4363</v>
      </c>
      <c r="F101">
        <v>13</v>
      </c>
      <c r="G101">
        <v>73</v>
      </c>
      <c r="H101" t="s">
        <v>1543</v>
      </c>
      <c r="I101" t="s">
        <v>1086</v>
      </c>
      <c r="J101" t="s">
        <v>905</v>
      </c>
      <c r="K101" t="s">
        <v>1087</v>
      </c>
      <c r="L101" t="b">
        <f>Data_Completeness(MileageData[[#This Row],[MPG]:[Acceleration]])</f>
        <v>1</v>
      </c>
    </row>
    <row r="102" spans="1:12" x14ac:dyDescent="0.25">
      <c r="A102">
        <v>14</v>
      </c>
      <c r="B102">
        <v>8</v>
      </c>
      <c r="C102">
        <v>318</v>
      </c>
      <c r="D102">
        <v>150</v>
      </c>
      <c r="E102">
        <v>4237</v>
      </c>
      <c r="F102">
        <v>14.5</v>
      </c>
      <c r="G102">
        <v>73</v>
      </c>
      <c r="H102" t="s">
        <v>1543</v>
      </c>
      <c r="I102" t="s">
        <v>1088</v>
      </c>
      <c r="J102" t="s">
        <v>899</v>
      </c>
      <c r="K102" t="s">
        <v>1089</v>
      </c>
      <c r="L102" t="b">
        <f>Data_Completeness(MileageData[[#This Row],[MPG]:[Acceleration]])</f>
        <v>1</v>
      </c>
    </row>
    <row r="103" spans="1:12" x14ac:dyDescent="0.25">
      <c r="A103">
        <v>13</v>
      </c>
      <c r="B103">
        <v>8</v>
      </c>
      <c r="C103">
        <v>440</v>
      </c>
      <c r="D103">
        <v>215</v>
      </c>
      <c r="E103">
        <v>4735</v>
      </c>
      <c r="F103">
        <v>11</v>
      </c>
      <c r="G103">
        <v>73</v>
      </c>
      <c r="H103" t="s">
        <v>1543</v>
      </c>
      <c r="I103" t="s">
        <v>1090</v>
      </c>
      <c r="J103" t="s">
        <v>1042</v>
      </c>
      <c r="K103" t="s">
        <v>1091</v>
      </c>
      <c r="L103" t="b">
        <f>Data_Completeness(MileageData[[#This Row],[MPG]:[Acceleration]])</f>
        <v>1</v>
      </c>
    </row>
    <row r="104" spans="1:12" x14ac:dyDescent="0.25">
      <c r="A104">
        <v>12</v>
      </c>
      <c r="B104">
        <v>8</v>
      </c>
      <c r="C104">
        <v>455</v>
      </c>
      <c r="D104">
        <v>225</v>
      </c>
      <c r="E104">
        <v>4951</v>
      </c>
      <c r="F104">
        <v>11</v>
      </c>
      <c r="G104">
        <v>73</v>
      </c>
      <c r="H104" t="s">
        <v>1543</v>
      </c>
      <c r="I104" t="s">
        <v>1092</v>
      </c>
      <c r="J104" t="s">
        <v>896</v>
      </c>
      <c r="K104" t="s">
        <v>1093</v>
      </c>
      <c r="L104" t="b">
        <f>Data_Completeness(MileageData[[#This Row],[MPG]:[Acceleration]])</f>
        <v>1</v>
      </c>
    </row>
    <row r="105" spans="1:12" x14ac:dyDescent="0.25">
      <c r="A105">
        <v>13</v>
      </c>
      <c r="B105">
        <v>8</v>
      </c>
      <c r="C105">
        <v>360</v>
      </c>
      <c r="D105">
        <v>175</v>
      </c>
      <c r="E105">
        <v>3821</v>
      </c>
      <c r="F105">
        <v>11</v>
      </c>
      <c r="G105">
        <v>73</v>
      </c>
      <c r="H105" t="s">
        <v>1543</v>
      </c>
      <c r="I105" t="s">
        <v>1094</v>
      </c>
      <c r="J105" t="s">
        <v>902</v>
      </c>
      <c r="K105" t="s">
        <v>1095</v>
      </c>
      <c r="L105" t="b">
        <f>Data_Completeness(MileageData[[#This Row],[MPG]:[Acceleration]])</f>
        <v>1</v>
      </c>
    </row>
    <row r="106" spans="1:12" x14ac:dyDescent="0.25">
      <c r="A106">
        <v>18</v>
      </c>
      <c r="B106">
        <v>6</v>
      </c>
      <c r="C106">
        <v>225</v>
      </c>
      <c r="D106">
        <v>105</v>
      </c>
      <c r="E106">
        <v>3121</v>
      </c>
      <c r="F106">
        <v>16.5</v>
      </c>
      <c r="G106">
        <v>73</v>
      </c>
      <c r="H106" t="s">
        <v>1543</v>
      </c>
      <c r="I106" t="s">
        <v>1096</v>
      </c>
      <c r="J106" t="s">
        <v>899</v>
      </c>
      <c r="K106" t="s">
        <v>1097</v>
      </c>
      <c r="L106" t="b">
        <f>Data_Completeness(MileageData[[#This Row],[MPG]:[Acceleration]])</f>
        <v>1</v>
      </c>
    </row>
    <row r="107" spans="1:12" x14ac:dyDescent="0.25">
      <c r="A107">
        <v>16</v>
      </c>
      <c r="B107">
        <v>6</v>
      </c>
      <c r="C107">
        <v>250</v>
      </c>
      <c r="D107">
        <v>100</v>
      </c>
      <c r="E107">
        <v>3278</v>
      </c>
      <c r="F107">
        <v>18</v>
      </c>
      <c r="G107">
        <v>73</v>
      </c>
      <c r="H107" t="s">
        <v>1543</v>
      </c>
      <c r="I107" t="s">
        <v>1098</v>
      </c>
      <c r="J107" t="s">
        <v>893</v>
      </c>
      <c r="K107" t="s">
        <v>1099</v>
      </c>
      <c r="L107" t="b">
        <f>Data_Completeness(MileageData[[#This Row],[MPG]:[Acceleration]])</f>
        <v>1</v>
      </c>
    </row>
    <row r="108" spans="1:12" x14ac:dyDescent="0.25">
      <c r="A108">
        <v>18</v>
      </c>
      <c r="B108">
        <v>6</v>
      </c>
      <c r="C108">
        <v>232</v>
      </c>
      <c r="D108">
        <v>100</v>
      </c>
      <c r="E108">
        <v>2945</v>
      </c>
      <c r="F108">
        <v>16</v>
      </c>
      <c r="G108">
        <v>73</v>
      </c>
      <c r="H108" t="s">
        <v>1543</v>
      </c>
      <c r="I108" t="s">
        <v>944</v>
      </c>
      <c r="J108" t="s">
        <v>902</v>
      </c>
      <c r="K108" t="s">
        <v>945</v>
      </c>
      <c r="L108" t="b">
        <f>Data_Completeness(MileageData[[#This Row],[MPG]:[Acceleration]])</f>
        <v>1</v>
      </c>
    </row>
    <row r="109" spans="1:12" x14ac:dyDescent="0.25">
      <c r="A109">
        <v>18</v>
      </c>
      <c r="B109">
        <v>6</v>
      </c>
      <c r="C109">
        <v>250</v>
      </c>
      <c r="D109">
        <v>88</v>
      </c>
      <c r="E109">
        <v>3021</v>
      </c>
      <c r="F109">
        <v>16.5</v>
      </c>
      <c r="G109">
        <v>73</v>
      </c>
      <c r="H109" t="s">
        <v>1543</v>
      </c>
      <c r="I109" t="s">
        <v>946</v>
      </c>
      <c r="J109" t="s">
        <v>905</v>
      </c>
      <c r="K109" t="s">
        <v>947</v>
      </c>
      <c r="L109" t="b">
        <f>Data_Completeness(MileageData[[#This Row],[MPG]:[Acceleration]])</f>
        <v>1</v>
      </c>
    </row>
    <row r="110" spans="1:12" x14ac:dyDescent="0.25">
      <c r="A110">
        <v>23</v>
      </c>
      <c r="B110">
        <v>6</v>
      </c>
      <c r="C110">
        <v>198</v>
      </c>
      <c r="D110">
        <v>95</v>
      </c>
      <c r="E110">
        <v>2904</v>
      </c>
      <c r="F110">
        <v>16</v>
      </c>
      <c r="G110">
        <v>73</v>
      </c>
      <c r="H110" t="s">
        <v>1543</v>
      </c>
      <c r="I110" t="s">
        <v>942</v>
      </c>
      <c r="J110" t="s">
        <v>899</v>
      </c>
      <c r="K110" t="s">
        <v>943</v>
      </c>
      <c r="L110" t="b">
        <f>Data_Completeness(MileageData[[#This Row],[MPG]:[Acceleration]])</f>
        <v>1</v>
      </c>
    </row>
    <row r="111" spans="1:12" x14ac:dyDescent="0.25">
      <c r="A111">
        <v>26</v>
      </c>
      <c r="B111">
        <v>4</v>
      </c>
      <c r="C111">
        <v>97</v>
      </c>
      <c r="D111">
        <v>46</v>
      </c>
      <c r="E111">
        <v>1950</v>
      </c>
      <c r="F111">
        <v>21</v>
      </c>
      <c r="G111">
        <v>73</v>
      </c>
      <c r="H111" t="s">
        <v>1544</v>
      </c>
      <c r="I111" t="s">
        <v>1100</v>
      </c>
      <c r="J111" t="s">
        <v>952</v>
      </c>
      <c r="K111" t="s">
        <v>1101</v>
      </c>
      <c r="L111" t="b">
        <f>Data_Completeness(MileageData[[#This Row],[MPG]:[Acceleration]])</f>
        <v>1</v>
      </c>
    </row>
    <row r="112" spans="1:12" x14ac:dyDescent="0.25">
      <c r="A112">
        <v>11</v>
      </c>
      <c r="B112">
        <v>8</v>
      </c>
      <c r="C112">
        <v>400</v>
      </c>
      <c r="D112">
        <v>150</v>
      </c>
      <c r="E112">
        <v>4997</v>
      </c>
      <c r="F112">
        <v>14</v>
      </c>
      <c r="G112">
        <v>73</v>
      </c>
      <c r="H112" t="s">
        <v>1543</v>
      </c>
      <c r="I112" t="s">
        <v>909</v>
      </c>
      <c r="J112" t="s">
        <v>893</v>
      </c>
      <c r="K112" t="s">
        <v>910</v>
      </c>
      <c r="L112" t="b">
        <f>Data_Completeness(MileageData[[#This Row],[MPG]:[Acceleration]])</f>
        <v>1</v>
      </c>
    </row>
    <row r="113" spans="1:12" x14ac:dyDescent="0.25">
      <c r="A113">
        <v>12</v>
      </c>
      <c r="B113">
        <v>8</v>
      </c>
      <c r="C113">
        <v>400</v>
      </c>
      <c r="D113">
        <v>167</v>
      </c>
      <c r="E113">
        <v>4906</v>
      </c>
      <c r="F113">
        <v>12.5</v>
      </c>
      <c r="G113">
        <v>73</v>
      </c>
      <c r="H113" t="s">
        <v>1543</v>
      </c>
      <c r="I113" t="s">
        <v>1102</v>
      </c>
      <c r="J113" t="s">
        <v>905</v>
      </c>
      <c r="K113" t="s">
        <v>1103</v>
      </c>
      <c r="L113" t="b">
        <f>Data_Completeness(MileageData[[#This Row],[MPG]:[Acceleration]])</f>
        <v>1</v>
      </c>
    </row>
    <row r="114" spans="1:12" x14ac:dyDescent="0.25">
      <c r="A114">
        <v>13</v>
      </c>
      <c r="B114">
        <v>8</v>
      </c>
      <c r="C114">
        <v>360</v>
      </c>
      <c r="D114">
        <v>170</v>
      </c>
      <c r="E114">
        <v>4654</v>
      </c>
      <c r="F114">
        <v>13</v>
      </c>
      <c r="G114">
        <v>73</v>
      </c>
      <c r="H114" t="s">
        <v>1543</v>
      </c>
      <c r="I114" t="s">
        <v>1104</v>
      </c>
      <c r="J114" t="s">
        <v>899</v>
      </c>
      <c r="K114" t="s">
        <v>1105</v>
      </c>
      <c r="L114" t="b">
        <f>Data_Completeness(MileageData[[#This Row],[MPG]:[Acceleration]])</f>
        <v>1</v>
      </c>
    </row>
    <row r="115" spans="1:12" x14ac:dyDescent="0.25">
      <c r="A115">
        <v>12</v>
      </c>
      <c r="B115">
        <v>8</v>
      </c>
      <c r="C115">
        <v>350</v>
      </c>
      <c r="D115">
        <v>180</v>
      </c>
      <c r="E115">
        <v>4499</v>
      </c>
      <c r="F115">
        <v>12.5</v>
      </c>
      <c r="G115">
        <v>73</v>
      </c>
      <c r="H115" t="s">
        <v>1543</v>
      </c>
      <c r="I115" t="s">
        <v>1106</v>
      </c>
      <c r="J115" t="s">
        <v>1039</v>
      </c>
      <c r="K115" t="s">
        <v>1107</v>
      </c>
      <c r="L115" t="b">
        <f>Data_Completeness(MileageData[[#This Row],[MPG]:[Acceleration]])</f>
        <v>1</v>
      </c>
    </row>
    <row r="116" spans="1:12" x14ac:dyDescent="0.25">
      <c r="A116">
        <v>18</v>
      </c>
      <c r="B116">
        <v>6</v>
      </c>
      <c r="C116">
        <v>232</v>
      </c>
      <c r="D116">
        <v>100</v>
      </c>
      <c r="E116">
        <v>2789</v>
      </c>
      <c r="F116">
        <v>15</v>
      </c>
      <c r="G116">
        <v>73</v>
      </c>
      <c r="H116" t="s">
        <v>1543</v>
      </c>
      <c r="I116" t="s">
        <v>964</v>
      </c>
      <c r="J116" t="s">
        <v>902</v>
      </c>
      <c r="K116" t="s">
        <v>965</v>
      </c>
      <c r="L116" t="b">
        <f>Data_Completeness(MileageData[[#This Row],[MPG]:[Acceleration]])</f>
        <v>1</v>
      </c>
    </row>
    <row r="117" spans="1:12" x14ac:dyDescent="0.25">
      <c r="A117">
        <v>20</v>
      </c>
      <c r="B117">
        <v>4</v>
      </c>
      <c r="C117">
        <v>97</v>
      </c>
      <c r="D117">
        <v>88</v>
      </c>
      <c r="E117">
        <v>2279</v>
      </c>
      <c r="F117">
        <v>19</v>
      </c>
      <c r="G117">
        <v>73</v>
      </c>
      <c r="H117" t="s">
        <v>1545</v>
      </c>
      <c r="I117" t="s">
        <v>1108</v>
      </c>
      <c r="J117" t="s">
        <v>940</v>
      </c>
      <c r="K117" t="s">
        <v>1109</v>
      </c>
      <c r="L117" t="b">
        <f>Data_Completeness(MileageData[[#This Row],[MPG]:[Acceleration]])</f>
        <v>1</v>
      </c>
    </row>
    <row r="118" spans="1:12" x14ac:dyDescent="0.25">
      <c r="A118">
        <v>21</v>
      </c>
      <c r="B118">
        <v>4</v>
      </c>
      <c r="C118">
        <v>140</v>
      </c>
      <c r="D118">
        <v>72</v>
      </c>
      <c r="E118">
        <v>2401</v>
      </c>
      <c r="F118">
        <v>19.5</v>
      </c>
      <c r="G118">
        <v>73</v>
      </c>
      <c r="H118" t="s">
        <v>1543</v>
      </c>
      <c r="I118" t="s">
        <v>1028</v>
      </c>
      <c r="J118" t="s">
        <v>893</v>
      </c>
      <c r="K118" t="s">
        <v>1029</v>
      </c>
      <c r="L118" t="b">
        <f>Data_Completeness(MileageData[[#This Row],[MPG]:[Acceleration]])</f>
        <v>1</v>
      </c>
    </row>
    <row r="119" spans="1:12" x14ac:dyDescent="0.25">
      <c r="A119">
        <v>22</v>
      </c>
      <c r="B119">
        <v>4</v>
      </c>
      <c r="C119">
        <v>108</v>
      </c>
      <c r="D119">
        <v>94</v>
      </c>
      <c r="E119">
        <v>2379</v>
      </c>
      <c r="F119">
        <v>16.5</v>
      </c>
      <c r="G119">
        <v>73</v>
      </c>
      <c r="H119" t="s">
        <v>1545</v>
      </c>
      <c r="I119" t="s">
        <v>1110</v>
      </c>
      <c r="J119" t="s">
        <v>949</v>
      </c>
      <c r="K119">
        <v>610</v>
      </c>
      <c r="L119" t="b">
        <f>Data_Completeness(MileageData[[#This Row],[MPG]:[Acceleration]])</f>
        <v>1</v>
      </c>
    </row>
    <row r="120" spans="1:12" x14ac:dyDescent="0.25">
      <c r="A120">
        <v>18</v>
      </c>
      <c r="B120">
        <v>3</v>
      </c>
      <c r="C120">
        <v>70</v>
      </c>
      <c r="D120">
        <v>90</v>
      </c>
      <c r="E120">
        <v>2124</v>
      </c>
      <c r="F120">
        <v>13.5</v>
      </c>
      <c r="G120">
        <v>73</v>
      </c>
      <c r="H120" t="s">
        <v>1545</v>
      </c>
      <c r="I120" t="s">
        <v>1111</v>
      </c>
      <c r="J120" t="s">
        <v>1112</v>
      </c>
      <c r="K120" t="s">
        <v>1113</v>
      </c>
      <c r="L120" t="b">
        <f>Data_Completeness(MileageData[[#This Row],[MPG]:[Acceleration]])</f>
        <v>1</v>
      </c>
    </row>
    <row r="121" spans="1:12" x14ac:dyDescent="0.25">
      <c r="A121">
        <v>19</v>
      </c>
      <c r="B121">
        <v>4</v>
      </c>
      <c r="C121">
        <v>122</v>
      </c>
      <c r="D121">
        <v>85</v>
      </c>
      <c r="E121">
        <v>2310</v>
      </c>
      <c r="F121">
        <v>18.5</v>
      </c>
      <c r="G121">
        <v>73</v>
      </c>
      <c r="H121" t="s">
        <v>1543</v>
      </c>
      <c r="I121" t="s">
        <v>980</v>
      </c>
      <c r="J121" t="s">
        <v>905</v>
      </c>
      <c r="K121" t="s">
        <v>981</v>
      </c>
      <c r="L121" t="b">
        <f>Data_Completeness(MileageData[[#This Row],[MPG]:[Acceleration]])</f>
        <v>1</v>
      </c>
    </row>
    <row r="122" spans="1:12" x14ac:dyDescent="0.25">
      <c r="A122">
        <v>21</v>
      </c>
      <c r="B122">
        <v>6</v>
      </c>
      <c r="C122">
        <v>155</v>
      </c>
      <c r="D122">
        <v>107</v>
      </c>
      <c r="E122">
        <v>2472</v>
      </c>
      <c r="F122">
        <v>14</v>
      </c>
      <c r="G122">
        <v>73</v>
      </c>
      <c r="H122" t="s">
        <v>1543</v>
      </c>
      <c r="I122" t="s">
        <v>1114</v>
      </c>
      <c r="J122" t="s">
        <v>1007</v>
      </c>
      <c r="K122" t="s">
        <v>1115</v>
      </c>
      <c r="L122" t="b">
        <f>Data_Completeness(MileageData[[#This Row],[MPG]:[Acceleration]])</f>
        <v>1</v>
      </c>
    </row>
    <row r="123" spans="1:12" x14ac:dyDescent="0.25">
      <c r="A123">
        <v>26</v>
      </c>
      <c r="B123">
        <v>4</v>
      </c>
      <c r="C123">
        <v>98</v>
      </c>
      <c r="D123">
        <v>90</v>
      </c>
      <c r="E123">
        <v>2265</v>
      </c>
      <c r="F123">
        <v>15.5</v>
      </c>
      <c r="G123">
        <v>73</v>
      </c>
      <c r="H123" t="s">
        <v>1544</v>
      </c>
      <c r="I123" t="s">
        <v>1116</v>
      </c>
      <c r="J123" t="s">
        <v>1013</v>
      </c>
      <c r="K123" t="s">
        <v>1117</v>
      </c>
      <c r="L123" t="b">
        <f>Data_Completeness(MileageData[[#This Row],[MPG]:[Acceleration]])</f>
        <v>1</v>
      </c>
    </row>
    <row r="124" spans="1:12" x14ac:dyDescent="0.25">
      <c r="A124">
        <v>15</v>
      </c>
      <c r="B124">
        <v>8</v>
      </c>
      <c r="C124">
        <v>350</v>
      </c>
      <c r="D124">
        <v>145</v>
      </c>
      <c r="E124">
        <v>4082</v>
      </c>
      <c r="F124">
        <v>13</v>
      </c>
      <c r="G124">
        <v>73</v>
      </c>
      <c r="H124" t="s">
        <v>1543</v>
      </c>
      <c r="I124" t="s">
        <v>1118</v>
      </c>
      <c r="J124" t="s">
        <v>893</v>
      </c>
      <c r="K124" t="s">
        <v>1119</v>
      </c>
      <c r="L124" t="b">
        <f>Data_Completeness(MileageData[[#This Row],[MPG]:[Acceleration]])</f>
        <v>1</v>
      </c>
    </row>
    <row r="125" spans="1:12" x14ac:dyDescent="0.25">
      <c r="A125">
        <v>16</v>
      </c>
      <c r="B125">
        <v>8</v>
      </c>
      <c r="C125">
        <v>400</v>
      </c>
      <c r="D125">
        <v>230</v>
      </c>
      <c r="E125">
        <v>4278</v>
      </c>
      <c r="F125">
        <v>9.5</v>
      </c>
      <c r="G125">
        <v>73</v>
      </c>
      <c r="H125" t="s">
        <v>1543</v>
      </c>
      <c r="I125" t="s">
        <v>1120</v>
      </c>
      <c r="J125" t="s">
        <v>914</v>
      </c>
      <c r="K125" t="s">
        <v>1121</v>
      </c>
      <c r="L125" t="b">
        <f>Data_Completeness(MileageData[[#This Row],[MPG]:[Acceleration]])</f>
        <v>1</v>
      </c>
    </row>
    <row r="126" spans="1:12" x14ac:dyDescent="0.25">
      <c r="A126">
        <v>29</v>
      </c>
      <c r="B126">
        <v>4</v>
      </c>
      <c r="C126">
        <v>68</v>
      </c>
      <c r="D126">
        <v>49</v>
      </c>
      <c r="E126">
        <v>1867</v>
      </c>
      <c r="F126">
        <v>19.5</v>
      </c>
      <c r="G126">
        <v>73</v>
      </c>
      <c r="H126" t="s">
        <v>1544</v>
      </c>
      <c r="I126" t="s">
        <v>1122</v>
      </c>
      <c r="J126" t="s">
        <v>1013</v>
      </c>
      <c r="K126">
        <v>128</v>
      </c>
      <c r="L126" t="b">
        <f>Data_Completeness(MileageData[[#This Row],[MPG]:[Acceleration]])</f>
        <v>1</v>
      </c>
    </row>
    <row r="127" spans="1:12" x14ac:dyDescent="0.25">
      <c r="A127">
        <v>24</v>
      </c>
      <c r="B127">
        <v>4</v>
      </c>
      <c r="C127">
        <v>116</v>
      </c>
      <c r="D127">
        <v>75</v>
      </c>
      <c r="E127">
        <v>2158</v>
      </c>
      <c r="F127">
        <v>15.5</v>
      </c>
      <c r="G127">
        <v>73</v>
      </c>
      <c r="H127" t="s">
        <v>1544</v>
      </c>
      <c r="I127" t="s">
        <v>1123</v>
      </c>
      <c r="J127" t="s">
        <v>1010</v>
      </c>
      <c r="K127" t="s">
        <v>1124</v>
      </c>
      <c r="L127" t="b">
        <f>Data_Completeness(MileageData[[#This Row],[MPG]:[Acceleration]])</f>
        <v>1</v>
      </c>
    </row>
    <row r="128" spans="1:12" x14ac:dyDescent="0.25">
      <c r="A128">
        <v>20</v>
      </c>
      <c r="B128">
        <v>4</v>
      </c>
      <c r="C128">
        <v>114</v>
      </c>
      <c r="D128">
        <v>91</v>
      </c>
      <c r="E128">
        <v>2582</v>
      </c>
      <c r="F128">
        <v>14</v>
      </c>
      <c r="G128">
        <v>73</v>
      </c>
      <c r="H128" t="s">
        <v>1544</v>
      </c>
      <c r="I128" t="s">
        <v>1125</v>
      </c>
      <c r="J128" t="s">
        <v>957</v>
      </c>
      <c r="K128" t="s">
        <v>1126</v>
      </c>
      <c r="L128" t="b">
        <f>Data_Completeness(MileageData[[#This Row],[MPG]:[Acceleration]])</f>
        <v>1</v>
      </c>
    </row>
    <row r="129" spans="1:12" x14ac:dyDescent="0.25">
      <c r="A129">
        <v>19</v>
      </c>
      <c r="B129">
        <v>4</v>
      </c>
      <c r="C129">
        <v>121</v>
      </c>
      <c r="D129">
        <v>112</v>
      </c>
      <c r="E129">
        <v>2868</v>
      </c>
      <c r="F129">
        <v>15.5</v>
      </c>
      <c r="G129">
        <v>73</v>
      </c>
      <c r="H129" t="s">
        <v>1544</v>
      </c>
      <c r="I129" t="s">
        <v>1127</v>
      </c>
      <c r="J129" t="s">
        <v>1054</v>
      </c>
      <c r="K129" t="s">
        <v>1128</v>
      </c>
      <c r="L129" t="b">
        <f>Data_Completeness(MileageData[[#This Row],[MPG]:[Acceleration]])</f>
        <v>1</v>
      </c>
    </row>
    <row r="130" spans="1:12" x14ac:dyDescent="0.25">
      <c r="A130">
        <v>15</v>
      </c>
      <c r="B130">
        <v>8</v>
      </c>
      <c r="C130">
        <v>318</v>
      </c>
      <c r="D130">
        <v>150</v>
      </c>
      <c r="E130">
        <v>3399</v>
      </c>
      <c r="F130">
        <v>11</v>
      </c>
      <c r="G130">
        <v>73</v>
      </c>
      <c r="H130" t="s">
        <v>1543</v>
      </c>
      <c r="I130" t="s">
        <v>1129</v>
      </c>
      <c r="J130" t="s">
        <v>930</v>
      </c>
      <c r="K130" t="s">
        <v>1130</v>
      </c>
      <c r="L130" t="b">
        <f>Data_Completeness(MileageData[[#This Row],[MPG]:[Acceleration]])</f>
        <v>1</v>
      </c>
    </row>
    <row r="131" spans="1:12" x14ac:dyDescent="0.25">
      <c r="A131">
        <v>24</v>
      </c>
      <c r="B131">
        <v>4</v>
      </c>
      <c r="C131">
        <v>121</v>
      </c>
      <c r="D131">
        <v>110</v>
      </c>
      <c r="E131">
        <v>2660</v>
      </c>
      <c r="F131">
        <v>14</v>
      </c>
      <c r="G131">
        <v>73</v>
      </c>
      <c r="H131" t="s">
        <v>1544</v>
      </c>
      <c r="I131" t="s">
        <v>1131</v>
      </c>
      <c r="J131" t="s">
        <v>960</v>
      </c>
      <c r="K131" t="s">
        <v>1132</v>
      </c>
      <c r="L131" t="b">
        <f>Data_Completeness(MileageData[[#This Row],[MPG]:[Acceleration]])</f>
        <v>1</v>
      </c>
    </row>
    <row r="132" spans="1:12" x14ac:dyDescent="0.25">
      <c r="A132">
        <v>20</v>
      </c>
      <c r="B132">
        <v>6</v>
      </c>
      <c r="C132">
        <v>156</v>
      </c>
      <c r="D132">
        <v>122</v>
      </c>
      <c r="E132">
        <v>2807</v>
      </c>
      <c r="F132">
        <v>13.5</v>
      </c>
      <c r="G132">
        <v>73</v>
      </c>
      <c r="H132" t="s">
        <v>1545</v>
      </c>
      <c r="I132" t="s">
        <v>1133</v>
      </c>
      <c r="J132" t="s">
        <v>940</v>
      </c>
      <c r="K132" t="s">
        <v>1134</v>
      </c>
      <c r="L132" t="b">
        <f>Data_Completeness(MileageData[[#This Row],[MPG]:[Acceleration]])</f>
        <v>1</v>
      </c>
    </row>
    <row r="133" spans="1:12" x14ac:dyDescent="0.25">
      <c r="A133">
        <v>11</v>
      </c>
      <c r="B133">
        <v>8</v>
      </c>
      <c r="C133">
        <v>350</v>
      </c>
      <c r="D133">
        <v>180</v>
      </c>
      <c r="E133">
        <v>3664</v>
      </c>
      <c r="F133">
        <v>11</v>
      </c>
      <c r="G133">
        <v>73</v>
      </c>
      <c r="H133" t="s">
        <v>1543</v>
      </c>
      <c r="I133" t="s">
        <v>1135</v>
      </c>
      <c r="J133" t="s">
        <v>1039</v>
      </c>
      <c r="K133" t="s">
        <v>1136</v>
      </c>
      <c r="L133" t="b">
        <f>Data_Completeness(MileageData[[#This Row],[MPG]:[Acceleration]])</f>
        <v>1</v>
      </c>
    </row>
    <row r="134" spans="1:12" x14ac:dyDescent="0.25">
      <c r="A134">
        <v>20</v>
      </c>
      <c r="B134">
        <v>6</v>
      </c>
      <c r="C134">
        <v>198</v>
      </c>
      <c r="D134">
        <v>95</v>
      </c>
      <c r="E134">
        <v>3102</v>
      </c>
      <c r="F134">
        <v>16.5</v>
      </c>
      <c r="G134">
        <v>74</v>
      </c>
      <c r="H134" t="s">
        <v>1543</v>
      </c>
      <c r="I134" t="s">
        <v>942</v>
      </c>
      <c r="J134" t="s">
        <v>899</v>
      </c>
      <c r="K134" t="s">
        <v>943</v>
      </c>
      <c r="L134" t="b">
        <f>Data_Completeness(MileageData[[#This Row],[MPG]:[Acceleration]])</f>
        <v>1</v>
      </c>
    </row>
    <row r="135" spans="1:12" x14ac:dyDescent="0.25">
      <c r="A135">
        <v>21</v>
      </c>
      <c r="B135">
        <v>6</v>
      </c>
      <c r="C135">
        <v>200</v>
      </c>
      <c r="E135">
        <v>2875</v>
      </c>
      <c r="F135">
        <v>17</v>
      </c>
      <c r="G135">
        <v>74</v>
      </c>
      <c r="H135" t="s">
        <v>1543</v>
      </c>
      <c r="I135" t="s">
        <v>946</v>
      </c>
      <c r="J135" t="s">
        <v>905</v>
      </c>
      <c r="K135" t="s">
        <v>947</v>
      </c>
      <c r="L135" t="b">
        <f>Data_Completeness(MileageData[[#This Row],[MPG]:[Acceleration]])</f>
        <v>0</v>
      </c>
    </row>
    <row r="136" spans="1:12" x14ac:dyDescent="0.25">
      <c r="A136">
        <v>19</v>
      </c>
      <c r="B136">
        <v>6</v>
      </c>
      <c r="C136">
        <v>232</v>
      </c>
      <c r="D136">
        <v>100</v>
      </c>
      <c r="E136">
        <v>2901</v>
      </c>
      <c r="F136">
        <v>16</v>
      </c>
      <c r="G136">
        <v>74</v>
      </c>
      <c r="H136" t="s">
        <v>1543</v>
      </c>
      <c r="I136" t="s">
        <v>944</v>
      </c>
      <c r="J136" t="s">
        <v>902</v>
      </c>
      <c r="K136" t="s">
        <v>945</v>
      </c>
      <c r="L136" t="b">
        <f>Data_Completeness(MileageData[[#This Row],[MPG]:[Acceleration]])</f>
        <v>1</v>
      </c>
    </row>
    <row r="137" spans="1:12" x14ac:dyDescent="0.25">
      <c r="A137">
        <v>15</v>
      </c>
      <c r="B137">
        <v>6</v>
      </c>
      <c r="C137">
        <v>250</v>
      </c>
      <c r="D137">
        <v>100</v>
      </c>
      <c r="E137">
        <v>3336</v>
      </c>
      <c r="F137">
        <v>17</v>
      </c>
      <c r="G137">
        <v>74</v>
      </c>
      <c r="H137" t="s">
        <v>1543</v>
      </c>
      <c r="I137" t="s">
        <v>1137</v>
      </c>
      <c r="J137" t="s">
        <v>893</v>
      </c>
      <c r="K137" t="s">
        <v>1138</v>
      </c>
      <c r="L137" t="b">
        <f>Data_Completeness(MileageData[[#This Row],[MPG]:[Acceleration]])</f>
        <v>1</v>
      </c>
    </row>
    <row r="138" spans="1:12" x14ac:dyDescent="0.25">
      <c r="A138">
        <v>31</v>
      </c>
      <c r="B138">
        <v>4</v>
      </c>
      <c r="C138">
        <v>79</v>
      </c>
      <c r="D138">
        <v>67</v>
      </c>
      <c r="E138">
        <v>1950</v>
      </c>
      <c r="F138">
        <v>19</v>
      </c>
      <c r="G138">
        <v>74</v>
      </c>
      <c r="H138" t="s">
        <v>1545</v>
      </c>
      <c r="I138" t="s">
        <v>1139</v>
      </c>
      <c r="J138" t="s">
        <v>949</v>
      </c>
      <c r="K138" t="s">
        <v>1140</v>
      </c>
      <c r="L138" t="b">
        <f>Data_Completeness(MileageData[[#This Row],[MPG]:[Acceleration]])</f>
        <v>1</v>
      </c>
    </row>
    <row r="139" spans="1:12" x14ac:dyDescent="0.25">
      <c r="A139">
        <v>26</v>
      </c>
      <c r="B139">
        <v>4</v>
      </c>
      <c r="C139">
        <v>122</v>
      </c>
      <c r="D139">
        <v>80</v>
      </c>
      <c r="E139">
        <v>2451</v>
      </c>
      <c r="F139">
        <v>16.5</v>
      </c>
      <c r="G139">
        <v>74</v>
      </c>
      <c r="H139" t="s">
        <v>1543</v>
      </c>
      <c r="I139" t="s">
        <v>980</v>
      </c>
      <c r="J139" t="s">
        <v>905</v>
      </c>
      <c r="K139" t="s">
        <v>981</v>
      </c>
      <c r="L139" t="b">
        <f>Data_Completeness(MileageData[[#This Row],[MPG]:[Acceleration]])</f>
        <v>1</v>
      </c>
    </row>
    <row r="140" spans="1:12" x14ac:dyDescent="0.25">
      <c r="A140">
        <v>32</v>
      </c>
      <c r="B140">
        <v>4</v>
      </c>
      <c r="C140">
        <v>71</v>
      </c>
      <c r="D140">
        <v>65</v>
      </c>
      <c r="E140">
        <v>1836</v>
      </c>
      <c r="F140">
        <v>21</v>
      </c>
      <c r="G140">
        <v>74</v>
      </c>
      <c r="H140" t="s">
        <v>1545</v>
      </c>
      <c r="I140" t="s">
        <v>1015</v>
      </c>
      <c r="J140" t="s">
        <v>940</v>
      </c>
      <c r="K140" t="s">
        <v>1016</v>
      </c>
      <c r="L140" t="b">
        <f>Data_Completeness(MileageData[[#This Row],[MPG]:[Acceleration]])</f>
        <v>1</v>
      </c>
    </row>
    <row r="141" spans="1:12" x14ac:dyDescent="0.25">
      <c r="A141">
        <v>25</v>
      </c>
      <c r="B141">
        <v>4</v>
      </c>
      <c r="C141">
        <v>140</v>
      </c>
      <c r="D141">
        <v>75</v>
      </c>
      <c r="E141">
        <v>2542</v>
      </c>
      <c r="F141">
        <v>17</v>
      </c>
      <c r="G141">
        <v>74</v>
      </c>
      <c r="H141" t="s">
        <v>1543</v>
      </c>
      <c r="I141" t="s">
        <v>1028</v>
      </c>
      <c r="J141" t="s">
        <v>893</v>
      </c>
      <c r="K141" t="s">
        <v>1029</v>
      </c>
      <c r="L141" t="b">
        <f>Data_Completeness(MileageData[[#This Row],[MPG]:[Acceleration]])</f>
        <v>1</v>
      </c>
    </row>
    <row r="142" spans="1:12" x14ac:dyDescent="0.25">
      <c r="A142">
        <v>16</v>
      </c>
      <c r="B142">
        <v>6</v>
      </c>
      <c r="C142">
        <v>250</v>
      </c>
      <c r="D142">
        <v>100</v>
      </c>
      <c r="E142">
        <v>3781</v>
      </c>
      <c r="F142">
        <v>17</v>
      </c>
      <c r="G142">
        <v>74</v>
      </c>
      <c r="H142" t="s">
        <v>1543</v>
      </c>
      <c r="I142" t="s">
        <v>1141</v>
      </c>
      <c r="J142" t="s">
        <v>893</v>
      </c>
      <c r="K142" t="s">
        <v>1142</v>
      </c>
      <c r="L142" t="b">
        <f>Data_Completeness(MileageData[[#This Row],[MPG]:[Acceleration]])</f>
        <v>1</v>
      </c>
    </row>
    <row r="143" spans="1:12" x14ac:dyDescent="0.25">
      <c r="A143">
        <v>16</v>
      </c>
      <c r="B143">
        <v>6</v>
      </c>
      <c r="C143">
        <v>258</v>
      </c>
      <c r="D143">
        <v>110</v>
      </c>
      <c r="E143">
        <v>3632</v>
      </c>
      <c r="F143">
        <v>18</v>
      </c>
      <c r="G143">
        <v>74</v>
      </c>
      <c r="H143" t="s">
        <v>1543</v>
      </c>
      <c r="I143" t="s">
        <v>988</v>
      </c>
      <c r="J143" t="s">
        <v>902</v>
      </c>
      <c r="K143" t="s">
        <v>989</v>
      </c>
      <c r="L143" t="b">
        <f>Data_Completeness(MileageData[[#This Row],[MPG]:[Acceleration]])</f>
        <v>1</v>
      </c>
    </row>
    <row r="144" spans="1:12" x14ac:dyDescent="0.25">
      <c r="A144">
        <v>18</v>
      </c>
      <c r="B144">
        <v>6</v>
      </c>
      <c r="C144">
        <v>225</v>
      </c>
      <c r="D144">
        <v>105</v>
      </c>
      <c r="E144">
        <v>3613</v>
      </c>
      <c r="F144">
        <v>16.5</v>
      </c>
      <c r="G144">
        <v>74</v>
      </c>
      <c r="H144" t="s">
        <v>1543</v>
      </c>
      <c r="I144" t="s">
        <v>1143</v>
      </c>
      <c r="J144" t="s">
        <v>899</v>
      </c>
      <c r="K144" t="s">
        <v>1144</v>
      </c>
      <c r="L144" t="b">
        <f>Data_Completeness(MileageData[[#This Row],[MPG]:[Acceleration]])</f>
        <v>1</v>
      </c>
    </row>
    <row r="145" spans="1:12" x14ac:dyDescent="0.25">
      <c r="A145">
        <v>16</v>
      </c>
      <c r="B145">
        <v>8</v>
      </c>
      <c r="C145">
        <v>302</v>
      </c>
      <c r="D145">
        <v>140</v>
      </c>
      <c r="E145">
        <v>4141</v>
      </c>
      <c r="F145">
        <v>14</v>
      </c>
      <c r="G145">
        <v>74</v>
      </c>
      <c r="H145" t="s">
        <v>1543</v>
      </c>
      <c r="I145" t="s">
        <v>1078</v>
      </c>
      <c r="J145" t="s">
        <v>905</v>
      </c>
      <c r="K145" t="s">
        <v>1079</v>
      </c>
      <c r="L145" t="b">
        <f>Data_Completeness(MileageData[[#This Row],[MPG]:[Acceleration]])</f>
        <v>1</v>
      </c>
    </row>
    <row r="146" spans="1:12" x14ac:dyDescent="0.25">
      <c r="A146">
        <v>13</v>
      </c>
      <c r="B146">
        <v>8</v>
      </c>
      <c r="C146">
        <v>350</v>
      </c>
      <c r="D146">
        <v>150</v>
      </c>
      <c r="E146">
        <v>4699</v>
      </c>
      <c r="F146">
        <v>14.5</v>
      </c>
      <c r="G146">
        <v>74</v>
      </c>
      <c r="H146" t="s">
        <v>1543</v>
      </c>
      <c r="I146" t="s">
        <v>1145</v>
      </c>
      <c r="J146" t="s">
        <v>896</v>
      </c>
      <c r="K146" t="s">
        <v>1146</v>
      </c>
      <c r="L146" t="b">
        <f>Data_Completeness(MileageData[[#This Row],[MPG]:[Acceleration]])</f>
        <v>1</v>
      </c>
    </row>
    <row r="147" spans="1:12" x14ac:dyDescent="0.25">
      <c r="A147">
        <v>14</v>
      </c>
      <c r="B147">
        <v>8</v>
      </c>
      <c r="C147">
        <v>318</v>
      </c>
      <c r="D147">
        <v>150</v>
      </c>
      <c r="E147">
        <v>4457</v>
      </c>
      <c r="F147">
        <v>13.5</v>
      </c>
      <c r="G147">
        <v>74</v>
      </c>
      <c r="H147" t="s">
        <v>1543</v>
      </c>
      <c r="I147" t="s">
        <v>1147</v>
      </c>
      <c r="J147" t="s">
        <v>930</v>
      </c>
      <c r="K147" t="s">
        <v>1148</v>
      </c>
      <c r="L147" t="b">
        <f>Data_Completeness(MileageData[[#This Row],[MPG]:[Acceleration]])</f>
        <v>1</v>
      </c>
    </row>
    <row r="148" spans="1:12" x14ac:dyDescent="0.25">
      <c r="A148">
        <v>14</v>
      </c>
      <c r="B148">
        <v>8</v>
      </c>
      <c r="C148">
        <v>302</v>
      </c>
      <c r="D148">
        <v>140</v>
      </c>
      <c r="E148">
        <v>4638</v>
      </c>
      <c r="F148">
        <v>16</v>
      </c>
      <c r="G148">
        <v>74</v>
      </c>
      <c r="H148" t="s">
        <v>1543</v>
      </c>
      <c r="I148" t="s">
        <v>1049</v>
      </c>
      <c r="J148" t="s">
        <v>905</v>
      </c>
      <c r="K148" t="s">
        <v>1050</v>
      </c>
      <c r="L148" t="b">
        <f>Data_Completeness(MileageData[[#This Row],[MPG]:[Acceleration]])</f>
        <v>1</v>
      </c>
    </row>
    <row r="149" spans="1:12" x14ac:dyDescent="0.25">
      <c r="A149">
        <v>14</v>
      </c>
      <c r="B149">
        <v>8</v>
      </c>
      <c r="C149">
        <v>304</v>
      </c>
      <c r="D149">
        <v>150</v>
      </c>
      <c r="E149">
        <v>4257</v>
      </c>
      <c r="F149">
        <v>15.5</v>
      </c>
      <c r="G149">
        <v>74</v>
      </c>
      <c r="H149" t="s">
        <v>1543</v>
      </c>
      <c r="I149" t="s">
        <v>1047</v>
      </c>
      <c r="J149" t="s">
        <v>902</v>
      </c>
      <c r="K149" t="s">
        <v>1048</v>
      </c>
      <c r="L149" t="b">
        <f>Data_Completeness(MileageData[[#This Row],[MPG]:[Acceleration]])</f>
        <v>1</v>
      </c>
    </row>
    <row r="150" spans="1:12" x14ac:dyDescent="0.25">
      <c r="A150">
        <v>29</v>
      </c>
      <c r="B150">
        <v>4</v>
      </c>
      <c r="C150">
        <v>98</v>
      </c>
      <c r="D150">
        <v>83</v>
      </c>
      <c r="E150">
        <v>2219</v>
      </c>
      <c r="F150">
        <v>16.5</v>
      </c>
      <c r="G150">
        <v>74</v>
      </c>
      <c r="H150" t="s">
        <v>1544</v>
      </c>
      <c r="I150" t="s">
        <v>1149</v>
      </c>
      <c r="J150" t="s">
        <v>957</v>
      </c>
      <c r="K150" t="s">
        <v>1150</v>
      </c>
      <c r="L150" t="b">
        <f>Data_Completeness(MileageData[[#This Row],[MPG]:[Acceleration]])</f>
        <v>1</v>
      </c>
    </row>
    <row r="151" spans="1:12" x14ac:dyDescent="0.25">
      <c r="A151">
        <v>26</v>
      </c>
      <c r="B151">
        <v>4</v>
      </c>
      <c r="C151">
        <v>79</v>
      </c>
      <c r="D151">
        <v>67</v>
      </c>
      <c r="E151">
        <v>1963</v>
      </c>
      <c r="F151">
        <v>15.5</v>
      </c>
      <c r="G151">
        <v>74</v>
      </c>
      <c r="H151" t="s">
        <v>1544</v>
      </c>
      <c r="I151" t="s">
        <v>1151</v>
      </c>
      <c r="J151" t="s">
        <v>952</v>
      </c>
      <c r="K151" t="s">
        <v>1152</v>
      </c>
      <c r="L151" t="b">
        <f>Data_Completeness(MileageData[[#This Row],[MPG]:[Acceleration]])</f>
        <v>1</v>
      </c>
    </row>
    <row r="152" spans="1:12" x14ac:dyDescent="0.25">
      <c r="A152">
        <v>26</v>
      </c>
      <c r="B152">
        <v>4</v>
      </c>
      <c r="C152">
        <v>97</v>
      </c>
      <c r="D152">
        <v>78</v>
      </c>
      <c r="E152">
        <v>2300</v>
      </c>
      <c r="F152">
        <v>14.5</v>
      </c>
      <c r="G152">
        <v>74</v>
      </c>
      <c r="H152" t="s">
        <v>1544</v>
      </c>
      <c r="I152" t="s">
        <v>1123</v>
      </c>
      <c r="J152" t="s">
        <v>1010</v>
      </c>
      <c r="K152" t="s">
        <v>1124</v>
      </c>
      <c r="L152" t="b">
        <f>Data_Completeness(MileageData[[#This Row],[MPG]:[Acceleration]])</f>
        <v>1</v>
      </c>
    </row>
    <row r="153" spans="1:12" x14ac:dyDescent="0.25">
      <c r="A153">
        <v>31</v>
      </c>
      <c r="B153">
        <v>4</v>
      </c>
      <c r="C153">
        <v>76</v>
      </c>
      <c r="D153">
        <v>52</v>
      </c>
      <c r="E153">
        <v>1649</v>
      </c>
      <c r="F153">
        <v>16.5</v>
      </c>
      <c r="G153">
        <v>74</v>
      </c>
      <c r="H153" t="s">
        <v>1545</v>
      </c>
      <c r="I153" t="s">
        <v>978</v>
      </c>
      <c r="J153" t="s">
        <v>940</v>
      </c>
      <c r="K153" t="s">
        <v>979</v>
      </c>
      <c r="L153" t="b">
        <f>Data_Completeness(MileageData[[#This Row],[MPG]:[Acceleration]])</f>
        <v>1</v>
      </c>
    </row>
    <row r="154" spans="1:12" x14ac:dyDescent="0.25">
      <c r="A154">
        <v>32</v>
      </c>
      <c r="B154">
        <v>4</v>
      </c>
      <c r="C154">
        <v>83</v>
      </c>
      <c r="D154">
        <v>61</v>
      </c>
      <c r="E154">
        <v>2003</v>
      </c>
      <c r="F154">
        <v>19</v>
      </c>
      <c r="G154">
        <v>74</v>
      </c>
      <c r="H154" t="s">
        <v>1545</v>
      </c>
      <c r="I154" t="s">
        <v>1153</v>
      </c>
      <c r="J154" t="s">
        <v>949</v>
      </c>
      <c r="K154">
        <v>710</v>
      </c>
      <c r="L154" t="b">
        <f>Data_Completeness(MileageData[[#This Row],[MPG]:[Acceleration]])</f>
        <v>1</v>
      </c>
    </row>
    <row r="155" spans="1:12" x14ac:dyDescent="0.25">
      <c r="A155">
        <v>28</v>
      </c>
      <c r="B155">
        <v>4</v>
      </c>
      <c r="C155">
        <v>90</v>
      </c>
      <c r="D155">
        <v>75</v>
      </c>
      <c r="E155">
        <v>2125</v>
      </c>
      <c r="F155">
        <v>14.5</v>
      </c>
      <c r="G155">
        <v>74</v>
      </c>
      <c r="H155" t="s">
        <v>1543</v>
      </c>
      <c r="I155" t="s">
        <v>1154</v>
      </c>
      <c r="J155" t="s">
        <v>930</v>
      </c>
      <c r="K155" t="s">
        <v>1155</v>
      </c>
      <c r="L155" t="b">
        <f>Data_Completeness(MileageData[[#This Row],[MPG]:[Acceleration]])</f>
        <v>1</v>
      </c>
    </row>
    <row r="156" spans="1:12" x14ac:dyDescent="0.25">
      <c r="A156">
        <v>24</v>
      </c>
      <c r="B156">
        <v>4</v>
      </c>
      <c r="C156">
        <v>90</v>
      </c>
      <c r="D156">
        <v>75</v>
      </c>
      <c r="E156">
        <v>2108</v>
      </c>
      <c r="F156">
        <v>15.5</v>
      </c>
      <c r="G156">
        <v>74</v>
      </c>
      <c r="H156" t="s">
        <v>1544</v>
      </c>
      <c r="I156" t="s">
        <v>1122</v>
      </c>
      <c r="J156" t="s">
        <v>1013</v>
      </c>
      <c r="K156">
        <v>128</v>
      </c>
      <c r="L156" t="b">
        <f>Data_Completeness(MileageData[[#This Row],[MPG]:[Acceleration]])</f>
        <v>1</v>
      </c>
    </row>
    <row r="157" spans="1:12" x14ac:dyDescent="0.25">
      <c r="A157">
        <v>26</v>
      </c>
      <c r="B157">
        <v>4</v>
      </c>
      <c r="C157">
        <v>116</v>
      </c>
      <c r="D157">
        <v>75</v>
      </c>
      <c r="E157">
        <v>2246</v>
      </c>
      <c r="F157">
        <v>14</v>
      </c>
      <c r="G157">
        <v>74</v>
      </c>
      <c r="H157" t="s">
        <v>1544</v>
      </c>
      <c r="I157" t="s">
        <v>1156</v>
      </c>
      <c r="J157" t="s">
        <v>1013</v>
      </c>
      <c r="K157" t="s">
        <v>1157</v>
      </c>
      <c r="L157" t="b">
        <f>Data_Completeness(MileageData[[#This Row],[MPG]:[Acceleration]])</f>
        <v>1</v>
      </c>
    </row>
    <row r="158" spans="1:12" x14ac:dyDescent="0.25">
      <c r="A158">
        <v>24</v>
      </c>
      <c r="B158">
        <v>4</v>
      </c>
      <c r="C158">
        <v>120</v>
      </c>
      <c r="D158">
        <v>97</v>
      </c>
      <c r="E158">
        <v>2489</v>
      </c>
      <c r="F158">
        <v>15</v>
      </c>
      <c r="G158">
        <v>74</v>
      </c>
      <c r="H158" t="s">
        <v>1545</v>
      </c>
      <c r="I158" t="s">
        <v>1158</v>
      </c>
      <c r="J158" t="s">
        <v>1159</v>
      </c>
      <c r="K158" t="s">
        <v>1160</v>
      </c>
      <c r="L158" t="b">
        <f>Data_Completeness(MileageData[[#This Row],[MPG]:[Acceleration]])</f>
        <v>1</v>
      </c>
    </row>
    <row r="159" spans="1:12" x14ac:dyDescent="0.25">
      <c r="A159">
        <v>26</v>
      </c>
      <c r="B159">
        <v>4</v>
      </c>
      <c r="C159">
        <v>108</v>
      </c>
      <c r="D159">
        <v>93</v>
      </c>
      <c r="E159">
        <v>2391</v>
      </c>
      <c r="F159">
        <v>15.5</v>
      </c>
      <c r="G159">
        <v>74</v>
      </c>
      <c r="H159" t="s">
        <v>1545</v>
      </c>
      <c r="I159" t="s">
        <v>1161</v>
      </c>
      <c r="J159" t="e">
        <v>#VALUE!</v>
      </c>
      <c r="K159" t="e">
        <v>#VALUE!</v>
      </c>
      <c r="L159" t="b">
        <f>Data_Completeness(MileageData[[#This Row],[MPG]:[Acceleration]])</f>
        <v>1</v>
      </c>
    </row>
    <row r="160" spans="1:12" x14ac:dyDescent="0.25">
      <c r="A160">
        <v>31</v>
      </c>
      <c r="B160">
        <v>4</v>
      </c>
      <c r="C160">
        <v>79</v>
      </c>
      <c r="D160">
        <v>67</v>
      </c>
      <c r="E160">
        <v>2000</v>
      </c>
      <c r="F160">
        <v>16</v>
      </c>
      <c r="G160">
        <v>74</v>
      </c>
      <c r="H160" t="s">
        <v>1544</v>
      </c>
      <c r="I160" t="s">
        <v>1162</v>
      </c>
      <c r="J160" t="s">
        <v>1013</v>
      </c>
      <c r="K160" t="s">
        <v>1163</v>
      </c>
      <c r="L160" t="b">
        <f>Data_Completeness(MileageData[[#This Row],[MPG]:[Acceleration]])</f>
        <v>1</v>
      </c>
    </row>
    <row r="161" spans="1:12" x14ac:dyDescent="0.25">
      <c r="A161">
        <v>19</v>
      </c>
      <c r="B161">
        <v>6</v>
      </c>
      <c r="C161">
        <v>225</v>
      </c>
      <c r="D161">
        <v>95</v>
      </c>
      <c r="E161">
        <v>3264</v>
      </c>
      <c r="F161">
        <v>16</v>
      </c>
      <c r="G161">
        <v>75</v>
      </c>
      <c r="H161" t="s">
        <v>1543</v>
      </c>
      <c r="I161" t="s">
        <v>1164</v>
      </c>
      <c r="J161" t="s">
        <v>899</v>
      </c>
      <c r="K161" t="s">
        <v>1165</v>
      </c>
      <c r="L161" t="b">
        <f>Data_Completeness(MileageData[[#This Row],[MPG]:[Acceleration]])</f>
        <v>1</v>
      </c>
    </row>
    <row r="162" spans="1:12" x14ac:dyDescent="0.25">
      <c r="A162">
        <v>18</v>
      </c>
      <c r="B162">
        <v>6</v>
      </c>
      <c r="C162">
        <v>250</v>
      </c>
      <c r="D162">
        <v>105</v>
      </c>
      <c r="E162">
        <v>3459</v>
      </c>
      <c r="F162">
        <v>16</v>
      </c>
      <c r="G162">
        <v>75</v>
      </c>
      <c r="H162" t="s">
        <v>1543</v>
      </c>
      <c r="I162" t="s">
        <v>1137</v>
      </c>
      <c r="J162" t="s">
        <v>893</v>
      </c>
      <c r="K162" t="s">
        <v>1138</v>
      </c>
      <c r="L162" t="b">
        <f>Data_Completeness(MileageData[[#This Row],[MPG]:[Acceleration]])</f>
        <v>1</v>
      </c>
    </row>
    <row r="163" spans="1:12" x14ac:dyDescent="0.25">
      <c r="A163">
        <v>15</v>
      </c>
      <c r="B163">
        <v>6</v>
      </c>
      <c r="C163">
        <v>250</v>
      </c>
      <c r="D163">
        <v>72</v>
      </c>
      <c r="E163">
        <v>3432</v>
      </c>
      <c r="F163">
        <v>21</v>
      </c>
      <c r="G163">
        <v>75</v>
      </c>
      <c r="H163" t="s">
        <v>1543</v>
      </c>
      <c r="I163" t="s">
        <v>1166</v>
      </c>
      <c r="J163" t="s">
        <v>1007</v>
      </c>
      <c r="K163" t="s">
        <v>1167</v>
      </c>
      <c r="L163" t="b">
        <f>Data_Completeness(MileageData[[#This Row],[MPG]:[Acceleration]])</f>
        <v>1</v>
      </c>
    </row>
    <row r="164" spans="1:12" x14ac:dyDescent="0.25">
      <c r="A164">
        <v>15</v>
      </c>
      <c r="B164">
        <v>6</v>
      </c>
      <c r="C164">
        <v>250</v>
      </c>
      <c r="D164">
        <v>72</v>
      </c>
      <c r="E164">
        <v>3158</v>
      </c>
      <c r="F164">
        <v>19.5</v>
      </c>
      <c r="G164">
        <v>75</v>
      </c>
      <c r="H164" t="s">
        <v>1543</v>
      </c>
      <c r="I164" t="s">
        <v>946</v>
      </c>
      <c r="J164" t="s">
        <v>905</v>
      </c>
      <c r="K164" t="s">
        <v>947</v>
      </c>
      <c r="L164" t="b">
        <f>Data_Completeness(MileageData[[#This Row],[MPG]:[Acceleration]])</f>
        <v>1</v>
      </c>
    </row>
    <row r="165" spans="1:12" x14ac:dyDescent="0.25">
      <c r="A165">
        <v>16</v>
      </c>
      <c r="B165">
        <v>8</v>
      </c>
      <c r="C165">
        <v>400</v>
      </c>
      <c r="D165">
        <v>170</v>
      </c>
      <c r="E165">
        <v>4668</v>
      </c>
      <c r="F165">
        <v>11.5</v>
      </c>
      <c r="G165">
        <v>75</v>
      </c>
      <c r="H165" t="s">
        <v>1543</v>
      </c>
      <c r="I165" t="s">
        <v>913</v>
      </c>
      <c r="J165" t="s">
        <v>914</v>
      </c>
      <c r="K165" t="s">
        <v>915</v>
      </c>
      <c r="L165" t="b">
        <f>Data_Completeness(MileageData[[#This Row],[MPG]:[Acceleration]])</f>
        <v>1</v>
      </c>
    </row>
    <row r="166" spans="1:12" x14ac:dyDescent="0.25">
      <c r="A166">
        <v>15</v>
      </c>
      <c r="B166">
        <v>8</v>
      </c>
      <c r="C166">
        <v>350</v>
      </c>
      <c r="D166">
        <v>145</v>
      </c>
      <c r="E166">
        <v>4440</v>
      </c>
      <c r="F166">
        <v>14</v>
      </c>
      <c r="G166">
        <v>75</v>
      </c>
      <c r="H166" t="s">
        <v>1543</v>
      </c>
      <c r="I166" t="s">
        <v>1168</v>
      </c>
      <c r="J166" t="s">
        <v>893</v>
      </c>
      <c r="K166" t="s">
        <v>1169</v>
      </c>
      <c r="L166" t="b">
        <f>Data_Completeness(MileageData[[#This Row],[MPG]:[Acceleration]])</f>
        <v>1</v>
      </c>
    </row>
    <row r="167" spans="1:12" x14ac:dyDescent="0.25">
      <c r="A167">
        <v>16</v>
      </c>
      <c r="B167">
        <v>8</v>
      </c>
      <c r="C167">
        <v>318</v>
      </c>
      <c r="D167">
        <v>150</v>
      </c>
      <c r="E167">
        <v>4498</v>
      </c>
      <c r="F167">
        <v>14.5</v>
      </c>
      <c r="G167">
        <v>75</v>
      </c>
      <c r="H167" t="s">
        <v>1543</v>
      </c>
      <c r="I167" t="s">
        <v>1170</v>
      </c>
      <c r="J167" t="s">
        <v>899</v>
      </c>
      <c r="K167" t="s">
        <v>1171</v>
      </c>
      <c r="L167" t="b">
        <f>Data_Completeness(MileageData[[#This Row],[MPG]:[Acceleration]])</f>
        <v>1</v>
      </c>
    </row>
    <row r="168" spans="1:12" x14ac:dyDescent="0.25">
      <c r="A168">
        <v>14</v>
      </c>
      <c r="B168">
        <v>8</v>
      </c>
      <c r="C168">
        <v>351</v>
      </c>
      <c r="D168">
        <v>148</v>
      </c>
      <c r="E168">
        <v>4657</v>
      </c>
      <c r="F168">
        <v>13.5</v>
      </c>
      <c r="G168">
        <v>75</v>
      </c>
      <c r="H168" t="s">
        <v>1543</v>
      </c>
      <c r="I168" t="s">
        <v>1086</v>
      </c>
      <c r="J168" t="s">
        <v>905</v>
      </c>
      <c r="K168" t="s">
        <v>1087</v>
      </c>
      <c r="L168" t="b">
        <f>Data_Completeness(MileageData[[#This Row],[MPG]:[Acceleration]])</f>
        <v>1</v>
      </c>
    </row>
    <row r="169" spans="1:12" x14ac:dyDescent="0.25">
      <c r="A169">
        <v>17</v>
      </c>
      <c r="B169">
        <v>6</v>
      </c>
      <c r="C169">
        <v>231</v>
      </c>
      <c r="D169">
        <v>110</v>
      </c>
      <c r="E169">
        <v>3907</v>
      </c>
      <c r="F169">
        <v>21</v>
      </c>
      <c r="G169">
        <v>75</v>
      </c>
      <c r="H169" t="s">
        <v>1543</v>
      </c>
      <c r="I169" t="s">
        <v>1172</v>
      </c>
      <c r="J169" t="s">
        <v>896</v>
      </c>
      <c r="K169" t="s">
        <v>1173</v>
      </c>
      <c r="L169" t="b">
        <f>Data_Completeness(MileageData[[#This Row],[MPG]:[Acceleration]])</f>
        <v>1</v>
      </c>
    </row>
    <row r="170" spans="1:12" x14ac:dyDescent="0.25">
      <c r="A170">
        <v>16</v>
      </c>
      <c r="B170">
        <v>6</v>
      </c>
      <c r="C170">
        <v>250</v>
      </c>
      <c r="D170">
        <v>105</v>
      </c>
      <c r="E170">
        <v>3897</v>
      </c>
      <c r="F170">
        <v>18.5</v>
      </c>
      <c r="G170">
        <v>75</v>
      </c>
      <c r="H170" t="s">
        <v>1543</v>
      </c>
      <c r="I170" t="s">
        <v>1174</v>
      </c>
      <c r="J170" t="s">
        <v>1175</v>
      </c>
      <c r="K170" t="s">
        <v>894</v>
      </c>
      <c r="L170" t="b">
        <f>Data_Completeness(MileageData[[#This Row],[MPG]:[Acceleration]])</f>
        <v>1</v>
      </c>
    </row>
    <row r="171" spans="1:12" x14ac:dyDescent="0.25">
      <c r="A171">
        <v>15</v>
      </c>
      <c r="B171">
        <v>6</v>
      </c>
      <c r="C171">
        <v>258</v>
      </c>
      <c r="D171">
        <v>110</v>
      </c>
      <c r="E171">
        <v>3730</v>
      </c>
      <c r="F171">
        <v>19</v>
      </c>
      <c r="G171">
        <v>75</v>
      </c>
      <c r="H171" t="s">
        <v>1543</v>
      </c>
      <c r="I171" t="s">
        <v>988</v>
      </c>
      <c r="J171" t="s">
        <v>902</v>
      </c>
      <c r="K171" t="s">
        <v>989</v>
      </c>
      <c r="L171" t="b">
        <f>Data_Completeness(MileageData[[#This Row],[MPG]:[Acceleration]])</f>
        <v>1</v>
      </c>
    </row>
    <row r="172" spans="1:12" x14ac:dyDescent="0.25">
      <c r="A172">
        <v>18</v>
      </c>
      <c r="B172">
        <v>6</v>
      </c>
      <c r="C172">
        <v>225</v>
      </c>
      <c r="D172">
        <v>95</v>
      </c>
      <c r="E172">
        <v>3785</v>
      </c>
      <c r="F172">
        <v>19</v>
      </c>
      <c r="G172">
        <v>75</v>
      </c>
      <c r="H172" t="s">
        <v>1543</v>
      </c>
      <c r="I172" t="s">
        <v>1176</v>
      </c>
      <c r="J172" t="s">
        <v>899</v>
      </c>
      <c r="K172" t="s">
        <v>1177</v>
      </c>
      <c r="L172" t="b">
        <f>Data_Completeness(MileageData[[#This Row],[MPG]:[Acceleration]])</f>
        <v>1</v>
      </c>
    </row>
    <row r="173" spans="1:12" x14ac:dyDescent="0.25">
      <c r="A173">
        <v>21</v>
      </c>
      <c r="B173">
        <v>6</v>
      </c>
      <c r="C173">
        <v>231</v>
      </c>
      <c r="D173">
        <v>110</v>
      </c>
      <c r="E173">
        <v>3039</v>
      </c>
      <c r="F173">
        <v>15</v>
      </c>
      <c r="G173">
        <v>75</v>
      </c>
      <c r="H173" t="s">
        <v>1543</v>
      </c>
      <c r="I173" t="s">
        <v>1178</v>
      </c>
      <c r="J173" t="s">
        <v>896</v>
      </c>
      <c r="K173" t="s">
        <v>1179</v>
      </c>
      <c r="L173" t="b">
        <f>Data_Completeness(MileageData[[#This Row],[MPG]:[Acceleration]])</f>
        <v>1</v>
      </c>
    </row>
    <row r="174" spans="1:12" x14ac:dyDescent="0.25">
      <c r="A174">
        <v>20</v>
      </c>
      <c r="B174">
        <v>8</v>
      </c>
      <c r="C174">
        <v>262</v>
      </c>
      <c r="D174">
        <v>110</v>
      </c>
      <c r="E174">
        <v>3221</v>
      </c>
      <c r="F174">
        <v>13.5</v>
      </c>
      <c r="G174">
        <v>75</v>
      </c>
      <c r="H174" t="s">
        <v>1543</v>
      </c>
      <c r="I174" t="s">
        <v>1180</v>
      </c>
      <c r="J174" t="s">
        <v>893</v>
      </c>
      <c r="K174" t="s">
        <v>1181</v>
      </c>
      <c r="L174" t="b">
        <f>Data_Completeness(MileageData[[#This Row],[MPG]:[Acceleration]])</f>
        <v>1</v>
      </c>
    </row>
    <row r="175" spans="1:12" x14ac:dyDescent="0.25">
      <c r="A175">
        <v>13</v>
      </c>
      <c r="B175">
        <v>8</v>
      </c>
      <c r="C175">
        <v>302</v>
      </c>
      <c r="D175">
        <v>129</v>
      </c>
      <c r="E175">
        <v>3169</v>
      </c>
      <c r="F175">
        <v>12</v>
      </c>
      <c r="G175">
        <v>75</v>
      </c>
      <c r="H175" t="s">
        <v>1543</v>
      </c>
      <c r="I175" t="s">
        <v>1182</v>
      </c>
      <c r="J175" t="s">
        <v>905</v>
      </c>
      <c r="K175" t="s">
        <v>1183</v>
      </c>
      <c r="L175" t="b">
        <f>Data_Completeness(MileageData[[#This Row],[MPG]:[Acceleration]])</f>
        <v>1</v>
      </c>
    </row>
    <row r="176" spans="1:12" x14ac:dyDescent="0.25">
      <c r="A176">
        <v>29</v>
      </c>
      <c r="B176">
        <v>4</v>
      </c>
      <c r="C176">
        <v>97</v>
      </c>
      <c r="D176">
        <v>75</v>
      </c>
      <c r="E176">
        <v>2171</v>
      </c>
      <c r="F176">
        <v>16</v>
      </c>
      <c r="G176">
        <v>75</v>
      </c>
      <c r="H176" t="s">
        <v>1545</v>
      </c>
      <c r="I176" t="s">
        <v>1184</v>
      </c>
      <c r="J176" t="s">
        <v>940</v>
      </c>
      <c r="K176" t="s">
        <v>1185</v>
      </c>
      <c r="L176" t="b">
        <f>Data_Completeness(MileageData[[#This Row],[MPG]:[Acceleration]])</f>
        <v>1</v>
      </c>
    </row>
    <row r="177" spans="1:12" x14ac:dyDescent="0.25">
      <c r="A177">
        <v>23</v>
      </c>
      <c r="B177">
        <v>4</v>
      </c>
      <c r="C177">
        <v>140</v>
      </c>
      <c r="D177">
        <v>83</v>
      </c>
      <c r="E177">
        <v>2639</v>
      </c>
      <c r="F177">
        <v>17</v>
      </c>
      <c r="G177">
        <v>75</v>
      </c>
      <c r="H177" t="s">
        <v>1543</v>
      </c>
      <c r="I177" t="s">
        <v>980</v>
      </c>
      <c r="J177" t="s">
        <v>905</v>
      </c>
      <c r="K177" t="s">
        <v>981</v>
      </c>
      <c r="L177" t="b">
        <f>Data_Completeness(MileageData[[#This Row],[MPG]:[Acceleration]])</f>
        <v>1</v>
      </c>
    </row>
    <row r="178" spans="1:12" x14ac:dyDescent="0.25">
      <c r="A178">
        <v>20</v>
      </c>
      <c r="B178">
        <v>6</v>
      </c>
      <c r="C178">
        <v>232</v>
      </c>
      <c r="D178">
        <v>100</v>
      </c>
      <c r="E178">
        <v>2914</v>
      </c>
      <c r="F178">
        <v>16</v>
      </c>
      <c r="G178">
        <v>75</v>
      </c>
      <c r="H178" t="s">
        <v>1543</v>
      </c>
      <c r="I178" t="s">
        <v>964</v>
      </c>
      <c r="J178" t="s">
        <v>902</v>
      </c>
      <c r="K178" t="s">
        <v>965</v>
      </c>
      <c r="L178" t="b">
        <f>Data_Completeness(MileageData[[#This Row],[MPG]:[Acceleration]])</f>
        <v>1</v>
      </c>
    </row>
    <row r="179" spans="1:12" x14ac:dyDescent="0.25">
      <c r="A179">
        <v>23</v>
      </c>
      <c r="B179">
        <v>4</v>
      </c>
      <c r="C179">
        <v>140</v>
      </c>
      <c r="D179">
        <v>78</v>
      </c>
      <c r="E179">
        <v>2592</v>
      </c>
      <c r="F179">
        <v>18.5</v>
      </c>
      <c r="G179">
        <v>75</v>
      </c>
      <c r="H179" t="s">
        <v>1543</v>
      </c>
      <c r="I179" t="s">
        <v>1186</v>
      </c>
      <c r="J179" t="s">
        <v>914</v>
      </c>
      <c r="K179" t="s">
        <v>1187</v>
      </c>
      <c r="L179" t="b">
        <f>Data_Completeness(MileageData[[#This Row],[MPG]:[Acceleration]])</f>
        <v>1</v>
      </c>
    </row>
    <row r="180" spans="1:12" x14ac:dyDescent="0.25">
      <c r="A180">
        <v>24</v>
      </c>
      <c r="B180">
        <v>4</v>
      </c>
      <c r="C180">
        <v>134</v>
      </c>
      <c r="D180">
        <v>96</v>
      </c>
      <c r="E180">
        <v>2702</v>
      </c>
      <c r="F180">
        <v>13.5</v>
      </c>
      <c r="G180">
        <v>75</v>
      </c>
      <c r="H180" t="s">
        <v>1545</v>
      </c>
      <c r="I180" t="s">
        <v>978</v>
      </c>
      <c r="J180" t="s">
        <v>940</v>
      </c>
      <c r="K180" t="s">
        <v>979</v>
      </c>
      <c r="L180" t="b">
        <f>Data_Completeness(MileageData[[#This Row],[MPG]:[Acceleration]])</f>
        <v>1</v>
      </c>
    </row>
    <row r="181" spans="1:12" x14ac:dyDescent="0.25">
      <c r="A181">
        <v>25</v>
      </c>
      <c r="B181">
        <v>4</v>
      </c>
      <c r="C181">
        <v>90</v>
      </c>
      <c r="D181">
        <v>71</v>
      </c>
      <c r="E181">
        <v>2223</v>
      </c>
      <c r="F181">
        <v>16.5</v>
      </c>
      <c r="G181">
        <v>75</v>
      </c>
      <c r="H181" t="s">
        <v>1544</v>
      </c>
      <c r="I181" t="s">
        <v>1151</v>
      </c>
      <c r="J181" t="s">
        <v>952</v>
      </c>
      <c r="K181" t="s">
        <v>1152</v>
      </c>
      <c r="L181" t="b">
        <f>Data_Completeness(MileageData[[#This Row],[MPG]:[Acceleration]])</f>
        <v>1</v>
      </c>
    </row>
    <row r="182" spans="1:12" x14ac:dyDescent="0.25">
      <c r="A182">
        <v>24</v>
      </c>
      <c r="B182">
        <v>4</v>
      </c>
      <c r="C182">
        <v>119</v>
      </c>
      <c r="D182">
        <v>97</v>
      </c>
      <c r="E182">
        <v>2545</v>
      </c>
      <c r="F182">
        <v>17</v>
      </c>
      <c r="G182">
        <v>75</v>
      </c>
      <c r="H182" t="s">
        <v>1545</v>
      </c>
      <c r="I182" t="s">
        <v>1153</v>
      </c>
      <c r="J182" t="s">
        <v>949</v>
      </c>
      <c r="K182">
        <v>710</v>
      </c>
      <c r="L182" t="b">
        <f>Data_Completeness(MileageData[[#This Row],[MPG]:[Acceleration]])</f>
        <v>1</v>
      </c>
    </row>
    <row r="183" spans="1:12" x14ac:dyDescent="0.25">
      <c r="A183">
        <v>18</v>
      </c>
      <c r="B183">
        <v>6</v>
      </c>
      <c r="C183">
        <v>171</v>
      </c>
      <c r="D183">
        <v>97</v>
      </c>
      <c r="E183">
        <v>2984</v>
      </c>
      <c r="F183">
        <v>14.5</v>
      </c>
      <c r="G183">
        <v>75</v>
      </c>
      <c r="H183" t="s">
        <v>1543</v>
      </c>
      <c r="I183" t="s">
        <v>980</v>
      </c>
      <c r="J183" t="s">
        <v>905</v>
      </c>
      <c r="K183" t="s">
        <v>981</v>
      </c>
      <c r="L183" t="b">
        <f>Data_Completeness(MileageData[[#This Row],[MPG]:[Acceleration]])</f>
        <v>1</v>
      </c>
    </row>
    <row r="184" spans="1:12" x14ac:dyDescent="0.25">
      <c r="A184">
        <v>29</v>
      </c>
      <c r="B184">
        <v>4</v>
      </c>
      <c r="C184">
        <v>90</v>
      </c>
      <c r="D184">
        <v>70</v>
      </c>
      <c r="E184">
        <v>1937</v>
      </c>
      <c r="F184">
        <v>14</v>
      </c>
      <c r="G184">
        <v>75</v>
      </c>
      <c r="H184" t="s">
        <v>1544</v>
      </c>
      <c r="I184" t="s">
        <v>1188</v>
      </c>
      <c r="J184" t="s">
        <v>952</v>
      </c>
      <c r="K184" t="s">
        <v>1189</v>
      </c>
      <c r="L184" t="b">
        <f>Data_Completeness(MileageData[[#This Row],[MPG]:[Acceleration]])</f>
        <v>1</v>
      </c>
    </row>
    <row r="185" spans="1:12" x14ac:dyDescent="0.25">
      <c r="A185">
        <v>19</v>
      </c>
      <c r="B185">
        <v>6</v>
      </c>
      <c r="C185">
        <v>232</v>
      </c>
      <c r="D185">
        <v>90</v>
      </c>
      <c r="E185">
        <v>3211</v>
      </c>
      <c r="F185">
        <v>17</v>
      </c>
      <c r="G185">
        <v>75</v>
      </c>
      <c r="H185" t="s">
        <v>1543</v>
      </c>
      <c r="I185" t="s">
        <v>1190</v>
      </c>
      <c r="J185" t="s">
        <v>902</v>
      </c>
      <c r="K185" t="s">
        <v>1191</v>
      </c>
      <c r="L185" t="b">
        <f>Data_Completeness(MileageData[[#This Row],[MPG]:[Acceleration]])</f>
        <v>1</v>
      </c>
    </row>
    <row r="186" spans="1:12" x14ac:dyDescent="0.25">
      <c r="A186">
        <v>23</v>
      </c>
      <c r="B186">
        <v>4</v>
      </c>
      <c r="C186">
        <v>115</v>
      </c>
      <c r="D186">
        <v>95</v>
      </c>
      <c r="E186">
        <v>2694</v>
      </c>
      <c r="F186">
        <v>15</v>
      </c>
      <c r="G186">
        <v>75</v>
      </c>
      <c r="H186" t="s">
        <v>1544</v>
      </c>
      <c r="I186" t="s">
        <v>1125</v>
      </c>
      <c r="J186" t="s">
        <v>957</v>
      </c>
      <c r="K186" t="s">
        <v>1126</v>
      </c>
      <c r="L186" t="b">
        <f>Data_Completeness(MileageData[[#This Row],[MPG]:[Acceleration]])</f>
        <v>1</v>
      </c>
    </row>
    <row r="187" spans="1:12" x14ac:dyDescent="0.25">
      <c r="A187">
        <v>23</v>
      </c>
      <c r="B187">
        <v>4</v>
      </c>
      <c r="C187">
        <v>120</v>
      </c>
      <c r="D187">
        <v>88</v>
      </c>
      <c r="E187">
        <v>2957</v>
      </c>
      <c r="F187">
        <v>17</v>
      </c>
      <c r="G187">
        <v>75</v>
      </c>
      <c r="H187" t="s">
        <v>1544</v>
      </c>
      <c r="I187" t="s">
        <v>954</v>
      </c>
      <c r="J187" t="s">
        <v>955</v>
      </c>
      <c r="K187">
        <v>504</v>
      </c>
      <c r="L187" t="b">
        <f>Data_Completeness(MileageData[[#This Row],[MPG]:[Acceleration]])</f>
        <v>1</v>
      </c>
    </row>
    <row r="188" spans="1:12" x14ac:dyDescent="0.25">
      <c r="A188">
        <v>22</v>
      </c>
      <c r="B188">
        <v>4</v>
      </c>
      <c r="C188">
        <v>121</v>
      </c>
      <c r="D188">
        <v>98</v>
      </c>
      <c r="E188">
        <v>2945</v>
      </c>
      <c r="F188">
        <v>14.5</v>
      </c>
      <c r="G188">
        <v>75</v>
      </c>
      <c r="H188" t="s">
        <v>1544</v>
      </c>
      <c r="I188" t="s">
        <v>1192</v>
      </c>
      <c r="J188" t="s">
        <v>1054</v>
      </c>
      <c r="K188" t="s">
        <v>1193</v>
      </c>
      <c r="L188" t="b">
        <f>Data_Completeness(MileageData[[#This Row],[MPG]:[Acceleration]])</f>
        <v>1</v>
      </c>
    </row>
    <row r="189" spans="1:12" x14ac:dyDescent="0.25">
      <c r="A189">
        <v>25</v>
      </c>
      <c r="B189">
        <v>4</v>
      </c>
      <c r="C189">
        <v>121</v>
      </c>
      <c r="D189">
        <v>115</v>
      </c>
      <c r="E189">
        <v>2671</v>
      </c>
      <c r="F189">
        <v>13.5</v>
      </c>
      <c r="G189">
        <v>75</v>
      </c>
      <c r="H189" t="s">
        <v>1544</v>
      </c>
      <c r="I189" t="s">
        <v>1131</v>
      </c>
      <c r="J189" t="s">
        <v>960</v>
      </c>
      <c r="K189" t="s">
        <v>1132</v>
      </c>
      <c r="L189" t="b">
        <f>Data_Completeness(MileageData[[#This Row],[MPG]:[Acceleration]])</f>
        <v>1</v>
      </c>
    </row>
    <row r="190" spans="1:12" x14ac:dyDescent="0.25">
      <c r="A190">
        <v>33</v>
      </c>
      <c r="B190">
        <v>4</v>
      </c>
      <c r="C190">
        <v>91</v>
      </c>
      <c r="D190">
        <v>53</v>
      </c>
      <c r="E190">
        <v>1795</v>
      </c>
      <c r="F190">
        <v>17.5</v>
      </c>
      <c r="G190">
        <v>75</v>
      </c>
      <c r="H190" t="s">
        <v>1545</v>
      </c>
      <c r="I190" t="s">
        <v>1194</v>
      </c>
      <c r="J190" t="s">
        <v>1159</v>
      </c>
      <c r="K190" t="s">
        <v>1195</v>
      </c>
      <c r="L190" t="b">
        <f>Data_Completeness(MileageData[[#This Row],[MPG]:[Acceleration]])</f>
        <v>1</v>
      </c>
    </row>
    <row r="191" spans="1:12" x14ac:dyDescent="0.25">
      <c r="A191">
        <v>28</v>
      </c>
      <c r="B191">
        <v>4</v>
      </c>
      <c r="C191">
        <v>107</v>
      </c>
      <c r="D191">
        <v>86</v>
      </c>
      <c r="E191">
        <v>2464</v>
      </c>
      <c r="F191">
        <v>15.5</v>
      </c>
      <c r="G191">
        <v>76</v>
      </c>
      <c r="H191" t="s">
        <v>1544</v>
      </c>
      <c r="I191" t="s">
        <v>1196</v>
      </c>
      <c r="J191" t="s">
        <v>1013</v>
      </c>
      <c r="K191">
        <v>131</v>
      </c>
      <c r="L191" t="b">
        <f>Data_Completeness(MileageData[[#This Row],[MPG]:[Acceleration]])</f>
        <v>1</v>
      </c>
    </row>
    <row r="192" spans="1:12" x14ac:dyDescent="0.25">
      <c r="A192">
        <v>25</v>
      </c>
      <c r="B192">
        <v>4</v>
      </c>
      <c r="C192">
        <v>116</v>
      </c>
      <c r="D192">
        <v>81</v>
      </c>
      <c r="E192">
        <v>2220</v>
      </c>
      <c r="F192">
        <v>16.899999999999999</v>
      </c>
      <c r="G192">
        <v>76</v>
      </c>
      <c r="H192" t="s">
        <v>1544</v>
      </c>
      <c r="I192" t="s">
        <v>1009</v>
      </c>
      <c r="J192" t="s">
        <v>1010</v>
      </c>
      <c r="K192">
        <v>1900</v>
      </c>
      <c r="L192" t="b">
        <f>Data_Completeness(MileageData[[#This Row],[MPG]:[Acceleration]])</f>
        <v>1</v>
      </c>
    </row>
    <row r="193" spans="1:12" x14ac:dyDescent="0.25">
      <c r="A193">
        <v>25</v>
      </c>
      <c r="B193">
        <v>4</v>
      </c>
      <c r="C193">
        <v>140</v>
      </c>
      <c r="D193">
        <v>92</v>
      </c>
      <c r="E193">
        <v>2572</v>
      </c>
      <c r="F193">
        <v>14.9</v>
      </c>
      <c r="G193">
        <v>76</v>
      </c>
      <c r="H193" t="s">
        <v>1543</v>
      </c>
      <c r="I193" t="s">
        <v>1197</v>
      </c>
      <c r="J193" t="s">
        <v>1198</v>
      </c>
      <c r="K193" t="s">
        <v>1199</v>
      </c>
      <c r="L193" t="b">
        <f>Data_Completeness(MileageData[[#This Row],[MPG]:[Acceleration]])</f>
        <v>1</v>
      </c>
    </row>
    <row r="194" spans="1:12" x14ac:dyDescent="0.25">
      <c r="A194">
        <v>26</v>
      </c>
      <c r="B194">
        <v>4</v>
      </c>
      <c r="C194">
        <v>98</v>
      </c>
      <c r="D194">
        <v>79</v>
      </c>
      <c r="E194">
        <v>2255</v>
      </c>
      <c r="F194">
        <v>17.7</v>
      </c>
      <c r="G194">
        <v>76</v>
      </c>
      <c r="H194" t="s">
        <v>1543</v>
      </c>
      <c r="I194" t="s">
        <v>1154</v>
      </c>
      <c r="J194" t="s">
        <v>930</v>
      </c>
      <c r="K194" t="s">
        <v>1155</v>
      </c>
      <c r="L194" t="b">
        <f>Data_Completeness(MileageData[[#This Row],[MPG]:[Acceleration]])</f>
        <v>1</v>
      </c>
    </row>
    <row r="195" spans="1:12" x14ac:dyDescent="0.25">
      <c r="A195">
        <v>27</v>
      </c>
      <c r="B195">
        <v>4</v>
      </c>
      <c r="C195">
        <v>101</v>
      </c>
      <c r="D195">
        <v>83</v>
      </c>
      <c r="E195">
        <v>2202</v>
      </c>
      <c r="F195">
        <v>15.3</v>
      </c>
      <c r="G195">
        <v>76</v>
      </c>
      <c r="H195" t="s">
        <v>1544</v>
      </c>
      <c r="I195" t="s">
        <v>1200</v>
      </c>
      <c r="J195" t="s">
        <v>1061</v>
      </c>
      <c r="K195" t="s">
        <v>1201</v>
      </c>
      <c r="L195" t="b">
        <f>Data_Completeness(MileageData[[#This Row],[MPG]:[Acceleration]])</f>
        <v>1</v>
      </c>
    </row>
    <row r="196" spans="1:12" x14ac:dyDescent="0.25">
      <c r="A196">
        <v>17.5</v>
      </c>
      <c r="B196">
        <v>8</v>
      </c>
      <c r="C196">
        <v>305</v>
      </c>
      <c r="D196">
        <v>140</v>
      </c>
      <c r="E196">
        <v>4215</v>
      </c>
      <c r="F196">
        <v>13</v>
      </c>
      <c r="G196">
        <v>76</v>
      </c>
      <c r="H196" t="s">
        <v>1543</v>
      </c>
      <c r="I196" t="s">
        <v>1141</v>
      </c>
      <c r="J196" t="s">
        <v>893</v>
      </c>
      <c r="K196" t="s">
        <v>1142</v>
      </c>
      <c r="L196" t="b">
        <f>Data_Completeness(MileageData[[#This Row],[MPG]:[Acceleration]])</f>
        <v>1</v>
      </c>
    </row>
    <row r="197" spans="1:12" x14ac:dyDescent="0.25">
      <c r="A197">
        <v>16</v>
      </c>
      <c r="B197">
        <v>8</v>
      </c>
      <c r="C197">
        <v>318</v>
      </c>
      <c r="D197">
        <v>150</v>
      </c>
      <c r="E197">
        <v>4190</v>
      </c>
      <c r="F197">
        <v>13</v>
      </c>
      <c r="G197">
        <v>76</v>
      </c>
      <c r="H197" t="s">
        <v>1543</v>
      </c>
      <c r="I197" t="s">
        <v>1202</v>
      </c>
      <c r="J197" t="s">
        <v>930</v>
      </c>
      <c r="K197" t="s">
        <v>1203</v>
      </c>
      <c r="L197" t="b">
        <f>Data_Completeness(MileageData[[#This Row],[MPG]:[Acceleration]])</f>
        <v>1</v>
      </c>
    </row>
    <row r="198" spans="1:12" x14ac:dyDescent="0.25">
      <c r="A198">
        <v>15.5</v>
      </c>
      <c r="B198">
        <v>8</v>
      </c>
      <c r="C198">
        <v>304</v>
      </c>
      <c r="D198">
        <v>120</v>
      </c>
      <c r="E198">
        <v>3962</v>
      </c>
      <c r="F198">
        <v>13.9</v>
      </c>
      <c r="G198">
        <v>76</v>
      </c>
      <c r="H198" t="s">
        <v>1543</v>
      </c>
      <c r="I198" t="s">
        <v>988</v>
      </c>
      <c r="J198" t="s">
        <v>902</v>
      </c>
      <c r="K198" t="s">
        <v>989</v>
      </c>
      <c r="L198" t="b">
        <f>Data_Completeness(MileageData[[#This Row],[MPG]:[Acceleration]])</f>
        <v>1</v>
      </c>
    </row>
    <row r="199" spans="1:12" x14ac:dyDescent="0.25">
      <c r="A199">
        <v>14.5</v>
      </c>
      <c r="B199">
        <v>8</v>
      </c>
      <c r="C199">
        <v>351</v>
      </c>
      <c r="D199">
        <v>152</v>
      </c>
      <c r="E199">
        <v>4215</v>
      </c>
      <c r="F199">
        <v>12.8</v>
      </c>
      <c r="G199">
        <v>76</v>
      </c>
      <c r="H199" t="s">
        <v>1543</v>
      </c>
      <c r="I199" t="s">
        <v>1078</v>
      </c>
      <c r="J199" t="s">
        <v>905</v>
      </c>
      <c r="K199" t="s">
        <v>1079</v>
      </c>
      <c r="L199" t="b">
        <f>Data_Completeness(MileageData[[#This Row],[MPG]:[Acceleration]])</f>
        <v>1</v>
      </c>
    </row>
    <row r="200" spans="1:12" x14ac:dyDescent="0.25">
      <c r="A200">
        <v>22</v>
      </c>
      <c r="B200">
        <v>6</v>
      </c>
      <c r="C200">
        <v>225</v>
      </c>
      <c r="D200">
        <v>100</v>
      </c>
      <c r="E200">
        <v>3233</v>
      </c>
      <c r="F200">
        <v>15.4</v>
      </c>
      <c r="G200">
        <v>76</v>
      </c>
      <c r="H200" t="s">
        <v>1543</v>
      </c>
      <c r="I200" t="s">
        <v>1096</v>
      </c>
      <c r="J200" t="s">
        <v>899</v>
      </c>
      <c r="K200" t="s">
        <v>1097</v>
      </c>
      <c r="L200" t="b">
        <f>Data_Completeness(MileageData[[#This Row],[MPG]:[Acceleration]])</f>
        <v>1</v>
      </c>
    </row>
    <row r="201" spans="1:12" x14ac:dyDescent="0.25">
      <c r="A201">
        <v>22</v>
      </c>
      <c r="B201">
        <v>6</v>
      </c>
      <c r="C201">
        <v>250</v>
      </c>
      <c r="D201">
        <v>105</v>
      </c>
      <c r="E201">
        <v>3353</v>
      </c>
      <c r="F201">
        <v>14.5</v>
      </c>
      <c r="G201">
        <v>76</v>
      </c>
      <c r="H201" t="s">
        <v>1543</v>
      </c>
      <c r="I201" t="s">
        <v>1137</v>
      </c>
      <c r="J201" t="s">
        <v>893</v>
      </c>
      <c r="K201" t="s">
        <v>1138</v>
      </c>
      <c r="L201" t="b">
        <f>Data_Completeness(MileageData[[#This Row],[MPG]:[Acceleration]])</f>
        <v>1</v>
      </c>
    </row>
    <row r="202" spans="1:12" x14ac:dyDescent="0.25">
      <c r="A202">
        <v>24</v>
      </c>
      <c r="B202">
        <v>6</v>
      </c>
      <c r="C202">
        <v>200</v>
      </c>
      <c r="D202">
        <v>81</v>
      </c>
      <c r="E202">
        <v>3012</v>
      </c>
      <c r="F202">
        <v>17.600000000000001</v>
      </c>
      <c r="G202">
        <v>76</v>
      </c>
      <c r="H202" t="s">
        <v>1543</v>
      </c>
      <c r="I202" t="s">
        <v>946</v>
      </c>
      <c r="J202" t="s">
        <v>905</v>
      </c>
      <c r="K202" t="s">
        <v>947</v>
      </c>
      <c r="L202" t="b">
        <f>Data_Completeness(MileageData[[#This Row],[MPG]:[Acceleration]])</f>
        <v>1</v>
      </c>
    </row>
    <row r="203" spans="1:12" x14ac:dyDescent="0.25">
      <c r="A203">
        <v>22.5</v>
      </c>
      <c r="B203">
        <v>6</v>
      </c>
      <c r="C203">
        <v>232</v>
      </c>
      <c r="D203">
        <v>90</v>
      </c>
      <c r="E203">
        <v>3085</v>
      </c>
      <c r="F203">
        <v>17.600000000000001</v>
      </c>
      <c r="G203">
        <v>76</v>
      </c>
      <c r="H203" t="s">
        <v>1543</v>
      </c>
      <c r="I203" t="s">
        <v>944</v>
      </c>
      <c r="J203" t="s">
        <v>902</v>
      </c>
      <c r="K203" t="s">
        <v>945</v>
      </c>
      <c r="L203" t="b">
        <f>Data_Completeness(MileageData[[#This Row],[MPG]:[Acceleration]])</f>
        <v>1</v>
      </c>
    </row>
    <row r="204" spans="1:12" x14ac:dyDescent="0.25">
      <c r="A204">
        <v>29</v>
      </c>
      <c r="B204">
        <v>4</v>
      </c>
      <c r="C204">
        <v>85</v>
      </c>
      <c r="D204">
        <v>52</v>
      </c>
      <c r="E204">
        <v>2035</v>
      </c>
      <c r="F204">
        <v>22.2</v>
      </c>
      <c r="G204">
        <v>76</v>
      </c>
      <c r="H204" t="s">
        <v>1543</v>
      </c>
      <c r="I204" t="s">
        <v>1204</v>
      </c>
      <c r="J204" t="s">
        <v>893</v>
      </c>
      <c r="K204" t="s">
        <v>1205</v>
      </c>
      <c r="L204" t="b">
        <f>Data_Completeness(MileageData[[#This Row],[MPG]:[Acceleration]])</f>
        <v>1</v>
      </c>
    </row>
    <row r="205" spans="1:12" x14ac:dyDescent="0.25">
      <c r="A205">
        <v>24.5</v>
      </c>
      <c r="B205">
        <v>4</v>
      </c>
      <c r="C205">
        <v>98</v>
      </c>
      <c r="D205">
        <v>60</v>
      </c>
      <c r="E205">
        <v>2164</v>
      </c>
      <c r="F205">
        <v>22.1</v>
      </c>
      <c r="G205">
        <v>76</v>
      </c>
      <c r="H205" t="s">
        <v>1543</v>
      </c>
      <c r="I205" t="s">
        <v>1206</v>
      </c>
      <c r="J205" t="s">
        <v>893</v>
      </c>
      <c r="K205" t="s">
        <v>1207</v>
      </c>
      <c r="L205" t="b">
        <f>Data_Completeness(MileageData[[#This Row],[MPG]:[Acceleration]])</f>
        <v>1</v>
      </c>
    </row>
    <row r="206" spans="1:12" x14ac:dyDescent="0.25">
      <c r="A206">
        <v>29</v>
      </c>
      <c r="B206">
        <v>4</v>
      </c>
      <c r="C206">
        <v>90</v>
      </c>
      <c r="D206">
        <v>70</v>
      </c>
      <c r="E206">
        <v>1937</v>
      </c>
      <c r="F206">
        <v>14.2</v>
      </c>
      <c r="G206">
        <v>76</v>
      </c>
      <c r="H206" t="s">
        <v>1544</v>
      </c>
      <c r="I206" t="s">
        <v>1208</v>
      </c>
      <c r="J206" t="s">
        <v>1209</v>
      </c>
      <c r="K206" t="s">
        <v>1189</v>
      </c>
      <c r="L206" t="b">
        <f>Data_Completeness(MileageData[[#This Row],[MPG]:[Acceleration]])</f>
        <v>1</v>
      </c>
    </row>
    <row r="207" spans="1:12" x14ac:dyDescent="0.25">
      <c r="A207">
        <v>33</v>
      </c>
      <c r="B207">
        <v>4</v>
      </c>
      <c r="C207">
        <v>91</v>
      </c>
      <c r="D207">
        <v>53</v>
      </c>
      <c r="E207">
        <v>1795</v>
      </c>
      <c r="F207">
        <v>17.399999999999999</v>
      </c>
      <c r="G207">
        <v>76</v>
      </c>
      <c r="H207" t="s">
        <v>1545</v>
      </c>
      <c r="I207" t="s">
        <v>1158</v>
      </c>
      <c r="J207" t="s">
        <v>1159</v>
      </c>
      <c r="K207" t="s">
        <v>1160</v>
      </c>
      <c r="L207" t="b">
        <f>Data_Completeness(MileageData[[#This Row],[MPG]:[Acceleration]])</f>
        <v>1</v>
      </c>
    </row>
    <row r="208" spans="1:12" x14ac:dyDescent="0.25">
      <c r="A208">
        <v>20</v>
      </c>
      <c r="B208">
        <v>6</v>
      </c>
      <c r="C208">
        <v>225</v>
      </c>
      <c r="D208">
        <v>100</v>
      </c>
      <c r="E208">
        <v>3651</v>
      </c>
      <c r="F208">
        <v>17.7</v>
      </c>
      <c r="G208">
        <v>76</v>
      </c>
      <c r="H208" t="s">
        <v>1543</v>
      </c>
      <c r="I208" t="s">
        <v>1210</v>
      </c>
      <c r="J208" t="s">
        <v>930</v>
      </c>
      <c r="K208" t="s">
        <v>1211</v>
      </c>
      <c r="L208" t="b">
        <f>Data_Completeness(MileageData[[#This Row],[MPG]:[Acceleration]])</f>
        <v>1</v>
      </c>
    </row>
    <row r="209" spans="1:12" x14ac:dyDescent="0.25">
      <c r="A209">
        <v>18</v>
      </c>
      <c r="B209">
        <v>6</v>
      </c>
      <c r="C209">
        <v>250</v>
      </c>
      <c r="D209">
        <v>78</v>
      </c>
      <c r="E209">
        <v>3574</v>
      </c>
      <c r="F209">
        <v>21</v>
      </c>
      <c r="G209">
        <v>76</v>
      </c>
      <c r="H209" t="s">
        <v>1543</v>
      </c>
      <c r="I209" t="s">
        <v>1212</v>
      </c>
      <c r="J209" t="s">
        <v>905</v>
      </c>
      <c r="K209" t="s">
        <v>1213</v>
      </c>
      <c r="L209" t="b">
        <f>Data_Completeness(MileageData[[#This Row],[MPG]:[Acceleration]])</f>
        <v>1</v>
      </c>
    </row>
    <row r="210" spans="1:12" x14ac:dyDescent="0.25">
      <c r="A210">
        <v>18.5</v>
      </c>
      <c r="B210">
        <v>6</v>
      </c>
      <c r="C210">
        <v>250</v>
      </c>
      <c r="D210">
        <v>110</v>
      </c>
      <c r="E210">
        <v>3645</v>
      </c>
      <c r="F210">
        <v>16.2</v>
      </c>
      <c r="G210">
        <v>76</v>
      </c>
      <c r="H210" t="s">
        <v>1543</v>
      </c>
      <c r="I210" t="s">
        <v>1214</v>
      </c>
      <c r="J210" t="s">
        <v>914</v>
      </c>
      <c r="K210" t="s">
        <v>1215</v>
      </c>
      <c r="L210" t="b">
        <f>Data_Completeness(MileageData[[#This Row],[MPG]:[Acceleration]])</f>
        <v>1</v>
      </c>
    </row>
    <row r="211" spans="1:12" x14ac:dyDescent="0.25">
      <c r="A211">
        <v>17.5</v>
      </c>
      <c r="B211">
        <v>6</v>
      </c>
      <c r="C211">
        <v>258</v>
      </c>
      <c r="D211">
        <v>95</v>
      </c>
      <c r="E211">
        <v>3193</v>
      </c>
      <c r="F211">
        <v>17.8</v>
      </c>
      <c r="G211">
        <v>76</v>
      </c>
      <c r="H211" t="s">
        <v>1543</v>
      </c>
      <c r="I211" t="s">
        <v>1216</v>
      </c>
      <c r="J211" t="s">
        <v>902</v>
      </c>
      <c r="K211" t="s">
        <v>1217</v>
      </c>
      <c r="L211" t="b">
        <f>Data_Completeness(MileageData[[#This Row],[MPG]:[Acceleration]])</f>
        <v>1</v>
      </c>
    </row>
    <row r="212" spans="1:12" x14ac:dyDescent="0.25">
      <c r="A212">
        <v>29.5</v>
      </c>
      <c r="B212">
        <v>4</v>
      </c>
      <c r="C212">
        <v>97</v>
      </c>
      <c r="D212">
        <v>71</v>
      </c>
      <c r="E212">
        <v>1825</v>
      </c>
      <c r="F212">
        <v>12.2</v>
      </c>
      <c r="G212">
        <v>76</v>
      </c>
      <c r="H212" t="s">
        <v>1544</v>
      </c>
      <c r="I212" t="s">
        <v>1188</v>
      </c>
      <c r="J212" t="s">
        <v>952</v>
      </c>
      <c r="K212" t="s">
        <v>1189</v>
      </c>
      <c r="L212" t="b">
        <f>Data_Completeness(MileageData[[#This Row],[MPG]:[Acceleration]])</f>
        <v>1</v>
      </c>
    </row>
    <row r="213" spans="1:12" x14ac:dyDescent="0.25">
      <c r="A213">
        <v>32</v>
      </c>
      <c r="B213">
        <v>4</v>
      </c>
      <c r="C213">
        <v>85</v>
      </c>
      <c r="D213">
        <v>70</v>
      </c>
      <c r="E213">
        <v>1990</v>
      </c>
      <c r="F213">
        <v>17</v>
      </c>
      <c r="G213">
        <v>76</v>
      </c>
      <c r="H213" t="s">
        <v>1545</v>
      </c>
      <c r="I213" t="s">
        <v>1218</v>
      </c>
      <c r="J213" t="s">
        <v>949</v>
      </c>
      <c r="K213" t="s">
        <v>1219</v>
      </c>
      <c r="L213" t="b">
        <f>Data_Completeness(MileageData[[#This Row],[MPG]:[Acceleration]])</f>
        <v>1</v>
      </c>
    </row>
    <row r="214" spans="1:12" x14ac:dyDescent="0.25">
      <c r="A214">
        <v>28</v>
      </c>
      <c r="B214">
        <v>4</v>
      </c>
      <c r="C214">
        <v>97</v>
      </c>
      <c r="D214">
        <v>75</v>
      </c>
      <c r="E214">
        <v>2155</v>
      </c>
      <c r="F214">
        <v>16.399999999999999</v>
      </c>
      <c r="G214">
        <v>76</v>
      </c>
      <c r="H214" t="s">
        <v>1545</v>
      </c>
      <c r="I214" t="s">
        <v>1184</v>
      </c>
      <c r="J214" t="s">
        <v>940</v>
      </c>
      <c r="K214" t="s">
        <v>1185</v>
      </c>
      <c r="L214" t="b">
        <f>Data_Completeness(MileageData[[#This Row],[MPG]:[Acceleration]])</f>
        <v>1</v>
      </c>
    </row>
    <row r="215" spans="1:12" x14ac:dyDescent="0.25">
      <c r="A215">
        <v>26.5</v>
      </c>
      <c r="B215">
        <v>4</v>
      </c>
      <c r="C215">
        <v>140</v>
      </c>
      <c r="D215">
        <v>72</v>
      </c>
      <c r="E215">
        <v>2565</v>
      </c>
      <c r="F215">
        <v>13.6</v>
      </c>
      <c r="G215">
        <v>76</v>
      </c>
      <c r="H215" t="s">
        <v>1543</v>
      </c>
      <c r="I215" t="s">
        <v>980</v>
      </c>
      <c r="J215" t="s">
        <v>905</v>
      </c>
      <c r="K215" t="s">
        <v>981</v>
      </c>
      <c r="L215" t="b">
        <f>Data_Completeness(MileageData[[#This Row],[MPG]:[Acceleration]])</f>
        <v>1</v>
      </c>
    </row>
    <row r="216" spans="1:12" x14ac:dyDescent="0.25">
      <c r="A216">
        <v>20</v>
      </c>
      <c r="B216">
        <v>4</v>
      </c>
      <c r="C216">
        <v>130</v>
      </c>
      <c r="D216">
        <v>102</v>
      </c>
      <c r="E216">
        <v>3150</v>
      </c>
      <c r="F216">
        <v>15.7</v>
      </c>
      <c r="G216">
        <v>76</v>
      </c>
      <c r="H216" t="s">
        <v>1544</v>
      </c>
      <c r="I216" t="s">
        <v>1220</v>
      </c>
      <c r="J216" t="s">
        <v>1054</v>
      </c>
      <c r="K216">
        <v>245</v>
      </c>
      <c r="L216" t="b">
        <f>Data_Completeness(MileageData[[#This Row],[MPG]:[Acceleration]])</f>
        <v>1</v>
      </c>
    </row>
    <row r="217" spans="1:12" x14ac:dyDescent="0.25">
      <c r="A217">
        <v>13</v>
      </c>
      <c r="B217">
        <v>8</v>
      </c>
      <c r="C217">
        <v>318</v>
      </c>
      <c r="D217">
        <v>150</v>
      </c>
      <c r="E217">
        <v>3940</v>
      </c>
      <c r="F217">
        <v>13.2</v>
      </c>
      <c r="G217">
        <v>76</v>
      </c>
      <c r="H217" t="s">
        <v>1543</v>
      </c>
      <c r="I217" t="s">
        <v>1221</v>
      </c>
      <c r="J217" t="s">
        <v>899</v>
      </c>
      <c r="K217" t="s">
        <v>1222</v>
      </c>
      <c r="L217" t="b">
        <f>Data_Completeness(MileageData[[#This Row],[MPG]:[Acceleration]])</f>
        <v>1</v>
      </c>
    </row>
    <row r="218" spans="1:12" x14ac:dyDescent="0.25">
      <c r="A218">
        <v>19</v>
      </c>
      <c r="B218">
        <v>4</v>
      </c>
      <c r="C218">
        <v>120</v>
      </c>
      <c r="D218">
        <v>88</v>
      </c>
      <c r="E218">
        <v>3270</v>
      </c>
      <c r="F218">
        <v>21.9</v>
      </c>
      <c r="G218">
        <v>76</v>
      </c>
      <c r="H218" t="s">
        <v>1544</v>
      </c>
      <c r="I218" t="s">
        <v>954</v>
      </c>
      <c r="J218" t="s">
        <v>955</v>
      </c>
      <c r="K218">
        <v>504</v>
      </c>
      <c r="L218" t="b">
        <f>Data_Completeness(MileageData[[#This Row],[MPG]:[Acceleration]])</f>
        <v>1</v>
      </c>
    </row>
    <row r="219" spans="1:12" x14ac:dyDescent="0.25">
      <c r="A219">
        <v>19</v>
      </c>
      <c r="B219">
        <v>6</v>
      </c>
      <c r="C219">
        <v>156</v>
      </c>
      <c r="D219">
        <v>108</v>
      </c>
      <c r="E219">
        <v>2930</v>
      </c>
      <c r="F219">
        <v>15.5</v>
      </c>
      <c r="G219">
        <v>76</v>
      </c>
      <c r="H219" t="s">
        <v>1545</v>
      </c>
      <c r="I219" t="s">
        <v>1133</v>
      </c>
      <c r="J219" t="s">
        <v>940</v>
      </c>
      <c r="K219" t="s">
        <v>1134</v>
      </c>
      <c r="L219" t="b">
        <f>Data_Completeness(MileageData[[#This Row],[MPG]:[Acceleration]])</f>
        <v>1</v>
      </c>
    </row>
    <row r="220" spans="1:12" x14ac:dyDescent="0.25">
      <c r="A220">
        <v>16.5</v>
      </c>
      <c r="B220">
        <v>6</v>
      </c>
      <c r="C220">
        <v>168</v>
      </c>
      <c r="D220">
        <v>120</v>
      </c>
      <c r="E220">
        <v>3820</v>
      </c>
      <c r="F220">
        <v>16.7</v>
      </c>
      <c r="G220">
        <v>76</v>
      </c>
      <c r="H220" t="s">
        <v>1544</v>
      </c>
      <c r="I220" t="s">
        <v>1223</v>
      </c>
      <c r="J220" t="s">
        <v>1224</v>
      </c>
      <c r="K220" t="s">
        <v>1225</v>
      </c>
      <c r="L220" t="b">
        <f>Data_Completeness(MileageData[[#This Row],[MPG]:[Acceleration]])</f>
        <v>1</v>
      </c>
    </row>
    <row r="221" spans="1:12" x14ac:dyDescent="0.25">
      <c r="A221">
        <v>16.5</v>
      </c>
      <c r="B221">
        <v>8</v>
      </c>
      <c r="C221">
        <v>350</v>
      </c>
      <c r="D221">
        <v>180</v>
      </c>
      <c r="E221">
        <v>4380</v>
      </c>
      <c r="F221">
        <v>12.1</v>
      </c>
      <c r="G221">
        <v>76</v>
      </c>
      <c r="H221" t="s">
        <v>1543</v>
      </c>
      <c r="I221" t="s">
        <v>1226</v>
      </c>
      <c r="J221" t="s">
        <v>1227</v>
      </c>
      <c r="K221" t="s">
        <v>1228</v>
      </c>
      <c r="L221" t="b">
        <f>Data_Completeness(MileageData[[#This Row],[MPG]:[Acceleration]])</f>
        <v>1</v>
      </c>
    </row>
    <row r="222" spans="1:12" x14ac:dyDescent="0.25">
      <c r="A222">
        <v>13</v>
      </c>
      <c r="B222">
        <v>8</v>
      </c>
      <c r="C222">
        <v>350</v>
      </c>
      <c r="D222">
        <v>145</v>
      </c>
      <c r="E222">
        <v>4055</v>
      </c>
      <c r="F222">
        <v>12</v>
      </c>
      <c r="G222">
        <v>76</v>
      </c>
      <c r="H222" t="s">
        <v>1543</v>
      </c>
      <c r="I222" t="s">
        <v>1229</v>
      </c>
      <c r="J222" t="s">
        <v>969</v>
      </c>
      <c r="K222" t="s">
        <v>1230</v>
      </c>
      <c r="L222" t="b">
        <f>Data_Completeness(MileageData[[#This Row],[MPG]:[Acceleration]])</f>
        <v>1</v>
      </c>
    </row>
    <row r="223" spans="1:12" x14ac:dyDescent="0.25">
      <c r="A223">
        <v>13</v>
      </c>
      <c r="B223">
        <v>8</v>
      </c>
      <c r="C223">
        <v>302</v>
      </c>
      <c r="D223">
        <v>130</v>
      </c>
      <c r="E223">
        <v>3870</v>
      </c>
      <c r="F223">
        <v>15</v>
      </c>
      <c r="G223">
        <v>76</v>
      </c>
      <c r="H223" t="s">
        <v>1543</v>
      </c>
      <c r="I223" t="s">
        <v>1231</v>
      </c>
      <c r="J223" t="s">
        <v>905</v>
      </c>
      <c r="K223" t="s">
        <v>1232</v>
      </c>
      <c r="L223" t="b">
        <f>Data_Completeness(MileageData[[#This Row],[MPG]:[Acceleration]])</f>
        <v>1</v>
      </c>
    </row>
    <row r="224" spans="1:12" x14ac:dyDescent="0.25">
      <c r="A224">
        <v>13</v>
      </c>
      <c r="B224">
        <v>8</v>
      </c>
      <c r="C224">
        <v>318</v>
      </c>
      <c r="D224">
        <v>150</v>
      </c>
      <c r="E224">
        <v>3755</v>
      </c>
      <c r="F224">
        <v>14</v>
      </c>
      <c r="G224">
        <v>76</v>
      </c>
      <c r="H224" t="s">
        <v>1543</v>
      </c>
      <c r="I224" t="s">
        <v>1233</v>
      </c>
      <c r="J224" t="s">
        <v>930</v>
      </c>
      <c r="K224" t="s">
        <v>1234</v>
      </c>
      <c r="L224" t="b">
        <f>Data_Completeness(MileageData[[#This Row],[MPG]:[Acceleration]])</f>
        <v>1</v>
      </c>
    </row>
    <row r="225" spans="1:12" x14ac:dyDescent="0.25">
      <c r="A225">
        <v>31.5</v>
      </c>
      <c r="B225">
        <v>4</v>
      </c>
      <c r="C225">
        <v>98</v>
      </c>
      <c r="D225">
        <v>68</v>
      </c>
      <c r="E225">
        <v>2045</v>
      </c>
      <c r="F225">
        <v>18.5</v>
      </c>
      <c r="G225">
        <v>77</v>
      </c>
      <c r="H225" t="s">
        <v>1545</v>
      </c>
      <c r="I225" t="s">
        <v>1235</v>
      </c>
      <c r="J225" t="s">
        <v>1159</v>
      </c>
      <c r="K225" t="s">
        <v>1236</v>
      </c>
      <c r="L225" t="b">
        <f>Data_Completeness(MileageData[[#This Row],[MPG]:[Acceleration]])</f>
        <v>1</v>
      </c>
    </row>
    <row r="226" spans="1:12" x14ac:dyDescent="0.25">
      <c r="A226">
        <v>30</v>
      </c>
      <c r="B226">
        <v>4</v>
      </c>
      <c r="C226">
        <v>111</v>
      </c>
      <c r="D226">
        <v>80</v>
      </c>
      <c r="E226">
        <v>2155</v>
      </c>
      <c r="F226">
        <v>14.8</v>
      </c>
      <c r="G226">
        <v>77</v>
      </c>
      <c r="H226" t="s">
        <v>1543</v>
      </c>
      <c r="I226" t="s">
        <v>1237</v>
      </c>
      <c r="J226" t="s">
        <v>896</v>
      </c>
      <c r="K226" t="s">
        <v>1238</v>
      </c>
      <c r="L226" t="b">
        <f>Data_Completeness(MileageData[[#This Row],[MPG]:[Acceleration]])</f>
        <v>1</v>
      </c>
    </row>
    <row r="227" spans="1:12" x14ac:dyDescent="0.25">
      <c r="A227">
        <v>36</v>
      </c>
      <c r="B227">
        <v>4</v>
      </c>
      <c r="C227">
        <v>79</v>
      </c>
      <c r="D227">
        <v>58</v>
      </c>
      <c r="E227">
        <v>1825</v>
      </c>
      <c r="F227">
        <v>18.600000000000001</v>
      </c>
      <c r="G227">
        <v>77</v>
      </c>
      <c r="H227" t="s">
        <v>1544</v>
      </c>
      <c r="I227" t="s">
        <v>1239</v>
      </c>
      <c r="J227" t="s">
        <v>1061</v>
      </c>
      <c r="K227" t="s">
        <v>1240</v>
      </c>
      <c r="L227" t="b">
        <f>Data_Completeness(MileageData[[#This Row],[MPG]:[Acceleration]])</f>
        <v>1</v>
      </c>
    </row>
    <row r="228" spans="1:12" x14ac:dyDescent="0.25">
      <c r="A228">
        <v>25.5</v>
      </c>
      <c r="B228">
        <v>4</v>
      </c>
      <c r="C228">
        <v>122</v>
      </c>
      <c r="D228">
        <v>96</v>
      </c>
      <c r="E228">
        <v>2300</v>
      </c>
      <c r="F228">
        <v>15.5</v>
      </c>
      <c r="G228">
        <v>77</v>
      </c>
      <c r="H228" t="s">
        <v>1543</v>
      </c>
      <c r="I228" t="s">
        <v>1241</v>
      </c>
      <c r="J228" t="s">
        <v>899</v>
      </c>
      <c r="K228" t="s">
        <v>1242</v>
      </c>
      <c r="L228" t="b">
        <f>Data_Completeness(MileageData[[#This Row],[MPG]:[Acceleration]])</f>
        <v>1</v>
      </c>
    </row>
    <row r="229" spans="1:12" x14ac:dyDescent="0.25">
      <c r="A229">
        <v>33.5</v>
      </c>
      <c r="B229">
        <v>4</v>
      </c>
      <c r="C229">
        <v>85</v>
      </c>
      <c r="D229">
        <v>70</v>
      </c>
      <c r="E229">
        <v>1945</v>
      </c>
      <c r="F229">
        <v>16.8</v>
      </c>
      <c r="G229">
        <v>77</v>
      </c>
      <c r="H229" t="s">
        <v>1545</v>
      </c>
      <c r="I229" t="s">
        <v>1243</v>
      </c>
      <c r="J229" t="s">
        <v>949</v>
      </c>
      <c r="K229" t="s">
        <v>1244</v>
      </c>
      <c r="L229" t="b">
        <f>Data_Completeness(MileageData[[#This Row],[MPG]:[Acceleration]])</f>
        <v>1</v>
      </c>
    </row>
    <row r="230" spans="1:12" x14ac:dyDescent="0.25">
      <c r="A230">
        <v>17.5</v>
      </c>
      <c r="B230">
        <v>8</v>
      </c>
      <c r="C230">
        <v>305</v>
      </c>
      <c r="D230">
        <v>145</v>
      </c>
      <c r="E230">
        <v>3880</v>
      </c>
      <c r="F230">
        <v>12.5</v>
      </c>
      <c r="G230">
        <v>77</v>
      </c>
      <c r="H230" t="s">
        <v>1543</v>
      </c>
      <c r="I230" t="s">
        <v>1084</v>
      </c>
      <c r="J230" t="s">
        <v>893</v>
      </c>
      <c r="K230" t="s">
        <v>1085</v>
      </c>
      <c r="L230" t="b">
        <f>Data_Completeness(MileageData[[#This Row],[MPG]:[Acceleration]])</f>
        <v>1</v>
      </c>
    </row>
    <row r="231" spans="1:12" x14ac:dyDescent="0.25">
      <c r="A231">
        <v>17</v>
      </c>
      <c r="B231">
        <v>8</v>
      </c>
      <c r="C231">
        <v>260</v>
      </c>
      <c r="D231">
        <v>110</v>
      </c>
      <c r="E231">
        <v>4060</v>
      </c>
      <c r="F231">
        <v>19</v>
      </c>
      <c r="G231">
        <v>77</v>
      </c>
      <c r="H231" t="s">
        <v>1543</v>
      </c>
      <c r="I231" t="s">
        <v>1245</v>
      </c>
      <c r="J231" t="s">
        <v>1039</v>
      </c>
      <c r="K231" t="s">
        <v>1246</v>
      </c>
      <c r="L231" t="b">
        <f>Data_Completeness(MileageData[[#This Row],[MPG]:[Acceleration]])</f>
        <v>1</v>
      </c>
    </row>
    <row r="232" spans="1:12" x14ac:dyDescent="0.25">
      <c r="A232">
        <v>15.5</v>
      </c>
      <c r="B232">
        <v>8</v>
      </c>
      <c r="C232">
        <v>318</v>
      </c>
      <c r="D232">
        <v>145</v>
      </c>
      <c r="E232">
        <v>4140</v>
      </c>
      <c r="F232">
        <v>13.7</v>
      </c>
      <c r="G232">
        <v>77</v>
      </c>
      <c r="H232" t="s">
        <v>1543</v>
      </c>
      <c r="I232" t="s">
        <v>1247</v>
      </c>
      <c r="J232" t="s">
        <v>930</v>
      </c>
      <c r="K232" t="s">
        <v>1248</v>
      </c>
      <c r="L232" t="b">
        <f>Data_Completeness(MileageData[[#This Row],[MPG]:[Acceleration]])</f>
        <v>1</v>
      </c>
    </row>
    <row r="233" spans="1:12" x14ac:dyDescent="0.25">
      <c r="A233">
        <v>15</v>
      </c>
      <c r="B233">
        <v>8</v>
      </c>
      <c r="C233">
        <v>302</v>
      </c>
      <c r="D233">
        <v>130</v>
      </c>
      <c r="E233">
        <v>4295</v>
      </c>
      <c r="F233">
        <v>14.9</v>
      </c>
      <c r="G233">
        <v>77</v>
      </c>
      <c r="H233" t="s">
        <v>1543</v>
      </c>
      <c r="I233" t="s">
        <v>1249</v>
      </c>
      <c r="J233" t="s">
        <v>1007</v>
      </c>
      <c r="K233" t="s">
        <v>1250</v>
      </c>
      <c r="L233" t="b">
        <f>Data_Completeness(MileageData[[#This Row],[MPG]:[Acceleration]])</f>
        <v>1</v>
      </c>
    </row>
    <row r="234" spans="1:12" x14ac:dyDescent="0.25">
      <c r="A234">
        <v>17.5</v>
      </c>
      <c r="B234">
        <v>6</v>
      </c>
      <c r="C234">
        <v>250</v>
      </c>
      <c r="D234">
        <v>110</v>
      </c>
      <c r="E234">
        <v>3520</v>
      </c>
      <c r="F234">
        <v>16.399999999999999</v>
      </c>
      <c r="G234">
        <v>77</v>
      </c>
      <c r="H234" t="s">
        <v>1543</v>
      </c>
      <c r="I234" t="s">
        <v>1251</v>
      </c>
      <c r="J234" t="s">
        <v>893</v>
      </c>
      <c r="K234" t="s">
        <v>1252</v>
      </c>
      <c r="L234" t="b">
        <f>Data_Completeness(MileageData[[#This Row],[MPG]:[Acceleration]])</f>
        <v>1</v>
      </c>
    </row>
    <row r="235" spans="1:12" x14ac:dyDescent="0.25">
      <c r="A235">
        <v>20.5</v>
      </c>
      <c r="B235">
        <v>6</v>
      </c>
      <c r="C235">
        <v>231</v>
      </c>
      <c r="D235">
        <v>105</v>
      </c>
      <c r="E235">
        <v>3425</v>
      </c>
      <c r="F235">
        <v>16.899999999999999</v>
      </c>
      <c r="G235">
        <v>77</v>
      </c>
      <c r="H235" t="s">
        <v>1543</v>
      </c>
      <c r="I235" t="s">
        <v>1253</v>
      </c>
      <c r="J235" t="s">
        <v>896</v>
      </c>
      <c r="K235" t="s">
        <v>1254</v>
      </c>
      <c r="L235" t="b">
        <f>Data_Completeness(MileageData[[#This Row],[MPG]:[Acceleration]])</f>
        <v>1</v>
      </c>
    </row>
    <row r="236" spans="1:12" x14ac:dyDescent="0.25">
      <c r="A236">
        <v>19</v>
      </c>
      <c r="B236">
        <v>6</v>
      </c>
      <c r="C236">
        <v>225</v>
      </c>
      <c r="D236">
        <v>100</v>
      </c>
      <c r="E236">
        <v>3630</v>
      </c>
      <c r="F236">
        <v>17.7</v>
      </c>
      <c r="G236">
        <v>77</v>
      </c>
      <c r="H236" t="s">
        <v>1543</v>
      </c>
      <c r="I236" t="s">
        <v>1255</v>
      </c>
      <c r="J236" t="s">
        <v>899</v>
      </c>
      <c r="K236" t="s">
        <v>1256</v>
      </c>
      <c r="L236" t="b">
        <f>Data_Completeness(MileageData[[#This Row],[MPG]:[Acceleration]])</f>
        <v>1</v>
      </c>
    </row>
    <row r="237" spans="1:12" x14ac:dyDescent="0.25">
      <c r="A237">
        <v>18.5</v>
      </c>
      <c r="B237">
        <v>6</v>
      </c>
      <c r="C237">
        <v>250</v>
      </c>
      <c r="D237">
        <v>98</v>
      </c>
      <c r="E237">
        <v>3525</v>
      </c>
      <c r="F237">
        <v>19</v>
      </c>
      <c r="G237">
        <v>77</v>
      </c>
      <c r="H237" t="s">
        <v>1543</v>
      </c>
      <c r="I237" t="s">
        <v>1257</v>
      </c>
      <c r="J237" t="s">
        <v>905</v>
      </c>
      <c r="K237" t="s">
        <v>1258</v>
      </c>
      <c r="L237" t="b">
        <f>Data_Completeness(MileageData[[#This Row],[MPG]:[Acceleration]])</f>
        <v>1</v>
      </c>
    </row>
    <row r="238" spans="1:12" x14ac:dyDescent="0.25">
      <c r="A238">
        <v>16</v>
      </c>
      <c r="B238">
        <v>8</v>
      </c>
      <c r="C238">
        <v>400</v>
      </c>
      <c r="D238">
        <v>180</v>
      </c>
      <c r="E238">
        <v>4220</v>
      </c>
      <c r="F238">
        <v>11.1</v>
      </c>
      <c r="G238">
        <v>77</v>
      </c>
      <c r="H238" t="s">
        <v>1543</v>
      </c>
      <c r="I238" t="s">
        <v>1259</v>
      </c>
      <c r="J238" t="s">
        <v>914</v>
      </c>
      <c r="K238" t="s">
        <v>1260</v>
      </c>
      <c r="L238" t="b">
        <f>Data_Completeness(MileageData[[#This Row],[MPG]:[Acceleration]])</f>
        <v>1</v>
      </c>
    </row>
    <row r="239" spans="1:12" x14ac:dyDescent="0.25">
      <c r="A239">
        <v>15.5</v>
      </c>
      <c r="B239">
        <v>8</v>
      </c>
      <c r="C239">
        <v>350</v>
      </c>
      <c r="D239">
        <v>170</v>
      </c>
      <c r="E239">
        <v>4165</v>
      </c>
      <c r="F239">
        <v>11.4</v>
      </c>
      <c r="G239">
        <v>77</v>
      </c>
      <c r="H239" t="s">
        <v>1543</v>
      </c>
      <c r="I239" t="s">
        <v>1261</v>
      </c>
      <c r="J239" t="s">
        <v>893</v>
      </c>
      <c r="K239" t="s">
        <v>1262</v>
      </c>
      <c r="L239" t="b">
        <f>Data_Completeness(MileageData[[#This Row],[MPG]:[Acceleration]])</f>
        <v>1</v>
      </c>
    </row>
    <row r="240" spans="1:12" x14ac:dyDescent="0.25">
      <c r="A240">
        <v>15.5</v>
      </c>
      <c r="B240">
        <v>8</v>
      </c>
      <c r="C240">
        <v>400</v>
      </c>
      <c r="D240">
        <v>190</v>
      </c>
      <c r="E240">
        <v>4325</v>
      </c>
      <c r="F240">
        <v>12.2</v>
      </c>
      <c r="G240">
        <v>77</v>
      </c>
      <c r="H240" t="s">
        <v>1543</v>
      </c>
      <c r="I240" t="s">
        <v>1263</v>
      </c>
      <c r="J240" t="s">
        <v>1042</v>
      </c>
      <c r="K240" t="s">
        <v>1264</v>
      </c>
      <c r="L240" t="b">
        <f>Data_Completeness(MileageData[[#This Row],[MPG]:[Acceleration]])</f>
        <v>1</v>
      </c>
    </row>
    <row r="241" spans="1:12" x14ac:dyDescent="0.25">
      <c r="A241">
        <v>16</v>
      </c>
      <c r="B241">
        <v>8</v>
      </c>
      <c r="C241">
        <v>351</v>
      </c>
      <c r="D241">
        <v>149</v>
      </c>
      <c r="E241">
        <v>4335</v>
      </c>
      <c r="F241">
        <v>14.5</v>
      </c>
      <c r="G241">
        <v>77</v>
      </c>
      <c r="H241" t="s">
        <v>1543</v>
      </c>
      <c r="I241" t="s">
        <v>1265</v>
      </c>
      <c r="J241" t="s">
        <v>905</v>
      </c>
      <c r="K241" t="s">
        <v>1266</v>
      </c>
      <c r="L241" t="b">
        <f>Data_Completeness(MileageData[[#This Row],[MPG]:[Acceleration]])</f>
        <v>1</v>
      </c>
    </row>
    <row r="242" spans="1:12" x14ac:dyDescent="0.25">
      <c r="A242">
        <v>29</v>
      </c>
      <c r="B242">
        <v>4</v>
      </c>
      <c r="C242">
        <v>97</v>
      </c>
      <c r="D242">
        <v>78</v>
      </c>
      <c r="E242">
        <v>1940</v>
      </c>
      <c r="F242">
        <v>14.5</v>
      </c>
      <c r="G242">
        <v>77</v>
      </c>
      <c r="H242" t="s">
        <v>1544</v>
      </c>
      <c r="I242" t="s">
        <v>1267</v>
      </c>
      <c r="J242" t="s">
        <v>952</v>
      </c>
      <c r="K242" t="s">
        <v>1268</v>
      </c>
      <c r="L242" t="b">
        <f>Data_Completeness(MileageData[[#This Row],[MPG]:[Acceleration]])</f>
        <v>1</v>
      </c>
    </row>
    <row r="243" spans="1:12" x14ac:dyDescent="0.25">
      <c r="A243">
        <v>24.5</v>
      </c>
      <c r="B243">
        <v>4</v>
      </c>
      <c r="C243">
        <v>151</v>
      </c>
      <c r="D243">
        <v>88</v>
      </c>
      <c r="E243">
        <v>2740</v>
      </c>
      <c r="F243">
        <v>16</v>
      </c>
      <c r="G243">
        <v>77</v>
      </c>
      <c r="H243" t="s">
        <v>1543</v>
      </c>
      <c r="I243" t="s">
        <v>1269</v>
      </c>
      <c r="J243" t="s">
        <v>914</v>
      </c>
      <c r="K243" t="s">
        <v>1270</v>
      </c>
      <c r="L243" t="b">
        <f>Data_Completeness(MileageData[[#This Row],[MPG]:[Acceleration]])</f>
        <v>1</v>
      </c>
    </row>
    <row r="244" spans="1:12" x14ac:dyDescent="0.25">
      <c r="A244">
        <v>26</v>
      </c>
      <c r="B244">
        <v>4</v>
      </c>
      <c r="C244">
        <v>97</v>
      </c>
      <c r="D244">
        <v>75</v>
      </c>
      <c r="E244">
        <v>2265</v>
      </c>
      <c r="F244">
        <v>18.2</v>
      </c>
      <c r="G244">
        <v>77</v>
      </c>
      <c r="H244" t="s">
        <v>1545</v>
      </c>
      <c r="I244" t="s">
        <v>1271</v>
      </c>
      <c r="J244" t="s">
        <v>940</v>
      </c>
      <c r="K244" t="s">
        <v>1272</v>
      </c>
      <c r="L244" t="b">
        <f>Data_Completeness(MileageData[[#This Row],[MPG]:[Acceleration]])</f>
        <v>1</v>
      </c>
    </row>
    <row r="245" spans="1:12" x14ac:dyDescent="0.25">
      <c r="A245">
        <v>25.5</v>
      </c>
      <c r="B245">
        <v>4</v>
      </c>
      <c r="C245">
        <v>140</v>
      </c>
      <c r="D245">
        <v>89</v>
      </c>
      <c r="E245">
        <v>2755</v>
      </c>
      <c r="F245">
        <v>15.8</v>
      </c>
      <c r="G245">
        <v>77</v>
      </c>
      <c r="H245" t="s">
        <v>1543</v>
      </c>
      <c r="I245" t="s">
        <v>1273</v>
      </c>
      <c r="J245" t="s">
        <v>905</v>
      </c>
      <c r="K245" t="s">
        <v>1274</v>
      </c>
      <c r="L245" t="b">
        <f>Data_Completeness(MileageData[[#This Row],[MPG]:[Acceleration]])</f>
        <v>1</v>
      </c>
    </row>
    <row r="246" spans="1:12" x14ac:dyDescent="0.25">
      <c r="A246">
        <v>30.5</v>
      </c>
      <c r="B246">
        <v>4</v>
      </c>
      <c r="C246">
        <v>98</v>
      </c>
      <c r="D246">
        <v>63</v>
      </c>
      <c r="E246">
        <v>2051</v>
      </c>
      <c r="F246">
        <v>17</v>
      </c>
      <c r="G246">
        <v>77</v>
      </c>
      <c r="H246" t="s">
        <v>1543</v>
      </c>
      <c r="I246" t="s">
        <v>1204</v>
      </c>
      <c r="J246" t="s">
        <v>893</v>
      </c>
      <c r="K246" t="s">
        <v>1205</v>
      </c>
      <c r="L246" t="b">
        <f>Data_Completeness(MileageData[[#This Row],[MPG]:[Acceleration]])</f>
        <v>1</v>
      </c>
    </row>
    <row r="247" spans="1:12" x14ac:dyDescent="0.25">
      <c r="A247">
        <v>33.5</v>
      </c>
      <c r="B247">
        <v>4</v>
      </c>
      <c r="C247">
        <v>98</v>
      </c>
      <c r="D247">
        <v>83</v>
      </c>
      <c r="E247">
        <v>2075</v>
      </c>
      <c r="F247">
        <v>15.9</v>
      </c>
      <c r="G247">
        <v>77</v>
      </c>
      <c r="H247" t="s">
        <v>1543</v>
      </c>
      <c r="I247" t="s">
        <v>1275</v>
      </c>
      <c r="J247" t="s">
        <v>930</v>
      </c>
      <c r="K247" t="s">
        <v>1276</v>
      </c>
      <c r="L247" t="b">
        <f>Data_Completeness(MileageData[[#This Row],[MPG]:[Acceleration]])</f>
        <v>1</v>
      </c>
    </row>
    <row r="248" spans="1:12" x14ac:dyDescent="0.25">
      <c r="A248">
        <v>30</v>
      </c>
      <c r="B248">
        <v>4</v>
      </c>
      <c r="C248">
        <v>97</v>
      </c>
      <c r="D248">
        <v>67</v>
      </c>
      <c r="E248">
        <v>1985</v>
      </c>
      <c r="F248">
        <v>16.399999999999999</v>
      </c>
      <c r="G248">
        <v>77</v>
      </c>
      <c r="H248" t="s">
        <v>1545</v>
      </c>
      <c r="I248" t="s">
        <v>1277</v>
      </c>
      <c r="J248" t="s">
        <v>1161</v>
      </c>
      <c r="K248" t="s">
        <v>1278</v>
      </c>
      <c r="L248" t="b">
        <f>Data_Completeness(MileageData[[#This Row],[MPG]:[Acceleration]])</f>
        <v>1</v>
      </c>
    </row>
    <row r="249" spans="1:12" x14ac:dyDescent="0.25">
      <c r="A249">
        <v>30.5</v>
      </c>
      <c r="B249">
        <v>4</v>
      </c>
      <c r="C249">
        <v>97</v>
      </c>
      <c r="D249">
        <v>78</v>
      </c>
      <c r="E249">
        <v>2190</v>
      </c>
      <c r="F249">
        <v>14.1</v>
      </c>
      <c r="G249">
        <v>77</v>
      </c>
      <c r="H249" t="s">
        <v>1544</v>
      </c>
      <c r="I249" t="s">
        <v>1151</v>
      </c>
      <c r="J249" t="s">
        <v>952</v>
      </c>
      <c r="K249" t="s">
        <v>1152</v>
      </c>
      <c r="L249" t="b">
        <f>Data_Completeness(MileageData[[#This Row],[MPG]:[Acceleration]])</f>
        <v>1</v>
      </c>
    </row>
    <row r="250" spans="1:12" x14ac:dyDescent="0.25">
      <c r="A250">
        <v>22</v>
      </c>
      <c r="B250">
        <v>6</v>
      </c>
      <c r="C250">
        <v>146</v>
      </c>
      <c r="D250">
        <v>97</v>
      </c>
      <c r="E250">
        <v>2815</v>
      </c>
      <c r="F250">
        <v>14.5</v>
      </c>
      <c r="G250">
        <v>77</v>
      </c>
      <c r="H250" t="s">
        <v>1545</v>
      </c>
      <c r="I250" t="s">
        <v>1279</v>
      </c>
      <c r="J250" t="s">
        <v>949</v>
      </c>
      <c r="K250">
        <v>810</v>
      </c>
      <c r="L250" t="b">
        <f>Data_Completeness(MileageData[[#This Row],[MPG]:[Acceleration]])</f>
        <v>1</v>
      </c>
    </row>
    <row r="251" spans="1:12" x14ac:dyDescent="0.25">
      <c r="A251">
        <v>21.5</v>
      </c>
      <c r="B251">
        <v>4</v>
      </c>
      <c r="C251">
        <v>121</v>
      </c>
      <c r="D251">
        <v>110</v>
      </c>
      <c r="E251">
        <v>2600</v>
      </c>
      <c r="F251">
        <v>12.8</v>
      </c>
      <c r="G251">
        <v>77</v>
      </c>
      <c r="H251" t="s">
        <v>1544</v>
      </c>
      <c r="I251" t="s">
        <v>1280</v>
      </c>
      <c r="J251" t="s">
        <v>963</v>
      </c>
      <c r="K251" t="s">
        <v>1281</v>
      </c>
      <c r="L251" t="b">
        <f>Data_Completeness(MileageData[[#This Row],[MPG]:[Acceleration]])</f>
        <v>1</v>
      </c>
    </row>
    <row r="252" spans="1:12" x14ac:dyDescent="0.25">
      <c r="A252">
        <v>21.5</v>
      </c>
      <c r="B252">
        <v>3</v>
      </c>
      <c r="C252">
        <v>80</v>
      </c>
      <c r="D252">
        <v>110</v>
      </c>
      <c r="E252">
        <v>2720</v>
      </c>
      <c r="F252">
        <v>13.5</v>
      </c>
      <c r="G252">
        <v>77</v>
      </c>
      <c r="H252" t="s">
        <v>1545</v>
      </c>
      <c r="I252" t="s">
        <v>1282</v>
      </c>
      <c r="J252" t="s">
        <v>1045</v>
      </c>
      <c r="K252" t="s">
        <v>1283</v>
      </c>
      <c r="L252" t="b">
        <f>Data_Completeness(MileageData[[#This Row],[MPG]:[Acceleration]])</f>
        <v>1</v>
      </c>
    </row>
    <row r="253" spans="1:12" x14ac:dyDescent="0.25">
      <c r="A253">
        <v>43.1</v>
      </c>
      <c r="B253">
        <v>4</v>
      </c>
      <c r="C253">
        <v>90</v>
      </c>
      <c r="D253">
        <v>48</v>
      </c>
      <c r="E253">
        <v>1985</v>
      </c>
      <c r="F253">
        <v>21.5</v>
      </c>
      <c r="G253">
        <v>78</v>
      </c>
      <c r="H253" t="s">
        <v>1544</v>
      </c>
      <c r="I253" t="s">
        <v>1284</v>
      </c>
      <c r="J253" t="s">
        <v>952</v>
      </c>
      <c r="K253" t="s">
        <v>1285</v>
      </c>
      <c r="L253" t="b">
        <f>Data_Completeness(MileageData[[#This Row],[MPG]:[Acceleration]])</f>
        <v>1</v>
      </c>
    </row>
    <row r="254" spans="1:12" x14ac:dyDescent="0.25">
      <c r="A254">
        <v>36.1</v>
      </c>
      <c r="B254">
        <v>4</v>
      </c>
      <c r="C254">
        <v>98</v>
      </c>
      <c r="D254">
        <v>66</v>
      </c>
      <c r="E254">
        <v>1800</v>
      </c>
      <c r="F254">
        <v>14.4</v>
      </c>
      <c r="G254">
        <v>78</v>
      </c>
      <c r="H254" t="s">
        <v>1543</v>
      </c>
      <c r="I254" t="s">
        <v>1286</v>
      </c>
      <c r="J254" t="s">
        <v>905</v>
      </c>
      <c r="K254" t="s">
        <v>1287</v>
      </c>
      <c r="L254" t="b">
        <f>Data_Completeness(MileageData[[#This Row],[MPG]:[Acceleration]])</f>
        <v>1</v>
      </c>
    </row>
    <row r="255" spans="1:12" x14ac:dyDescent="0.25">
      <c r="A255">
        <v>32.799999999999997</v>
      </c>
      <c r="B255">
        <v>4</v>
      </c>
      <c r="C255">
        <v>78</v>
      </c>
      <c r="D255">
        <v>52</v>
      </c>
      <c r="E255">
        <v>1985</v>
      </c>
      <c r="F255">
        <v>19.399999999999999</v>
      </c>
      <c r="G255">
        <v>78</v>
      </c>
      <c r="H255" t="s">
        <v>1545</v>
      </c>
      <c r="I255" t="s">
        <v>1288</v>
      </c>
      <c r="J255" t="s">
        <v>1045</v>
      </c>
      <c r="K255" t="s">
        <v>1289</v>
      </c>
      <c r="L255" t="b">
        <f>Data_Completeness(MileageData[[#This Row],[MPG]:[Acceleration]])</f>
        <v>1</v>
      </c>
    </row>
    <row r="256" spans="1:12" x14ac:dyDescent="0.25">
      <c r="A256">
        <v>39.4</v>
      </c>
      <c r="B256">
        <v>4</v>
      </c>
      <c r="C256">
        <v>85</v>
      </c>
      <c r="D256">
        <v>70</v>
      </c>
      <c r="E256">
        <v>2070</v>
      </c>
      <c r="F256">
        <v>18.600000000000001</v>
      </c>
      <c r="G256">
        <v>78</v>
      </c>
      <c r="H256" t="s">
        <v>1545</v>
      </c>
      <c r="I256" t="s">
        <v>1290</v>
      </c>
      <c r="J256" t="s">
        <v>949</v>
      </c>
      <c r="K256" t="s">
        <v>1291</v>
      </c>
      <c r="L256" t="b">
        <f>Data_Completeness(MileageData[[#This Row],[MPG]:[Acceleration]])</f>
        <v>1</v>
      </c>
    </row>
    <row r="257" spans="1:12" x14ac:dyDescent="0.25">
      <c r="A257">
        <v>36.1</v>
      </c>
      <c r="B257">
        <v>4</v>
      </c>
      <c r="C257">
        <v>91</v>
      </c>
      <c r="D257">
        <v>60</v>
      </c>
      <c r="E257">
        <v>1800</v>
      </c>
      <c r="F257">
        <v>16.399999999999999</v>
      </c>
      <c r="G257">
        <v>78</v>
      </c>
      <c r="H257" t="s">
        <v>1545</v>
      </c>
      <c r="I257" t="s">
        <v>1194</v>
      </c>
      <c r="J257" t="s">
        <v>1159</v>
      </c>
      <c r="K257" t="s">
        <v>1195</v>
      </c>
      <c r="L257" t="b">
        <f>Data_Completeness(MileageData[[#This Row],[MPG]:[Acceleration]])</f>
        <v>1</v>
      </c>
    </row>
    <row r="258" spans="1:12" x14ac:dyDescent="0.25">
      <c r="A258">
        <v>19.899999999999999</v>
      </c>
      <c r="B258">
        <v>8</v>
      </c>
      <c r="C258">
        <v>260</v>
      </c>
      <c r="D258">
        <v>110</v>
      </c>
      <c r="E258">
        <v>3365</v>
      </c>
      <c r="F258">
        <v>15.5</v>
      </c>
      <c r="G258">
        <v>78</v>
      </c>
      <c r="H258" t="s">
        <v>1543</v>
      </c>
      <c r="I258" t="s">
        <v>1292</v>
      </c>
      <c r="J258" t="s">
        <v>1039</v>
      </c>
      <c r="K258" t="s">
        <v>1293</v>
      </c>
      <c r="L258" t="b">
        <f>Data_Completeness(MileageData[[#This Row],[MPG]:[Acceleration]])</f>
        <v>1</v>
      </c>
    </row>
    <row r="259" spans="1:12" x14ac:dyDescent="0.25">
      <c r="A259">
        <v>19.399999999999999</v>
      </c>
      <c r="B259">
        <v>8</v>
      </c>
      <c r="C259">
        <v>318</v>
      </c>
      <c r="D259">
        <v>140</v>
      </c>
      <c r="E259">
        <v>3735</v>
      </c>
      <c r="F259">
        <v>13.2</v>
      </c>
      <c r="G259">
        <v>78</v>
      </c>
      <c r="H259" t="s">
        <v>1543</v>
      </c>
      <c r="I259" t="s">
        <v>1294</v>
      </c>
      <c r="J259" t="s">
        <v>930</v>
      </c>
      <c r="K259" t="s">
        <v>1295</v>
      </c>
      <c r="L259" t="b">
        <f>Data_Completeness(MileageData[[#This Row],[MPG]:[Acceleration]])</f>
        <v>1</v>
      </c>
    </row>
    <row r="260" spans="1:12" x14ac:dyDescent="0.25">
      <c r="A260">
        <v>20.2</v>
      </c>
      <c r="B260">
        <v>8</v>
      </c>
      <c r="C260">
        <v>302</v>
      </c>
      <c r="D260">
        <v>139</v>
      </c>
      <c r="E260">
        <v>3570</v>
      </c>
      <c r="F260">
        <v>12.8</v>
      </c>
      <c r="G260">
        <v>78</v>
      </c>
      <c r="H260" t="s">
        <v>1543</v>
      </c>
      <c r="I260" t="s">
        <v>1296</v>
      </c>
      <c r="J260" t="s">
        <v>1007</v>
      </c>
      <c r="K260" t="s">
        <v>1297</v>
      </c>
      <c r="L260" t="b">
        <f>Data_Completeness(MileageData[[#This Row],[MPG]:[Acceleration]])</f>
        <v>1</v>
      </c>
    </row>
    <row r="261" spans="1:12" x14ac:dyDescent="0.25">
      <c r="A261">
        <v>19.2</v>
      </c>
      <c r="B261">
        <v>6</v>
      </c>
      <c r="C261">
        <v>231</v>
      </c>
      <c r="D261">
        <v>105</v>
      </c>
      <c r="E261">
        <v>3535</v>
      </c>
      <c r="F261">
        <v>19.2</v>
      </c>
      <c r="G261">
        <v>78</v>
      </c>
      <c r="H261" t="s">
        <v>1543</v>
      </c>
      <c r="I261" t="s">
        <v>1298</v>
      </c>
      <c r="J261" t="s">
        <v>914</v>
      </c>
      <c r="K261" t="s">
        <v>1299</v>
      </c>
      <c r="L261" t="b">
        <f>Data_Completeness(MileageData[[#This Row],[MPG]:[Acceleration]])</f>
        <v>1</v>
      </c>
    </row>
    <row r="262" spans="1:12" x14ac:dyDescent="0.25">
      <c r="A262">
        <v>20.5</v>
      </c>
      <c r="B262">
        <v>6</v>
      </c>
      <c r="C262">
        <v>200</v>
      </c>
      <c r="D262">
        <v>95</v>
      </c>
      <c r="E262">
        <v>3155</v>
      </c>
      <c r="F262">
        <v>18.2</v>
      </c>
      <c r="G262">
        <v>78</v>
      </c>
      <c r="H262" t="s">
        <v>1543</v>
      </c>
      <c r="I262" t="s">
        <v>1076</v>
      </c>
      <c r="J262" t="s">
        <v>893</v>
      </c>
      <c r="K262" t="s">
        <v>1077</v>
      </c>
      <c r="L262" t="b">
        <f>Data_Completeness(MileageData[[#This Row],[MPG]:[Acceleration]])</f>
        <v>1</v>
      </c>
    </row>
    <row r="263" spans="1:12" x14ac:dyDescent="0.25">
      <c r="A263">
        <v>20.2</v>
      </c>
      <c r="B263">
        <v>6</v>
      </c>
      <c r="C263">
        <v>200</v>
      </c>
      <c r="D263">
        <v>85</v>
      </c>
      <c r="E263">
        <v>2965</v>
      </c>
      <c r="F263">
        <v>15.8</v>
      </c>
      <c r="G263">
        <v>78</v>
      </c>
      <c r="H263" t="s">
        <v>1543</v>
      </c>
      <c r="I263" t="s">
        <v>1300</v>
      </c>
      <c r="J263" t="s">
        <v>905</v>
      </c>
      <c r="K263" t="s">
        <v>1301</v>
      </c>
      <c r="L263" t="b">
        <f>Data_Completeness(MileageData[[#This Row],[MPG]:[Acceleration]])</f>
        <v>1</v>
      </c>
    </row>
    <row r="264" spans="1:12" x14ac:dyDescent="0.25">
      <c r="A264">
        <v>25.1</v>
      </c>
      <c r="B264">
        <v>4</v>
      </c>
      <c r="C264">
        <v>140</v>
      </c>
      <c r="D264">
        <v>88</v>
      </c>
      <c r="E264">
        <v>2720</v>
      </c>
      <c r="F264">
        <v>15.4</v>
      </c>
      <c r="G264">
        <v>78</v>
      </c>
      <c r="H264" t="s">
        <v>1543</v>
      </c>
      <c r="I264" t="s">
        <v>1302</v>
      </c>
      <c r="J264" t="s">
        <v>905</v>
      </c>
      <c r="K264" t="s">
        <v>1303</v>
      </c>
      <c r="L264" t="b">
        <f>Data_Completeness(MileageData[[#This Row],[MPG]:[Acceleration]])</f>
        <v>1</v>
      </c>
    </row>
    <row r="265" spans="1:12" x14ac:dyDescent="0.25">
      <c r="A265">
        <v>20.5</v>
      </c>
      <c r="B265">
        <v>6</v>
      </c>
      <c r="C265">
        <v>225</v>
      </c>
      <c r="D265">
        <v>100</v>
      </c>
      <c r="E265">
        <v>3430</v>
      </c>
      <c r="F265">
        <v>17.2</v>
      </c>
      <c r="G265">
        <v>78</v>
      </c>
      <c r="H265" t="s">
        <v>1543</v>
      </c>
      <c r="I265" t="s">
        <v>1304</v>
      </c>
      <c r="J265" t="s">
        <v>899</v>
      </c>
      <c r="K265" t="s">
        <v>1305</v>
      </c>
      <c r="L265" t="b">
        <f>Data_Completeness(MileageData[[#This Row],[MPG]:[Acceleration]])</f>
        <v>1</v>
      </c>
    </row>
    <row r="266" spans="1:12" x14ac:dyDescent="0.25">
      <c r="A266">
        <v>19.399999999999999</v>
      </c>
      <c r="B266">
        <v>6</v>
      </c>
      <c r="C266">
        <v>232</v>
      </c>
      <c r="D266">
        <v>90</v>
      </c>
      <c r="E266">
        <v>3210</v>
      </c>
      <c r="F266">
        <v>17.2</v>
      </c>
      <c r="G266">
        <v>78</v>
      </c>
      <c r="H266" t="s">
        <v>1543</v>
      </c>
      <c r="I266" t="s">
        <v>1306</v>
      </c>
      <c r="J266" t="s">
        <v>902</v>
      </c>
      <c r="K266" t="s">
        <v>1307</v>
      </c>
      <c r="L266" t="b">
        <f>Data_Completeness(MileageData[[#This Row],[MPG]:[Acceleration]])</f>
        <v>1</v>
      </c>
    </row>
    <row r="267" spans="1:12" x14ac:dyDescent="0.25">
      <c r="A267">
        <v>20.6</v>
      </c>
      <c r="B267">
        <v>6</v>
      </c>
      <c r="C267">
        <v>231</v>
      </c>
      <c r="D267">
        <v>105</v>
      </c>
      <c r="E267">
        <v>3380</v>
      </c>
      <c r="F267">
        <v>15.8</v>
      </c>
      <c r="G267">
        <v>78</v>
      </c>
      <c r="H267" t="s">
        <v>1543</v>
      </c>
      <c r="I267" t="s">
        <v>1308</v>
      </c>
      <c r="J267" t="s">
        <v>896</v>
      </c>
      <c r="K267" t="s">
        <v>1309</v>
      </c>
      <c r="L267" t="b">
        <f>Data_Completeness(MileageData[[#This Row],[MPG]:[Acceleration]])</f>
        <v>1</v>
      </c>
    </row>
    <row r="268" spans="1:12" x14ac:dyDescent="0.25">
      <c r="A268">
        <v>20.8</v>
      </c>
      <c r="B268">
        <v>6</v>
      </c>
      <c r="C268">
        <v>200</v>
      </c>
      <c r="D268">
        <v>85</v>
      </c>
      <c r="E268">
        <v>3070</v>
      </c>
      <c r="F268">
        <v>16.7</v>
      </c>
      <c r="G268">
        <v>78</v>
      </c>
      <c r="H268" t="s">
        <v>1543</v>
      </c>
      <c r="I268" t="s">
        <v>1310</v>
      </c>
      <c r="J268" t="s">
        <v>1007</v>
      </c>
      <c r="K268" t="s">
        <v>1311</v>
      </c>
      <c r="L268" t="b">
        <f>Data_Completeness(MileageData[[#This Row],[MPG]:[Acceleration]])</f>
        <v>1</v>
      </c>
    </row>
    <row r="269" spans="1:12" x14ac:dyDescent="0.25">
      <c r="A269">
        <v>18.600000000000001</v>
      </c>
      <c r="B269">
        <v>6</v>
      </c>
      <c r="C269">
        <v>225</v>
      </c>
      <c r="D269">
        <v>110</v>
      </c>
      <c r="E269">
        <v>3620</v>
      </c>
      <c r="F269">
        <v>18.7</v>
      </c>
      <c r="G269">
        <v>78</v>
      </c>
      <c r="H269" t="s">
        <v>1543</v>
      </c>
      <c r="I269" t="s">
        <v>1312</v>
      </c>
      <c r="J269" t="s">
        <v>930</v>
      </c>
      <c r="K269" t="s">
        <v>1313</v>
      </c>
      <c r="L269" t="b">
        <f>Data_Completeness(MileageData[[#This Row],[MPG]:[Acceleration]])</f>
        <v>1</v>
      </c>
    </row>
    <row r="270" spans="1:12" x14ac:dyDescent="0.25">
      <c r="A270">
        <v>18.100000000000001</v>
      </c>
      <c r="B270">
        <v>6</v>
      </c>
      <c r="C270">
        <v>258</v>
      </c>
      <c r="D270">
        <v>120</v>
      </c>
      <c r="E270">
        <v>3410</v>
      </c>
      <c r="F270">
        <v>15.1</v>
      </c>
      <c r="G270">
        <v>78</v>
      </c>
      <c r="H270" t="s">
        <v>1543</v>
      </c>
      <c r="I270" t="s">
        <v>1314</v>
      </c>
      <c r="J270" t="s">
        <v>902</v>
      </c>
      <c r="K270" t="s">
        <v>1315</v>
      </c>
      <c r="L270" t="b">
        <f>Data_Completeness(MileageData[[#This Row],[MPG]:[Acceleration]])</f>
        <v>1</v>
      </c>
    </row>
    <row r="271" spans="1:12" x14ac:dyDescent="0.25">
      <c r="A271">
        <v>19.2</v>
      </c>
      <c r="B271">
        <v>8</v>
      </c>
      <c r="C271">
        <v>305</v>
      </c>
      <c r="D271">
        <v>145</v>
      </c>
      <c r="E271">
        <v>3425</v>
      </c>
      <c r="F271">
        <v>13.2</v>
      </c>
      <c r="G271">
        <v>78</v>
      </c>
      <c r="H271" t="s">
        <v>1543</v>
      </c>
      <c r="I271" t="s">
        <v>1261</v>
      </c>
      <c r="J271" t="s">
        <v>893</v>
      </c>
      <c r="K271" t="s">
        <v>1262</v>
      </c>
      <c r="L271" t="b">
        <f>Data_Completeness(MileageData[[#This Row],[MPG]:[Acceleration]])</f>
        <v>1</v>
      </c>
    </row>
    <row r="272" spans="1:12" x14ac:dyDescent="0.25">
      <c r="A272">
        <v>17.7</v>
      </c>
      <c r="B272">
        <v>6</v>
      </c>
      <c r="C272">
        <v>231</v>
      </c>
      <c r="D272">
        <v>165</v>
      </c>
      <c r="E272">
        <v>3445</v>
      </c>
      <c r="F272">
        <v>13.4</v>
      </c>
      <c r="G272">
        <v>78</v>
      </c>
      <c r="H272" t="s">
        <v>1543</v>
      </c>
      <c r="I272" t="s">
        <v>1316</v>
      </c>
      <c r="J272" t="s">
        <v>896</v>
      </c>
      <c r="K272" t="s">
        <v>1317</v>
      </c>
      <c r="L272" t="b">
        <f>Data_Completeness(MileageData[[#This Row],[MPG]:[Acceleration]])</f>
        <v>1</v>
      </c>
    </row>
    <row r="273" spans="1:12" x14ac:dyDescent="0.25">
      <c r="A273">
        <v>18.100000000000001</v>
      </c>
      <c r="B273">
        <v>8</v>
      </c>
      <c r="C273">
        <v>302</v>
      </c>
      <c r="D273">
        <v>139</v>
      </c>
      <c r="E273">
        <v>3205</v>
      </c>
      <c r="F273">
        <v>11.2</v>
      </c>
      <c r="G273">
        <v>78</v>
      </c>
      <c r="H273" t="s">
        <v>1543</v>
      </c>
      <c r="I273" t="s">
        <v>1318</v>
      </c>
      <c r="J273" t="s">
        <v>905</v>
      </c>
      <c r="K273" t="s">
        <v>1319</v>
      </c>
      <c r="L273" t="b">
        <f>Data_Completeness(MileageData[[#This Row],[MPG]:[Acceleration]])</f>
        <v>1</v>
      </c>
    </row>
    <row r="274" spans="1:12" x14ac:dyDescent="0.25">
      <c r="A274">
        <v>17.5</v>
      </c>
      <c r="B274">
        <v>8</v>
      </c>
      <c r="C274">
        <v>318</v>
      </c>
      <c r="D274">
        <v>140</v>
      </c>
      <c r="E274">
        <v>4080</v>
      </c>
      <c r="F274">
        <v>13.7</v>
      </c>
      <c r="G274">
        <v>78</v>
      </c>
      <c r="H274" t="s">
        <v>1543</v>
      </c>
      <c r="I274" t="s">
        <v>1320</v>
      </c>
      <c r="J274" t="s">
        <v>930</v>
      </c>
      <c r="K274" t="s">
        <v>1321</v>
      </c>
      <c r="L274" t="b">
        <f>Data_Completeness(MileageData[[#This Row],[MPG]:[Acceleration]])</f>
        <v>1</v>
      </c>
    </row>
    <row r="275" spans="1:12" x14ac:dyDescent="0.25">
      <c r="A275">
        <v>30</v>
      </c>
      <c r="B275">
        <v>4</v>
      </c>
      <c r="C275">
        <v>98</v>
      </c>
      <c r="D275">
        <v>68</v>
      </c>
      <c r="E275">
        <v>2155</v>
      </c>
      <c r="F275">
        <v>16.5</v>
      </c>
      <c r="G275">
        <v>78</v>
      </c>
      <c r="H275" t="s">
        <v>1543</v>
      </c>
      <c r="I275" t="s">
        <v>1204</v>
      </c>
      <c r="J275" t="s">
        <v>893</v>
      </c>
      <c r="K275" t="s">
        <v>1205</v>
      </c>
      <c r="L275" t="b">
        <f>Data_Completeness(MileageData[[#This Row],[MPG]:[Acceleration]])</f>
        <v>1</v>
      </c>
    </row>
    <row r="276" spans="1:12" x14ac:dyDescent="0.25">
      <c r="A276">
        <v>27.5</v>
      </c>
      <c r="B276">
        <v>4</v>
      </c>
      <c r="C276">
        <v>134</v>
      </c>
      <c r="D276">
        <v>95</v>
      </c>
      <c r="E276">
        <v>2560</v>
      </c>
      <c r="F276">
        <v>14.2</v>
      </c>
      <c r="G276">
        <v>78</v>
      </c>
      <c r="H276" t="s">
        <v>1545</v>
      </c>
      <c r="I276" t="s">
        <v>978</v>
      </c>
      <c r="J276" t="s">
        <v>940</v>
      </c>
      <c r="K276" t="s">
        <v>979</v>
      </c>
      <c r="L276" t="b">
        <f>Data_Completeness(MileageData[[#This Row],[MPG]:[Acceleration]])</f>
        <v>1</v>
      </c>
    </row>
    <row r="277" spans="1:12" x14ac:dyDescent="0.25">
      <c r="A277">
        <v>27.2</v>
      </c>
      <c r="B277">
        <v>4</v>
      </c>
      <c r="C277">
        <v>119</v>
      </c>
      <c r="D277">
        <v>97</v>
      </c>
      <c r="E277">
        <v>2300</v>
      </c>
      <c r="F277">
        <v>14.7</v>
      </c>
      <c r="G277">
        <v>78</v>
      </c>
      <c r="H277" t="s">
        <v>1545</v>
      </c>
      <c r="I277" t="s">
        <v>1322</v>
      </c>
      <c r="J277" t="s">
        <v>949</v>
      </c>
      <c r="K277">
        <v>510</v>
      </c>
      <c r="L277" t="b">
        <f>Data_Completeness(MileageData[[#This Row],[MPG]:[Acceleration]])</f>
        <v>1</v>
      </c>
    </row>
    <row r="278" spans="1:12" x14ac:dyDescent="0.25">
      <c r="A278">
        <v>30.9</v>
      </c>
      <c r="B278">
        <v>4</v>
      </c>
      <c r="C278">
        <v>105</v>
      </c>
      <c r="D278">
        <v>75</v>
      </c>
      <c r="E278">
        <v>2230</v>
      </c>
      <c r="F278">
        <v>14.5</v>
      </c>
      <c r="G278">
        <v>78</v>
      </c>
      <c r="H278" t="s">
        <v>1543</v>
      </c>
      <c r="I278" t="s">
        <v>1323</v>
      </c>
      <c r="J278" t="s">
        <v>930</v>
      </c>
      <c r="K278" t="s">
        <v>1324</v>
      </c>
      <c r="L278" t="b">
        <f>Data_Completeness(MileageData[[#This Row],[MPG]:[Acceleration]])</f>
        <v>1</v>
      </c>
    </row>
    <row r="279" spans="1:12" x14ac:dyDescent="0.25">
      <c r="A279">
        <v>21.1</v>
      </c>
      <c r="B279">
        <v>4</v>
      </c>
      <c r="C279">
        <v>134</v>
      </c>
      <c r="D279">
        <v>95</v>
      </c>
      <c r="E279">
        <v>2515</v>
      </c>
      <c r="F279">
        <v>14.8</v>
      </c>
      <c r="G279">
        <v>78</v>
      </c>
      <c r="H279" t="s">
        <v>1545</v>
      </c>
      <c r="I279" t="s">
        <v>1325</v>
      </c>
      <c r="J279" t="s">
        <v>940</v>
      </c>
      <c r="K279" t="s">
        <v>1326</v>
      </c>
      <c r="L279" t="b">
        <f>Data_Completeness(MileageData[[#This Row],[MPG]:[Acceleration]])</f>
        <v>1</v>
      </c>
    </row>
    <row r="280" spans="1:12" x14ac:dyDescent="0.25">
      <c r="A280">
        <v>23.2</v>
      </c>
      <c r="B280">
        <v>4</v>
      </c>
      <c r="C280">
        <v>156</v>
      </c>
      <c r="D280">
        <v>105</v>
      </c>
      <c r="E280">
        <v>2745</v>
      </c>
      <c r="F280">
        <v>16.7</v>
      </c>
      <c r="G280">
        <v>78</v>
      </c>
      <c r="H280" t="s">
        <v>1543</v>
      </c>
      <c r="I280" t="s">
        <v>1327</v>
      </c>
      <c r="J280" t="s">
        <v>899</v>
      </c>
      <c r="K280" t="s">
        <v>1328</v>
      </c>
      <c r="L280" t="b">
        <f>Data_Completeness(MileageData[[#This Row],[MPG]:[Acceleration]])</f>
        <v>1</v>
      </c>
    </row>
    <row r="281" spans="1:12" x14ac:dyDescent="0.25">
      <c r="A281">
        <v>23.8</v>
      </c>
      <c r="B281">
        <v>4</v>
      </c>
      <c r="C281">
        <v>151</v>
      </c>
      <c r="D281">
        <v>85</v>
      </c>
      <c r="E281">
        <v>2855</v>
      </c>
      <c r="F281">
        <v>17.600000000000001</v>
      </c>
      <c r="G281">
        <v>78</v>
      </c>
      <c r="H281" t="s">
        <v>1543</v>
      </c>
      <c r="I281" t="s">
        <v>1329</v>
      </c>
      <c r="J281" t="s">
        <v>1039</v>
      </c>
      <c r="K281" t="s">
        <v>1330</v>
      </c>
      <c r="L281" t="b">
        <f>Data_Completeness(MileageData[[#This Row],[MPG]:[Acceleration]])</f>
        <v>1</v>
      </c>
    </row>
    <row r="282" spans="1:12" x14ac:dyDescent="0.25">
      <c r="A282">
        <v>23.9</v>
      </c>
      <c r="B282">
        <v>4</v>
      </c>
      <c r="C282">
        <v>119</v>
      </c>
      <c r="D282">
        <v>97</v>
      </c>
      <c r="E282">
        <v>2405</v>
      </c>
      <c r="F282">
        <v>14.9</v>
      </c>
      <c r="G282">
        <v>78</v>
      </c>
      <c r="H282" t="s">
        <v>1545</v>
      </c>
      <c r="I282" t="s">
        <v>1331</v>
      </c>
      <c r="J282" t="s">
        <v>949</v>
      </c>
      <c r="K282" t="s">
        <v>1332</v>
      </c>
      <c r="L282" t="b">
        <f>Data_Completeness(MileageData[[#This Row],[MPG]:[Acceleration]])</f>
        <v>1</v>
      </c>
    </row>
    <row r="283" spans="1:12" x14ac:dyDescent="0.25">
      <c r="A283">
        <v>20.3</v>
      </c>
      <c r="B283">
        <v>5</v>
      </c>
      <c r="C283">
        <v>131</v>
      </c>
      <c r="D283">
        <v>103</v>
      </c>
      <c r="E283">
        <v>2830</v>
      </c>
      <c r="F283">
        <v>15.9</v>
      </c>
      <c r="G283">
        <v>78</v>
      </c>
      <c r="H283" t="s">
        <v>1544</v>
      </c>
      <c r="I283" t="s">
        <v>1333</v>
      </c>
      <c r="J283" t="s">
        <v>957</v>
      </c>
      <c r="K283">
        <v>5000</v>
      </c>
      <c r="L283" t="b">
        <f>Data_Completeness(MileageData[[#This Row],[MPG]:[Acceleration]])</f>
        <v>1</v>
      </c>
    </row>
    <row r="284" spans="1:12" x14ac:dyDescent="0.25">
      <c r="A284">
        <v>17</v>
      </c>
      <c r="B284">
        <v>6</v>
      </c>
      <c r="C284">
        <v>163</v>
      </c>
      <c r="D284">
        <v>125</v>
      </c>
      <c r="E284">
        <v>3140</v>
      </c>
      <c r="F284">
        <v>13.6</v>
      </c>
      <c r="G284">
        <v>78</v>
      </c>
      <c r="H284" t="s">
        <v>1544</v>
      </c>
      <c r="I284" t="s">
        <v>1334</v>
      </c>
      <c r="J284" t="s">
        <v>1054</v>
      </c>
      <c r="K284" t="s">
        <v>1335</v>
      </c>
      <c r="L284" t="b">
        <f>Data_Completeness(MileageData[[#This Row],[MPG]:[Acceleration]])</f>
        <v>1</v>
      </c>
    </row>
    <row r="285" spans="1:12" x14ac:dyDescent="0.25">
      <c r="A285">
        <v>21.6</v>
      </c>
      <c r="B285">
        <v>4</v>
      </c>
      <c r="C285">
        <v>121</v>
      </c>
      <c r="D285">
        <v>115</v>
      </c>
      <c r="E285">
        <v>2795</v>
      </c>
      <c r="F285">
        <v>15.7</v>
      </c>
      <c r="G285">
        <v>78</v>
      </c>
      <c r="H285" t="s">
        <v>1544</v>
      </c>
      <c r="I285" t="s">
        <v>1336</v>
      </c>
      <c r="J285" t="s">
        <v>960</v>
      </c>
      <c r="K285" t="s">
        <v>1337</v>
      </c>
      <c r="L285" t="b">
        <f>Data_Completeness(MileageData[[#This Row],[MPG]:[Acceleration]])</f>
        <v>1</v>
      </c>
    </row>
    <row r="286" spans="1:12" x14ac:dyDescent="0.25">
      <c r="A286">
        <v>16.2</v>
      </c>
      <c r="B286">
        <v>6</v>
      </c>
      <c r="C286">
        <v>163</v>
      </c>
      <c r="D286">
        <v>133</v>
      </c>
      <c r="E286">
        <v>3410</v>
      </c>
      <c r="F286">
        <v>15.8</v>
      </c>
      <c r="G286">
        <v>78</v>
      </c>
      <c r="H286" t="s">
        <v>1544</v>
      </c>
      <c r="I286" t="s">
        <v>1338</v>
      </c>
      <c r="J286" t="s">
        <v>955</v>
      </c>
      <c r="K286" t="s">
        <v>1339</v>
      </c>
      <c r="L286" t="b">
        <f>Data_Completeness(MileageData[[#This Row],[MPG]:[Acceleration]])</f>
        <v>1</v>
      </c>
    </row>
    <row r="287" spans="1:12" x14ac:dyDescent="0.25">
      <c r="A287">
        <v>31.5</v>
      </c>
      <c r="B287">
        <v>4</v>
      </c>
      <c r="C287">
        <v>89</v>
      </c>
      <c r="D287">
        <v>71</v>
      </c>
      <c r="E287">
        <v>1990</v>
      </c>
      <c r="F287">
        <v>14.9</v>
      </c>
      <c r="G287">
        <v>78</v>
      </c>
      <c r="H287" t="s">
        <v>1544</v>
      </c>
      <c r="I287" t="s">
        <v>1340</v>
      </c>
      <c r="J287" t="s">
        <v>952</v>
      </c>
      <c r="K287" t="s">
        <v>1341</v>
      </c>
      <c r="L287" t="b">
        <f>Data_Completeness(MileageData[[#This Row],[MPG]:[Acceleration]])</f>
        <v>1</v>
      </c>
    </row>
    <row r="288" spans="1:12" x14ac:dyDescent="0.25">
      <c r="A288">
        <v>29.5</v>
      </c>
      <c r="B288">
        <v>4</v>
      </c>
      <c r="C288">
        <v>98</v>
      </c>
      <c r="D288">
        <v>68</v>
      </c>
      <c r="E288">
        <v>2135</v>
      </c>
      <c r="F288">
        <v>16.600000000000001</v>
      </c>
      <c r="G288">
        <v>78</v>
      </c>
      <c r="H288" t="s">
        <v>1545</v>
      </c>
      <c r="I288" t="s">
        <v>1342</v>
      </c>
      <c r="J288" t="s">
        <v>1159</v>
      </c>
      <c r="K288" t="s">
        <v>1343</v>
      </c>
      <c r="L288" t="b">
        <f>Data_Completeness(MileageData[[#This Row],[MPG]:[Acceleration]])</f>
        <v>1</v>
      </c>
    </row>
    <row r="289" spans="1:12" x14ac:dyDescent="0.25">
      <c r="A289">
        <v>21.5</v>
      </c>
      <c r="B289">
        <v>6</v>
      </c>
      <c r="C289">
        <v>231</v>
      </c>
      <c r="D289">
        <v>115</v>
      </c>
      <c r="E289">
        <v>3245</v>
      </c>
      <c r="F289">
        <v>15.4</v>
      </c>
      <c r="G289">
        <v>79</v>
      </c>
      <c r="H289" t="s">
        <v>1543</v>
      </c>
      <c r="I289" t="s">
        <v>1344</v>
      </c>
      <c r="J289" t="s">
        <v>914</v>
      </c>
      <c r="K289" t="s">
        <v>1345</v>
      </c>
      <c r="L289" t="b">
        <f>Data_Completeness(MileageData[[#This Row],[MPG]:[Acceleration]])</f>
        <v>1</v>
      </c>
    </row>
    <row r="290" spans="1:12" x14ac:dyDescent="0.25">
      <c r="A290">
        <v>19.8</v>
      </c>
      <c r="B290">
        <v>6</v>
      </c>
      <c r="C290">
        <v>200</v>
      </c>
      <c r="D290">
        <v>85</v>
      </c>
      <c r="E290">
        <v>2990</v>
      </c>
      <c r="F290">
        <v>18.2</v>
      </c>
      <c r="G290">
        <v>79</v>
      </c>
      <c r="H290" t="s">
        <v>1543</v>
      </c>
      <c r="I290" t="s">
        <v>1346</v>
      </c>
      <c r="J290" t="s">
        <v>1007</v>
      </c>
      <c r="K290" t="s">
        <v>1347</v>
      </c>
      <c r="L290" t="b">
        <f>Data_Completeness(MileageData[[#This Row],[MPG]:[Acceleration]])</f>
        <v>1</v>
      </c>
    </row>
    <row r="291" spans="1:12" x14ac:dyDescent="0.25">
      <c r="A291">
        <v>22.3</v>
      </c>
      <c r="B291">
        <v>4</v>
      </c>
      <c r="C291">
        <v>140</v>
      </c>
      <c r="D291">
        <v>88</v>
      </c>
      <c r="E291">
        <v>2890</v>
      </c>
      <c r="F291">
        <v>17.3</v>
      </c>
      <c r="G291">
        <v>79</v>
      </c>
      <c r="H291" t="s">
        <v>1543</v>
      </c>
      <c r="I291" t="s">
        <v>1348</v>
      </c>
      <c r="J291" t="s">
        <v>905</v>
      </c>
      <c r="K291" t="s">
        <v>1349</v>
      </c>
      <c r="L291" t="b">
        <f>Data_Completeness(MileageData[[#This Row],[MPG]:[Acceleration]])</f>
        <v>1</v>
      </c>
    </row>
    <row r="292" spans="1:12" x14ac:dyDescent="0.25">
      <c r="A292">
        <v>20.2</v>
      </c>
      <c r="B292">
        <v>6</v>
      </c>
      <c r="C292">
        <v>232</v>
      </c>
      <c r="D292">
        <v>90</v>
      </c>
      <c r="E292">
        <v>3265</v>
      </c>
      <c r="F292">
        <v>18.2</v>
      </c>
      <c r="G292">
        <v>79</v>
      </c>
      <c r="H292" t="s">
        <v>1543</v>
      </c>
      <c r="I292" t="s">
        <v>1350</v>
      </c>
      <c r="J292" t="s">
        <v>902</v>
      </c>
      <c r="K292" t="s">
        <v>1351</v>
      </c>
      <c r="L292" t="b">
        <f>Data_Completeness(MileageData[[#This Row],[MPG]:[Acceleration]])</f>
        <v>1</v>
      </c>
    </row>
    <row r="293" spans="1:12" x14ac:dyDescent="0.25">
      <c r="A293">
        <v>20.6</v>
      </c>
      <c r="B293">
        <v>6</v>
      </c>
      <c r="C293">
        <v>225</v>
      </c>
      <c r="D293">
        <v>110</v>
      </c>
      <c r="E293">
        <v>3360</v>
      </c>
      <c r="F293">
        <v>16.600000000000001</v>
      </c>
      <c r="G293">
        <v>79</v>
      </c>
      <c r="H293" t="s">
        <v>1543</v>
      </c>
      <c r="I293" t="s">
        <v>1352</v>
      </c>
      <c r="J293" t="s">
        <v>930</v>
      </c>
      <c r="K293" t="s">
        <v>1353</v>
      </c>
      <c r="L293" t="b">
        <f>Data_Completeness(MileageData[[#This Row],[MPG]:[Acceleration]])</f>
        <v>1</v>
      </c>
    </row>
    <row r="294" spans="1:12" x14ac:dyDescent="0.25">
      <c r="A294">
        <v>17</v>
      </c>
      <c r="B294">
        <v>8</v>
      </c>
      <c r="C294">
        <v>305</v>
      </c>
      <c r="D294">
        <v>130</v>
      </c>
      <c r="E294">
        <v>3840</v>
      </c>
      <c r="F294">
        <v>15.4</v>
      </c>
      <c r="G294">
        <v>79</v>
      </c>
      <c r="H294" t="s">
        <v>1543</v>
      </c>
      <c r="I294" t="s">
        <v>1084</v>
      </c>
      <c r="J294" t="s">
        <v>893</v>
      </c>
      <c r="K294" t="s">
        <v>1085</v>
      </c>
      <c r="L294" t="b">
        <f>Data_Completeness(MileageData[[#This Row],[MPG]:[Acceleration]])</f>
        <v>1</v>
      </c>
    </row>
    <row r="295" spans="1:12" x14ac:dyDescent="0.25">
      <c r="A295">
        <v>17.600000000000001</v>
      </c>
      <c r="B295">
        <v>8</v>
      </c>
      <c r="C295">
        <v>302</v>
      </c>
      <c r="D295">
        <v>129</v>
      </c>
      <c r="E295">
        <v>3725</v>
      </c>
      <c r="F295">
        <v>13.4</v>
      </c>
      <c r="G295">
        <v>79</v>
      </c>
      <c r="H295" t="s">
        <v>1543</v>
      </c>
      <c r="I295" t="s">
        <v>1354</v>
      </c>
      <c r="J295" t="s">
        <v>905</v>
      </c>
      <c r="K295" t="s">
        <v>1355</v>
      </c>
      <c r="L295" t="b">
        <f>Data_Completeness(MileageData[[#This Row],[MPG]:[Acceleration]])</f>
        <v>1</v>
      </c>
    </row>
    <row r="296" spans="1:12" x14ac:dyDescent="0.25">
      <c r="A296">
        <v>16.5</v>
      </c>
      <c r="B296">
        <v>8</v>
      </c>
      <c r="C296">
        <v>351</v>
      </c>
      <c r="D296">
        <v>138</v>
      </c>
      <c r="E296">
        <v>3955</v>
      </c>
      <c r="F296">
        <v>13.2</v>
      </c>
      <c r="G296">
        <v>79</v>
      </c>
      <c r="H296" t="s">
        <v>1543</v>
      </c>
      <c r="I296" t="s">
        <v>1356</v>
      </c>
      <c r="J296" t="s">
        <v>1007</v>
      </c>
      <c r="K296" t="s">
        <v>1357</v>
      </c>
      <c r="L296" t="b">
        <f>Data_Completeness(MileageData[[#This Row],[MPG]:[Acceleration]])</f>
        <v>1</v>
      </c>
    </row>
    <row r="297" spans="1:12" x14ac:dyDescent="0.25">
      <c r="A297">
        <v>18.2</v>
      </c>
      <c r="B297">
        <v>8</v>
      </c>
      <c r="C297">
        <v>318</v>
      </c>
      <c r="D297">
        <v>135</v>
      </c>
      <c r="E297">
        <v>3830</v>
      </c>
      <c r="F297">
        <v>15.2</v>
      </c>
      <c r="G297">
        <v>79</v>
      </c>
      <c r="H297" t="s">
        <v>1543</v>
      </c>
      <c r="I297" t="s">
        <v>1358</v>
      </c>
      <c r="J297" t="s">
        <v>930</v>
      </c>
      <c r="K297" t="s">
        <v>1359</v>
      </c>
      <c r="L297" t="b">
        <f>Data_Completeness(MileageData[[#This Row],[MPG]:[Acceleration]])</f>
        <v>1</v>
      </c>
    </row>
    <row r="298" spans="1:12" x14ac:dyDescent="0.25">
      <c r="A298">
        <v>16.899999999999999</v>
      </c>
      <c r="B298">
        <v>8</v>
      </c>
      <c r="C298">
        <v>350</v>
      </c>
      <c r="D298">
        <v>155</v>
      </c>
      <c r="E298">
        <v>4360</v>
      </c>
      <c r="F298">
        <v>14.9</v>
      </c>
      <c r="G298">
        <v>79</v>
      </c>
      <c r="H298" t="s">
        <v>1543</v>
      </c>
      <c r="I298" t="s">
        <v>937</v>
      </c>
      <c r="J298" t="s">
        <v>896</v>
      </c>
      <c r="K298" t="s">
        <v>938</v>
      </c>
      <c r="L298" t="b">
        <f>Data_Completeness(MileageData[[#This Row],[MPG]:[Acceleration]])</f>
        <v>1</v>
      </c>
    </row>
    <row r="299" spans="1:12" x14ac:dyDescent="0.25">
      <c r="A299">
        <v>15.5</v>
      </c>
      <c r="B299">
        <v>8</v>
      </c>
      <c r="C299">
        <v>351</v>
      </c>
      <c r="D299">
        <v>142</v>
      </c>
      <c r="E299">
        <v>4054</v>
      </c>
      <c r="F299">
        <v>14.3</v>
      </c>
      <c r="G299">
        <v>79</v>
      </c>
      <c r="H299" t="s">
        <v>1543</v>
      </c>
      <c r="I299" t="s">
        <v>994</v>
      </c>
      <c r="J299" t="s">
        <v>905</v>
      </c>
      <c r="K299" t="s">
        <v>995</v>
      </c>
      <c r="L299" t="b">
        <f>Data_Completeness(MileageData[[#This Row],[MPG]:[Acceleration]])</f>
        <v>1</v>
      </c>
    </row>
    <row r="300" spans="1:12" x14ac:dyDescent="0.25">
      <c r="A300">
        <v>19.2</v>
      </c>
      <c r="B300">
        <v>8</v>
      </c>
      <c r="C300">
        <v>267</v>
      </c>
      <c r="D300">
        <v>125</v>
      </c>
      <c r="E300">
        <v>3605</v>
      </c>
      <c r="F300">
        <v>15</v>
      </c>
      <c r="G300">
        <v>79</v>
      </c>
      <c r="H300" t="s">
        <v>1543</v>
      </c>
      <c r="I300" t="s">
        <v>1360</v>
      </c>
      <c r="J300" t="s">
        <v>893</v>
      </c>
      <c r="K300" t="s">
        <v>1361</v>
      </c>
      <c r="L300" t="b">
        <f>Data_Completeness(MileageData[[#This Row],[MPG]:[Acceleration]])</f>
        <v>1</v>
      </c>
    </row>
    <row r="301" spans="1:12" x14ac:dyDescent="0.25">
      <c r="A301">
        <v>18.5</v>
      </c>
      <c r="B301">
        <v>8</v>
      </c>
      <c r="C301">
        <v>360</v>
      </c>
      <c r="D301">
        <v>150</v>
      </c>
      <c r="E301">
        <v>3940</v>
      </c>
      <c r="F301">
        <v>13</v>
      </c>
      <c r="G301">
        <v>79</v>
      </c>
      <c r="H301" t="s">
        <v>1543</v>
      </c>
      <c r="I301" t="s">
        <v>1362</v>
      </c>
      <c r="J301" t="s">
        <v>1042</v>
      </c>
      <c r="K301" t="s">
        <v>1363</v>
      </c>
      <c r="L301" t="b">
        <f>Data_Completeness(MileageData[[#This Row],[MPG]:[Acceleration]])</f>
        <v>1</v>
      </c>
    </row>
    <row r="302" spans="1:12" x14ac:dyDescent="0.25">
      <c r="A302">
        <v>31.9</v>
      </c>
      <c r="B302">
        <v>4</v>
      </c>
      <c r="C302">
        <v>89</v>
      </c>
      <c r="D302">
        <v>71</v>
      </c>
      <c r="E302">
        <v>1925</v>
      </c>
      <c r="F302">
        <v>14</v>
      </c>
      <c r="G302">
        <v>79</v>
      </c>
      <c r="H302" t="s">
        <v>1544</v>
      </c>
      <c r="I302" t="s">
        <v>1364</v>
      </c>
      <c r="J302" t="s">
        <v>1209</v>
      </c>
      <c r="K302" t="s">
        <v>1268</v>
      </c>
      <c r="L302" t="b">
        <f>Data_Completeness(MileageData[[#This Row],[MPG]:[Acceleration]])</f>
        <v>1</v>
      </c>
    </row>
    <row r="303" spans="1:12" x14ac:dyDescent="0.25">
      <c r="A303">
        <v>34.1</v>
      </c>
      <c r="B303">
        <v>4</v>
      </c>
      <c r="C303">
        <v>86</v>
      </c>
      <c r="D303">
        <v>65</v>
      </c>
      <c r="E303">
        <v>1975</v>
      </c>
      <c r="F303">
        <v>15.2</v>
      </c>
      <c r="G303">
        <v>79</v>
      </c>
      <c r="H303" t="s">
        <v>1545</v>
      </c>
      <c r="I303" t="s">
        <v>1365</v>
      </c>
      <c r="J303" t="s">
        <v>1112</v>
      </c>
      <c r="K303" t="s">
        <v>1289</v>
      </c>
      <c r="L303" t="b">
        <f>Data_Completeness(MileageData[[#This Row],[MPG]:[Acceleration]])</f>
        <v>1</v>
      </c>
    </row>
    <row r="304" spans="1:12" x14ac:dyDescent="0.25">
      <c r="A304">
        <v>35.700000000000003</v>
      </c>
      <c r="B304">
        <v>4</v>
      </c>
      <c r="C304">
        <v>98</v>
      </c>
      <c r="D304">
        <v>80</v>
      </c>
      <c r="E304">
        <v>1915</v>
      </c>
      <c r="F304">
        <v>14.4</v>
      </c>
      <c r="G304">
        <v>79</v>
      </c>
      <c r="H304" t="s">
        <v>1543</v>
      </c>
      <c r="I304" t="s">
        <v>1366</v>
      </c>
      <c r="J304" t="s">
        <v>930</v>
      </c>
      <c r="K304" t="s">
        <v>1367</v>
      </c>
      <c r="L304" t="b">
        <f>Data_Completeness(MileageData[[#This Row],[MPG]:[Acceleration]])</f>
        <v>1</v>
      </c>
    </row>
    <row r="305" spans="1:12" x14ac:dyDescent="0.25">
      <c r="A305">
        <v>27.4</v>
      </c>
      <c r="B305">
        <v>4</v>
      </c>
      <c r="C305">
        <v>121</v>
      </c>
      <c r="D305">
        <v>80</v>
      </c>
      <c r="E305">
        <v>2670</v>
      </c>
      <c r="F305">
        <v>15</v>
      </c>
      <c r="G305">
        <v>79</v>
      </c>
      <c r="H305" t="s">
        <v>1543</v>
      </c>
      <c r="I305" t="s">
        <v>1368</v>
      </c>
      <c r="J305" t="s">
        <v>902</v>
      </c>
      <c r="K305" t="s">
        <v>1369</v>
      </c>
      <c r="L305" t="b">
        <f>Data_Completeness(MileageData[[#This Row],[MPG]:[Acceleration]])</f>
        <v>1</v>
      </c>
    </row>
    <row r="306" spans="1:12" x14ac:dyDescent="0.25">
      <c r="A306">
        <v>25.4</v>
      </c>
      <c r="B306">
        <v>5</v>
      </c>
      <c r="C306">
        <v>183</v>
      </c>
      <c r="D306">
        <v>77</v>
      </c>
      <c r="E306">
        <v>3530</v>
      </c>
      <c r="F306">
        <v>20.100000000000001</v>
      </c>
      <c r="G306">
        <v>79</v>
      </c>
      <c r="H306" t="s">
        <v>1544</v>
      </c>
      <c r="I306" t="s">
        <v>1370</v>
      </c>
      <c r="J306" t="s">
        <v>1371</v>
      </c>
      <c r="K306" t="s">
        <v>1372</v>
      </c>
      <c r="L306" t="b">
        <f>Data_Completeness(MileageData[[#This Row],[MPG]:[Acceleration]])</f>
        <v>1</v>
      </c>
    </row>
    <row r="307" spans="1:12" x14ac:dyDescent="0.25">
      <c r="A307">
        <v>23</v>
      </c>
      <c r="B307">
        <v>8</v>
      </c>
      <c r="C307">
        <v>350</v>
      </c>
      <c r="D307">
        <v>125</v>
      </c>
      <c r="E307">
        <v>3900</v>
      </c>
      <c r="F307">
        <v>17.399999999999999</v>
      </c>
      <c r="G307">
        <v>79</v>
      </c>
      <c r="H307" t="s">
        <v>1543</v>
      </c>
      <c r="I307" t="s">
        <v>1373</v>
      </c>
      <c r="J307" t="s">
        <v>1227</v>
      </c>
      <c r="K307" t="s">
        <v>1374</v>
      </c>
      <c r="L307" t="b">
        <f>Data_Completeness(MileageData[[#This Row],[MPG]:[Acceleration]])</f>
        <v>1</v>
      </c>
    </row>
    <row r="308" spans="1:12" x14ac:dyDescent="0.25">
      <c r="A308">
        <v>27.2</v>
      </c>
      <c r="B308">
        <v>4</v>
      </c>
      <c r="C308">
        <v>141</v>
      </c>
      <c r="D308">
        <v>71</v>
      </c>
      <c r="E308">
        <v>3190</v>
      </c>
      <c r="F308">
        <v>24.8</v>
      </c>
      <c r="G308">
        <v>79</v>
      </c>
      <c r="H308" t="s">
        <v>1544</v>
      </c>
      <c r="I308" t="s">
        <v>954</v>
      </c>
      <c r="J308" t="s">
        <v>955</v>
      </c>
      <c r="K308">
        <v>504</v>
      </c>
      <c r="L308" t="b">
        <f>Data_Completeness(MileageData[[#This Row],[MPG]:[Acceleration]])</f>
        <v>1</v>
      </c>
    </row>
    <row r="309" spans="1:12" x14ac:dyDescent="0.25">
      <c r="A309">
        <v>23.9</v>
      </c>
      <c r="B309">
        <v>8</v>
      </c>
      <c r="C309">
        <v>260</v>
      </c>
      <c r="D309">
        <v>90</v>
      </c>
      <c r="E309">
        <v>3420</v>
      </c>
      <c r="F309">
        <v>22.2</v>
      </c>
      <c r="G309">
        <v>79</v>
      </c>
      <c r="H309" t="s">
        <v>1543</v>
      </c>
      <c r="I309" t="s">
        <v>1292</v>
      </c>
      <c r="J309" t="s">
        <v>1039</v>
      </c>
      <c r="K309" t="s">
        <v>1293</v>
      </c>
      <c r="L309" t="b">
        <f>Data_Completeness(MileageData[[#This Row],[MPG]:[Acceleration]])</f>
        <v>1</v>
      </c>
    </row>
    <row r="310" spans="1:12" x14ac:dyDescent="0.25">
      <c r="A310">
        <v>34.200000000000003</v>
      </c>
      <c r="B310">
        <v>4</v>
      </c>
      <c r="C310">
        <v>105</v>
      </c>
      <c r="D310">
        <v>70</v>
      </c>
      <c r="E310">
        <v>2200</v>
      </c>
      <c r="F310">
        <v>13.2</v>
      </c>
      <c r="G310">
        <v>79</v>
      </c>
      <c r="H310" t="s">
        <v>1543</v>
      </c>
      <c r="I310" t="s">
        <v>1375</v>
      </c>
      <c r="J310" t="s">
        <v>899</v>
      </c>
      <c r="K310" t="s">
        <v>1376</v>
      </c>
      <c r="L310" t="b">
        <f>Data_Completeness(MileageData[[#This Row],[MPG]:[Acceleration]])</f>
        <v>1</v>
      </c>
    </row>
    <row r="311" spans="1:12" x14ac:dyDescent="0.25">
      <c r="A311">
        <v>34.5</v>
      </c>
      <c r="B311">
        <v>4</v>
      </c>
      <c r="C311">
        <v>105</v>
      </c>
      <c r="D311">
        <v>70</v>
      </c>
      <c r="E311">
        <v>2150</v>
      </c>
      <c r="F311">
        <v>14.9</v>
      </c>
      <c r="G311">
        <v>79</v>
      </c>
      <c r="H311" t="s">
        <v>1543</v>
      </c>
      <c r="I311" t="s">
        <v>1377</v>
      </c>
      <c r="J311" t="s">
        <v>899</v>
      </c>
      <c r="K311" t="s">
        <v>1378</v>
      </c>
      <c r="L311" t="b">
        <f>Data_Completeness(MileageData[[#This Row],[MPG]:[Acceleration]])</f>
        <v>1</v>
      </c>
    </row>
    <row r="312" spans="1:12" x14ac:dyDescent="0.25">
      <c r="A312">
        <v>31.8</v>
      </c>
      <c r="B312">
        <v>4</v>
      </c>
      <c r="C312">
        <v>85</v>
      </c>
      <c r="D312">
        <v>65</v>
      </c>
      <c r="E312">
        <v>2020</v>
      </c>
      <c r="F312">
        <v>19.2</v>
      </c>
      <c r="G312">
        <v>79</v>
      </c>
      <c r="H312" t="s">
        <v>1545</v>
      </c>
      <c r="I312" t="s">
        <v>1379</v>
      </c>
      <c r="J312" t="s">
        <v>949</v>
      </c>
      <c r="K312">
        <v>210</v>
      </c>
      <c r="L312" t="b">
        <f>Data_Completeness(MileageData[[#This Row],[MPG]:[Acceleration]])</f>
        <v>1</v>
      </c>
    </row>
    <row r="313" spans="1:12" x14ac:dyDescent="0.25">
      <c r="A313">
        <v>37.299999999999997</v>
      </c>
      <c r="B313">
        <v>4</v>
      </c>
      <c r="C313">
        <v>91</v>
      </c>
      <c r="D313">
        <v>69</v>
      </c>
      <c r="E313">
        <v>2130</v>
      </c>
      <c r="F313">
        <v>14.7</v>
      </c>
      <c r="G313">
        <v>79</v>
      </c>
      <c r="H313" t="s">
        <v>1544</v>
      </c>
      <c r="I313" t="s">
        <v>1380</v>
      </c>
      <c r="J313" t="s">
        <v>1013</v>
      </c>
      <c r="K313" t="s">
        <v>1381</v>
      </c>
      <c r="L313" t="b">
        <f>Data_Completeness(MileageData[[#This Row],[MPG]:[Acceleration]])</f>
        <v>1</v>
      </c>
    </row>
    <row r="314" spans="1:12" x14ac:dyDescent="0.25">
      <c r="A314">
        <v>28.4</v>
      </c>
      <c r="B314">
        <v>4</v>
      </c>
      <c r="C314">
        <v>151</v>
      </c>
      <c r="D314">
        <v>90</v>
      </c>
      <c r="E314">
        <v>2670</v>
      </c>
      <c r="F314">
        <v>16</v>
      </c>
      <c r="G314">
        <v>79</v>
      </c>
      <c r="H314" t="s">
        <v>1543</v>
      </c>
      <c r="I314" t="s">
        <v>1382</v>
      </c>
      <c r="J314" t="s">
        <v>896</v>
      </c>
      <c r="K314" t="s">
        <v>1383</v>
      </c>
      <c r="L314" t="b">
        <f>Data_Completeness(MileageData[[#This Row],[MPG]:[Acceleration]])</f>
        <v>1</v>
      </c>
    </row>
    <row r="315" spans="1:12" x14ac:dyDescent="0.25">
      <c r="A315">
        <v>28.8</v>
      </c>
      <c r="B315">
        <v>6</v>
      </c>
      <c r="C315">
        <v>173</v>
      </c>
      <c r="D315">
        <v>115</v>
      </c>
      <c r="E315">
        <v>2595</v>
      </c>
      <c r="F315">
        <v>11.3</v>
      </c>
      <c r="G315">
        <v>79</v>
      </c>
      <c r="H315" t="s">
        <v>1543</v>
      </c>
      <c r="I315" t="s">
        <v>1384</v>
      </c>
      <c r="J315" t="s">
        <v>893</v>
      </c>
      <c r="K315" t="s">
        <v>1385</v>
      </c>
      <c r="L315" t="b">
        <f>Data_Completeness(MileageData[[#This Row],[MPG]:[Acceleration]])</f>
        <v>1</v>
      </c>
    </row>
    <row r="316" spans="1:12" x14ac:dyDescent="0.25">
      <c r="A316">
        <v>26.8</v>
      </c>
      <c r="B316">
        <v>6</v>
      </c>
      <c r="C316">
        <v>173</v>
      </c>
      <c r="D316">
        <v>115</v>
      </c>
      <c r="E316">
        <v>2700</v>
      </c>
      <c r="F316">
        <v>12.9</v>
      </c>
      <c r="G316">
        <v>79</v>
      </c>
      <c r="H316" t="s">
        <v>1543</v>
      </c>
      <c r="I316" t="s">
        <v>1386</v>
      </c>
      <c r="J316" t="s">
        <v>1039</v>
      </c>
      <c r="K316" t="s">
        <v>1387</v>
      </c>
      <c r="L316" t="b">
        <f>Data_Completeness(MileageData[[#This Row],[MPG]:[Acceleration]])</f>
        <v>1</v>
      </c>
    </row>
    <row r="317" spans="1:12" x14ac:dyDescent="0.25">
      <c r="A317">
        <v>33.5</v>
      </c>
      <c r="B317">
        <v>4</v>
      </c>
      <c r="C317">
        <v>151</v>
      </c>
      <c r="D317">
        <v>90</v>
      </c>
      <c r="E317">
        <v>2556</v>
      </c>
      <c r="F317">
        <v>13.2</v>
      </c>
      <c r="G317">
        <v>79</v>
      </c>
      <c r="H317" t="s">
        <v>1543</v>
      </c>
      <c r="I317" t="s">
        <v>1388</v>
      </c>
      <c r="J317" t="s">
        <v>914</v>
      </c>
      <c r="K317" t="s">
        <v>1389</v>
      </c>
      <c r="L317" t="b">
        <f>Data_Completeness(MileageData[[#This Row],[MPG]:[Acceleration]])</f>
        <v>1</v>
      </c>
    </row>
    <row r="318" spans="1:12" x14ac:dyDescent="0.25">
      <c r="A318">
        <v>41.5</v>
      </c>
      <c r="B318">
        <v>4</v>
      </c>
      <c r="C318">
        <v>98</v>
      </c>
      <c r="D318">
        <v>76</v>
      </c>
      <c r="E318">
        <v>2144</v>
      </c>
      <c r="F318">
        <v>14.7</v>
      </c>
      <c r="G318">
        <v>80</v>
      </c>
      <c r="H318" t="s">
        <v>1544</v>
      </c>
      <c r="I318" t="s">
        <v>1208</v>
      </c>
      <c r="J318" t="s">
        <v>1209</v>
      </c>
      <c r="K318" t="s">
        <v>1189</v>
      </c>
      <c r="L318" t="b">
        <f>Data_Completeness(MileageData[[#This Row],[MPG]:[Acceleration]])</f>
        <v>1</v>
      </c>
    </row>
    <row r="319" spans="1:12" x14ac:dyDescent="0.25">
      <c r="A319">
        <v>38.1</v>
      </c>
      <c r="B319">
        <v>4</v>
      </c>
      <c r="C319">
        <v>89</v>
      </c>
      <c r="D319">
        <v>60</v>
      </c>
      <c r="E319">
        <v>1968</v>
      </c>
      <c r="F319">
        <v>18.8</v>
      </c>
      <c r="G319">
        <v>80</v>
      </c>
      <c r="H319" t="s">
        <v>1545</v>
      </c>
      <c r="I319" t="s">
        <v>1390</v>
      </c>
      <c r="J319" t="s">
        <v>940</v>
      </c>
      <c r="K319" t="s">
        <v>1391</v>
      </c>
      <c r="L319" t="b">
        <f>Data_Completeness(MileageData[[#This Row],[MPG]:[Acceleration]])</f>
        <v>1</v>
      </c>
    </row>
    <row r="320" spans="1:12" x14ac:dyDescent="0.25">
      <c r="A320">
        <v>32.1</v>
      </c>
      <c r="B320">
        <v>4</v>
      </c>
      <c r="C320">
        <v>98</v>
      </c>
      <c r="D320">
        <v>70</v>
      </c>
      <c r="E320">
        <v>2120</v>
      </c>
      <c r="F320">
        <v>15.5</v>
      </c>
      <c r="G320">
        <v>80</v>
      </c>
      <c r="H320" t="s">
        <v>1543</v>
      </c>
      <c r="I320" t="s">
        <v>1204</v>
      </c>
      <c r="J320" t="s">
        <v>893</v>
      </c>
      <c r="K320" t="s">
        <v>1205</v>
      </c>
      <c r="L320" t="b">
        <f>Data_Completeness(MileageData[[#This Row],[MPG]:[Acceleration]])</f>
        <v>1</v>
      </c>
    </row>
    <row r="321" spans="1:12" x14ac:dyDescent="0.25">
      <c r="A321">
        <v>37.200000000000003</v>
      </c>
      <c r="B321">
        <v>4</v>
      </c>
      <c r="C321">
        <v>86</v>
      </c>
      <c r="D321">
        <v>65</v>
      </c>
      <c r="E321">
        <v>2019</v>
      </c>
      <c r="F321">
        <v>16.399999999999999</v>
      </c>
      <c r="G321">
        <v>80</v>
      </c>
      <c r="H321" t="s">
        <v>1545</v>
      </c>
      <c r="I321" t="s">
        <v>1392</v>
      </c>
      <c r="J321" t="s">
        <v>949</v>
      </c>
      <c r="K321">
        <v>310</v>
      </c>
      <c r="L321" t="b">
        <f>Data_Completeness(MileageData[[#This Row],[MPG]:[Acceleration]])</f>
        <v>1</v>
      </c>
    </row>
    <row r="322" spans="1:12" x14ac:dyDescent="0.25">
      <c r="A322">
        <v>28</v>
      </c>
      <c r="B322">
        <v>4</v>
      </c>
      <c r="C322">
        <v>151</v>
      </c>
      <c r="D322">
        <v>90</v>
      </c>
      <c r="E322">
        <v>2678</v>
      </c>
      <c r="F322">
        <v>16.5</v>
      </c>
      <c r="G322">
        <v>80</v>
      </c>
      <c r="H322" t="s">
        <v>1543</v>
      </c>
      <c r="I322" t="s">
        <v>1384</v>
      </c>
      <c r="J322" t="s">
        <v>893</v>
      </c>
      <c r="K322" t="s">
        <v>1385</v>
      </c>
      <c r="L322" t="b">
        <f>Data_Completeness(MileageData[[#This Row],[MPG]:[Acceleration]])</f>
        <v>1</v>
      </c>
    </row>
    <row r="323" spans="1:12" x14ac:dyDescent="0.25">
      <c r="A323">
        <v>26.4</v>
      </c>
      <c r="B323">
        <v>4</v>
      </c>
      <c r="C323">
        <v>140</v>
      </c>
      <c r="D323">
        <v>88</v>
      </c>
      <c r="E323">
        <v>2870</v>
      </c>
      <c r="F323">
        <v>18.100000000000001</v>
      </c>
      <c r="G323">
        <v>80</v>
      </c>
      <c r="H323" t="s">
        <v>1543</v>
      </c>
      <c r="I323" t="s">
        <v>1393</v>
      </c>
      <c r="J323" t="s">
        <v>905</v>
      </c>
      <c r="K323" t="s">
        <v>1394</v>
      </c>
      <c r="L323" t="b">
        <f>Data_Completeness(MileageData[[#This Row],[MPG]:[Acceleration]])</f>
        <v>1</v>
      </c>
    </row>
    <row r="324" spans="1:12" x14ac:dyDescent="0.25">
      <c r="A324">
        <v>24.3</v>
      </c>
      <c r="B324">
        <v>4</v>
      </c>
      <c r="C324">
        <v>151</v>
      </c>
      <c r="D324">
        <v>90</v>
      </c>
      <c r="E324">
        <v>3003</v>
      </c>
      <c r="F324">
        <v>20.100000000000001</v>
      </c>
      <c r="G324">
        <v>80</v>
      </c>
      <c r="H324" t="s">
        <v>1543</v>
      </c>
      <c r="I324" t="s">
        <v>1306</v>
      </c>
      <c r="J324" t="s">
        <v>902</v>
      </c>
      <c r="K324" t="s">
        <v>1307</v>
      </c>
      <c r="L324" t="b">
        <f>Data_Completeness(MileageData[[#This Row],[MPG]:[Acceleration]])</f>
        <v>1</v>
      </c>
    </row>
    <row r="325" spans="1:12" x14ac:dyDescent="0.25">
      <c r="A325">
        <v>19.100000000000001</v>
      </c>
      <c r="B325">
        <v>6</v>
      </c>
      <c r="C325">
        <v>225</v>
      </c>
      <c r="D325">
        <v>90</v>
      </c>
      <c r="E325">
        <v>3381</v>
      </c>
      <c r="F325">
        <v>18.7</v>
      </c>
      <c r="G325">
        <v>80</v>
      </c>
      <c r="H325" t="s">
        <v>1543</v>
      </c>
      <c r="I325" t="s">
        <v>1312</v>
      </c>
      <c r="J325" t="s">
        <v>930</v>
      </c>
      <c r="K325" t="s">
        <v>1313</v>
      </c>
      <c r="L325" t="b">
        <f>Data_Completeness(MileageData[[#This Row],[MPG]:[Acceleration]])</f>
        <v>1</v>
      </c>
    </row>
    <row r="326" spans="1:12" x14ac:dyDescent="0.25">
      <c r="A326">
        <v>34.299999999999997</v>
      </c>
      <c r="B326">
        <v>4</v>
      </c>
      <c r="C326">
        <v>97</v>
      </c>
      <c r="D326">
        <v>78</v>
      </c>
      <c r="E326">
        <v>2188</v>
      </c>
      <c r="F326">
        <v>15.8</v>
      </c>
      <c r="G326">
        <v>80</v>
      </c>
      <c r="H326" t="s">
        <v>1544</v>
      </c>
      <c r="I326" t="s">
        <v>1395</v>
      </c>
      <c r="J326" t="s">
        <v>957</v>
      </c>
      <c r="K326">
        <v>4000</v>
      </c>
      <c r="L326" t="b">
        <f>Data_Completeness(MileageData[[#This Row],[MPG]:[Acceleration]])</f>
        <v>1</v>
      </c>
    </row>
    <row r="327" spans="1:12" x14ac:dyDescent="0.25">
      <c r="A327">
        <v>29.8</v>
      </c>
      <c r="B327">
        <v>4</v>
      </c>
      <c r="C327">
        <v>134</v>
      </c>
      <c r="D327">
        <v>90</v>
      </c>
      <c r="E327">
        <v>2711</v>
      </c>
      <c r="F327">
        <v>15.5</v>
      </c>
      <c r="G327">
        <v>80</v>
      </c>
      <c r="H327" t="s">
        <v>1545</v>
      </c>
      <c r="I327" t="s">
        <v>1396</v>
      </c>
      <c r="J327" t="s">
        <v>940</v>
      </c>
      <c r="K327" t="s">
        <v>1397</v>
      </c>
      <c r="L327" t="b">
        <f>Data_Completeness(MileageData[[#This Row],[MPG]:[Acceleration]])</f>
        <v>1</v>
      </c>
    </row>
    <row r="328" spans="1:12" x14ac:dyDescent="0.25">
      <c r="A328">
        <v>31.3</v>
      </c>
      <c r="B328">
        <v>4</v>
      </c>
      <c r="C328">
        <v>120</v>
      </c>
      <c r="D328">
        <v>75</v>
      </c>
      <c r="E328">
        <v>2542</v>
      </c>
      <c r="F328">
        <v>17.5</v>
      </c>
      <c r="G328">
        <v>80</v>
      </c>
      <c r="H328" t="s">
        <v>1545</v>
      </c>
      <c r="I328" t="s">
        <v>1398</v>
      </c>
      <c r="J328" t="s">
        <v>1045</v>
      </c>
      <c r="K328">
        <v>626</v>
      </c>
      <c r="L328" t="b">
        <f>Data_Completeness(MileageData[[#This Row],[MPG]:[Acceleration]])</f>
        <v>1</v>
      </c>
    </row>
    <row r="329" spans="1:12" x14ac:dyDescent="0.25">
      <c r="A329">
        <v>37</v>
      </c>
      <c r="B329">
        <v>4</v>
      </c>
      <c r="C329">
        <v>119</v>
      </c>
      <c r="D329">
        <v>92</v>
      </c>
      <c r="E329">
        <v>2434</v>
      </c>
      <c r="F329">
        <v>15</v>
      </c>
      <c r="G329">
        <v>80</v>
      </c>
      <c r="H329" t="s">
        <v>1545</v>
      </c>
      <c r="I329" t="s">
        <v>1399</v>
      </c>
      <c r="J329" t="s">
        <v>949</v>
      </c>
      <c r="K329" t="s">
        <v>1400</v>
      </c>
      <c r="L329" t="b">
        <f>Data_Completeness(MileageData[[#This Row],[MPG]:[Acceleration]])</f>
        <v>1</v>
      </c>
    </row>
    <row r="330" spans="1:12" x14ac:dyDescent="0.25">
      <c r="A330">
        <v>32.200000000000003</v>
      </c>
      <c r="B330">
        <v>4</v>
      </c>
      <c r="C330">
        <v>108</v>
      </c>
      <c r="D330">
        <v>75</v>
      </c>
      <c r="E330">
        <v>2265</v>
      </c>
      <c r="F330">
        <v>15.2</v>
      </c>
      <c r="G330">
        <v>80</v>
      </c>
      <c r="H330" t="s">
        <v>1545</v>
      </c>
      <c r="I330" t="s">
        <v>1184</v>
      </c>
      <c r="J330" t="s">
        <v>940</v>
      </c>
      <c r="K330" t="s">
        <v>1185</v>
      </c>
      <c r="L330" t="b">
        <f>Data_Completeness(MileageData[[#This Row],[MPG]:[Acceleration]])</f>
        <v>1</v>
      </c>
    </row>
    <row r="331" spans="1:12" x14ac:dyDescent="0.25">
      <c r="A331">
        <v>46.6</v>
      </c>
      <c r="B331">
        <v>4</v>
      </c>
      <c r="C331">
        <v>86</v>
      </c>
      <c r="D331">
        <v>65</v>
      </c>
      <c r="E331">
        <v>2110</v>
      </c>
      <c r="F331">
        <v>17.899999999999999</v>
      </c>
      <c r="G331">
        <v>80</v>
      </c>
      <c r="H331" t="s">
        <v>1545</v>
      </c>
      <c r="I331" t="s">
        <v>1401</v>
      </c>
      <c r="J331" t="s">
        <v>1045</v>
      </c>
      <c r="K331" t="s">
        <v>1402</v>
      </c>
      <c r="L331" t="b">
        <f>Data_Completeness(MileageData[[#This Row],[MPG]:[Acceleration]])</f>
        <v>1</v>
      </c>
    </row>
    <row r="332" spans="1:12" x14ac:dyDescent="0.25">
      <c r="A332">
        <v>27.9</v>
      </c>
      <c r="B332">
        <v>4</v>
      </c>
      <c r="C332">
        <v>156</v>
      </c>
      <c r="D332">
        <v>105</v>
      </c>
      <c r="E332">
        <v>2800</v>
      </c>
      <c r="F332">
        <v>14.4</v>
      </c>
      <c r="G332">
        <v>80</v>
      </c>
      <c r="H332" t="s">
        <v>1543</v>
      </c>
      <c r="I332" t="s">
        <v>1154</v>
      </c>
      <c r="J332" t="s">
        <v>930</v>
      </c>
      <c r="K332" t="s">
        <v>1155</v>
      </c>
      <c r="L332" t="b">
        <f>Data_Completeness(MileageData[[#This Row],[MPG]:[Acceleration]])</f>
        <v>1</v>
      </c>
    </row>
    <row r="333" spans="1:12" x14ac:dyDescent="0.25">
      <c r="A333">
        <v>40.799999999999997</v>
      </c>
      <c r="B333">
        <v>4</v>
      </c>
      <c r="C333">
        <v>85</v>
      </c>
      <c r="D333">
        <v>65</v>
      </c>
      <c r="E333">
        <v>2110</v>
      </c>
      <c r="F333">
        <v>19.2</v>
      </c>
      <c r="G333">
        <v>80</v>
      </c>
      <c r="H333" t="s">
        <v>1545</v>
      </c>
      <c r="I333" t="s">
        <v>1379</v>
      </c>
      <c r="J333" t="s">
        <v>949</v>
      </c>
      <c r="K333">
        <v>210</v>
      </c>
      <c r="L333" t="b">
        <f>Data_Completeness(MileageData[[#This Row],[MPG]:[Acceleration]])</f>
        <v>1</v>
      </c>
    </row>
    <row r="334" spans="1:12" x14ac:dyDescent="0.25">
      <c r="A334">
        <v>44.3</v>
      </c>
      <c r="B334">
        <v>4</v>
      </c>
      <c r="C334">
        <v>90</v>
      </c>
      <c r="D334">
        <v>48</v>
      </c>
      <c r="E334">
        <v>2085</v>
      </c>
      <c r="F334">
        <v>21.7</v>
      </c>
      <c r="G334">
        <v>80</v>
      </c>
      <c r="H334" t="s">
        <v>1544</v>
      </c>
      <c r="I334" t="s">
        <v>1403</v>
      </c>
      <c r="J334" t="s">
        <v>1209</v>
      </c>
      <c r="K334" t="s">
        <v>1404</v>
      </c>
      <c r="L334" t="b">
        <f>Data_Completeness(MileageData[[#This Row],[MPG]:[Acceleration]])</f>
        <v>1</v>
      </c>
    </row>
    <row r="335" spans="1:12" x14ac:dyDescent="0.25">
      <c r="A335">
        <v>43.4</v>
      </c>
      <c r="B335">
        <v>4</v>
      </c>
      <c r="C335">
        <v>90</v>
      </c>
      <c r="D335">
        <v>48</v>
      </c>
      <c r="E335">
        <v>2335</v>
      </c>
      <c r="F335">
        <v>23.7</v>
      </c>
      <c r="G335">
        <v>80</v>
      </c>
      <c r="H335" t="s">
        <v>1544</v>
      </c>
      <c r="I335" t="s">
        <v>1405</v>
      </c>
      <c r="J335" t="s">
        <v>1209</v>
      </c>
      <c r="K335" t="s">
        <v>1406</v>
      </c>
      <c r="L335" t="b">
        <f>Data_Completeness(MileageData[[#This Row],[MPG]:[Acceleration]])</f>
        <v>1</v>
      </c>
    </row>
    <row r="336" spans="1:12" x14ac:dyDescent="0.25">
      <c r="A336">
        <v>36.4</v>
      </c>
      <c r="B336">
        <v>5</v>
      </c>
      <c r="C336">
        <v>121</v>
      </c>
      <c r="D336">
        <v>67</v>
      </c>
      <c r="E336">
        <v>2950</v>
      </c>
      <c r="F336">
        <v>19.899999999999999</v>
      </c>
      <c r="G336">
        <v>80</v>
      </c>
      <c r="H336" t="s">
        <v>1544</v>
      </c>
      <c r="I336" t="s">
        <v>1407</v>
      </c>
      <c r="J336" t="s">
        <v>957</v>
      </c>
      <c r="K336" t="s">
        <v>1408</v>
      </c>
      <c r="L336" t="b">
        <f>Data_Completeness(MileageData[[#This Row],[MPG]:[Acceleration]])</f>
        <v>1</v>
      </c>
    </row>
    <row r="337" spans="1:12" x14ac:dyDescent="0.25">
      <c r="A337">
        <v>30</v>
      </c>
      <c r="B337">
        <v>4</v>
      </c>
      <c r="C337">
        <v>146</v>
      </c>
      <c r="D337">
        <v>67</v>
      </c>
      <c r="E337">
        <v>3250</v>
      </c>
      <c r="F337">
        <v>21.8</v>
      </c>
      <c r="G337">
        <v>80</v>
      </c>
      <c r="H337" t="s">
        <v>1544</v>
      </c>
      <c r="I337" t="s">
        <v>1409</v>
      </c>
      <c r="J337" t="s">
        <v>1224</v>
      </c>
      <c r="K337" t="s">
        <v>1410</v>
      </c>
      <c r="L337" t="b">
        <f>Data_Completeness(MileageData[[#This Row],[MPG]:[Acceleration]])</f>
        <v>1</v>
      </c>
    </row>
    <row r="338" spans="1:12" x14ac:dyDescent="0.25">
      <c r="A338">
        <v>44.6</v>
      </c>
      <c r="B338">
        <v>4</v>
      </c>
      <c r="C338">
        <v>91</v>
      </c>
      <c r="D338">
        <v>67</v>
      </c>
      <c r="E338">
        <v>1850</v>
      </c>
      <c r="F338">
        <v>13.8</v>
      </c>
      <c r="G338">
        <v>80</v>
      </c>
      <c r="H338" t="s">
        <v>1545</v>
      </c>
      <c r="I338" t="s">
        <v>1411</v>
      </c>
      <c r="J338" t="s">
        <v>1159</v>
      </c>
      <c r="K338" t="s">
        <v>1412</v>
      </c>
      <c r="L338" t="b">
        <f>Data_Completeness(MileageData[[#This Row],[MPG]:[Acceleration]])</f>
        <v>1</v>
      </c>
    </row>
    <row r="339" spans="1:12" x14ac:dyDescent="0.25">
      <c r="A339">
        <v>40.9</v>
      </c>
      <c r="B339">
        <v>4</v>
      </c>
      <c r="C339">
        <v>85</v>
      </c>
      <c r="E339">
        <v>1835</v>
      </c>
      <c r="F339">
        <v>17.3</v>
      </c>
      <c r="G339">
        <v>80</v>
      </c>
      <c r="H339" t="s">
        <v>1544</v>
      </c>
      <c r="I339" t="s">
        <v>1413</v>
      </c>
      <c r="J339" t="s">
        <v>1061</v>
      </c>
      <c r="K339" t="s">
        <v>1414</v>
      </c>
      <c r="L339" t="b">
        <f>Data_Completeness(MileageData[[#This Row],[MPG]:[Acceleration]])</f>
        <v>0</v>
      </c>
    </row>
    <row r="340" spans="1:12" x14ac:dyDescent="0.25">
      <c r="A340">
        <v>33.799999999999997</v>
      </c>
      <c r="B340">
        <v>4</v>
      </c>
      <c r="C340">
        <v>97</v>
      </c>
      <c r="D340">
        <v>67</v>
      </c>
      <c r="E340">
        <v>2145</v>
      </c>
      <c r="F340">
        <v>18</v>
      </c>
      <c r="G340">
        <v>80</v>
      </c>
      <c r="H340" t="s">
        <v>1545</v>
      </c>
      <c r="I340" t="s">
        <v>1277</v>
      </c>
      <c r="J340" t="s">
        <v>1161</v>
      </c>
      <c r="K340" t="s">
        <v>1278</v>
      </c>
      <c r="L340" t="b">
        <f>Data_Completeness(MileageData[[#This Row],[MPG]:[Acceleration]])</f>
        <v>1</v>
      </c>
    </row>
    <row r="341" spans="1:12" x14ac:dyDescent="0.25">
      <c r="A341">
        <v>29.8</v>
      </c>
      <c r="B341">
        <v>4</v>
      </c>
      <c r="C341">
        <v>89</v>
      </c>
      <c r="D341">
        <v>62</v>
      </c>
      <c r="E341">
        <v>1845</v>
      </c>
      <c r="F341">
        <v>15.3</v>
      </c>
      <c r="G341">
        <v>80</v>
      </c>
      <c r="H341" t="s">
        <v>1544</v>
      </c>
      <c r="I341" t="s">
        <v>1415</v>
      </c>
      <c r="J341" t="s">
        <v>1416</v>
      </c>
      <c r="K341" t="s">
        <v>1189</v>
      </c>
      <c r="L341" t="b">
        <f>Data_Completeness(MileageData[[#This Row],[MPG]:[Acceleration]])</f>
        <v>1</v>
      </c>
    </row>
    <row r="342" spans="1:12" x14ac:dyDescent="0.25">
      <c r="A342">
        <v>32.700000000000003</v>
      </c>
      <c r="B342">
        <v>6</v>
      </c>
      <c r="C342">
        <v>168</v>
      </c>
      <c r="D342">
        <v>132</v>
      </c>
      <c r="E342">
        <v>2910</v>
      </c>
      <c r="F342">
        <v>11.4</v>
      </c>
      <c r="G342">
        <v>80</v>
      </c>
      <c r="H342" t="s">
        <v>1545</v>
      </c>
      <c r="I342" t="s">
        <v>1417</v>
      </c>
      <c r="J342" t="s">
        <v>949</v>
      </c>
      <c r="K342" t="s">
        <v>1418</v>
      </c>
      <c r="L342" t="b">
        <f>Data_Completeness(MileageData[[#This Row],[MPG]:[Acceleration]])</f>
        <v>1</v>
      </c>
    </row>
    <row r="343" spans="1:12" x14ac:dyDescent="0.25">
      <c r="A343">
        <v>23.7</v>
      </c>
      <c r="B343">
        <v>3</v>
      </c>
      <c r="C343">
        <v>70</v>
      </c>
      <c r="D343">
        <v>100</v>
      </c>
      <c r="E343">
        <v>2420</v>
      </c>
      <c r="F343">
        <v>12.5</v>
      </c>
      <c r="G343">
        <v>80</v>
      </c>
      <c r="H343" t="s">
        <v>1545</v>
      </c>
      <c r="I343" t="s">
        <v>1419</v>
      </c>
      <c r="J343" t="s">
        <v>1045</v>
      </c>
      <c r="K343" t="s">
        <v>1420</v>
      </c>
      <c r="L343" t="b">
        <f>Data_Completeness(MileageData[[#This Row],[MPG]:[Acceleration]])</f>
        <v>1</v>
      </c>
    </row>
    <row r="344" spans="1:12" x14ac:dyDescent="0.25">
      <c r="A344">
        <v>35</v>
      </c>
      <c r="B344">
        <v>4</v>
      </c>
      <c r="C344">
        <v>122</v>
      </c>
      <c r="D344">
        <v>88</v>
      </c>
      <c r="E344">
        <v>2500</v>
      </c>
      <c r="F344">
        <v>15.1</v>
      </c>
      <c r="G344">
        <v>80</v>
      </c>
      <c r="H344" t="s">
        <v>1544</v>
      </c>
      <c r="I344" t="s">
        <v>1421</v>
      </c>
      <c r="J344" t="s">
        <v>1422</v>
      </c>
      <c r="K344" t="s">
        <v>1423</v>
      </c>
      <c r="L344" t="b">
        <f>Data_Completeness(MileageData[[#This Row],[MPG]:[Acceleration]])</f>
        <v>1</v>
      </c>
    </row>
    <row r="345" spans="1:12" x14ac:dyDescent="0.25">
      <c r="A345">
        <v>23.6</v>
      </c>
      <c r="B345">
        <v>4</v>
      </c>
      <c r="C345">
        <v>140</v>
      </c>
      <c r="E345">
        <v>2905</v>
      </c>
      <c r="F345">
        <v>14.3</v>
      </c>
      <c r="G345">
        <v>80</v>
      </c>
      <c r="H345" t="s">
        <v>1543</v>
      </c>
      <c r="I345" t="s">
        <v>1424</v>
      </c>
      <c r="J345" t="s">
        <v>905</v>
      </c>
      <c r="K345" t="s">
        <v>1425</v>
      </c>
      <c r="L345" t="b">
        <f>Data_Completeness(MileageData[[#This Row],[MPG]:[Acceleration]])</f>
        <v>0</v>
      </c>
    </row>
    <row r="346" spans="1:12" x14ac:dyDescent="0.25">
      <c r="A346">
        <v>32.4</v>
      </c>
      <c r="B346">
        <v>4</v>
      </c>
      <c r="C346">
        <v>107</v>
      </c>
      <c r="D346">
        <v>72</v>
      </c>
      <c r="E346">
        <v>2290</v>
      </c>
      <c r="F346">
        <v>17</v>
      </c>
      <c r="G346">
        <v>80</v>
      </c>
      <c r="H346" t="s">
        <v>1545</v>
      </c>
      <c r="I346" t="s">
        <v>1426</v>
      </c>
      <c r="J346" t="s">
        <v>1159</v>
      </c>
      <c r="K346" t="s">
        <v>1427</v>
      </c>
      <c r="L346" t="b">
        <f>Data_Completeness(MileageData[[#This Row],[MPG]:[Acceleration]])</f>
        <v>1</v>
      </c>
    </row>
    <row r="347" spans="1:12" x14ac:dyDescent="0.25">
      <c r="A347">
        <v>27.2</v>
      </c>
      <c r="B347">
        <v>4</v>
      </c>
      <c r="C347">
        <v>135</v>
      </c>
      <c r="D347">
        <v>84</v>
      </c>
      <c r="E347">
        <v>2490</v>
      </c>
      <c r="F347">
        <v>15.7</v>
      </c>
      <c r="G347">
        <v>81</v>
      </c>
      <c r="H347" t="s">
        <v>1543</v>
      </c>
      <c r="I347" t="s">
        <v>1428</v>
      </c>
      <c r="J347" t="s">
        <v>899</v>
      </c>
      <c r="K347" t="s">
        <v>1429</v>
      </c>
      <c r="L347" t="b">
        <f>Data_Completeness(MileageData[[#This Row],[MPG]:[Acceleration]])</f>
        <v>1</v>
      </c>
    </row>
    <row r="348" spans="1:12" x14ac:dyDescent="0.25">
      <c r="A348">
        <v>26.6</v>
      </c>
      <c r="B348">
        <v>4</v>
      </c>
      <c r="C348">
        <v>151</v>
      </c>
      <c r="D348">
        <v>84</v>
      </c>
      <c r="E348">
        <v>2635</v>
      </c>
      <c r="F348">
        <v>16.399999999999999</v>
      </c>
      <c r="G348">
        <v>81</v>
      </c>
      <c r="H348" t="s">
        <v>1543</v>
      </c>
      <c r="I348" t="s">
        <v>1253</v>
      </c>
      <c r="J348" t="s">
        <v>896</v>
      </c>
      <c r="K348" t="s">
        <v>1254</v>
      </c>
      <c r="L348" t="b">
        <f>Data_Completeness(MileageData[[#This Row],[MPG]:[Acceleration]])</f>
        <v>1</v>
      </c>
    </row>
    <row r="349" spans="1:12" x14ac:dyDescent="0.25">
      <c r="A349">
        <v>25.8</v>
      </c>
      <c r="B349">
        <v>4</v>
      </c>
      <c r="C349">
        <v>156</v>
      </c>
      <c r="D349">
        <v>92</v>
      </c>
      <c r="E349">
        <v>2620</v>
      </c>
      <c r="F349">
        <v>14.4</v>
      </c>
      <c r="G349">
        <v>81</v>
      </c>
      <c r="H349" t="s">
        <v>1543</v>
      </c>
      <c r="I349" t="s">
        <v>1430</v>
      </c>
      <c r="J349" t="s">
        <v>930</v>
      </c>
      <c r="K349" t="s">
        <v>1431</v>
      </c>
      <c r="L349" t="b">
        <f>Data_Completeness(MileageData[[#This Row],[MPG]:[Acceleration]])</f>
        <v>1</v>
      </c>
    </row>
    <row r="350" spans="1:12" x14ac:dyDescent="0.25">
      <c r="A350">
        <v>23.5</v>
      </c>
      <c r="B350">
        <v>6</v>
      </c>
      <c r="C350">
        <v>173</v>
      </c>
      <c r="D350">
        <v>110</v>
      </c>
      <c r="E350">
        <v>2725</v>
      </c>
      <c r="F350">
        <v>12.6</v>
      </c>
      <c r="G350">
        <v>81</v>
      </c>
      <c r="H350" t="s">
        <v>1543</v>
      </c>
      <c r="I350" t="s">
        <v>1384</v>
      </c>
      <c r="J350" t="s">
        <v>893</v>
      </c>
      <c r="K350" t="s">
        <v>1385</v>
      </c>
      <c r="L350" t="b">
        <f>Data_Completeness(MileageData[[#This Row],[MPG]:[Acceleration]])</f>
        <v>1</v>
      </c>
    </row>
    <row r="351" spans="1:12" x14ac:dyDescent="0.25">
      <c r="A351">
        <v>30</v>
      </c>
      <c r="B351">
        <v>4</v>
      </c>
      <c r="C351">
        <v>135</v>
      </c>
      <c r="D351">
        <v>84</v>
      </c>
      <c r="E351">
        <v>2385</v>
      </c>
      <c r="F351">
        <v>12.9</v>
      </c>
      <c r="G351">
        <v>81</v>
      </c>
      <c r="H351" t="s">
        <v>1543</v>
      </c>
      <c r="I351" t="s">
        <v>1428</v>
      </c>
      <c r="J351" t="s">
        <v>899</v>
      </c>
      <c r="K351" t="s">
        <v>1429</v>
      </c>
      <c r="L351" t="b">
        <f>Data_Completeness(MileageData[[#This Row],[MPG]:[Acceleration]])</f>
        <v>1</v>
      </c>
    </row>
    <row r="352" spans="1:12" x14ac:dyDescent="0.25">
      <c r="A352">
        <v>39.1</v>
      </c>
      <c r="B352">
        <v>4</v>
      </c>
      <c r="C352">
        <v>79</v>
      </c>
      <c r="D352">
        <v>58</v>
      </c>
      <c r="E352">
        <v>1755</v>
      </c>
      <c r="F352">
        <v>16.899999999999999</v>
      </c>
      <c r="G352">
        <v>81</v>
      </c>
      <c r="H352" t="s">
        <v>1545</v>
      </c>
      <c r="I352" t="s">
        <v>1432</v>
      </c>
      <c r="J352" t="s">
        <v>940</v>
      </c>
      <c r="K352" t="s">
        <v>1433</v>
      </c>
      <c r="L352" t="b">
        <f>Data_Completeness(MileageData[[#This Row],[MPG]:[Acceleration]])</f>
        <v>1</v>
      </c>
    </row>
    <row r="353" spans="1:12" x14ac:dyDescent="0.25">
      <c r="A353">
        <v>39</v>
      </c>
      <c r="B353">
        <v>4</v>
      </c>
      <c r="C353">
        <v>86</v>
      </c>
      <c r="D353">
        <v>64</v>
      </c>
      <c r="E353">
        <v>1875</v>
      </c>
      <c r="F353">
        <v>16.399999999999999</v>
      </c>
      <c r="G353">
        <v>81</v>
      </c>
      <c r="H353" t="s">
        <v>1543</v>
      </c>
      <c r="I353" t="s">
        <v>1434</v>
      </c>
      <c r="J353" t="s">
        <v>899</v>
      </c>
      <c r="K353" t="s">
        <v>1435</v>
      </c>
      <c r="L353" t="b">
        <f>Data_Completeness(MileageData[[#This Row],[MPG]:[Acceleration]])</f>
        <v>1</v>
      </c>
    </row>
    <row r="354" spans="1:12" x14ac:dyDescent="0.25">
      <c r="A354">
        <v>35.1</v>
      </c>
      <c r="B354">
        <v>4</v>
      </c>
      <c r="C354">
        <v>81</v>
      </c>
      <c r="D354">
        <v>60</v>
      </c>
      <c r="E354">
        <v>1760</v>
      </c>
      <c r="F354">
        <v>16.100000000000001</v>
      </c>
      <c r="G354">
        <v>81</v>
      </c>
      <c r="H354" t="s">
        <v>1545</v>
      </c>
      <c r="I354" t="s">
        <v>1436</v>
      </c>
      <c r="J354" t="s">
        <v>1159</v>
      </c>
      <c r="K354" t="s">
        <v>1437</v>
      </c>
      <c r="L354" t="b">
        <f>Data_Completeness(MileageData[[#This Row],[MPG]:[Acceleration]])</f>
        <v>1</v>
      </c>
    </row>
    <row r="355" spans="1:12" x14ac:dyDescent="0.25">
      <c r="A355">
        <v>32.299999999999997</v>
      </c>
      <c r="B355">
        <v>4</v>
      </c>
      <c r="C355">
        <v>97</v>
      </c>
      <c r="D355">
        <v>67</v>
      </c>
      <c r="E355">
        <v>2065</v>
      </c>
      <c r="F355">
        <v>17.8</v>
      </c>
      <c r="G355">
        <v>81</v>
      </c>
      <c r="H355" t="s">
        <v>1545</v>
      </c>
      <c r="I355" t="s">
        <v>1161</v>
      </c>
      <c r="J355" t="e">
        <v>#VALUE!</v>
      </c>
      <c r="K355" t="e">
        <v>#VALUE!</v>
      </c>
      <c r="L355" t="b">
        <f>Data_Completeness(MileageData[[#This Row],[MPG]:[Acceleration]])</f>
        <v>1</v>
      </c>
    </row>
    <row r="356" spans="1:12" x14ac:dyDescent="0.25">
      <c r="A356">
        <v>37</v>
      </c>
      <c r="B356">
        <v>4</v>
      </c>
      <c r="C356">
        <v>85</v>
      </c>
      <c r="D356">
        <v>65</v>
      </c>
      <c r="E356">
        <v>1975</v>
      </c>
      <c r="F356">
        <v>19.399999999999999</v>
      </c>
      <c r="G356">
        <v>81</v>
      </c>
      <c r="H356" t="s">
        <v>1545</v>
      </c>
      <c r="I356" t="s">
        <v>1438</v>
      </c>
      <c r="J356" t="s">
        <v>949</v>
      </c>
      <c r="K356" t="s">
        <v>1439</v>
      </c>
      <c r="L356" t="b">
        <f>Data_Completeness(MileageData[[#This Row],[MPG]:[Acceleration]])</f>
        <v>1</v>
      </c>
    </row>
    <row r="357" spans="1:12" x14ac:dyDescent="0.25">
      <c r="A357">
        <v>37.700000000000003</v>
      </c>
      <c r="B357">
        <v>4</v>
      </c>
      <c r="C357">
        <v>89</v>
      </c>
      <c r="D357">
        <v>62</v>
      </c>
      <c r="E357">
        <v>2050</v>
      </c>
      <c r="F357">
        <v>17.3</v>
      </c>
      <c r="G357">
        <v>81</v>
      </c>
      <c r="H357" t="s">
        <v>1545</v>
      </c>
      <c r="I357" t="s">
        <v>1440</v>
      </c>
      <c r="J357" t="s">
        <v>940</v>
      </c>
      <c r="K357" t="s">
        <v>1441</v>
      </c>
      <c r="L357" t="b">
        <f>Data_Completeness(MileageData[[#This Row],[MPG]:[Acceleration]])</f>
        <v>1</v>
      </c>
    </row>
    <row r="358" spans="1:12" x14ac:dyDescent="0.25">
      <c r="A358">
        <v>34.1</v>
      </c>
      <c r="B358">
        <v>4</v>
      </c>
      <c r="C358">
        <v>91</v>
      </c>
      <c r="D358">
        <v>68</v>
      </c>
      <c r="E358">
        <v>1985</v>
      </c>
      <c r="F358">
        <v>16</v>
      </c>
      <c r="G358">
        <v>81</v>
      </c>
      <c r="H358" t="s">
        <v>1545</v>
      </c>
      <c r="I358" t="s">
        <v>1442</v>
      </c>
      <c r="J358" t="s">
        <v>1045</v>
      </c>
      <c r="K358" t="s">
        <v>1443</v>
      </c>
      <c r="L358" t="b">
        <f>Data_Completeness(MileageData[[#This Row],[MPG]:[Acceleration]])</f>
        <v>1</v>
      </c>
    </row>
    <row r="359" spans="1:12" x14ac:dyDescent="0.25">
      <c r="A359">
        <v>34.700000000000003</v>
      </c>
      <c r="B359">
        <v>4</v>
      </c>
      <c r="C359">
        <v>105</v>
      </c>
      <c r="D359">
        <v>63</v>
      </c>
      <c r="E359">
        <v>2215</v>
      </c>
      <c r="F359">
        <v>14.9</v>
      </c>
      <c r="G359">
        <v>81</v>
      </c>
      <c r="H359" t="s">
        <v>1543</v>
      </c>
      <c r="I359" t="s">
        <v>1444</v>
      </c>
      <c r="J359" t="s">
        <v>899</v>
      </c>
      <c r="K359" t="s">
        <v>1445</v>
      </c>
      <c r="L359" t="b">
        <f>Data_Completeness(MileageData[[#This Row],[MPG]:[Acceleration]])</f>
        <v>1</v>
      </c>
    </row>
    <row r="360" spans="1:12" x14ac:dyDescent="0.25">
      <c r="A360">
        <v>34.4</v>
      </c>
      <c r="B360">
        <v>4</v>
      </c>
      <c r="C360">
        <v>98</v>
      </c>
      <c r="D360">
        <v>65</v>
      </c>
      <c r="E360">
        <v>2045</v>
      </c>
      <c r="F360">
        <v>16.2</v>
      </c>
      <c r="G360">
        <v>81</v>
      </c>
      <c r="H360" t="s">
        <v>1543</v>
      </c>
      <c r="I360" t="s">
        <v>1446</v>
      </c>
      <c r="J360" t="s">
        <v>905</v>
      </c>
      <c r="K360" t="s">
        <v>1447</v>
      </c>
      <c r="L360" t="b">
        <f>Data_Completeness(MileageData[[#This Row],[MPG]:[Acceleration]])</f>
        <v>1</v>
      </c>
    </row>
    <row r="361" spans="1:12" x14ac:dyDescent="0.25">
      <c r="A361">
        <v>29.9</v>
      </c>
      <c r="B361">
        <v>4</v>
      </c>
      <c r="C361">
        <v>98</v>
      </c>
      <c r="D361">
        <v>65</v>
      </c>
      <c r="E361">
        <v>2380</v>
      </c>
      <c r="F361">
        <v>20.7</v>
      </c>
      <c r="G361">
        <v>81</v>
      </c>
      <c r="H361" t="s">
        <v>1543</v>
      </c>
      <c r="I361" t="s">
        <v>1448</v>
      </c>
      <c r="J361" t="s">
        <v>905</v>
      </c>
      <c r="K361" t="s">
        <v>1449</v>
      </c>
      <c r="L361" t="b">
        <f>Data_Completeness(MileageData[[#This Row],[MPG]:[Acceleration]])</f>
        <v>1</v>
      </c>
    </row>
    <row r="362" spans="1:12" x14ac:dyDescent="0.25">
      <c r="A362">
        <v>33</v>
      </c>
      <c r="B362">
        <v>4</v>
      </c>
      <c r="C362">
        <v>105</v>
      </c>
      <c r="D362">
        <v>74</v>
      </c>
      <c r="E362">
        <v>2190</v>
      </c>
      <c r="F362">
        <v>14.2</v>
      </c>
      <c r="G362">
        <v>81</v>
      </c>
      <c r="H362" t="s">
        <v>1544</v>
      </c>
      <c r="I362" t="s">
        <v>1450</v>
      </c>
      <c r="J362" t="s">
        <v>952</v>
      </c>
      <c r="K362" t="s">
        <v>1451</v>
      </c>
      <c r="L362" t="b">
        <f>Data_Completeness(MileageData[[#This Row],[MPG]:[Acceleration]])</f>
        <v>1</v>
      </c>
    </row>
    <row r="363" spans="1:12" x14ac:dyDescent="0.25">
      <c r="A363">
        <v>34.5</v>
      </c>
      <c r="B363">
        <v>4</v>
      </c>
      <c r="C363">
        <v>100</v>
      </c>
      <c r="E363">
        <v>2320</v>
      </c>
      <c r="F363">
        <v>15.8</v>
      </c>
      <c r="G363">
        <v>81</v>
      </c>
      <c r="H363" t="s">
        <v>1544</v>
      </c>
      <c r="I363" t="s">
        <v>1452</v>
      </c>
      <c r="J363" t="s">
        <v>1061</v>
      </c>
      <c r="K363" t="s">
        <v>1453</v>
      </c>
      <c r="L363" t="b">
        <f>Data_Completeness(MileageData[[#This Row],[MPG]:[Acceleration]])</f>
        <v>0</v>
      </c>
    </row>
    <row r="364" spans="1:12" x14ac:dyDescent="0.25">
      <c r="A364">
        <v>33.700000000000003</v>
      </c>
      <c r="B364">
        <v>4</v>
      </c>
      <c r="C364">
        <v>107</v>
      </c>
      <c r="D364">
        <v>75</v>
      </c>
      <c r="E364">
        <v>2210</v>
      </c>
      <c r="F364">
        <v>14.4</v>
      </c>
      <c r="G364">
        <v>81</v>
      </c>
      <c r="H364" t="s">
        <v>1545</v>
      </c>
      <c r="I364" t="s">
        <v>1454</v>
      </c>
      <c r="J364" t="s">
        <v>1159</v>
      </c>
      <c r="K364" t="s">
        <v>1455</v>
      </c>
      <c r="L364" t="b">
        <f>Data_Completeness(MileageData[[#This Row],[MPG]:[Acceleration]])</f>
        <v>1</v>
      </c>
    </row>
    <row r="365" spans="1:12" x14ac:dyDescent="0.25">
      <c r="A365">
        <v>32.4</v>
      </c>
      <c r="B365">
        <v>4</v>
      </c>
      <c r="C365">
        <v>108</v>
      </c>
      <c r="D365">
        <v>75</v>
      </c>
      <c r="E365">
        <v>2350</v>
      </c>
      <c r="F365">
        <v>16.8</v>
      </c>
      <c r="G365">
        <v>81</v>
      </c>
      <c r="H365" t="s">
        <v>1545</v>
      </c>
      <c r="I365" t="s">
        <v>1184</v>
      </c>
      <c r="J365" t="s">
        <v>940</v>
      </c>
      <c r="K365" t="s">
        <v>1185</v>
      </c>
      <c r="L365" t="b">
        <f>Data_Completeness(MileageData[[#This Row],[MPG]:[Acceleration]])</f>
        <v>1</v>
      </c>
    </row>
    <row r="366" spans="1:12" x14ac:dyDescent="0.25">
      <c r="A366">
        <v>32.9</v>
      </c>
      <c r="B366">
        <v>4</v>
      </c>
      <c r="C366">
        <v>119</v>
      </c>
      <c r="D366">
        <v>100</v>
      </c>
      <c r="E366">
        <v>2615</v>
      </c>
      <c r="F366">
        <v>14.8</v>
      </c>
      <c r="G366">
        <v>81</v>
      </c>
      <c r="H366" t="s">
        <v>1545</v>
      </c>
      <c r="I366" t="s">
        <v>1456</v>
      </c>
      <c r="J366" t="s">
        <v>949</v>
      </c>
      <c r="K366" t="s">
        <v>1457</v>
      </c>
      <c r="L366" t="b">
        <f>Data_Completeness(MileageData[[#This Row],[MPG]:[Acceleration]])</f>
        <v>1</v>
      </c>
    </row>
    <row r="367" spans="1:12" x14ac:dyDescent="0.25">
      <c r="A367">
        <v>31.6</v>
      </c>
      <c r="B367">
        <v>4</v>
      </c>
      <c r="C367">
        <v>120</v>
      </c>
      <c r="D367">
        <v>74</v>
      </c>
      <c r="E367">
        <v>2635</v>
      </c>
      <c r="F367">
        <v>18.3</v>
      </c>
      <c r="G367">
        <v>81</v>
      </c>
      <c r="H367" t="s">
        <v>1545</v>
      </c>
      <c r="I367" t="s">
        <v>1398</v>
      </c>
      <c r="J367" t="s">
        <v>1045</v>
      </c>
      <c r="K367">
        <v>626</v>
      </c>
      <c r="L367" t="b">
        <f>Data_Completeness(MileageData[[#This Row],[MPG]:[Acceleration]])</f>
        <v>1</v>
      </c>
    </row>
    <row r="368" spans="1:12" x14ac:dyDescent="0.25">
      <c r="A368">
        <v>28.1</v>
      </c>
      <c r="B368">
        <v>4</v>
      </c>
      <c r="C368">
        <v>141</v>
      </c>
      <c r="D368">
        <v>80</v>
      </c>
      <c r="E368">
        <v>3230</v>
      </c>
      <c r="F368">
        <v>20.399999999999999</v>
      </c>
      <c r="G368">
        <v>81</v>
      </c>
      <c r="H368" t="s">
        <v>1544</v>
      </c>
      <c r="I368" t="s">
        <v>1458</v>
      </c>
      <c r="J368" t="s">
        <v>955</v>
      </c>
      <c r="K368" t="s">
        <v>1459</v>
      </c>
      <c r="L368" t="b">
        <f>Data_Completeness(MileageData[[#This Row],[MPG]:[Acceleration]])</f>
        <v>1</v>
      </c>
    </row>
    <row r="369" spans="1:12" x14ac:dyDescent="0.25">
      <c r="B369">
        <v>4</v>
      </c>
      <c r="C369">
        <v>121</v>
      </c>
      <c r="D369">
        <v>110</v>
      </c>
      <c r="E369">
        <v>2800</v>
      </c>
      <c r="F369">
        <v>15.4</v>
      </c>
      <c r="G369">
        <v>81</v>
      </c>
      <c r="H369" t="s">
        <v>1544</v>
      </c>
      <c r="I369" t="s">
        <v>1460</v>
      </c>
      <c r="J369" t="s">
        <v>960</v>
      </c>
      <c r="K369" t="s">
        <v>1461</v>
      </c>
      <c r="L369" t="b">
        <f>Data_Completeness(MileageData[[#This Row],[MPG]:[Acceleration]])</f>
        <v>0</v>
      </c>
    </row>
    <row r="370" spans="1:12" x14ac:dyDescent="0.25">
      <c r="A370">
        <v>30.7</v>
      </c>
      <c r="B370">
        <v>6</v>
      </c>
      <c r="C370">
        <v>145</v>
      </c>
      <c r="D370">
        <v>76</v>
      </c>
      <c r="E370">
        <v>3160</v>
      </c>
      <c r="F370">
        <v>19.600000000000001</v>
      </c>
      <c r="G370">
        <v>81</v>
      </c>
      <c r="H370" t="s">
        <v>1544</v>
      </c>
      <c r="I370" t="s">
        <v>1462</v>
      </c>
      <c r="J370" t="s">
        <v>1054</v>
      </c>
      <c r="K370" t="s">
        <v>1463</v>
      </c>
      <c r="L370" t="b">
        <f>Data_Completeness(MileageData[[#This Row],[MPG]:[Acceleration]])</f>
        <v>1</v>
      </c>
    </row>
    <row r="371" spans="1:12" x14ac:dyDescent="0.25">
      <c r="A371">
        <v>25.4</v>
      </c>
      <c r="B371">
        <v>6</v>
      </c>
      <c r="C371">
        <v>168</v>
      </c>
      <c r="D371">
        <v>116</v>
      </c>
      <c r="E371">
        <v>2900</v>
      </c>
      <c r="F371">
        <v>12.6</v>
      </c>
      <c r="G371">
        <v>81</v>
      </c>
      <c r="H371" t="s">
        <v>1545</v>
      </c>
      <c r="I371" t="s">
        <v>1464</v>
      </c>
      <c r="J371" t="s">
        <v>940</v>
      </c>
      <c r="K371" t="s">
        <v>1465</v>
      </c>
      <c r="L371" t="b">
        <f>Data_Completeness(MileageData[[#This Row],[MPG]:[Acceleration]])</f>
        <v>1</v>
      </c>
    </row>
    <row r="372" spans="1:12" x14ac:dyDescent="0.25">
      <c r="A372">
        <v>24.2</v>
      </c>
      <c r="B372">
        <v>6</v>
      </c>
      <c r="C372">
        <v>146</v>
      </c>
      <c r="D372">
        <v>120</v>
      </c>
      <c r="E372">
        <v>2930</v>
      </c>
      <c r="F372">
        <v>13.8</v>
      </c>
      <c r="G372">
        <v>81</v>
      </c>
      <c r="H372" t="s">
        <v>1545</v>
      </c>
      <c r="I372" t="s">
        <v>1466</v>
      </c>
      <c r="J372" t="s">
        <v>949</v>
      </c>
      <c r="K372" t="s">
        <v>1467</v>
      </c>
      <c r="L372" t="b">
        <f>Data_Completeness(MileageData[[#This Row],[MPG]:[Acceleration]])</f>
        <v>1</v>
      </c>
    </row>
    <row r="373" spans="1:12" x14ac:dyDescent="0.25">
      <c r="A373">
        <v>22.4</v>
      </c>
      <c r="B373">
        <v>6</v>
      </c>
      <c r="C373">
        <v>231</v>
      </c>
      <c r="D373">
        <v>110</v>
      </c>
      <c r="E373">
        <v>3415</v>
      </c>
      <c r="F373">
        <v>15.8</v>
      </c>
      <c r="G373">
        <v>81</v>
      </c>
      <c r="H373" t="s">
        <v>1543</v>
      </c>
      <c r="I373" t="s">
        <v>1172</v>
      </c>
      <c r="J373" t="s">
        <v>896</v>
      </c>
      <c r="K373" t="s">
        <v>1173</v>
      </c>
      <c r="L373" t="b">
        <f>Data_Completeness(MileageData[[#This Row],[MPG]:[Acceleration]])</f>
        <v>1</v>
      </c>
    </row>
    <row r="374" spans="1:12" x14ac:dyDescent="0.25">
      <c r="A374">
        <v>26.6</v>
      </c>
      <c r="B374">
        <v>8</v>
      </c>
      <c r="C374">
        <v>350</v>
      </c>
      <c r="D374">
        <v>105</v>
      </c>
      <c r="E374">
        <v>3725</v>
      </c>
      <c r="F374">
        <v>19</v>
      </c>
      <c r="G374">
        <v>81</v>
      </c>
      <c r="H374" t="s">
        <v>1543</v>
      </c>
      <c r="I374" t="s">
        <v>1468</v>
      </c>
      <c r="J374" t="s">
        <v>1039</v>
      </c>
      <c r="K374" t="s">
        <v>1469</v>
      </c>
      <c r="L374" t="b">
        <f>Data_Completeness(MileageData[[#This Row],[MPG]:[Acceleration]])</f>
        <v>1</v>
      </c>
    </row>
    <row r="375" spans="1:12" x14ac:dyDescent="0.25">
      <c r="A375">
        <v>20.2</v>
      </c>
      <c r="B375">
        <v>6</v>
      </c>
      <c r="C375">
        <v>200</v>
      </c>
      <c r="D375">
        <v>88</v>
      </c>
      <c r="E375">
        <v>3060</v>
      </c>
      <c r="F375">
        <v>17.100000000000001</v>
      </c>
      <c r="G375">
        <v>81</v>
      </c>
      <c r="H375" t="s">
        <v>1543</v>
      </c>
      <c r="I375" t="s">
        <v>1470</v>
      </c>
      <c r="J375" t="s">
        <v>905</v>
      </c>
      <c r="K375" t="s">
        <v>1471</v>
      </c>
      <c r="L375" t="b">
        <f>Data_Completeness(MileageData[[#This Row],[MPG]:[Acceleration]])</f>
        <v>1</v>
      </c>
    </row>
    <row r="376" spans="1:12" x14ac:dyDescent="0.25">
      <c r="A376">
        <v>17.600000000000001</v>
      </c>
      <c r="B376">
        <v>6</v>
      </c>
      <c r="C376">
        <v>225</v>
      </c>
      <c r="D376">
        <v>85</v>
      </c>
      <c r="E376">
        <v>3465</v>
      </c>
      <c r="F376">
        <v>16.600000000000001</v>
      </c>
      <c r="G376">
        <v>81</v>
      </c>
      <c r="H376" t="s">
        <v>1543</v>
      </c>
      <c r="I376" t="s">
        <v>1472</v>
      </c>
      <c r="J376" t="s">
        <v>1042</v>
      </c>
      <c r="K376" t="s">
        <v>1473</v>
      </c>
      <c r="L376" t="b">
        <f>Data_Completeness(MileageData[[#This Row],[MPG]:[Acceleration]])</f>
        <v>1</v>
      </c>
    </row>
    <row r="377" spans="1:12" x14ac:dyDescent="0.25">
      <c r="A377">
        <v>28</v>
      </c>
      <c r="B377">
        <v>4</v>
      </c>
      <c r="C377">
        <v>112</v>
      </c>
      <c r="D377">
        <v>88</v>
      </c>
      <c r="E377">
        <v>2605</v>
      </c>
      <c r="F377">
        <v>19.600000000000001</v>
      </c>
      <c r="G377">
        <v>82</v>
      </c>
      <c r="H377" t="s">
        <v>1543</v>
      </c>
      <c r="I377" t="s">
        <v>1474</v>
      </c>
      <c r="J377" t="s">
        <v>893</v>
      </c>
      <c r="K377" t="s">
        <v>1475</v>
      </c>
      <c r="L377" t="b">
        <f>Data_Completeness(MileageData[[#This Row],[MPG]:[Acceleration]])</f>
        <v>1</v>
      </c>
    </row>
    <row r="378" spans="1:12" x14ac:dyDescent="0.25">
      <c r="A378">
        <v>27</v>
      </c>
      <c r="B378">
        <v>4</v>
      </c>
      <c r="C378">
        <v>112</v>
      </c>
      <c r="D378">
        <v>88</v>
      </c>
      <c r="E378">
        <v>2640</v>
      </c>
      <c r="F378">
        <v>18.600000000000001</v>
      </c>
      <c r="G378">
        <v>82</v>
      </c>
      <c r="H378" t="s">
        <v>1543</v>
      </c>
      <c r="I378" t="s">
        <v>1476</v>
      </c>
      <c r="J378" t="s">
        <v>893</v>
      </c>
      <c r="K378" t="s">
        <v>1477</v>
      </c>
      <c r="L378" t="b">
        <f>Data_Completeness(MileageData[[#This Row],[MPG]:[Acceleration]])</f>
        <v>1</v>
      </c>
    </row>
    <row r="379" spans="1:12" x14ac:dyDescent="0.25">
      <c r="A379">
        <v>34</v>
      </c>
      <c r="B379">
        <v>4</v>
      </c>
      <c r="C379">
        <v>112</v>
      </c>
      <c r="D379">
        <v>88</v>
      </c>
      <c r="E379">
        <v>2395</v>
      </c>
      <c r="F379">
        <v>18</v>
      </c>
      <c r="G379">
        <v>82</v>
      </c>
      <c r="H379" t="s">
        <v>1543</v>
      </c>
      <c r="I379" t="s">
        <v>1478</v>
      </c>
      <c r="J379" t="s">
        <v>893</v>
      </c>
      <c r="K379" t="s">
        <v>1479</v>
      </c>
      <c r="L379" t="b">
        <f>Data_Completeness(MileageData[[#This Row],[MPG]:[Acceleration]])</f>
        <v>1</v>
      </c>
    </row>
    <row r="380" spans="1:12" x14ac:dyDescent="0.25">
      <c r="A380">
        <v>31</v>
      </c>
      <c r="B380">
        <v>4</v>
      </c>
      <c r="C380">
        <v>112</v>
      </c>
      <c r="D380">
        <v>85</v>
      </c>
      <c r="E380">
        <v>2575</v>
      </c>
      <c r="F380">
        <v>16.2</v>
      </c>
      <c r="G380">
        <v>82</v>
      </c>
      <c r="H380" t="s">
        <v>1543</v>
      </c>
      <c r="I380" t="s">
        <v>1480</v>
      </c>
      <c r="J380" t="s">
        <v>914</v>
      </c>
      <c r="K380" t="s">
        <v>1481</v>
      </c>
      <c r="L380" t="b">
        <f>Data_Completeness(MileageData[[#This Row],[MPG]:[Acceleration]])</f>
        <v>1</v>
      </c>
    </row>
    <row r="381" spans="1:12" x14ac:dyDescent="0.25">
      <c r="A381">
        <v>29</v>
      </c>
      <c r="B381">
        <v>4</v>
      </c>
      <c r="C381">
        <v>135</v>
      </c>
      <c r="D381">
        <v>84</v>
      </c>
      <c r="E381">
        <v>2525</v>
      </c>
      <c r="F381">
        <v>16</v>
      </c>
      <c r="G381">
        <v>82</v>
      </c>
      <c r="H381" t="s">
        <v>1543</v>
      </c>
      <c r="I381" t="s">
        <v>1482</v>
      </c>
      <c r="J381" t="s">
        <v>930</v>
      </c>
      <c r="K381" t="s">
        <v>1483</v>
      </c>
      <c r="L381" t="b">
        <f>Data_Completeness(MileageData[[#This Row],[MPG]:[Acceleration]])</f>
        <v>1</v>
      </c>
    </row>
    <row r="382" spans="1:12" x14ac:dyDescent="0.25">
      <c r="A382">
        <v>27</v>
      </c>
      <c r="B382">
        <v>4</v>
      </c>
      <c r="C382">
        <v>151</v>
      </c>
      <c r="D382">
        <v>90</v>
      </c>
      <c r="E382">
        <v>2735</v>
      </c>
      <c r="F382">
        <v>18</v>
      </c>
      <c r="G382">
        <v>82</v>
      </c>
      <c r="H382" t="s">
        <v>1543</v>
      </c>
      <c r="I382" t="s">
        <v>1388</v>
      </c>
      <c r="J382" t="s">
        <v>914</v>
      </c>
      <c r="K382" t="s">
        <v>1389</v>
      </c>
      <c r="L382" t="b">
        <f>Data_Completeness(MileageData[[#This Row],[MPG]:[Acceleration]])</f>
        <v>1</v>
      </c>
    </row>
    <row r="383" spans="1:12" x14ac:dyDescent="0.25">
      <c r="A383">
        <v>24</v>
      </c>
      <c r="B383">
        <v>4</v>
      </c>
      <c r="C383">
        <v>140</v>
      </c>
      <c r="D383">
        <v>92</v>
      </c>
      <c r="E383">
        <v>2865</v>
      </c>
      <c r="F383">
        <v>16.399999999999999</v>
      </c>
      <c r="G383">
        <v>82</v>
      </c>
      <c r="H383" t="s">
        <v>1543</v>
      </c>
      <c r="I383" t="s">
        <v>1484</v>
      </c>
      <c r="J383" t="s">
        <v>905</v>
      </c>
      <c r="K383" t="s">
        <v>1485</v>
      </c>
      <c r="L383" t="b">
        <f>Data_Completeness(MileageData[[#This Row],[MPG]:[Acceleration]])</f>
        <v>1</v>
      </c>
    </row>
    <row r="384" spans="1:12" x14ac:dyDescent="0.25">
      <c r="A384">
        <v>23</v>
      </c>
      <c r="B384">
        <v>4</v>
      </c>
      <c r="C384">
        <v>151</v>
      </c>
      <c r="E384">
        <v>3035</v>
      </c>
      <c r="F384">
        <v>20.5</v>
      </c>
      <c r="G384">
        <v>82</v>
      </c>
      <c r="H384" t="s">
        <v>1543</v>
      </c>
      <c r="I384" t="s">
        <v>1486</v>
      </c>
      <c r="J384" t="s">
        <v>902</v>
      </c>
      <c r="K384" t="s">
        <v>1487</v>
      </c>
      <c r="L384" t="b">
        <f>Data_Completeness(MileageData[[#This Row],[MPG]:[Acceleration]])</f>
        <v>0</v>
      </c>
    </row>
    <row r="385" spans="1:12" x14ac:dyDescent="0.25">
      <c r="A385">
        <v>36</v>
      </c>
      <c r="B385">
        <v>4</v>
      </c>
      <c r="C385">
        <v>105</v>
      </c>
      <c r="D385">
        <v>74</v>
      </c>
      <c r="E385">
        <v>1980</v>
      </c>
      <c r="F385">
        <v>15.3</v>
      </c>
      <c r="G385">
        <v>82</v>
      </c>
      <c r="H385" t="s">
        <v>1544</v>
      </c>
      <c r="I385" t="s">
        <v>1488</v>
      </c>
      <c r="J385" t="s">
        <v>952</v>
      </c>
      <c r="K385" t="s">
        <v>1489</v>
      </c>
      <c r="L385" t="b">
        <f>Data_Completeness(MileageData[[#This Row],[MPG]:[Acceleration]])</f>
        <v>1</v>
      </c>
    </row>
    <row r="386" spans="1:12" x14ac:dyDescent="0.25">
      <c r="A386">
        <v>37</v>
      </c>
      <c r="B386">
        <v>4</v>
      </c>
      <c r="C386">
        <v>91</v>
      </c>
      <c r="D386">
        <v>68</v>
      </c>
      <c r="E386">
        <v>2025</v>
      </c>
      <c r="F386">
        <v>18.2</v>
      </c>
      <c r="G386">
        <v>82</v>
      </c>
      <c r="H386" t="s">
        <v>1545</v>
      </c>
      <c r="I386" t="s">
        <v>1490</v>
      </c>
      <c r="J386" t="s">
        <v>1045</v>
      </c>
      <c r="K386" t="s">
        <v>1491</v>
      </c>
      <c r="L386" t="b">
        <f>Data_Completeness(MileageData[[#This Row],[MPG]:[Acceleration]])</f>
        <v>1</v>
      </c>
    </row>
    <row r="387" spans="1:12" x14ac:dyDescent="0.25">
      <c r="A387">
        <v>31</v>
      </c>
      <c r="B387">
        <v>4</v>
      </c>
      <c r="C387">
        <v>91</v>
      </c>
      <c r="D387">
        <v>68</v>
      </c>
      <c r="E387">
        <v>1970</v>
      </c>
      <c r="F387">
        <v>17.600000000000001</v>
      </c>
      <c r="G387">
        <v>82</v>
      </c>
      <c r="H387" t="s">
        <v>1545</v>
      </c>
      <c r="I387" t="s">
        <v>1492</v>
      </c>
      <c r="J387" t="s">
        <v>1045</v>
      </c>
      <c r="K387" t="s">
        <v>1493</v>
      </c>
      <c r="L387" t="b">
        <f>Data_Completeness(MileageData[[#This Row],[MPG]:[Acceleration]])</f>
        <v>1</v>
      </c>
    </row>
    <row r="388" spans="1:12" x14ac:dyDescent="0.25">
      <c r="A388">
        <v>38</v>
      </c>
      <c r="B388">
        <v>4</v>
      </c>
      <c r="C388">
        <v>105</v>
      </c>
      <c r="D388">
        <v>63</v>
      </c>
      <c r="E388">
        <v>2125</v>
      </c>
      <c r="F388">
        <v>14.7</v>
      </c>
      <c r="G388">
        <v>82</v>
      </c>
      <c r="H388" t="s">
        <v>1543</v>
      </c>
      <c r="I388" t="s">
        <v>1494</v>
      </c>
      <c r="J388" t="s">
        <v>899</v>
      </c>
      <c r="K388" t="s">
        <v>1495</v>
      </c>
      <c r="L388" t="b">
        <f>Data_Completeness(MileageData[[#This Row],[MPG]:[Acceleration]])</f>
        <v>1</v>
      </c>
    </row>
    <row r="389" spans="1:12" x14ac:dyDescent="0.25">
      <c r="A389">
        <v>36</v>
      </c>
      <c r="B389">
        <v>4</v>
      </c>
      <c r="C389">
        <v>98</v>
      </c>
      <c r="D389">
        <v>70</v>
      </c>
      <c r="E389">
        <v>2125</v>
      </c>
      <c r="F389">
        <v>17.3</v>
      </c>
      <c r="G389">
        <v>82</v>
      </c>
      <c r="H389" t="s">
        <v>1543</v>
      </c>
      <c r="I389" t="s">
        <v>1496</v>
      </c>
      <c r="J389" t="s">
        <v>1007</v>
      </c>
      <c r="K389" t="s">
        <v>1497</v>
      </c>
      <c r="L389" t="b">
        <f>Data_Completeness(MileageData[[#This Row],[MPG]:[Acceleration]])</f>
        <v>1</v>
      </c>
    </row>
    <row r="390" spans="1:12" x14ac:dyDescent="0.25">
      <c r="A390">
        <v>36</v>
      </c>
      <c r="B390">
        <v>4</v>
      </c>
      <c r="C390">
        <v>120</v>
      </c>
      <c r="D390">
        <v>88</v>
      </c>
      <c r="E390">
        <v>2160</v>
      </c>
      <c r="F390">
        <v>14.5</v>
      </c>
      <c r="G390">
        <v>82</v>
      </c>
      <c r="H390" t="s">
        <v>1545</v>
      </c>
      <c r="I390" t="s">
        <v>1498</v>
      </c>
      <c r="J390" t="s">
        <v>1499</v>
      </c>
      <c r="K390" t="s">
        <v>1500</v>
      </c>
      <c r="L390" t="b">
        <f>Data_Completeness(MileageData[[#This Row],[MPG]:[Acceleration]])</f>
        <v>1</v>
      </c>
    </row>
    <row r="391" spans="1:12" x14ac:dyDescent="0.25">
      <c r="A391">
        <v>36</v>
      </c>
      <c r="B391">
        <v>4</v>
      </c>
      <c r="C391">
        <v>107</v>
      </c>
      <c r="D391">
        <v>75</v>
      </c>
      <c r="E391">
        <v>2205</v>
      </c>
      <c r="F391">
        <v>14.5</v>
      </c>
      <c r="G391">
        <v>82</v>
      </c>
      <c r="H391" t="s">
        <v>1545</v>
      </c>
      <c r="I391" t="s">
        <v>1426</v>
      </c>
      <c r="J391" t="s">
        <v>1159</v>
      </c>
      <c r="K391" t="s">
        <v>1427</v>
      </c>
      <c r="L391" t="b">
        <f>Data_Completeness(MileageData[[#This Row],[MPG]:[Acceleration]])</f>
        <v>1</v>
      </c>
    </row>
    <row r="392" spans="1:12" x14ac:dyDescent="0.25">
      <c r="A392">
        <v>34</v>
      </c>
      <c r="B392">
        <v>4</v>
      </c>
      <c r="C392">
        <v>108</v>
      </c>
      <c r="D392">
        <v>70</v>
      </c>
      <c r="E392">
        <v>2245</v>
      </c>
      <c r="F392">
        <v>16.899999999999999</v>
      </c>
      <c r="G392">
        <v>82</v>
      </c>
      <c r="H392" t="s">
        <v>1545</v>
      </c>
      <c r="I392" t="s">
        <v>1184</v>
      </c>
      <c r="J392" t="s">
        <v>940</v>
      </c>
      <c r="K392" t="s">
        <v>1185</v>
      </c>
      <c r="L392" t="b">
        <f>Data_Completeness(MileageData[[#This Row],[MPG]:[Acceleration]])</f>
        <v>1</v>
      </c>
    </row>
    <row r="393" spans="1:12" x14ac:dyDescent="0.25">
      <c r="A393">
        <v>38</v>
      </c>
      <c r="B393">
        <v>4</v>
      </c>
      <c r="C393">
        <v>91</v>
      </c>
      <c r="D393">
        <v>67</v>
      </c>
      <c r="E393">
        <v>1965</v>
      </c>
      <c r="F393">
        <v>15</v>
      </c>
      <c r="G393">
        <v>82</v>
      </c>
      <c r="H393" t="s">
        <v>1545</v>
      </c>
      <c r="I393" t="s">
        <v>1158</v>
      </c>
      <c r="J393" t="s">
        <v>1159</v>
      </c>
      <c r="K393" t="s">
        <v>1160</v>
      </c>
      <c r="L393" t="b">
        <f>Data_Completeness(MileageData[[#This Row],[MPG]:[Acceleration]])</f>
        <v>1</v>
      </c>
    </row>
    <row r="394" spans="1:12" x14ac:dyDescent="0.25">
      <c r="A394">
        <v>32</v>
      </c>
      <c r="B394">
        <v>4</v>
      </c>
      <c r="C394">
        <v>91</v>
      </c>
      <c r="D394">
        <v>67</v>
      </c>
      <c r="E394">
        <v>1965</v>
      </c>
      <c r="F394">
        <v>15.7</v>
      </c>
      <c r="G394">
        <v>82</v>
      </c>
      <c r="H394" t="s">
        <v>1545</v>
      </c>
      <c r="I394" t="s">
        <v>1501</v>
      </c>
      <c r="J394" t="s">
        <v>1159</v>
      </c>
      <c r="K394" t="s">
        <v>1502</v>
      </c>
      <c r="L394" t="b">
        <f>Data_Completeness(MileageData[[#This Row],[MPG]:[Acceleration]])</f>
        <v>1</v>
      </c>
    </row>
    <row r="395" spans="1:12" x14ac:dyDescent="0.25">
      <c r="A395">
        <v>38</v>
      </c>
      <c r="B395">
        <v>4</v>
      </c>
      <c r="C395">
        <v>91</v>
      </c>
      <c r="D395">
        <v>67</v>
      </c>
      <c r="E395">
        <v>1995</v>
      </c>
      <c r="F395">
        <v>16.2</v>
      </c>
      <c r="G395">
        <v>82</v>
      </c>
      <c r="H395" t="s">
        <v>1545</v>
      </c>
      <c r="I395" t="s">
        <v>1503</v>
      </c>
      <c r="J395" t="s">
        <v>949</v>
      </c>
      <c r="K395" t="s">
        <v>1504</v>
      </c>
      <c r="L395" t="b">
        <f>Data_Completeness(MileageData[[#This Row],[MPG]:[Acceleration]])</f>
        <v>1</v>
      </c>
    </row>
    <row r="396" spans="1:12" x14ac:dyDescent="0.25">
      <c r="A396">
        <v>25</v>
      </c>
      <c r="B396">
        <v>6</v>
      </c>
      <c r="C396">
        <v>181</v>
      </c>
      <c r="D396">
        <v>110</v>
      </c>
      <c r="E396">
        <v>2945</v>
      </c>
      <c r="F396">
        <v>16.399999999999999</v>
      </c>
      <c r="G396">
        <v>82</v>
      </c>
      <c r="H396" t="s">
        <v>1543</v>
      </c>
      <c r="I396" t="s">
        <v>1505</v>
      </c>
      <c r="J396" t="s">
        <v>896</v>
      </c>
      <c r="K396" t="s">
        <v>1506</v>
      </c>
      <c r="L396" t="b">
        <f>Data_Completeness(MileageData[[#This Row],[MPG]:[Acceleration]])</f>
        <v>1</v>
      </c>
    </row>
    <row r="397" spans="1:12" x14ac:dyDescent="0.25">
      <c r="A397">
        <v>38</v>
      </c>
      <c r="B397">
        <v>6</v>
      </c>
      <c r="C397">
        <v>262</v>
      </c>
      <c r="D397">
        <v>85</v>
      </c>
      <c r="E397">
        <v>3015</v>
      </c>
      <c r="F397">
        <v>17</v>
      </c>
      <c r="G397">
        <v>82</v>
      </c>
      <c r="H397" t="s">
        <v>1543</v>
      </c>
      <c r="I397" t="s">
        <v>1507</v>
      </c>
      <c r="J397" t="s">
        <v>1039</v>
      </c>
      <c r="K397" t="s">
        <v>1508</v>
      </c>
      <c r="L397" t="b">
        <f>Data_Completeness(MileageData[[#This Row],[MPG]:[Acceleration]])</f>
        <v>1</v>
      </c>
    </row>
    <row r="398" spans="1:12" x14ac:dyDescent="0.25">
      <c r="A398">
        <v>26</v>
      </c>
      <c r="B398">
        <v>4</v>
      </c>
      <c r="C398">
        <v>156</v>
      </c>
      <c r="D398">
        <v>92</v>
      </c>
      <c r="E398">
        <v>2585</v>
      </c>
      <c r="F398">
        <v>14.5</v>
      </c>
      <c r="G398">
        <v>82</v>
      </c>
      <c r="H398" t="s">
        <v>1543</v>
      </c>
      <c r="I398" t="s">
        <v>1509</v>
      </c>
      <c r="J398" t="s">
        <v>1042</v>
      </c>
      <c r="K398" t="s">
        <v>1510</v>
      </c>
      <c r="L398" t="b">
        <f>Data_Completeness(MileageData[[#This Row],[MPG]:[Acceleration]])</f>
        <v>1</v>
      </c>
    </row>
    <row r="399" spans="1:12" x14ac:dyDescent="0.25">
      <c r="A399">
        <v>22</v>
      </c>
      <c r="B399">
        <v>6</v>
      </c>
      <c r="C399">
        <v>232</v>
      </c>
      <c r="D399">
        <v>112</v>
      </c>
      <c r="E399">
        <v>2835</v>
      </c>
      <c r="F399">
        <v>14.7</v>
      </c>
      <c r="G399">
        <v>82</v>
      </c>
      <c r="H399" t="s">
        <v>1543</v>
      </c>
      <c r="I399" t="s">
        <v>1511</v>
      </c>
      <c r="J399" t="s">
        <v>905</v>
      </c>
      <c r="K399" t="s">
        <v>1512</v>
      </c>
      <c r="L399" t="b">
        <f>Data_Completeness(MileageData[[#This Row],[MPG]:[Acceleration]])</f>
        <v>1</v>
      </c>
    </row>
    <row r="400" spans="1:12" x14ac:dyDescent="0.25">
      <c r="A400">
        <v>32</v>
      </c>
      <c r="B400">
        <v>4</v>
      </c>
      <c r="C400">
        <v>144</v>
      </c>
      <c r="D400">
        <v>96</v>
      </c>
      <c r="E400">
        <v>2665</v>
      </c>
      <c r="F400">
        <v>13.9</v>
      </c>
      <c r="G400">
        <v>82</v>
      </c>
      <c r="H400" t="s">
        <v>1545</v>
      </c>
      <c r="I400" t="s">
        <v>1513</v>
      </c>
      <c r="J400" t="s">
        <v>940</v>
      </c>
      <c r="K400" t="s">
        <v>1514</v>
      </c>
      <c r="L400" t="b">
        <f>Data_Completeness(MileageData[[#This Row],[MPG]:[Acceleration]])</f>
        <v>1</v>
      </c>
    </row>
    <row r="401" spans="1:12" x14ac:dyDescent="0.25">
      <c r="A401">
        <v>36</v>
      </c>
      <c r="B401">
        <v>4</v>
      </c>
      <c r="C401">
        <v>135</v>
      </c>
      <c r="D401">
        <v>84</v>
      </c>
      <c r="E401">
        <v>2370</v>
      </c>
      <c r="F401">
        <v>13</v>
      </c>
      <c r="G401">
        <v>82</v>
      </c>
      <c r="H401" t="s">
        <v>1543</v>
      </c>
      <c r="I401" t="s">
        <v>1515</v>
      </c>
      <c r="J401" t="s">
        <v>930</v>
      </c>
      <c r="K401" t="s">
        <v>1516</v>
      </c>
      <c r="L401" t="b">
        <f>Data_Completeness(MileageData[[#This Row],[MPG]:[Acceleration]])</f>
        <v>1</v>
      </c>
    </row>
    <row r="402" spans="1:12" x14ac:dyDescent="0.25">
      <c r="A402">
        <v>27</v>
      </c>
      <c r="B402">
        <v>4</v>
      </c>
      <c r="C402">
        <v>151</v>
      </c>
      <c r="D402">
        <v>90</v>
      </c>
      <c r="E402">
        <v>2950</v>
      </c>
      <c r="F402">
        <v>17.3</v>
      </c>
      <c r="G402">
        <v>82</v>
      </c>
      <c r="H402" t="s">
        <v>1543</v>
      </c>
      <c r="I402" t="s">
        <v>1517</v>
      </c>
      <c r="J402" t="s">
        <v>893</v>
      </c>
      <c r="K402" t="s">
        <v>1518</v>
      </c>
      <c r="L402" t="b">
        <f>Data_Completeness(MileageData[[#This Row],[MPG]:[Acceleration]])</f>
        <v>1</v>
      </c>
    </row>
    <row r="403" spans="1:12" x14ac:dyDescent="0.25">
      <c r="A403">
        <v>27</v>
      </c>
      <c r="B403">
        <v>4</v>
      </c>
      <c r="C403">
        <v>140</v>
      </c>
      <c r="D403">
        <v>86</v>
      </c>
      <c r="E403">
        <v>2790</v>
      </c>
      <c r="F403">
        <v>15.6</v>
      </c>
      <c r="G403">
        <v>82</v>
      </c>
      <c r="H403" t="s">
        <v>1543</v>
      </c>
      <c r="I403" t="s">
        <v>1519</v>
      </c>
      <c r="J403" t="s">
        <v>905</v>
      </c>
      <c r="K403" t="s">
        <v>1520</v>
      </c>
      <c r="L403" t="b">
        <f>Data_Completeness(MileageData[[#This Row],[MPG]:[Acceleration]])</f>
        <v>1</v>
      </c>
    </row>
    <row r="404" spans="1:12" x14ac:dyDescent="0.25">
      <c r="A404">
        <v>44</v>
      </c>
      <c r="B404">
        <v>4</v>
      </c>
      <c r="C404">
        <v>97</v>
      </c>
      <c r="D404">
        <v>52</v>
      </c>
      <c r="E404">
        <v>2130</v>
      </c>
      <c r="F404">
        <v>24.6</v>
      </c>
      <c r="G404">
        <v>82</v>
      </c>
      <c r="H404" t="s">
        <v>1544</v>
      </c>
      <c r="I404" t="s">
        <v>1521</v>
      </c>
      <c r="J404" t="s">
        <v>1209</v>
      </c>
      <c r="K404" t="s">
        <v>1522</v>
      </c>
      <c r="L404" t="b">
        <f>Data_Completeness(MileageData[[#This Row],[MPG]:[Acceleration]])</f>
        <v>1</v>
      </c>
    </row>
    <row r="405" spans="1:12" x14ac:dyDescent="0.25">
      <c r="A405">
        <v>32</v>
      </c>
      <c r="B405">
        <v>4</v>
      </c>
      <c r="C405">
        <v>135</v>
      </c>
      <c r="D405">
        <v>84</v>
      </c>
      <c r="E405">
        <v>2295</v>
      </c>
      <c r="F405">
        <v>11.6</v>
      </c>
      <c r="G405">
        <v>82</v>
      </c>
      <c r="H405" t="s">
        <v>1543</v>
      </c>
      <c r="I405" t="s">
        <v>1523</v>
      </c>
      <c r="J405" t="s">
        <v>930</v>
      </c>
      <c r="K405" t="s">
        <v>1524</v>
      </c>
      <c r="L405" t="b">
        <f>Data_Completeness(MileageData[[#This Row],[MPG]:[Acceleration]])</f>
        <v>1</v>
      </c>
    </row>
    <row r="406" spans="1:12" x14ac:dyDescent="0.25">
      <c r="A406">
        <v>28</v>
      </c>
      <c r="B406">
        <v>4</v>
      </c>
      <c r="C406">
        <v>120</v>
      </c>
      <c r="D406">
        <v>79</v>
      </c>
      <c r="E406">
        <v>2625</v>
      </c>
      <c r="F406">
        <v>18.600000000000001</v>
      </c>
      <c r="G406">
        <v>82</v>
      </c>
      <c r="H406" t="s">
        <v>1543</v>
      </c>
      <c r="I406" t="s">
        <v>1525</v>
      </c>
      <c r="J406" t="s">
        <v>905</v>
      </c>
      <c r="K406" t="s">
        <v>1526</v>
      </c>
      <c r="L406" t="b">
        <f>Data_Completeness(MileageData[[#This Row],[MPG]:[Acceleration]])</f>
        <v>1</v>
      </c>
    </row>
    <row r="407" spans="1:12" x14ac:dyDescent="0.25">
      <c r="A407">
        <v>31</v>
      </c>
      <c r="B407">
        <v>4</v>
      </c>
      <c r="C407">
        <v>119</v>
      </c>
      <c r="D407">
        <v>82</v>
      </c>
      <c r="E407">
        <v>2720</v>
      </c>
      <c r="F407">
        <v>19.399999999999999</v>
      </c>
      <c r="G407">
        <v>82</v>
      </c>
      <c r="H407" t="s">
        <v>1543</v>
      </c>
      <c r="I407" t="s">
        <v>1527</v>
      </c>
      <c r="J407" t="s">
        <v>969</v>
      </c>
      <c r="K407" t="s">
        <v>1528</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296</v>
      </c>
      <c r="B1" t="s">
        <v>297</v>
      </c>
      <c r="C1" t="s">
        <v>298</v>
      </c>
      <c r="D1" t="s">
        <v>299</v>
      </c>
      <c r="E1" t="s">
        <v>300</v>
      </c>
      <c r="F1" t="s">
        <v>301</v>
      </c>
      <c r="G1" t="s">
        <v>302</v>
      </c>
      <c r="H1" t="s">
        <v>303</v>
      </c>
      <c r="I1" t="s">
        <v>304</v>
      </c>
      <c r="J1" t="s">
        <v>305</v>
      </c>
      <c r="K1" t="s">
        <v>306</v>
      </c>
      <c r="L1" t="s">
        <v>307</v>
      </c>
      <c r="M1" t="s">
        <v>308</v>
      </c>
      <c r="N1" t="s">
        <v>309</v>
      </c>
      <c r="O1" t="s">
        <v>310</v>
      </c>
      <c r="P1" t="s">
        <v>311</v>
      </c>
      <c r="Q1" t="s">
        <v>312</v>
      </c>
      <c r="R1" t="s">
        <v>313</v>
      </c>
      <c r="S1" t="s">
        <v>314</v>
      </c>
      <c r="T1" t="s">
        <v>315</v>
      </c>
      <c r="U1" t="s">
        <v>316</v>
      </c>
      <c r="V1" t="s">
        <v>317</v>
      </c>
      <c r="W1" t="s">
        <v>318</v>
      </c>
    </row>
    <row r="2" spans="1:23" x14ac:dyDescent="0.25">
      <c r="A2" t="s">
        <v>319</v>
      </c>
      <c r="B2">
        <v>2015</v>
      </c>
      <c r="C2" t="s">
        <v>320</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319</v>
      </c>
      <c r="B3">
        <v>2014</v>
      </c>
      <c r="C3" t="s">
        <v>320</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319</v>
      </c>
      <c r="B4">
        <v>2013</v>
      </c>
      <c r="C4" t="s">
        <v>320</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319</v>
      </c>
      <c r="B5">
        <v>2012</v>
      </c>
      <c r="C5" t="s">
        <v>320</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319</v>
      </c>
      <c r="B6">
        <v>2011</v>
      </c>
      <c r="C6" t="s">
        <v>320</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319</v>
      </c>
      <c r="B7">
        <v>2010</v>
      </c>
      <c r="C7" t="s">
        <v>320</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319</v>
      </c>
      <c r="B8">
        <v>2009</v>
      </c>
      <c r="C8" t="s">
        <v>320</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319</v>
      </c>
      <c r="B9">
        <v>2008</v>
      </c>
      <c r="C9" t="s">
        <v>320</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319</v>
      </c>
      <c r="B10">
        <v>2007</v>
      </c>
      <c r="C10" t="s">
        <v>320</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319</v>
      </c>
      <c r="B11">
        <v>2006</v>
      </c>
      <c r="C11" t="s">
        <v>320</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319</v>
      </c>
      <c r="B12">
        <v>2005</v>
      </c>
      <c r="C12" t="s">
        <v>320</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319</v>
      </c>
      <c r="B13">
        <v>2004</v>
      </c>
      <c r="C13" t="s">
        <v>320</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319</v>
      </c>
      <c r="B14">
        <v>2003</v>
      </c>
      <c r="C14" t="s">
        <v>320</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319</v>
      </c>
      <c r="B15">
        <v>2002</v>
      </c>
      <c r="C15" t="s">
        <v>320</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319</v>
      </c>
      <c r="B16">
        <v>2001</v>
      </c>
      <c r="C16" t="s">
        <v>320</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319</v>
      </c>
      <c r="B17">
        <v>2000</v>
      </c>
      <c r="C17" t="s">
        <v>320</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321</v>
      </c>
      <c r="B18">
        <v>2015</v>
      </c>
      <c r="C18" t="s">
        <v>320</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321</v>
      </c>
      <c r="B19">
        <v>2014</v>
      </c>
      <c r="C19" t="s">
        <v>320</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321</v>
      </c>
      <c r="B20">
        <v>2013</v>
      </c>
      <c r="C20" t="s">
        <v>320</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321</v>
      </c>
      <c r="B21">
        <v>2012</v>
      </c>
      <c r="C21" t="s">
        <v>320</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321</v>
      </c>
      <c r="B22">
        <v>2011</v>
      </c>
      <c r="C22" t="s">
        <v>320</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321</v>
      </c>
      <c r="B23">
        <v>2010</v>
      </c>
      <c r="C23" t="s">
        <v>320</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321</v>
      </c>
      <c r="B24">
        <v>2009</v>
      </c>
      <c r="C24" t="s">
        <v>320</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321</v>
      </c>
      <c r="B25">
        <v>2008</v>
      </c>
      <c r="C25" t="s">
        <v>320</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321</v>
      </c>
      <c r="B26">
        <v>2007</v>
      </c>
      <c r="C26" t="s">
        <v>320</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321</v>
      </c>
      <c r="B27">
        <v>2006</v>
      </c>
      <c r="C27" t="s">
        <v>320</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321</v>
      </c>
      <c r="B28">
        <v>2005</v>
      </c>
      <c r="C28" t="s">
        <v>320</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321</v>
      </c>
      <c r="B29">
        <v>2004</v>
      </c>
      <c r="C29" t="s">
        <v>320</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321</v>
      </c>
      <c r="B30">
        <v>2003</v>
      </c>
      <c r="C30" t="s">
        <v>320</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321</v>
      </c>
      <c r="B31">
        <v>2002</v>
      </c>
      <c r="C31" t="s">
        <v>320</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321</v>
      </c>
      <c r="B32">
        <v>2001</v>
      </c>
      <c r="C32" t="s">
        <v>320</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321</v>
      </c>
      <c r="B33">
        <v>2000</v>
      </c>
      <c r="C33" t="s">
        <v>320</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322</v>
      </c>
      <c r="B34">
        <v>2015</v>
      </c>
      <c r="C34" t="s">
        <v>320</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322</v>
      </c>
      <c r="B35">
        <v>2014</v>
      </c>
      <c r="C35" t="s">
        <v>320</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322</v>
      </c>
      <c r="B36">
        <v>2013</v>
      </c>
      <c r="C36" t="s">
        <v>320</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322</v>
      </c>
      <c r="B37">
        <v>2012</v>
      </c>
      <c r="C37" t="s">
        <v>320</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322</v>
      </c>
      <c r="B38">
        <v>2011</v>
      </c>
      <c r="C38" t="s">
        <v>320</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322</v>
      </c>
      <c r="B39">
        <v>2010</v>
      </c>
      <c r="C39" t="s">
        <v>320</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322</v>
      </c>
      <c r="B40">
        <v>2009</v>
      </c>
      <c r="C40" t="s">
        <v>320</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322</v>
      </c>
      <c r="B41">
        <v>2008</v>
      </c>
      <c r="C41" t="s">
        <v>320</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322</v>
      </c>
      <c r="B42">
        <v>2007</v>
      </c>
      <c r="C42" t="s">
        <v>320</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322</v>
      </c>
      <c r="B43">
        <v>2006</v>
      </c>
      <c r="C43" t="s">
        <v>320</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322</v>
      </c>
      <c r="B44">
        <v>2005</v>
      </c>
      <c r="C44" t="s">
        <v>320</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322</v>
      </c>
      <c r="B45">
        <v>2004</v>
      </c>
      <c r="C45" t="s">
        <v>320</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322</v>
      </c>
      <c r="B46">
        <v>2003</v>
      </c>
      <c r="C46" t="s">
        <v>320</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322</v>
      </c>
      <c r="B47">
        <v>2002</v>
      </c>
      <c r="C47" t="s">
        <v>320</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322</v>
      </c>
      <c r="B48">
        <v>2001</v>
      </c>
      <c r="C48" t="s">
        <v>320</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322</v>
      </c>
      <c r="B49">
        <v>2000</v>
      </c>
      <c r="C49" t="s">
        <v>320</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323</v>
      </c>
      <c r="B50">
        <v>2015</v>
      </c>
      <c r="C50" t="s">
        <v>320</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323</v>
      </c>
      <c r="B51">
        <v>2014</v>
      </c>
      <c r="C51" t="s">
        <v>320</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323</v>
      </c>
      <c r="B52">
        <v>2013</v>
      </c>
      <c r="C52" t="s">
        <v>320</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323</v>
      </c>
      <c r="B53">
        <v>2012</v>
      </c>
      <c r="C53" t="s">
        <v>320</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323</v>
      </c>
      <c r="B54">
        <v>2011</v>
      </c>
      <c r="C54" t="s">
        <v>320</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323</v>
      </c>
      <c r="B55">
        <v>2010</v>
      </c>
      <c r="C55" t="s">
        <v>320</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323</v>
      </c>
      <c r="B56">
        <v>2009</v>
      </c>
      <c r="C56" t="s">
        <v>320</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323</v>
      </c>
      <c r="B57">
        <v>2008</v>
      </c>
      <c r="C57" t="s">
        <v>320</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323</v>
      </c>
      <c r="B58">
        <v>2007</v>
      </c>
      <c r="C58" t="s">
        <v>320</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323</v>
      </c>
      <c r="B59">
        <v>2006</v>
      </c>
      <c r="C59" t="s">
        <v>320</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323</v>
      </c>
      <c r="B60">
        <v>2005</v>
      </c>
      <c r="C60" t="s">
        <v>320</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323</v>
      </c>
      <c r="B61">
        <v>2004</v>
      </c>
      <c r="C61" t="s">
        <v>320</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323</v>
      </c>
      <c r="B62">
        <v>2003</v>
      </c>
      <c r="C62" t="s">
        <v>320</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323</v>
      </c>
      <c r="B63">
        <v>2002</v>
      </c>
      <c r="C63" t="s">
        <v>320</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323</v>
      </c>
      <c r="B64">
        <v>2001</v>
      </c>
      <c r="C64" t="s">
        <v>320</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323</v>
      </c>
      <c r="B65">
        <v>2000</v>
      </c>
      <c r="C65" t="s">
        <v>320</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324</v>
      </c>
      <c r="B66">
        <v>2015</v>
      </c>
      <c r="C66" t="s">
        <v>320</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324</v>
      </c>
      <c r="B67">
        <v>2014</v>
      </c>
      <c r="C67" t="s">
        <v>320</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324</v>
      </c>
      <c r="B68">
        <v>2013</v>
      </c>
      <c r="C68" t="s">
        <v>320</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324</v>
      </c>
      <c r="B69">
        <v>2012</v>
      </c>
      <c r="C69" t="s">
        <v>320</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324</v>
      </c>
      <c r="B70">
        <v>2011</v>
      </c>
      <c r="C70" t="s">
        <v>320</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324</v>
      </c>
      <c r="B71">
        <v>2010</v>
      </c>
      <c r="C71" t="s">
        <v>320</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324</v>
      </c>
      <c r="B72">
        <v>2009</v>
      </c>
      <c r="C72" t="s">
        <v>320</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324</v>
      </c>
      <c r="B73">
        <v>2008</v>
      </c>
      <c r="C73" t="s">
        <v>320</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324</v>
      </c>
      <c r="B74">
        <v>2007</v>
      </c>
      <c r="C74" t="s">
        <v>320</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324</v>
      </c>
      <c r="B75">
        <v>2006</v>
      </c>
      <c r="C75" t="s">
        <v>320</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324</v>
      </c>
      <c r="B76">
        <v>2005</v>
      </c>
      <c r="C76" t="s">
        <v>320</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324</v>
      </c>
      <c r="B77">
        <v>2004</v>
      </c>
      <c r="C77" t="s">
        <v>320</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324</v>
      </c>
      <c r="B78">
        <v>2003</v>
      </c>
      <c r="C78" t="s">
        <v>320</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324</v>
      </c>
      <c r="B79">
        <v>2002</v>
      </c>
      <c r="C79" t="s">
        <v>320</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324</v>
      </c>
      <c r="B80">
        <v>2001</v>
      </c>
      <c r="C80" t="s">
        <v>320</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324</v>
      </c>
      <c r="B81">
        <v>2000</v>
      </c>
      <c r="C81" t="s">
        <v>320</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325</v>
      </c>
      <c r="B82">
        <v>2015</v>
      </c>
      <c r="C82" t="s">
        <v>320</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325</v>
      </c>
      <c r="B83">
        <v>2014</v>
      </c>
      <c r="C83" t="s">
        <v>320</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325</v>
      </c>
      <c r="B84">
        <v>2013</v>
      </c>
      <c r="C84" t="s">
        <v>320</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325</v>
      </c>
      <c r="B85">
        <v>2012</v>
      </c>
      <c r="C85" t="s">
        <v>320</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325</v>
      </c>
      <c r="B86">
        <v>2011</v>
      </c>
      <c r="C86" t="s">
        <v>320</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325</v>
      </c>
      <c r="B87">
        <v>2010</v>
      </c>
      <c r="C87" t="s">
        <v>320</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325</v>
      </c>
      <c r="B88">
        <v>2009</v>
      </c>
      <c r="C88" t="s">
        <v>320</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325</v>
      </c>
      <c r="B89">
        <v>2008</v>
      </c>
      <c r="C89" t="s">
        <v>320</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325</v>
      </c>
      <c r="B90">
        <v>2007</v>
      </c>
      <c r="C90" t="s">
        <v>320</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325</v>
      </c>
      <c r="B91">
        <v>2006</v>
      </c>
      <c r="C91" t="s">
        <v>320</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325</v>
      </c>
      <c r="B92">
        <v>2005</v>
      </c>
      <c r="C92" t="s">
        <v>320</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325</v>
      </c>
      <c r="B93">
        <v>2004</v>
      </c>
      <c r="C93" t="s">
        <v>320</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325</v>
      </c>
      <c r="B94">
        <v>2003</v>
      </c>
      <c r="C94" t="s">
        <v>320</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325</v>
      </c>
      <c r="B95">
        <v>2002</v>
      </c>
      <c r="C95" t="s">
        <v>320</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325</v>
      </c>
      <c r="B96">
        <v>2001</v>
      </c>
      <c r="C96" t="s">
        <v>320</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325</v>
      </c>
      <c r="B97">
        <v>2000</v>
      </c>
      <c r="C97" t="s">
        <v>320</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326</v>
      </c>
      <c r="B98">
        <v>2015</v>
      </c>
      <c r="C98" t="s">
        <v>320</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326</v>
      </c>
      <c r="B99">
        <v>2014</v>
      </c>
      <c r="C99" t="s">
        <v>320</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326</v>
      </c>
      <c r="B100">
        <v>2013</v>
      </c>
      <c r="C100" t="s">
        <v>320</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326</v>
      </c>
      <c r="B101">
        <v>2012</v>
      </c>
      <c r="C101" t="s">
        <v>320</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326</v>
      </c>
      <c r="B102">
        <v>2011</v>
      </c>
      <c r="C102" t="s">
        <v>320</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326</v>
      </c>
      <c r="B103">
        <v>2010</v>
      </c>
      <c r="C103" t="s">
        <v>320</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326</v>
      </c>
      <c r="B104">
        <v>2009</v>
      </c>
      <c r="C104" t="s">
        <v>320</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326</v>
      </c>
      <c r="B105">
        <v>2008</v>
      </c>
      <c r="C105" t="s">
        <v>320</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326</v>
      </c>
      <c r="B106">
        <v>2007</v>
      </c>
      <c r="C106" t="s">
        <v>320</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326</v>
      </c>
      <c r="B107">
        <v>2006</v>
      </c>
      <c r="C107" t="s">
        <v>320</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326</v>
      </c>
      <c r="B108">
        <v>2005</v>
      </c>
      <c r="C108" t="s">
        <v>320</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326</v>
      </c>
      <c r="B109">
        <v>2004</v>
      </c>
      <c r="C109" t="s">
        <v>320</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326</v>
      </c>
      <c r="B110">
        <v>2003</v>
      </c>
      <c r="C110" t="s">
        <v>320</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326</v>
      </c>
      <c r="B111">
        <v>2002</v>
      </c>
      <c r="C111" t="s">
        <v>320</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326</v>
      </c>
      <c r="B112">
        <v>2001</v>
      </c>
      <c r="C112" t="s">
        <v>320</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326</v>
      </c>
      <c r="B113">
        <v>2000</v>
      </c>
      <c r="C113" t="s">
        <v>320</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327</v>
      </c>
      <c r="B114">
        <v>2015</v>
      </c>
      <c r="C114" t="s">
        <v>328</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327</v>
      </c>
      <c r="B115">
        <v>2014</v>
      </c>
      <c r="C115" t="s">
        <v>328</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327</v>
      </c>
      <c r="B116">
        <v>2013</v>
      </c>
      <c r="C116" t="s">
        <v>328</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327</v>
      </c>
      <c r="B117">
        <v>2012</v>
      </c>
      <c r="C117" t="s">
        <v>328</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327</v>
      </c>
      <c r="B118">
        <v>2011</v>
      </c>
      <c r="C118" t="s">
        <v>328</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327</v>
      </c>
      <c r="B119">
        <v>2010</v>
      </c>
      <c r="C119" t="s">
        <v>328</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327</v>
      </c>
      <c r="B120">
        <v>2009</v>
      </c>
      <c r="C120" t="s">
        <v>328</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327</v>
      </c>
      <c r="B121">
        <v>2008</v>
      </c>
      <c r="C121" t="s">
        <v>328</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327</v>
      </c>
      <c r="B122">
        <v>2007</v>
      </c>
      <c r="C122" t="s">
        <v>328</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327</v>
      </c>
      <c r="B123">
        <v>2006</v>
      </c>
      <c r="C123" t="s">
        <v>328</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327</v>
      </c>
      <c r="B124">
        <v>2005</v>
      </c>
      <c r="C124" t="s">
        <v>328</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327</v>
      </c>
      <c r="B125">
        <v>2004</v>
      </c>
      <c r="C125" t="s">
        <v>328</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327</v>
      </c>
      <c r="B126">
        <v>2003</v>
      </c>
      <c r="C126" t="s">
        <v>328</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327</v>
      </c>
      <c r="B127">
        <v>2002</v>
      </c>
      <c r="C127" t="s">
        <v>328</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327</v>
      </c>
      <c r="B128">
        <v>2001</v>
      </c>
      <c r="C128" t="s">
        <v>328</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327</v>
      </c>
      <c r="B129">
        <v>2000</v>
      </c>
      <c r="C129" t="s">
        <v>328</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329</v>
      </c>
      <c r="B130">
        <v>2015</v>
      </c>
      <c r="C130" t="s">
        <v>328</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329</v>
      </c>
      <c r="B131">
        <v>2014</v>
      </c>
      <c r="C131" t="s">
        <v>328</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329</v>
      </c>
      <c r="B132">
        <v>2013</v>
      </c>
      <c r="C132" t="s">
        <v>328</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329</v>
      </c>
      <c r="B133">
        <v>2012</v>
      </c>
      <c r="C133" t="s">
        <v>328</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329</v>
      </c>
      <c r="B134">
        <v>2011</v>
      </c>
      <c r="C134" t="s">
        <v>328</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329</v>
      </c>
      <c r="B135">
        <v>2010</v>
      </c>
      <c r="C135" t="s">
        <v>328</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329</v>
      </c>
      <c r="B136">
        <v>2009</v>
      </c>
      <c r="C136" t="s">
        <v>328</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329</v>
      </c>
      <c r="B137">
        <v>2008</v>
      </c>
      <c r="C137" t="s">
        <v>328</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329</v>
      </c>
      <c r="B138">
        <v>2007</v>
      </c>
      <c r="C138" t="s">
        <v>328</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329</v>
      </c>
      <c r="B139">
        <v>2006</v>
      </c>
      <c r="C139" t="s">
        <v>328</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329</v>
      </c>
      <c r="B140">
        <v>2005</v>
      </c>
      <c r="C140" t="s">
        <v>328</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329</v>
      </c>
      <c r="B141">
        <v>2004</v>
      </c>
      <c r="C141" t="s">
        <v>328</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329</v>
      </c>
      <c r="B142">
        <v>2003</v>
      </c>
      <c r="C142" t="s">
        <v>328</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329</v>
      </c>
      <c r="B143">
        <v>2002</v>
      </c>
      <c r="C143" t="s">
        <v>328</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329</v>
      </c>
      <c r="B144">
        <v>2001</v>
      </c>
      <c r="C144" t="s">
        <v>328</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329</v>
      </c>
      <c r="B145">
        <v>2000</v>
      </c>
      <c r="C145" t="s">
        <v>328</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330</v>
      </c>
      <c r="B146">
        <v>2015</v>
      </c>
      <c r="C146" t="s">
        <v>320</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330</v>
      </c>
      <c r="B147">
        <v>2014</v>
      </c>
      <c r="C147" t="s">
        <v>320</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330</v>
      </c>
      <c r="B148">
        <v>2013</v>
      </c>
      <c r="C148" t="s">
        <v>320</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330</v>
      </c>
      <c r="B149">
        <v>2012</v>
      </c>
      <c r="C149" t="s">
        <v>320</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330</v>
      </c>
      <c r="B150">
        <v>2011</v>
      </c>
      <c r="C150" t="s">
        <v>320</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330</v>
      </c>
      <c r="B151">
        <v>2010</v>
      </c>
      <c r="C151" t="s">
        <v>320</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330</v>
      </c>
      <c r="B152">
        <v>2009</v>
      </c>
      <c r="C152" t="s">
        <v>320</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330</v>
      </c>
      <c r="B153">
        <v>2008</v>
      </c>
      <c r="C153" t="s">
        <v>320</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330</v>
      </c>
      <c r="B154">
        <v>2007</v>
      </c>
      <c r="C154" t="s">
        <v>320</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330</v>
      </c>
      <c r="B155">
        <v>2006</v>
      </c>
      <c r="C155" t="s">
        <v>320</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330</v>
      </c>
      <c r="B156">
        <v>2005</v>
      </c>
      <c r="C156" t="s">
        <v>320</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330</v>
      </c>
      <c r="B157">
        <v>2004</v>
      </c>
      <c r="C157" t="s">
        <v>320</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330</v>
      </c>
      <c r="B158">
        <v>2003</v>
      </c>
      <c r="C158" t="s">
        <v>320</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330</v>
      </c>
      <c r="B159">
        <v>2002</v>
      </c>
      <c r="C159" t="s">
        <v>320</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330</v>
      </c>
      <c r="B160">
        <v>2001</v>
      </c>
      <c r="C160" t="s">
        <v>320</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330</v>
      </c>
      <c r="B161">
        <v>2000</v>
      </c>
      <c r="C161" t="s">
        <v>320</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331</v>
      </c>
      <c r="B162">
        <v>2015</v>
      </c>
      <c r="C162" t="s">
        <v>320</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331</v>
      </c>
      <c r="B163">
        <v>2014</v>
      </c>
      <c r="C163" t="s">
        <v>320</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331</v>
      </c>
      <c r="B164">
        <v>2013</v>
      </c>
      <c r="C164" t="s">
        <v>320</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331</v>
      </c>
      <c r="B165">
        <v>2012</v>
      </c>
      <c r="C165" t="s">
        <v>320</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331</v>
      </c>
      <c r="B166">
        <v>2011</v>
      </c>
      <c r="C166" t="s">
        <v>320</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331</v>
      </c>
      <c r="B167">
        <v>2010</v>
      </c>
      <c r="C167" t="s">
        <v>320</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331</v>
      </c>
      <c r="B168">
        <v>2009</v>
      </c>
      <c r="C168" t="s">
        <v>320</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331</v>
      </c>
      <c r="B169">
        <v>2008</v>
      </c>
      <c r="C169" t="s">
        <v>320</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331</v>
      </c>
      <c r="B170">
        <v>2007</v>
      </c>
      <c r="C170" t="s">
        <v>320</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331</v>
      </c>
      <c r="B171">
        <v>2006</v>
      </c>
      <c r="C171" t="s">
        <v>320</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331</v>
      </c>
      <c r="B172">
        <v>2005</v>
      </c>
      <c r="C172" t="s">
        <v>320</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331</v>
      </c>
      <c r="B173">
        <v>2004</v>
      </c>
      <c r="C173" t="s">
        <v>320</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331</v>
      </c>
      <c r="B174">
        <v>2003</v>
      </c>
      <c r="C174" t="s">
        <v>320</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331</v>
      </c>
      <c r="B175">
        <v>2002</v>
      </c>
      <c r="C175" t="s">
        <v>320</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331</v>
      </c>
      <c r="B176">
        <v>2001</v>
      </c>
      <c r="C176" t="s">
        <v>320</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331</v>
      </c>
      <c r="B177">
        <v>2000</v>
      </c>
      <c r="C177" t="s">
        <v>320</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332</v>
      </c>
      <c r="B178">
        <v>2015</v>
      </c>
      <c r="C178" t="s">
        <v>320</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332</v>
      </c>
      <c r="B179">
        <v>2014</v>
      </c>
      <c r="C179" t="s">
        <v>320</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332</v>
      </c>
      <c r="B180">
        <v>2013</v>
      </c>
      <c r="C180" t="s">
        <v>320</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332</v>
      </c>
      <c r="B181">
        <v>2012</v>
      </c>
      <c r="C181" t="s">
        <v>320</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332</v>
      </c>
      <c r="B182">
        <v>2011</v>
      </c>
      <c r="C182" t="s">
        <v>320</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332</v>
      </c>
      <c r="B183">
        <v>2010</v>
      </c>
      <c r="C183" t="s">
        <v>320</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332</v>
      </c>
      <c r="B184">
        <v>2009</v>
      </c>
      <c r="C184" t="s">
        <v>320</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332</v>
      </c>
      <c r="B185">
        <v>2008</v>
      </c>
      <c r="C185" t="s">
        <v>320</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332</v>
      </c>
      <c r="B186">
        <v>2007</v>
      </c>
      <c r="C186" t="s">
        <v>320</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332</v>
      </c>
      <c r="B187">
        <v>2006</v>
      </c>
      <c r="C187" t="s">
        <v>320</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332</v>
      </c>
      <c r="B188">
        <v>2005</v>
      </c>
      <c r="C188" t="s">
        <v>320</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332</v>
      </c>
      <c r="B189">
        <v>2004</v>
      </c>
      <c r="C189" t="s">
        <v>320</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332</v>
      </c>
      <c r="B190">
        <v>2003</v>
      </c>
      <c r="C190" t="s">
        <v>320</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332</v>
      </c>
      <c r="B191">
        <v>2002</v>
      </c>
      <c r="C191" t="s">
        <v>320</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332</v>
      </c>
      <c r="B192">
        <v>2001</v>
      </c>
      <c r="C192" t="s">
        <v>320</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332</v>
      </c>
      <c r="B193">
        <v>2000</v>
      </c>
      <c r="C193" t="s">
        <v>320</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333</v>
      </c>
      <c r="B194">
        <v>2015</v>
      </c>
      <c r="C194" t="s">
        <v>320</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333</v>
      </c>
      <c r="B195">
        <v>2014</v>
      </c>
      <c r="C195" t="s">
        <v>320</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333</v>
      </c>
      <c r="B196">
        <v>2013</v>
      </c>
      <c r="C196" t="s">
        <v>320</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333</v>
      </c>
      <c r="B197">
        <v>2012</v>
      </c>
      <c r="C197" t="s">
        <v>320</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333</v>
      </c>
      <c r="B198">
        <v>2011</v>
      </c>
      <c r="C198" t="s">
        <v>320</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333</v>
      </c>
      <c r="B199">
        <v>2010</v>
      </c>
      <c r="C199" t="s">
        <v>320</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333</v>
      </c>
      <c r="B200">
        <v>2009</v>
      </c>
      <c r="C200" t="s">
        <v>320</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333</v>
      </c>
      <c r="B201">
        <v>2008</v>
      </c>
      <c r="C201" t="s">
        <v>320</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333</v>
      </c>
      <c r="B202">
        <v>2007</v>
      </c>
      <c r="C202" t="s">
        <v>320</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333</v>
      </c>
      <c r="B203">
        <v>2006</v>
      </c>
      <c r="C203" t="s">
        <v>320</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333</v>
      </c>
      <c r="B204">
        <v>2005</v>
      </c>
      <c r="C204" t="s">
        <v>320</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333</v>
      </c>
      <c r="B205">
        <v>2004</v>
      </c>
      <c r="C205" t="s">
        <v>320</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333</v>
      </c>
      <c r="B206">
        <v>2003</v>
      </c>
      <c r="C206" t="s">
        <v>320</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333</v>
      </c>
      <c r="B207">
        <v>2002</v>
      </c>
      <c r="C207" t="s">
        <v>320</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333</v>
      </c>
      <c r="B208">
        <v>2001</v>
      </c>
      <c r="C208" t="s">
        <v>320</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333</v>
      </c>
      <c r="B209">
        <v>2000</v>
      </c>
      <c r="C209" t="s">
        <v>320</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334</v>
      </c>
      <c r="B210">
        <v>2015</v>
      </c>
      <c r="C210" t="s">
        <v>320</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334</v>
      </c>
      <c r="B211">
        <v>2014</v>
      </c>
      <c r="C211" t="s">
        <v>320</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334</v>
      </c>
      <c r="B212">
        <v>2013</v>
      </c>
      <c r="C212" t="s">
        <v>320</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334</v>
      </c>
      <c r="B213">
        <v>2012</v>
      </c>
      <c r="C213" t="s">
        <v>320</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334</v>
      </c>
      <c r="B214">
        <v>2011</v>
      </c>
      <c r="C214" t="s">
        <v>320</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334</v>
      </c>
      <c r="B215">
        <v>2010</v>
      </c>
      <c r="C215" t="s">
        <v>320</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334</v>
      </c>
      <c r="B216">
        <v>2009</v>
      </c>
      <c r="C216" t="s">
        <v>320</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334</v>
      </c>
      <c r="B217">
        <v>2008</v>
      </c>
      <c r="C217" t="s">
        <v>320</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334</v>
      </c>
      <c r="B218">
        <v>2007</v>
      </c>
      <c r="C218" t="s">
        <v>320</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334</v>
      </c>
      <c r="B219">
        <v>2006</v>
      </c>
      <c r="C219" t="s">
        <v>320</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334</v>
      </c>
      <c r="B220">
        <v>2005</v>
      </c>
      <c r="C220" t="s">
        <v>320</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334</v>
      </c>
      <c r="B221">
        <v>2004</v>
      </c>
      <c r="C221" t="s">
        <v>320</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334</v>
      </c>
      <c r="B222">
        <v>2003</v>
      </c>
      <c r="C222" t="s">
        <v>320</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334</v>
      </c>
      <c r="B223">
        <v>2002</v>
      </c>
      <c r="C223" t="s">
        <v>320</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334</v>
      </c>
      <c r="B224">
        <v>2001</v>
      </c>
      <c r="C224" t="s">
        <v>320</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334</v>
      </c>
      <c r="B225">
        <v>2000</v>
      </c>
      <c r="C225" t="s">
        <v>320</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335</v>
      </c>
      <c r="B226">
        <v>2015</v>
      </c>
      <c r="C226" t="s">
        <v>320</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335</v>
      </c>
      <c r="B227">
        <v>2014</v>
      </c>
      <c r="C227" t="s">
        <v>320</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335</v>
      </c>
      <c r="B228">
        <v>2013</v>
      </c>
      <c r="C228" t="s">
        <v>320</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335</v>
      </c>
      <c r="B229">
        <v>2012</v>
      </c>
      <c r="C229" t="s">
        <v>320</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335</v>
      </c>
      <c r="B230">
        <v>2011</v>
      </c>
      <c r="C230" t="s">
        <v>320</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335</v>
      </c>
      <c r="B231">
        <v>2010</v>
      </c>
      <c r="C231" t="s">
        <v>320</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335</v>
      </c>
      <c r="B232">
        <v>2009</v>
      </c>
      <c r="C232" t="s">
        <v>320</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335</v>
      </c>
      <c r="B233">
        <v>2008</v>
      </c>
      <c r="C233" t="s">
        <v>320</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335</v>
      </c>
      <c r="B234">
        <v>2007</v>
      </c>
      <c r="C234" t="s">
        <v>320</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335</v>
      </c>
      <c r="B235">
        <v>2006</v>
      </c>
      <c r="C235" t="s">
        <v>320</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335</v>
      </c>
      <c r="B236">
        <v>2005</v>
      </c>
      <c r="C236" t="s">
        <v>320</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335</v>
      </c>
      <c r="B237">
        <v>2004</v>
      </c>
      <c r="C237" t="s">
        <v>320</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335</v>
      </c>
      <c r="B238">
        <v>2003</v>
      </c>
      <c r="C238" t="s">
        <v>320</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335</v>
      </c>
      <c r="B239">
        <v>2002</v>
      </c>
      <c r="C239" t="s">
        <v>320</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335</v>
      </c>
      <c r="B240">
        <v>2001</v>
      </c>
      <c r="C240" t="s">
        <v>320</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335</v>
      </c>
      <c r="B241">
        <v>2000</v>
      </c>
      <c r="C241" t="s">
        <v>320</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336</v>
      </c>
      <c r="B242">
        <v>2015</v>
      </c>
      <c r="C242" t="s">
        <v>328</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336</v>
      </c>
      <c r="B243">
        <v>2014</v>
      </c>
      <c r="C243" t="s">
        <v>328</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336</v>
      </c>
      <c r="B244">
        <v>2013</v>
      </c>
      <c r="C244" t="s">
        <v>328</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336</v>
      </c>
      <c r="B245">
        <v>2012</v>
      </c>
      <c r="C245" t="s">
        <v>328</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336</v>
      </c>
      <c r="B246">
        <v>2011</v>
      </c>
      <c r="C246" t="s">
        <v>328</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336</v>
      </c>
      <c r="B247">
        <v>2010</v>
      </c>
      <c r="C247" t="s">
        <v>328</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336</v>
      </c>
      <c r="B248">
        <v>2009</v>
      </c>
      <c r="C248" t="s">
        <v>328</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336</v>
      </c>
      <c r="B249">
        <v>2008</v>
      </c>
      <c r="C249" t="s">
        <v>328</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336</v>
      </c>
      <c r="B250">
        <v>2007</v>
      </c>
      <c r="C250" t="s">
        <v>328</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336</v>
      </c>
      <c r="B251">
        <v>2006</v>
      </c>
      <c r="C251" t="s">
        <v>328</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336</v>
      </c>
      <c r="B252">
        <v>2005</v>
      </c>
      <c r="C252" t="s">
        <v>328</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336</v>
      </c>
      <c r="B253">
        <v>2004</v>
      </c>
      <c r="C253" t="s">
        <v>328</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336</v>
      </c>
      <c r="B254">
        <v>2003</v>
      </c>
      <c r="C254" t="s">
        <v>328</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336</v>
      </c>
      <c r="B255">
        <v>2002</v>
      </c>
      <c r="C255" t="s">
        <v>328</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336</v>
      </c>
      <c r="B256">
        <v>2001</v>
      </c>
      <c r="C256" t="s">
        <v>328</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336</v>
      </c>
      <c r="B257">
        <v>2000</v>
      </c>
      <c r="C257" t="s">
        <v>328</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337</v>
      </c>
      <c r="B258">
        <v>2015</v>
      </c>
      <c r="C258" t="s">
        <v>320</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337</v>
      </c>
      <c r="B259">
        <v>2014</v>
      </c>
      <c r="C259" t="s">
        <v>320</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337</v>
      </c>
      <c r="B260">
        <v>2013</v>
      </c>
      <c r="C260" t="s">
        <v>320</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337</v>
      </c>
      <c r="B261">
        <v>2012</v>
      </c>
      <c r="C261" t="s">
        <v>320</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337</v>
      </c>
      <c r="B262">
        <v>2011</v>
      </c>
      <c r="C262" t="s">
        <v>320</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337</v>
      </c>
      <c r="B263">
        <v>2010</v>
      </c>
      <c r="C263" t="s">
        <v>320</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337</v>
      </c>
      <c r="B264">
        <v>2009</v>
      </c>
      <c r="C264" t="s">
        <v>320</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337</v>
      </c>
      <c r="B265">
        <v>2008</v>
      </c>
      <c r="C265" t="s">
        <v>320</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337</v>
      </c>
      <c r="B266">
        <v>2007</v>
      </c>
      <c r="C266" t="s">
        <v>320</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337</v>
      </c>
      <c r="B267">
        <v>2006</v>
      </c>
      <c r="C267" t="s">
        <v>320</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337</v>
      </c>
      <c r="B268">
        <v>2005</v>
      </c>
      <c r="C268" t="s">
        <v>320</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337</v>
      </c>
      <c r="B269">
        <v>2004</v>
      </c>
      <c r="C269" t="s">
        <v>320</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337</v>
      </c>
      <c r="B270">
        <v>2003</v>
      </c>
      <c r="C270" t="s">
        <v>320</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337</v>
      </c>
      <c r="B271">
        <v>2002</v>
      </c>
      <c r="C271" t="s">
        <v>320</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337</v>
      </c>
      <c r="B272">
        <v>2001</v>
      </c>
      <c r="C272" t="s">
        <v>320</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337</v>
      </c>
      <c r="B273">
        <v>2000</v>
      </c>
      <c r="C273" t="s">
        <v>320</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338</v>
      </c>
      <c r="B274">
        <v>2015</v>
      </c>
      <c r="C274" t="s">
        <v>320</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338</v>
      </c>
      <c r="B275">
        <v>2014</v>
      </c>
      <c r="C275" t="s">
        <v>320</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338</v>
      </c>
      <c r="B276">
        <v>2013</v>
      </c>
      <c r="C276" t="s">
        <v>320</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338</v>
      </c>
      <c r="B277">
        <v>2012</v>
      </c>
      <c r="C277" t="s">
        <v>320</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338</v>
      </c>
      <c r="B278">
        <v>2011</v>
      </c>
      <c r="C278" t="s">
        <v>320</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338</v>
      </c>
      <c r="B279">
        <v>2010</v>
      </c>
      <c r="C279" t="s">
        <v>320</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338</v>
      </c>
      <c r="B280">
        <v>2009</v>
      </c>
      <c r="C280" t="s">
        <v>320</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338</v>
      </c>
      <c r="B281">
        <v>2008</v>
      </c>
      <c r="C281" t="s">
        <v>320</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338</v>
      </c>
      <c r="B282">
        <v>2007</v>
      </c>
      <c r="C282" t="s">
        <v>320</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338</v>
      </c>
      <c r="B283">
        <v>2006</v>
      </c>
      <c r="C283" t="s">
        <v>320</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338</v>
      </c>
      <c r="B284">
        <v>2005</v>
      </c>
      <c r="C284" t="s">
        <v>320</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338</v>
      </c>
      <c r="B285">
        <v>2004</v>
      </c>
      <c r="C285" t="s">
        <v>320</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338</v>
      </c>
      <c r="B286">
        <v>2003</v>
      </c>
      <c r="C286" t="s">
        <v>320</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338</v>
      </c>
      <c r="B287">
        <v>2002</v>
      </c>
      <c r="C287" t="s">
        <v>320</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338</v>
      </c>
      <c r="B288">
        <v>2001</v>
      </c>
      <c r="C288" t="s">
        <v>320</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338</v>
      </c>
      <c r="B289">
        <v>2000</v>
      </c>
      <c r="C289" t="s">
        <v>320</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339</v>
      </c>
      <c r="B290">
        <v>2015</v>
      </c>
      <c r="C290" t="s">
        <v>320</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339</v>
      </c>
      <c r="B291">
        <v>2014</v>
      </c>
      <c r="C291" t="s">
        <v>320</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339</v>
      </c>
      <c r="B292">
        <v>2013</v>
      </c>
      <c r="C292" t="s">
        <v>320</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339</v>
      </c>
      <c r="B293">
        <v>2012</v>
      </c>
      <c r="C293" t="s">
        <v>320</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339</v>
      </c>
      <c r="B294">
        <v>2011</v>
      </c>
      <c r="C294" t="s">
        <v>320</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339</v>
      </c>
      <c r="B295">
        <v>2010</v>
      </c>
      <c r="C295" t="s">
        <v>320</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339</v>
      </c>
      <c r="B296">
        <v>2009</v>
      </c>
      <c r="C296" t="s">
        <v>320</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339</v>
      </c>
      <c r="B297">
        <v>2008</v>
      </c>
      <c r="C297" t="s">
        <v>320</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339</v>
      </c>
      <c r="B298">
        <v>2007</v>
      </c>
      <c r="C298" t="s">
        <v>320</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339</v>
      </c>
      <c r="B299">
        <v>2006</v>
      </c>
      <c r="C299" t="s">
        <v>320</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339</v>
      </c>
      <c r="B300">
        <v>2005</v>
      </c>
      <c r="C300" t="s">
        <v>320</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339</v>
      </c>
      <c r="B301">
        <v>2004</v>
      </c>
      <c r="C301" t="s">
        <v>320</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339</v>
      </c>
      <c r="B302">
        <v>2003</v>
      </c>
      <c r="C302" t="s">
        <v>320</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339</v>
      </c>
      <c r="B303">
        <v>2002</v>
      </c>
      <c r="C303" t="s">
        <v>320</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339</v>
      </c>
      <c r="B304">
        <v>2001</v>
      </c>
      <c r="C304" t="s">
        <v>320</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339</v>
      </c>
      <c r="B305">
        <v>2000</v>
      </c>
      <c r="C305" t="s">
        <v>320</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340</v>
      </c>
      <c r="B306">
        <v>2015</v>
      </c>
      <c r="C306" t="s">
        <v>320</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340</v>
      </c>
      <c r="B307">
        <v>2014</v>
      </c>
      <c r="C307" t="s">
        <v>320</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340</v>
      </c>
      <c r="B308">
        <v>2013</v>
      </c>
      <c r="C308" t="s">
        <v>320</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340</v>
      </c>
      <c r="B309">
        <v>2012</v>
      </c>
      <c r="C309" t="s">
        <v>320</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340</v>
      </c>
      <c r="B310">
        <v>2011</v>
      </c>
      <c r="C310" t="s">
        <v>320</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340</v>
      </c>
      <c r="B311">
        <v>2010</v>
      </c>
      <c r="C311" t="s">
        <v>320</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340</v>
      </c>
      <c r="B312">
        <v>2009</v>
      </c>
      <c r="C312" t="s">
        <v>320</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340</v>
      </c>
      <c r="B313">
        <v>2008</v>
      </c>
      <c r="C313" t="s">
        <v>320</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340</v>
      </c>
      <c r="B314">
        <v>2007</v>
      </c>
      <c r="C314" t="s">
        <v>320</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340</v>
      </c>
      <c r="B315">
        <v>2006</v>
      </c>
      <c r="C315" t="s">
        <v>320</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340</v>
      </c>
      <c r="B316">
        <v>2005</v>
      </c>
      <c r="C316" t="s">
        <v>320</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340</v>
      </c>
      <c r="B317">
        <v>2004</v>
      </c>
      <c r="C317" t="s">
        <v>320</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340</v>
      </c>
      <c r="B318">
        <v>2003</v>
      </c>
      <c r="C318" t="s">
        <v>320</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340</v>
      </c>
      <c r="B319">
        <v>2002</v>
      </c>
      <c r="C319" t="s">
        <v>320</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340</v>
      </c>
      <c r="B320">
        <v>2001</v>
      </c>
      <c r="C320" t="s">
        <v>320</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340</v>
      </c>
      <c r="B321">
        <v>2000</v>
      </c>
      <c r="C321" t="s">
        <v>320</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341</v>
      </c>
      <c r="B322">
        <v>2015</v>
      </c>
      <c r="C322" t="s">
        <v>320</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341</v>
      </c>
      <c r="B323">
        <v>2014</v>
      </c>
      <c r="C323" t="s">
        <v>320</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341</v>
      </c>
      <c r="B324">
        <v>2013</v>
      </c>
      <c r="C324" t="s">
        <v>320</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341</v>
      </c>
      <c r="B325">
        <v>2012</v>
      </c>
      <c r="C325" t="s">
        <v>320</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341</v>
      </c>
      <c r="B326">
        <v>2011</v>
      </c>
      <c r="C326" t="s">
        <v>320</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341</v>
      </c>
      <c r="B327">
        <v>2010</v>
      </c>
      <c r="C327" t="s">
        <v>320</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341</v>
      </c>
      <c r="B328">
        <v>2009</v>
      </c>
      <c r="C328" t="s">
        <v>320</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341</v>
      </c>
      <c r="B329">
        <v>2008</v>
      </c>
      <c r="C329" t="s">
        <v>320</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341</v>
      </c>
      <c r="B330">
        <v>2007</v>
      </c>
      <c r="C330" t="s">
        <v>320</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341</v>
      </c>
      <c r="B331">
        <v>2006</v>
      </c>
      <c r="C331" t="s">
        <v>320</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341</v>
      </c>
      <c r="B332">
        <v>2005</v>
      </c>
      <c r="C332" t="s">
        <v>320</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341</v>
      </c>
      <c r="B333">
        <v>2004</v>
      </c>
      <c r="C333" t="s">
        <v>320</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341</v>
      </c>
      <c r="B334">
        <v>2003</v>
      </c>
      <c r="C334" t="s">
        <v>320</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341</v>
      </c>
      <c r="B335">
        <v>2002</v>
      </c>
      <c r="C335" t="s">
        <v>320</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341</v>
      </c>
      <c r="B336">
        <v>2001</v>
      </c>
      <c r="C336" t="s">
        <v>320</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341</v>
      </c>
      <c r="B337">
        <v>2000</v>
      </c>
      <c r="C337" t="s">
        <v>320</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342</v>
      </c>
      <c r="B338">
        <v>2015</v>
      </c>
      <c r="C338" t="s">
        <v>320</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342</v>
      </c>
      <c r="B339">
        <v>2014</v>
      </c>
      <c r="C339" t="s">
        <v>320</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342</v>
      </c>
      <c r="B340">
        <v>2013</v>
      </c>
      <c r="C340" t="s">
        <v>320</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342</v>
      </c>
      <c r="B341">
        <v>2012</v>
      </c>
      <c r="C341" t="s">
        <v>320</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342</v>
      </c>
      <c r="B342">
        <v>2011</v>
      </c>
      <c r="C342" t="s">
        <v>320</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342</v>
      </c>
      <c r="B343">
        <v>2010</v>
      </c>
      <c r="C343" t="s">
        <v>320</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342</v>
      </c>
      <c r="B344">
        <v>2009</v>
      </c>
      <c r="C344" t="s">
        <v>320</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342</v>
      </c>
      <c r="B345">
        <v>2008</v>
      </c>
      <c r="C345" t="s">
        <v>320</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342</v>
      </c>
      <c r="B346">
        <v>2007</v>
      </c>
      <c r="C346" t="s">
        <v>320</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342</v>
      </c>
      <c r="B347">
        <v>2006</v>
      </c>
      <c r="C347" t="s">
        <v>320</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342</v>
      </c>
      <c r="B348">
        <v>2005</v>
      </c>
      <c r="C348" t="s">
        <v>320</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342</v>
      </c>
      <c r="B349">
        <v>2004</v>
      </c>
      <c r="C349" t="s">
        <v>320</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342</v>
      </c>
      <c r="B350">
        <v>2003</v>
      </c>
      <c r="C350" t="s">
        <v>320</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342</v>
      </c>
      <c r="B351">
        <v>2002</v>
      </c>
      <c r="C351" t="s">
        <v>320</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342</v>
      </c>
      <c r="B352">
        <v>2001</v>
      </c>
      <c r="C352" t="s">
        <v>320</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342</v>
      </c>
      <c r="B353">
        <v>2000</v>
      </c>
      <c r="C353" t="s">
        <v>320</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343</v>
      </c>
      <c r="B354">
        <v>2015</v>
      </c>
      <c r="C354" t="s">
        <v>320</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343</v>
      </c>
      <c r="B355">
        <v>2014</v>
      </c>
      <c r="C355" t="s">
        <v>320</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343</v>
      </c>
      <c r="B356">
        <v>2013</v>
      </c>
      <c r="C356" t="s">
        <v>320</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343</v>
      </c>
      <c r="B357">
        <v>2012</v>
      </c>
      <c r="C357" t="s">
        <v>320</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343</v>
      </c>
      <c r="B358">
        <v>2011</v>
      </c>
      <c r="C358" t="s">
        <v>320</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343</v>
      </c>
      <c r="B359">
        <v>2010</v>
      </c>
      <c r="C359" t="s">
        <v>320</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343</v>
      </c>
      <c r="B360">
        <v>2009</v>
      </c>
      <c r="C360" t="s">
        <v>320</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343</v>
      </c>
      <c r="B361">
        <v>2008</v>
      </c>
      <c r="C361" t="s">
        <v>320</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343</v>
      </c>
      <c r="B362">
        <v>2007</v>
      </c>
      <c r="C362" t="s">
        <v>320</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343</v>
      </c>
      <c r="B363">
        <v>2006</v>
      </c>
      <c r="C363" t="s">
        <v>320</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343</v>
      </c>
      <c r="B364">
        <v>2005</v>
      </c>
      <c r="C364" t="s">
        <v>320</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343</v>
      </c>
      <c r="B365">
        <v>2004</v>
      </c>
      <c r="C365" t="s">
        <v>320</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343</v>
      </c>
      <c r="B366">
        <v>2003</v>
      </c>
      <c r="C366" t="s">
        <v>320</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343</v>
      </c>
      <c r="B367">
        <v>2002</v>
      </c>
      <c r="C367" t="s">
        <v>320</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343</v>
      </c>
      <c r="B368">
        <v>2001</v>
      </c>
      <c r="C368" t="s">
        <v>320</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343</v>
      </c>
      <c r="B369">
        <v>2000</v>
      </c>
      <c r="C369" t="s">
        <v>320</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344</v>
      </c>
      <c r="B370">
        <v>2015</v>
      </c>
      <c r="C370" t="s">
        <v>320</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344</v>
      </c>
      <c r="B371">
        <v>2014</v>
      </c>
      <c r="C371" t="s">
        <v>320</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344</v>
      </c>
      <c r="B372">
        <v>2013</v>
      </c>
      <c r="C372" t="s">
        <v>320</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344</v>
      </c>
      <c r="B373">
        <v>2012</v>
      </c>
      <c r="C373" t="s">
        <v>320</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344</v>
      </c>
      <c r="B374">
        <v>2011</v>
      </c>
      <c r="C374" t="s">
        <v>320</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344</v>
      </c>
      <c r="B375">
        <v>2010</v>
      </c>
      <c r="C375" t="s">
        <v>320</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344</v>
      </c>
      <c r="B376">
        <v>2009</v>
      </c>
      <c r="C376" t="s">
        <v>320</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344</v>
      </c>
      <c r="B377">
        <v>2008</v>
      </c>
      <c r="C377" t="s">
        <v>320</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344</v>
      </c>
      <c r="B378">
        <v>2007</v>
      </c>
      <c r="C378" t="s">
        <v>320</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344</v>
      </c>
      <c r="B379">
        <v>2006</v>
      </c>
      <c r="C379" t="s">
        <v>320</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344</v>
      </c>
      <c r="B380">
        <v>2005</v>
      </c>
      <c r="C380" t="s">
        <v>320</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344</v>
      </c>
      <c r="B381">
        <v>2004</v>
      </c>
      <c r="C381" t="s">
        <v>320</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344</v>
      </c>
      <c r="B382">
        <v>2003</v>
      </c>
      <c r="C382" t="s">
        <v>320</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344</v>
      </c>
      <c r="B383">
        <v>2002</v>
      </c>
      <c r="C383" t="s">
        <v>320</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344</v>
      </c>
      <c r="B384">
        <v>2001</v>
      </c>
      <c r="C384" t="s">
        <v>320</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344</v>
      </c>
      <c r="B385">
        <v>2000</v>
      </c>
      <c r="C385" t="s">
        <v>320</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345</v>
      </c>
      <c r="B386">
        <v>2015</v>
      </c>
      <c r="C386" t="s">
        <v>328</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345</v>
      </c>
      <c r="B387">
        <v>2014</v>
      </c>
      <c r="C387" t="s">
        <v>328</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345</v>
      </c>
      <c r="B388">
        <v>2013</v>
      </c>
      <c r="C388" t="s">
        <v>328</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345</v>
      </c>
      <c r="B389">
        <v>2012</v>
      </c>
      <c r="C389" t="s">
        <v>328</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345</v>
      </c>
      <c r="B390">
        <v>2011</v>
      </c>
      <c r="C390" t="s">
        <v>328</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345</v>
      </c>
      <c r="B391">
        <v>2010</v>
      </c>
      <c r="C391" t="s">
        <v>328</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345</v>
      </c>
      <c r="B392">
        <v>2009</v>
      </c>
      <c r="C392" t="s">
        <v>328</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345</v>
      </c>
      <c r="B393">
        <v>2008</v>
      </c>
      <c r="C393" t="s">
        <v>328</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345</v>
      </c>
      <c r="B394">
        <v>2007</v>
      </c>
      <c r="C394" t="s">
        <v>328</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345</v>
      </c>
      <c r="B395">
        <v>2006</v>
      </c>
      <c r="C395" t="s">
        <v>328</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345</v>
      </c>
      <c r="B396">
        <v>2005</v>
      </c>
      <c r="C396" t="s">
        <v>328</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345</v>
      </c>
      <c r="B397">
        <v>2004</v>
      </c>
      <c r="C397" t="s">
        <v>328</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345</v>
      </c>
      <c r="B398">
        <v>2003</v>
      </c>
      <c r="C398" t="s">
        <v>328</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345</v>
      </c>
      <c r="B399">
        <v>2002</v>
      </c>
      <c r="C399" t="s">
        <v>328</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345</v>
      </c>
      <c r="B400">
        <v>2001</v>
      </c>
      <c r="C400" t="s">
        <v>328</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345</v>
      </c>
      <c r="B401">
        <v>2000</v>
      </c>
      <c r="C401" t="s">
        <v>328</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346</v>
      </c>
      <c r="B402">
        <v>2015</v>
      </c>
      <c r="C402" t="s">
        <v>320</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346</v>
      </c>
      <c r="B403">
        <v>2014</v>
      </c>
      <c r="C403" t="s">
        <v>320</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346</v>
      </c>
      <c r="B404">
        <v>2013</v>
      </c>
      <c r="C404" t="s">
        <v>320</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346</v>
      </c>
      <c r="B405">
        <v>2012</v>
      </c>
      <c r="C405" t="s">
        <v>320</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346</v>
      </c>
      <c r="B406">
        <v>2011</v>
      </c>
      <c r="C406" t="s">
        <v>320</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346</v>
      </c>
      <c r="B407">
        <v>2010</v>
      </c>
      <c r="C407" t="s">
        <v>320</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346</v>
      </c>
      <c r="B408">
        <v>2009</v>
      </c>
      <c r="C408" t="s">
        <v>320</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346</v>
      </c>
      <c r="B409">
        <v>2008</v>
      </c>
      <c r="C409" t="s">
        <v>320</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346</v>
      </c>
      <c r="B410">
        <v>2007</v>
      </c>
      <c r="C410" t="s">
        <v>320</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346</v>
      </c>
      <c r="B411">
        <v>2006</v>
      </c>
      <c r="C411" t="s">
        <v>320</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346</v>
      </c>
      <c r="B412">
        <v>2005</v>
      </c>
      <c r="C412" t="s">
        <v>320</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346</v>
      </c>
      <c r="B413">
        <v>2004</v>
      </c>
      <c r="C413" t="s">
        <v>320</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346</v>
      </c>
      <c r="B414">
        <v>2003</v>
      </c>
      <c r="C414" t="s">
        <v>320</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346</v>
      </c>
      <c r="B415">
        <v>2002</v>
      </c>
      <c r="C415" t="s">
        <v>320</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346</v>
      </c>
      <c r="B416">
        <v>2001</v>
      </c>
      <c r="C416" t="s">
        <v>320</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346</v>
      </c>
      <c r="B417">
        <v>2000</v>
      </c>
      <c r="C417" t="s">
        <v>320</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347</v>
      </c>
      <c r="B418">
        <v>2015</v>
      </c>
      <c r="C418" t="s">
        <v>320</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347</v>
      </c>
      <c r="B419">
        <v>2014</v>
      </c>
      <c r="C419" t="s">
        <v>320</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347</v>
      </c>
      <c r="B420">
        <v>2013</v>
      </c>
      <c r="C420" t="s">
        <v>320</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347</v>
      </c>
      <c r="B421">
        <v>2012</v>
      </c>
      <c r="C421" t="s">
        <v>320</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347</v>
      </c>
      <c r="B422">
        <v>2011</v>
      </c>
      <c r="C422" t="s">
        <v>320</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347</v>
      </c>
      <c r="B423">
        <v>2010</v>
      </c>
      <c r="C423" t="s">
        <v>320</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347</v>
      </c>
      <c r="B424">
        <v>2009</v>
      </c>
      <c r="C424" t="s">
        <v>320</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347</v>
      </c>
      <c r="B425">
        <v>2008</v>
      </c>
      <c r="C425" t="s">
        <v>320</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347</v>
      </c>
      <c r="B426">
        <v>2007</v>
      </c>
      <c r="C426" t="s">
        <v>320</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347</v>
      </c>
      <c r="B427">
        <v>2006</v>
      </c>
      <c r="C427" t="s">
        <v>320</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347</v>
      </c>
      <c r="B428">
        <v>2005</v>
      </c>
      <c r="C428" t="s">
        <v>320</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347</v>
      </c>
      <c r="B429">
        <v>2004</v>
      </c>
      <c r="C429" t="s">
        <v>320</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347</v>
      </c>
      <c r="B430">
        <v>2003</v>
      </c>
      <c r="C430" t="s">
        <v>320</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347</v>
      </c>
      <c r="B431">
        <v>2002</v>
      </c>
      <c r="C431" t="s">
        <v>320</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347</v>
      </c>
      <c r="B432">
        <v>2001</v>
      </c>
      <c r="C432" t="s">
        <v>320</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347</v>
      </c>
      <c r="B433">
        <v>2000</v>
      </c>
      <c r="C433" t="s">
        <v>320</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348</v>
      </c>
      <c r="B434">
        <v>2015</v>
      </c>
      <c r="C434" t="s">
        <v>320</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348</v>
      </c>
      <c r="B435">
        <v>2014</v>
      </c>
      <c r="C435" t="s">
        <v>320</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348</v>
      </c>
      <c r="B436">
        <v>2013</v>
      </c>
      <c r="C436" t="s">
        <v>320</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348</v>
      </c>
      <c r="B437">
        <v>2012</v>
      </c>
      <c r="C437" t="s">
        <v>320</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348</v>
      </c>
      <c r="B438">
        <v>2011</v>
      </c>
      <c r="C438" t="s">
        <v>320</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348</v>
      </c>
      <c r="B439">
        <v>2010</v>
      </c>
      <c r="C439" t="s">
        <v>320</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348</v>
      </c>
      <c r="B440">
        <v>2009</v>
      </c>
      <c r="C440" t="s">
        <v>320</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348</v>
      </c>
      <c r="B441">
        <v>2008</v>
      </c>
      <c r="C441" t="s">
        <v>320</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348</v>
      </c>
      <c r="B442">
        <v>2007</v>
      </c>
      <c r="C442" t="s">
        <v>320</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348</v>
      </c>
      <c r="B443">
        <v>2006</v>
      </c>
      <c r="C443" t="s">
        <v>320</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348</v>
      </c>
      <c r="B444">
        <v>2005</v>
      </c>
      <c r="C444" t="s">
        <v>320</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348</v>
      </c>
      <c r="B445">
        <v>2004</v>
      </c>
      <c r="C445" t="s">
        <v>320</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348</v>
      </c>
      <c r="B446">
        <v>2003</v>
      </c>
      <c r="C446" t="s">
        <v>320</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348</v>
      </c>
      <c r="B447">
        <v>2002</v>
      </c>
      <c r="C447" t="s">
        <v>320</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348</v>
      </c>
      <c r="B448">
        <v>2001</v>
      </c>
      <c r="C448" t="s">
        <v>320</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348</v>
      </c>
      <c r="B449">
        <v>2000</v>
      </c>
      <c r="C449" t="s">
        <v>320</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349</v>
      </c>
      <c r="B450">
        <v>2015</v>
      </c>
      <c r="C450" t="s">
        <v>320</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349</v>
      </c>
      <c r="B451">
        <v>2014</v>
      </c>
      <c r="C451" t="s">
        <v>320</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349</v>
      </c>
      <c r="B452">
        <v>2013</v>
      </c>
      <c r="C452" t="s">
        <v>320</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349</v>
      </c>
      <c r="B453">
        <v>2012</v>
      </c>
      <c r="C453" t="s">
        <v>320</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349</v>
      </c>
      <c r="B454">
        <v>2011</v>
      </c>
      <c r="C454" t="s">
        <v>320</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349</v>
      </c>
      <c r="B455">
        <v>2010</v>
      </c>
      <c r="C455" t="s">
        <v>320</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349</v>
      </c>
      <c r="B456">
        <v>2009</v>
      </c>
      <c r="C456" t="s">
        <v>320</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349</v>
      </c>
      <c r="B457">
        <v>2008</v>
      </c>
      <c r="C457" t="s">
        <v>320</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349</v>
      </c>
      <c r="B458">
        <v>2007</v>
      </c>
      <c r="C458" t="s">
        <v>320</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349</v>
      </c>
      <c r="B459">
        <v>2006</v>
      </c>
      <c r="C459" t="s">
        <v>320</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349</v>
      </c>
      <c r="B460">
        <v>2005</v>
      </c>
      <c r="C460" t="s">
        <v>320</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349</v>
      </c>
      <c r="B461">
        <v>2004</v>
      </c>
      <c r="C461" t="s">
        <v>320</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349</v>
      </c>
      <c r="B462">
        <v>2003</v>
      </c>
      <c r="C462" t="s">
        <v>320</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349</v>
      </c>
      <c r="B463">
        <v>2002</v>
      </c>
      <c r="C463" t="s">
        <v>320</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349</v>
      </c>
      <c r="B464">
        <v>2001</v>
      </c>
      <c r="C464" t="s">
        <v>320</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349</v>
      </c>
      <c r="B465">
        <v>2000</v>
      </c>
      <c r="C465" t="s">
        <v>320</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350</v>
      </c>
      <c r="B466">
        <v>2015</v>
      </c>
      <c r="C466" t="s">
        <v>320</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350</v>
      </c>
      <c r="B467">
        <v>2014</v>
      </c>
      <c r="C467" t="s">
        <v>320</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350</v>
      </c>
      <c r="B468">
        <v>2013</v>
      </c>
      <c r="C468" t="s">
        <v>320</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350</v>
      </c>
      <c r="B469">
        <v>2012</v>
      </c>
      <c r="C469" t="s">
        <v>320</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350</v>
      </c>
      <c r="B470">
        <v>2011</v>
      </c>
      <c r="C470" t="s">
        <v>320</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350</v>
      </c>
      <c r="B471">
        <v>2010</v>
      </c>
      <c r="C471" t="s">
        <v>320</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350</v>
      </c>
      <c r="B472">
        <v>2009</v>
      </c>
      <c r="C472" t="s">
        <v>320</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350</v>
      </c>
      <c r="B473">
        <v>2008</v>
      </c>
      <c r="C473" t="s">
        <v>320</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350</v>
      </c>
      <c r="B474">
        <v>2007</v>
      </c>
      <c r="C474" t="s">
        <v>320</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350</v>
      </c>
      <c r="B475">
        <v>2006</v>
      </c>
      <c r="C475" t="s">
        <v>320</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350</v>
      </c>
      <c r="B476">
        <v>2005</v>
      </c>
      <c r="C476" t="s">
        <v>320</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350</v>
      </c>
      <c r="B477">
        <v>2004</v>
      </c>
      <c r="C477" t="s">
        <v>320</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350</v>
      </c>
      <c r="B478">
        <v>2003</v>
      </c>
      <c r="C478" t="s">
        <v>320</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350</v>
      </c>
      <c r="B479">
        <v>2002</v>
      </c>
      <c r="C479" t="s">
        <v>320</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350</v>
      </c>
      <c r="B480">
        <v>2001</v>
      </c>
      <c r="C480" t="s">
        <v>320</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350</v>
      </c>
      <c r="B481">
        <v>2000</v>
      </c>
      <c r="C481" t="s">
        <v>320</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351</v>
      </c>
      <c r="B482">
        <v>2015</v>
      </c>
      <c r="C482" t="s">
        <v>320</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351</v>
      </c>
      <c r="B483">
        <v>2014</v>
      </c>
      <c r="C483" t="s">
        <v>320</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351</v>
      </c>
      <c r="B484">
        <v>2013</v>
      </c>
      <c r="C484" t="s">
        <v>320</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351</v>
      </c>
      <c r="B485">
        <v>2012</v>
      </c>
      <c r="C485" t="s">
        <v>320</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351</v>
      </c>
      <c r="B486">
        <v>2011</v>
      </c>
      <c r="C486" t="s">
        <v>320</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351</v>
      </c>
      <c r="B487">
        <v>2010</v>
      </c>
      <c r="C487" t="s">
        <v>320</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351</v>
      </c>
      <c r="B488">
        <v>2009</v>
      </c>
      <c r="C488" t="s">
        <v>320</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351</v>
      </c>
      <c r="B489">
        <v>2008</v>
      </c>
      <c r="C489" t="s">
        <v>320</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351</v>
      </c>
      <c r="B490">
        <v>2007</v>
      </c>
      <c r="C490" t="s">
        <v>320</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351</v>
      </c>
      <c r="B491">
        <v>2006</v>
      </c>
      <c r="C491" t="s">
        <v>320</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351</v>
      </c>
      <c r="B492">
        <v>2005</v>
      </c>
      <c r="C492" t="s">
        <v>320</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351</v>
      </c>
      <c r="B493">
        <v>2004</v>
      </c>
      <c r="C493" t="s">
        <v>320</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351</v>
      </c>
      <c r="B494">
        <v>2003</v>
      </c>
      <c r="C494" t="s">
        <v>320</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351</v>
      </c>
      <c r="B495">
        <v>2002</v>
      </c>
      <c r="C495" t="s">
        <v>320</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351</v>
      </c>
      <c r="B496">
        <v>2001</v>
      </c>
      <c r="C496" t="s">
        <v>320</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351</v>
      </c>
      <c r="B497">
        <v>2000</v>
      </c>
      <c r="C497" t="s">
        <v>320</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352</v>
      </c>
      <c r="B498">
        <v>2015</v>
      </c>
      <c r="C498" t="s">
        <v>320</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352</v>
      </c>
      <c r="B499">
        <v>2014</v>
      </c>
      <c r="C499" t="s">
        <v>320</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352</v>
      </c>
      <c r="B500">
        <v>2013</v>
      </c>
      <c r="C500" t="s">
        <v>320</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352</v>
      </c>
      <c r="B501">
        <v>2012</v>
      </c>
      <c r="C501" t="s">
        <v>320</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352</v>
      </c>
      <c r="B502">
        <v>2011</v>
      </c>
      <c r="C502" t="s">
        <v>320</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352</v>
      </c>
      <c r="B503">
        <v>2010</v>
      </c>
      <c r="C503" t="s">
        <v>320</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352</v>
      </c>
      <c r="B504">
        <v>2009</v>
      </c>
      <c r="C504" t="s">
        <v>320</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352</v>
      </c>
      <c r="B505">
        <v>2008</v>
      </c>
      <c r="C505" t="s">
        <v>320</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352</v>
      </c>
      <c r="B506">
        <v>2007</v>
      </c>
      <c r="C506" t="s">
        <v>320</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352</v>
      </c>
      <c r="B507">
        <v>2006</v>
      </c>
      <c r="C507" t="s">
        <v>320</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352</v>
      </c>
      <c r="B508">
        <v>2005</v>
      </c>
      <c r="C508" t="s">
        <v>320</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352</v>
      </c>
      <c r="B509">
        <v>2004</v>
      </c>
      <c r="C509" t="s">
        <v>320</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352</v>
      </c>
      <c r="B510">
        <v>2003</v>
      </c>
      <c r="C510" t="s">
        <v>320</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352</v>
      </c>
      <c r="B511">
        <v>2002</v>
      </c>
      <c r="C511" t="s">
        <v>320</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352</v>
      </c>
      <c r="B512">
        <v>2001</v>
      </c>
      <c r="C512" t="s">
        <v>320</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352</v>
      </c>
      <c r="B513">
        <v>2000</v>
      </c>
      <c r="C513" t="s">
        <v>320</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353</v>
      </c>
      <c r="B514">
        <v>2015</v>
      </c>
      <c r="C514" t="s">
        <v>320</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353</v>
      </c>
      <c r="B515">
        <v>2014</v>
      </c>
      <c r="C515" t="s">
        <v>320</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353</v>
      </c>
      <c r="B516">
        <v>2013</v>
      </c>
      <c r="C516" t="s">
        <v>320</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353</v>
      </c>
      <c r="B517">
        <v>2012</v>
      </c>
      <c r="C517" t="s">
        <v>320</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353</v>
      </c>
      <c r="B518">
        <v>2011</v>
      </c>
      <c r="C518" t="s">
        <v>320</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353</v>
      </c>
      <c r="B519">
        <v>2010</v>
      </c>
      <c r="C519" t="s">
        <v>320</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353</v>
      </c>
      <c r="B520">
        <v>2009</v>
      </c>
      <c r="C520" t="s">
        <v>320</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353</v>
      </c>
      <c r="B521">
        <v>2008</v>
      </c>
      <c r="C521" t="s">
        <v>320</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353</v>
      </c>
      <c r="B522">
        <v>2007</v>
      </c>
      <c r="C522" t="s">
        <v>320</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353</v>
      </c>
      <c r="B523">
        <v>2006</v>
      </c>
      <c r="C523" t="s">
        <v>320</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353</v>
      </c>
      <c r="B524">
        <v>2005</v>
      </c>
      <c r="C524" t="s">
        <v>320</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353</v>
      </c>
      <c r="B525">
        <v>2004</v>
      </c>
      <c r="C525" t="s">
        <v>320</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353</v>
      </c>
      <c r="B526">
        <v>2003</v>
      </c>
      <c r="C526" t="s">
        <v>320</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353</v>
      </c>
      <c r="B527">
        <v>2002</v>
      </c>
      <c r="C527" t="s">
        <v>320</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353</v>
      </c>
      <c r="B528">
        <v>2001</v>
      </c>
      <c r="C528" t="s">
        <v>320</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353</v>
      </c>
      <c r="B529">
        <v>2000</v>
      </c>
      <c r="C529" t="s">
        <v>320</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354</v>
      </c>
      <c r="B530">
        <v>2015</v>
      </c>
      <c r="C530" t="s">
        <v>320</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354</v>
      </c>
      <c r="B531">
        <v>2014</v>
      </c>
      <c r="C531" t="s">
        <v>320</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354</v>
      </c>
      <c r="B532">
        <v>2013</v>
      </c>
      <c r="C532" t="s">
        <v>320</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354</v>
      </c>
      <c r="B533">
        <v>2012</v>
      </c>
      <c r="C533" t="s">
        <v>320</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354</v>
      </c>
      <c r="B534">
        <v>2011</v>
      </c>
      <c r="C534" t="s">
        <v>320</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354</v>
      </c>
      <c r="B535">
        <v>2010</v>
      </c>
      <c r="C535" t="s">
        <v>320</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354</v>
      </c>
      <c r="B536">
        <v>2009</v>
      </c>
      <c r="C536" t="s">
        <v>320</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354</v>
      </c>
      <c r="B537">
        <v>2008</v>
      </c>
      <c r="C537" t="s">
        <v>320</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354</v>
      </c>
      <c r="B538">
        <v>2007</v>
      </c>
      <c r="C538" t="s">
        <v>320</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354</v>
      </c>
      <c r="B539">
        <v>2006</v>
      </c>
      <c r="C539" t="s">
        <v>320</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354</v>
      </c>
      <c r="B540">
        <v>2005</v>
      </c>
      <c r="C540" t="s">
        <v>320</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354</v>
      </c>
      <c r="B541">
        <v>2004</v>
      </c>
      <c r="C541" t="s">
        <v>320</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354</v>
      </c>
      <c r="B542">
        <v>2003</v>
      </c>
      <c r="C542" t="s">
        <v>320</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354</v>
      </c>
      <c r="B543">
        <v>2002</v>
      </c>
      <c r="C543" t="s">
        <v>320</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354</v>
      </c>
      <c r="B544">
        <v>2001</v>
      </c>
      <c r="C544" t="s">
        <v>320</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354</v>
      </c>
      <c r="B545">
        <v>2000</v>
      </c>
      <c r="C545" t="s">
        <v>320</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355</v>
      </c>
      <c r="B546">
        <v>2015</v>
      </c>
      <c r="C546" t="s">
        <v>320</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355</v>
      </c>
      <c r="B547">
        <v>2014</v>
      </c>
      <c r="C547" t="s">
        <v>320</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355</v>
      </c>
      <c r="B548">
        <v>2013</v>
      </c>
      <c r="C548" t="s">
        <v>320</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355</v>
      </c>
      <c r="B549">
        <v>2012</v>
      </c>
      <c r="C549" t="s">
        <v>320</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355</v>
      </c>
      <c r="B550">
        <v>2011</v>
      </c>
      <c r="C550" t="s">
        <v>320</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355</v>
      </c>
      <c r="B551">
        <v>2010</v>
      </c>
      <c r="C551" t="s">
        <v>320</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355</v>
      </c>
      <c r="B552">
        <v>2009</v>
      </c>
      <c r="C552" t="s">
        <v>320</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355</v>
      </c>
      <c r="B553">
        <v>2008</v>
      </c>
      <c r="C553" t="s">
        <v>320</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355</v>
      </c>
      <c r="B554">
        <v>2007</v>
      </c>
      <c r="C554" t="s">
        <v>320</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355</v>
      </c>
      <c r="B555">
        <v>2006</v>
      </c>
      <c r="C555" t="s">
        <v>320</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355</v>
      </c>
      <c r="B556">
        <v>2005</v>
      </c>
      <c r="C556" t="s">
        <v>320</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355</v>
      </c>
      <c r="B557">
        <v>2004</v>
      </c>
      <c r="C557" t="s">
        <v>320</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355</v>
      </c>
      <c r="B558">
        <v>2003</v>
      </c>
      <c r="C558" t="s">
        <v>320</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355</v>
      </c>
      <c r="B559">
        <v>2002</v>
      </c>
      <c r="C559" t="s">
        <v>320</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355</v>
      </c>
      <c r="B560">
        <v>2001</v>
      </c>
      <c r="C560" t="s">
        <v>320</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355</v>
      </c>
      <c r="B561">
        <v>2000</v>
      </c>
      <c r="C561" t="s">
        <v>320</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356</v>
      </c>
      <c r="B562">
        <v>2015</v>
      </c>
      <c r="C562" t="s">
        <v>320</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356</v>
      </c>
      <c r="B563">
        <v>2014</v>
      </c>
      <c r="C563" t="s">
        <v>320</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356</v>
      </c>
      <c r="B564">
        <v>2013</v>
      </c>
      <c r="C564" t="s">
        <v>320</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356</v>
      </c>
      <c r="B565">
        <v>2012</v>
      </c>
      <c r="C565" t="s">
        <v>320</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356</v>
      </c>
      <c r="B566">
        <v>2011</v>
      </c>
      <c r="C566" t="s">
        <v>320</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356</v>
      </c>
      <c r="B567">
        <v>2010</v>
      </c>
      <c r="C567" t="s">
        <v>320</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356</v>
      </c>
      <c r="B568">
        <v>2009</v>
      </c>
      <c r="C568" t="s">
        <v>320</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356</v>
      </c>
      <c r="B569">
        <v>2008</v>
      </c>
      <c r="C569" t="s">
        <v>320</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356</v>
      </c>
      <c r="B570">
        <v>2007</v>
      </c>
      <c r="C570" t="s">
        <v>320</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356</v>
      </c>
      <c r="B571">
        <v>2006</v>
      </c>
      <c r="C571" t="s">
        <v>320</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356</v>
      </c>
      <c r="B572">
        <v>2005</v>
      </c>
      <c r="C572" t="s">
        <v>320</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356</v>
      </c>
      <c r="B573">
        <v>2004</v>
      </c>
      <c r="C573" t="s">
        <v>320</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356</v>
      </c>
      <c r="B574">
        <v>2003</v>
      </c>
      <c r="C574" t="s">
        <v>320</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356</v>
      </c>
      <c r="B575">
        <v>2002</v>
      </c>
      <c r="C575" t="s">
        <v>320</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356</v>
      </c>
      <c r="B576">
        <v>2001</v>
      </c>
      <c r="C576" t="s">
        <v>320</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356</v>
      </c>
      <c r="B577">
        <v>2000</v>
      </c>
      <c r="C577" t="s">
        <v>320</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357</v>
      </c>
      <c r="B578">
        <v>2015</v>
      </c>
      <c r="C578" t="s">
        <v>320</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357</v>
      </c>
      <c r="B579">
        <v>2014</v>
      </c>
      <c r="C579" t="s">
        <v>320</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357</v>
      </c>
      <c r="B580">
        <v>2013</v>
      </c>
      <c r="C580" t="s">
        <v>320</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357</v>
      </c>
      <c r="B581">
        <v>2012</v>
      </c>
      <c r="C581" t="s">
        <v>320</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357</v>
      </c>
      <c r="B582">
        <v>2011</v>
      </c>
      <c r="C582" t="s">
        <v>320</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357</v>
      </c>
      <c r="B583">
        <v>2010</v>
      </c>
      <c r="C583" t="s">
        <v>320</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357</v>
      </c>
      <c r="B584">
        <v>2009</v>
      </c>
      <c r="C584" t="s">
        <v>320</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357</v>
      </c>
      <c r="B585">
        <v>2008</v>
      </c>
      <c r="C585" t="s">
        <v>320</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357</v>
      </c>
      <c r="B586">
        <v>2007</v>
      </c>
      <c r="C586" t="s">
        <v>320</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357</v>
      </c>
      <c r="B587">
        <v>2006</v>
      </c>
      <c r="C587" t="s">
        <v>320</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357</v>
      </c>
      <c r="B588">
        <v>2005</v>
      </c>
      <c r="C588" t="s">
        <v>320</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357</v>
      </c>
      <c r="B589">
        <v>2004</v>
      </c>
      <c r="C589" t="s">
        <v>320</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357</v>
      </c>
      <c r="B590">
        <v>2003</v>
      </c>
      <c r="C590" t="s">
        <v>320</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357</v>
      </c>
      <c r="B591">
        <v>2002</v>
      </c>
      <c r="C591" t="s">
        <v>320</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357</v>
      </c>
      <c r="B592">
        <v>2001</v>
      </c>
      <c r="C592" t="s">
        <v>320</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357</v>
      </c>
      <c r="B593">
        <v>2000</v>
      </c>
      <c r="C593" t="s">
        <v>320</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358</v>
      </c>
      <c r="B594">
        <v>2015</v>
      </c>
      <c r="C594" t="s">
        <v>320</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358</v>
      </c>
      <c r="B595">
        <v>2014</v>
      </c>
      <c r="C595" t="s">
        <v>320</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358</v>
      </c>
      <c r="B596">
        <v>2013</v>
      </c>
      <c r="C596" t="s">
        <v>320</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358</v>
      </c>
      <c r="B597">
        <v>2012</v>
      </c>
      <c r="C597" t="s">
        <v>320</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358</v>
      </c>
      <c r="B598">
        <v>2011</v>
      </c>
      <c r="C598" t="s">
        <v>320</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358</v>
      </c>
      <c r="B599">
        <v>2010</v>
      </c>
      <c r="C599" t="s">
        <v>320</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358</v>
      </c>
      <c r="B600">
        <v>2009</v>
      </c>
      <c r="C600" t="s">
        <v>320</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358</v>
      </c>
      <c r="B601">
        <v>2008</v>
      </c>
      <c r="C601" t="s">
        <v>320</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358</v>
      </c>
      <c r="B602">
        <v>2007</v>
      </c>
      <c r="C602" t="s">
        <v>320</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358</v>
      </c>
      <c r="B603">
        <v>2006</v>
      </c>
      <c r="C603" t="s">
        <v>320</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358</v>
      </c>
      <c r="B604">
        <v>2005</v>
      </c>
      <c r="C604" t="s">
        <v>320</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358</v>
      </c>
      <c r="B605">
        <v>2004</v>
      </c>
      <c r="C605" t="s">
        <v>320</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358</v>
      </c>
      <c r="B606">
        <v>2003</v>
      </c>
      <c r="C606" t="s">
        <v>320</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358</v>
      </c>
      <c r="B607">
        <v>2002</v>
      </c>
      <c r="C607" t="s">
        <v>320</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358</v>
      </c>
      <c r="B608">
        <v>2001</v>
      </c>
      <c r="C608" t="s">
        <v>320</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358</v>
      </c>
      <c r="B609">
        <v>2000</v>
      </c>
      <c r="C609" t="s">
        <v>320</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359</v>
      </c>
      <c r="B610">
        <v>2015</v>
      </c>
      <c r="C610" t="s">
        <v>320</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359</v>
      </c>
      <c r="B611">
        <v>2014</v>
      </c>
      <c r="C611" t="s">
        <v>320</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359</v>
      </c>
      <c r="B612">
        <v>2013</v>
      </c>
      <c r="C612" t="s">
        <v>320</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359</v>
      </c>
      <c r="B613">
        <v>2012</v>
      </c>
      <c r="C613" t="s">
        <v>320</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359</v>
      </c>
      <c r="B614">
        <v>2011</v>
      </c>
      <c r="C614" t="s">
        <v>320</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359</v>
      </c>
      <c r="B615">
        <v>2010</v>
      </c>
      <c r="C615" t="s">
        <v>320</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359</v>
      </c>
      <c r="B616">
        <v>2009</v>
      </c>
      <c r="C616" t="s">
        <v>320</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359</v>
      </c>
      <c r="B617">
        <v>2008</v>
      </c>
      <c r="C617" t="s">
        <v>320</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359</v>
      </c>
      <c r="B618">
        <v>2007</v>
      </c>
      <c r="C618" t="s">
        <v>320</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359</v>
      </c>
      <c r="B619">
        <v>2006</v>
      </c>
      <c r="C619" t="s">
        <v>320</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359</v>
      </c>
      <c r="B620">
        <v>2005</v>
      </c>
      <c r="C620" t="s">
        <v>320</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359</v>
      </c>
      <c r="B621">
        <v>2004</v>
      </c>
      <c r="C621" t="s">
        <v>320</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359</v>
      </c>
      <c r="B622">
        <v>2003</v>
      </c>
      <c r="C622" t="s">
        <v>320</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359</v>
      </c>
      <c r="B623">
        <v>2002</v>
      </c>
      <c r="C623" t="s">
        <v>320</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359</v>
      </c>
      <c r="B624">
        <v>2001</v>
      </c>
      <c r="C624" t="s">
        <v>320</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359</v>
      </c>
      <c r="B625">
        <v>2000</v>
      </c>
      <c r="C625" t="s">
        <v>320</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360</v>
      </c>
      <c r="B626">
        <v>2013</v>
      </c>
      <c r="C626" t="s">
        <v>320</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361</v>
      </c>
      <c r="B627">
        <v>2015</v>
      </c>
      <c r="C627" t="s">
        <v>320</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361</v>
      </c>
      <c r="B628">
        <v>2014</v>
      </c>
      <c r="C628" t="s">
        <v>320</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361</v>
      </c>
      <c r="B629">
        <v>2013</v>
      </c>
      <c r="C629" t="s">
        <v>320</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361</v>
      </c>
      <c r="B630">
        <v>2012</v>
      </c>
      <c r="C630" t="s">
        <v>320</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361</v>
      </c>
      <c r="B631">
        <v>2011</v>
      </c>
      <c r="C631" t="s">
        <v>320</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361</v>
      </c>
      <c r="B632">
        <v>2010</v>
      </c>
      <c r="C632" t="s">
        <v>320</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361</v>
      </c>
      <c r="B633">
        <v>2009</v>
      </c>
      <c r="C633" t="s">
        <v>320</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361</v>
      </c>
      <c r="B634">
        <v>2008</v>
      </c>
      <c r="C634" t="s">
        <v>320</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361</v>
      </c>
      <c r="B635">
        <v>2007</v>
      </c>
      <c r="C635" t="s">
        <v>320</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361</v>
      </c>
      <c r="B636">
        <v>2006</v>
      </c>
      <c r="C636" t="s">
        <v>320</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361</v>
      </c>
      <c r="B637">
        <v>2005</v>
      </c>
      <c r="C637" t="s">
        <v>320</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361</v>
      </c>
      <c r="B638">
        <v>2004</v>
      </c>
      <c r="C638" t="s">
        <v>320</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361</v>
      </c>
      <c r="B639">
        <v>2003</v>
      </c>
      <c r="C639" t="s">
        <v>320</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361</v>
      </c>
      <c r="B640">
        <v>2002</v>
      </c>
      <c r="C640" t="s">
        <v>320</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361</v>
      </c>
      <c r="B641">
        <v>2001</v>
      </c>
      <c r="C641" t="s">
        <v>320</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361</v>
      </c>
      <c r="B642">
        <v>2000</v>
      </c>
      <c r="C642" t="s">
        <v>320</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362</v>
      </c>
      <c r="B643">
        <v>2015</v>
      </c>
      <c r="C643" t="s">
        <v>328</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362</v>
      </c>
      <c r="B644">
        <v>2014</v>
      </c>
      <c r="C644" t="s">
        <v>328</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362</v>
      </c>
      <c r="B645">
        <v>2013</v>
      </c>
      <c r="C645" t="s">
        <v>328</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362</v>
      </c>
      <c r="B646">
        <v>2012</v>
      </c>
      <c r="C646" t="s">
        <v>328</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362</v>
      </c>
      <c r="B647">
        <v>2011</v>
      </c>
      <c r="C647" t="s">
        <v>328</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362</v>
      </c>
      <c r="B648">
        <v>2010</v>
      </c>
      <c r="C648" t="s">
        <v>328</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362</v>
      </c>
      <c r="B649">
        <v>2009</v>
      </c>
      <c r="C649" t="s">
        <v>328</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362</v>
      </c>
      <c r="B650">
        <v>2008</v>
      </c>
      <c r="C650" t="s">
        <v>328</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362</v>
      </c>
      <c r="B651">
        <v>2007</v>
      </c>
      <c r="C651" t="s">
        <v>328</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362</v>
      </c>
      <c r="B652">
        <v>2006</v>
      </c>
      <c r="C652" t="s">
        <v>328</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362</v>
      </c>
      <c r="B653">
        <v>2005</v>
      </c>
      <c r="C653" t="s">
        <v>328</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362</v>
      </c>
      <c r="B654">
        <v>2004</v>
      </c>
      <c r="C654" t="s">
        <v>328</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362</v>
      </c>
      <c r="B655">
        <v>2003</v>
      </c>
      <c r="C655" t="s">
        <v>328</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362</v>
      </c>
      <c r="B656">
        <v>2002</v>
      </c>
      <c r="C656" t="s">
        <v>328</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362</v>
      </c>
      <c r="B657">
        <v>2001</v>
      </c>
      <c r="C657" t="s">
        <v>328</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362</v>
      </c>
      <c r="B658">
        <v>2000</v>
      </c>
      <c r="C658" t="s">
        <v>328</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363</v>
      </c>
      <c r="B659">
        <v>2015</v>
      </c>
      <c r="C659" t="s">
        <v>320</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363</v>
      </c>
      <c r="B660">
        <v>2014</v>
      </c>
      <c r="C660" t="s">
        <v>320</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363</v>
      </c>
      <c r="B661">
        <v>2013</v>
      </c>
      <c r="C661" t="s">
        <v>320</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363</v>
      </c>
      <c r="B662">
        <v>2012</v>
      </c>
      <c r="C662" t="s">
        <v>320</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363</v>
      </c>
      <c r="B663">
        <v>2011</v>
      </c>
      <c r="C663" t="s">
        <v>320</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363</v>
      </c>
      <c r="B664">
        <v>2010</v>
      </c>
      <c r="C664" t="s">
        <v>320</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363</v>
      </c>
      <c r="B665">
        <v>2009</v>
      </c>
      <c r="C665" t="s">
        <v>320</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363</v>
      </c>
      <c r="B666">
        <v>2008</v>
      </c>
      <c r="C666" t="s">
        <v>320</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363</v>
      </c>
      <c r="B667">
        <v>2007</v>
      </c>
      <c r="C667" t="s">
        <v>320</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363</v>
      </c>
      <c r="B668">
        <v>2006</v>
      </c>
      <c r="C668" t="s">
        <v>320</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363</v>
      </c>
      <c r="B669">
        <v>2005</v>
      </c>
      <c r="C669" t="s">
        <v>320</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363</v>
      </c>
      <c r="B670">
        <v>2004</v>
      </c>
      <c r="C670" t="s">
        <v>320</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363</v>
      </c>
      <c r="B671">
        <v>2003</v>
      </c>
      <c r="C671" t="s">
        <v>320</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363</v>
      </c>
      <c r="B672">
        <v>2002</v>
      </c>
      <c r="C672" t="s">
        <v>320</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363</v>
      </c>
      <c r="B673">
        <v>2001</v>
      </c>
      <c r="C673" t="s">
        <v>320</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363</v>
      </c>
      <c r="B674">
        <v>2000</v>
      </c>
      <c r="C674" t="s">
        <v>320</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364</v>
      </c>
      <c r="B675">
        <v>2015</v>
      </c>
      <c r="C675" t="s">
        <v>328</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364</v>
      </c>
      <c r="B676">
        <v>2014</v>
      </c>
      <c r="C676" t="s">
        <v>328</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364</v>
      </c>
      <c r="B677">
        <v>2013</v>
      </c>
      <c r="C677" t="s">
        <v>328</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364</v>
      </c>
      <c r="B678">
        <v>2012</v>
      </c>
      <c r="C678" t="s">
        <v>328</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364</v>
      </c>
      <c r="B679">
        <v>2011</v>
      </c>
      <c r="C679" t="s">
        <v>328</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364</v>
      </c>
      <c r="B680">
        <v>2010</v>
      </c>
      <c r="C680" t="s">
        <v>328</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364</v>
      </c>
      <c r="B681">
        <v>2009</v>
      </c>
      <c r="C681" t="s">
        <v>328</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364</v>
      </c>
      <c r="B682">
        <v>2008</v>
      </c>
      <c r="C682" t="s">
        <v>328</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364</v>
      </c>
      <c r="B683">
        <v>2007</v>
      </c>
      <c r="C683" t="s">
        <v>328</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364</v>
      </c>
      <c r="B684">
        <v>2006</v>
      </c>
      <c r="C684" t="s">
        <v>328</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364</v>
      </c>
      <c r="B685">
        <v>2005</v>
      </c>
      <c r="C685" t="s">
        <v>328</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364</v>
      </c>
      <c r="B686">
        <v>2004</v>
      </c>
      <c r="C686" t="s">
        <v>328</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364</v>
      </c>
      <c r="B687">
        <v>2003</v>
      </c>
      <c r="C687" t="s">
        <v>328</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364</v>
      </c>
      <c r="B688">
        <v>2002</v>
      </c>
      <c r="C688" t="s">
        <v>328</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364</v>
      </c>
      <c r="B689">
        <v>2001</v>
      </c>
      <c r="C689" t="s">
        <v>328</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364</v>
      </c>
      <c r="B690">
        <v>2000</v>
      </c>
      <c r="C690" t="s">
        <v>328</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365</v>
      </c>
      <c r="B691">
        <v>2015</v>
      </c>
      <c r="C691" t="s">
        <v>328</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365</v>
      </c>
      <c r="B692">
        <v>2014</v>
      </c>
      <c r="C692" t="s">
        <v>328</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365</v>
      </c>
      <c r="B693">
        <v>2013</v>
      </c>
      <c r="C693" t="s">
        <v>328</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365</v>
      </c>
      <c r="B694">
        <v>2012</v>
      </c>
      <c r="C694" t="s">
        <v>328</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365</v>
      </c>
      <c r="B695">
        <v>2011</v>
      </c>
      <c r="C695" t="s">
        <v>328</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365</v>
      </c>
      <c r="B696">
        <v>2010</v>
      </c>
      <c r="C696" t="s">
        <v>328</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365</v>
      </c>
      <c r="B697">
        <v>2009</v>
      </c>
      <c r="C697" t="s">
        <v>328</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365</v>
      </c>
      <c r="B698">
        <v>2008</v>
      </c>
      <c r="C698" t="s">
        <v>328</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365</v>
      </c>
      <c r="B699">
        <v>2007</v>
      </c>
      <c r="C699" t="s">
        <v>328</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365</v>
      </c>
      <c r="B700">
        <v>2006</v>
      </c>
      <c r="C700" t="s">
        <v>328</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365</v>
      </c>
      <c r="B701">
        <v>2005</v>
      </c>
      <c r="C701" t="s">
        <v>328</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365</v>
      </c>
      <c r="B702">
        <v>2004</v>
      </c>
      <c r="C702" t="s">
        <v>328</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365</v>
      </c>
      <c r="B703">
        <v>2003</v>
      </c>
      <c r="C703" t="s">
        <v>328</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365</v>
      </c>
      <c r="B704">
        <v>2002</v>
      </c>
      <c r="C704" t="s">
        <v>328</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365</v>
      </c>
      <c r="B705">
        <v>2001</v>
      </c>
      <c r="C705" t="s">
        <v>328</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365</v>
      </c>
      <c r="B706">
        <v>2000</v>
      </c>
      <c r="C706" t="s">
        <v>328</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366</v>
      </c>
      <c r="B707">
        <v>2015</v>
      </c>
      <c r="C707" t="s">
        <v>320</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366</v>
      </c>
      <c r="B708">
        <v>2014</v>
      </c>
      <c r="C708" t="s">
        <v>320</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366</v>
      </c>
      <c r="B709">
        <v>2013</v>
      </c>
      <c r="C709" t="s">
        <v>320</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366</v>
      </c>
      <c r="B710">
        <v>2012</v>
      </c>
      <c r="C710" t="s">
        <v>320</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366</v>
      </c>
      <c r="B711">
        <v>2011</v>
      </c>
      <c r="C711" t="s">
        <v>320</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366</v>
      </c>
      <c r="B712">
        <v>2010</v>
      </c>
      <c r="C712" t="s">
        <v>320</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366</v>
      </c>
      <c r="B713">
        <v>2009</v>
      </c>
      <c r="C713" t="s">
        <v>320</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366</v>
      </c>
      <c r="B714">
        <v>2008</v>
      </c>
      <c r="C714" t="s">
        <v>320</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366</v>
      </c>
      <c r="B715">
        <v>2007</v>
      </c>
      <c r="C715" t="s">
        <v>320</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366</v>
      </c>
      <c r="B716">
        <v>2006</v>
      </c>
      <c r="C716" t="s">
        <v>320</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366</v>
      </c>
      <c r="B717">
        <v>2005</v>
      </c>
      <c r="C717" t="s">
        <v>320</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366</v>
      </c>
      <c r="B718">
        <v>2004</v>
      </c>
      <c r="C718" t="s">
        <v>320</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366</v>
      </c>
      <c r="B719">
        <v>2003</v>
      </c>
      <c r="C719" t="s">
        <v>320</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366</v>
      </c>
      <c r="B720">
        <v>2002</v>
      </c>
      <c r="C720" t="s">
        <v>320</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366</v>
      </c>
      <c r="B721">
        <v>2001</v>
      </c>
      <c r="C721" t="s">
        <v>320</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366</v>
      </c>
      <c r="B722">
        <v>2000</v>
      </c>
      <c r="C722" t="s">
        <v>320</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367</v>
      </c>
      <c r="B723">
        <v>2015</v>
      </c>
      <c r="C723" t="s">
        <v>320</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367</v>
      </c>
      <c r="B724">
        <v>2014</v>
      </c>
      <c r="C724" t="s">
        <v>320</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367</v>
      </c>
      <c r="B725">
        <v>2013</v>
      </c>
      <c r="C725" t="s">
        <v>320</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367</v>
      </c>
      <c r="B726">
        <v>2012</v>
      </c>
      <c r="C726" t="s">
        <v>320</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367</v>
      </c>
      <c r="B727">
        <v>2011</v>
      </c>
      <c r="C727" t="s">
        <v>320</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367</v>
      </c>
      <c r="B728">
        <v>2010</v>
      </c>
      <c r="C728" t="s">
        <v>320</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367</v>
      </c>
      <c r="B729">
        <v>2009</v>
      </c>
      <c r="C729" t="s">
        <v>320</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367</v>
      </c>
      <c r="B730">
        <v>2008</v>
      </c>
      <c r="C730" t="s">
        <v>320</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367</v>
      </c>
      <c r="B731">
        <v>2007</v>
      </c>
      <c r="C731" t="s">
        <v>320</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367</v>
      </c>
      <c r="B732">
        <v>2006</v>
      </c>
      <c r="C732" t="s">
        <v>320</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367</v>
      </c>
      <c r="B733">
        <v>2005</v>
      </c>
      <c r="C733" t="s">
        <v>320</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367</v>
      </c>
      <c r="B734">
        <v>2004</v>
      </c>
      <c r="C734" t="s">
        <v>320</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367</v>
      </c>
      <c r="B735">
        <v>2003</v>
      </c>
      <c r="C735" t="s">
        <v>320</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367</v>
      </c>
      <c r="B736">
        <v>2002</v>
      </c>
      <c r="C736" t="s">
        <v>320</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367</v>
      </c>
      <c r="B737">
        <v>2001</v>
      </c>
      <c r="C737" t="s">
        <v>320</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367</v>
      </c>
      <c r="B738">
        <v>2000</v>
      </c>
      <c r="C738" t="s">
        <v>320</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368</v>
      </c>
      <c r="B739">
        <v>2015</v>
      </c>
      <c r="C739" t="s">
        <v>328</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368</v>
      </c>
      <c r="B740">
        <v>2014</v>
      </c>
      <c r="C740" t="s">
        <v>328</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368</v>
      </c>
      <c r="B741">
        <v>2013</v>
      </c>
      <c r="C741" t="s">
        <v>328</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368</v>
      </c>
      <c r="B742">
        <v>2012</v>
      </c>
      <c r="C742" t="s">
        <v>328</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368</v>
      </c>
      <c r="B743">
        <v>2011</v>
      </c>
      <c r="C743" t="s">
        <v>328</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368</v>
      </c>
      <c r="B744">
        <v>2010</v>
      </c>
      <c r="C744" t="s">
        <v>328</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368</v>
      </c>
      <c r="B745">
        <v>2009</v>
      </c>
      <c r="C745" t="s">
        <v>328</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368</v>
      </c>
      <c r="B746">
        <v>2008</v>
      </c>
      <c r="C746" t="s">
        <v>328</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368</v>
      </c>
      <c r="B747">
        <v>2007</v>
      </c>
      <c r="C747" t="s">
        <v>328</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368</v>
      </c>
      <c r="B748">
        <v>2006</v>
      </c>
      <c r="C748" t="s">
        <v>328</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368</v>
      </c>
      <c r="B749">
        <v>2005</v>
      </c>
      <c r="C749" t="s">
        <v>328</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368</v>
      </c>
      <c r="B750">
        <v>2004</v>
      </c>
      <c r="C750" t="s">
        <v>328</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368</v>
      </c>
      <c r="B751">
        <v>2003</v>
      </c>
      <c r="C751" t="s">
        <v>328</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368</v>
      </c>
      <c r="B752">
        <v>2002</v>
      </c>
      <c r="C752" t="s">
        <v>328</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368</v>
      </c>
      <c r="B753">
        <v>2001</v>
      </c>
      <c r="C753" t="s">
        <v>328</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368</v>
      </c>
      <c r="B754">
        <v>2000</v>
      </c>
      <c r="C754" t="s">
        <v>328</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369</v>
      </c>
      <c r="B755">
        <v>2015</v>
      </c>
      <c r="C755" t="s">
        <v>320</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369</v>
      </c>
      <c r="B756">
        <v>2014</v>
      </c>
      <c r="C756" t="s">
        <v>320</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369</v>
      </c>
      <c r="B757">
        <v>2013</v>
      </c>
      <c r="C757" t="s">
        <v>320</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369</v>
      </c>
      <c r="B758">
        <v>2012</v>
      </c>
      <c r="C758" t="s">
        <v>320</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369</v>
      </c>
      <c r="B759">
        <v>2011</v>
      </c>
      <c r="C759" t="s">
        <v>320</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369</v>
      </c>
      <c r="B760">
        <v>2010</v>
      </c>
      <c r="C760" t="s">
        <v>320</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369</v>
      </c>
      <c r="B761">
        <v>2009</v>
      </c>
      <c r="C761" t="s">
        <v>320</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369</v>
      </c>
      <c r="B762">
        <v>2008</v>
      </c>
      <c r="C762" t="s">
        <v>320</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369</v>
      </c>
      <c r="B763">
        <v>2007</v>
      </c>
      <c r="C763" t="s">
        <v>320</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369</v>
      </c>
      <c r="B764">
        <v>2006</v>
      </c>
      <c r="C764" t="s">
        <v>320</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369</v>
      </c>
      <c r="B765">
        <v>2005</v>
      </c>
      <c r="C765" t="s">
        <v>320</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369</v>
      </c>
      <c r="B766">
        <v>2004</v>
      </c>
      <c r="C766" t="s">
        <v>320</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369</v>
      </c>
      <c r="B767">
        <v>2003</v>
      </c>
      <c r="C767" t="s">
        <v>320</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369</v>
      </c>
      <c r="B768">
        <v>2002</v>
      </c>
      <c r="C768" t="s">
        <v>320</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369</v>
      </c>
      <c r="B769">
        <v>2001</v>
      </c>
      <c r="C769" t="s">
        <v>320</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369</v>
      </c>
      <c r="B770">
        <v>2000</v>
      </c>
      <c r="C770" t="s">
        <v>320</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370</v>
      </c>
      <c r="B771">
        <v>2013</v>
      </c>
      <c r="C771" t="s">
        <v>320</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371</v>
      </c>
      <c r="B772">
        <v>2015</v>
      </c>
      <c r="C772" t="s">
        <v>320</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371</v>
      </c>
      <c r="B773">
        <v>2014</v>
      </c>
      <c r="C773" t="s">
        <v>320</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371</v>
      </c>
      <c r="B774">
        <v>2013</v>
      </c>
      <c r="C774" t="s">
        <v>320</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371</v>
      </c>
      <c r="B775">
        <v>2012</v>
      </c>
      <c r="C775" t="s">
        <v>320</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371</v>
      </c>
      <c r="B776">
        <v>2011</v>
      </c>
      <c r="C776" t="s">
        <v>320</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371</v>
      </c>
      <c r="B777">
        <v>2010</v>
      </c>
      <c r="C777" t="s">
        <v>320</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371</v>
      </c>
      <c r="B778">
        <v>2009</v>
      </c>
      <c r="C778" t="s">
        <v>320</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371</v>
      </c>
      <c r="B779">
        <v>2008</v>
      </c>
      <c r="C779" t="s">
        <v>320</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371</v>
      </c>
      <c r="B780">
        <v>2007</v>
      </c>
      <c r="C780" t="s">
        <v>320</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371</v>
      </c>
      <c r="B781">
        <v>2006</v>
      </c>
      <c r="C781" t="s">
        <v>320</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371</v>
      </c>
      <c r="B782">
        <v>2005</v>
      </c>
      <c r="C782" t="s">
        <v>320</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371</v>
      </c>
      <c r="B783">
        <v>2004</v>
      </c>
      <c r="C783" t="s">
        <v>320</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371</v>
      </c>
      <c r="B784">
        <v>2003</v>
      </c>
      <c r="C784" t="s">
        <v>320</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371</v>
      </c>
      <c r="B785">
        <v>2002</v>
      </c>
      <c r="C785" t="s">
        <v>320</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371</v>
      </c>
      <c r="B786">
        <v>2001</v>
      </c>
      <c r="C786" t="s">
        <v>320</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371</v>
      </c>
      <c r="B787">
        <v>2000</v>
      </c>
      <c r="C787" t="s">
        <v>320</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372</v>
      </c>
      <c r="B788">
        <v>2015</v>
      </c>
      <c r="C788" t="s">
        <v>320</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372</v>
      </c>
      <c r="B789">
        <v>2014</v>
      </c>
      <c r="C789" t="s">
        <v>320</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372</v>
      </c>
      <c r="B790">
        <v>2013</v>
      </c>
      <c r="C790" t="s">
        <v>320</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372</v>
      </c>
      <c r="B791">
        <v>2012</v>
      </c>
      <c r="C791" t="s">
        <v>320</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372</v>
      </c>
      <c r="B792">
        <v>2011</v>
      </c>
      <c r="C792" t="s">
        <v>320</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372</v>
      </c>
      <c r="B793">
        <v>2010</v>
      </c>
      <c r="C793" t="s">
        <v>320</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372</v>
      </c>
      <c r="B794">
        <v>2009</v>
      </c>
      <c r="C794" t="s">
        <v>320</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372</v>
      </c>
      <c r="B795">
        <v>2008</v>
      </c>
      <c r="C795" t="s">
        <v>320</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372</v>
      </c>
      <c r="B796">
        <v>2007</v>
      </c>
      <c r="C796" t="s">
        <v>320</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372</v>
      </c>
      <c r="B797">
        <v>2006</v>
      </c>
      <c r="C797" t="s">
        <v>320</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372</v>
      </c>
      <c r="B798">
        <v>2005</v>
      </c>
      <c r="C798" t="s">
        <v>320</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372</v>
      </c>
      <c r="B799">
        <v>2004</v>
      </c>
      <c r="C799" t="s">
        <v>320</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372</v>
      </c>
      <c r="B800">
        <v>2003</v>
      </c>
      <c r="C800" t="s">
        <v>320</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372</v>
      </c>
      <c r="B801">
        <v>2002</v>
      </c>
      <c r="C801" t="s">
        <v>320</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372</v>
      </c>
      <c r="B802">
        <v>2001</v>
      </c>
      <c r="C802" t="s">
        <v>320</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372</v>
      </c>
      <c r="B803">
        <v>2000</v>
      </c>
      <c r="C803" t="s">
        <v>320</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373</v>
      </c>
      <c r="B804">
        <v>2015</v>
      </c>
      <c r="C804" t="s">
        <v>320</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373</v>
      </c>
      <c r="B805">
        <v>2014</v>
      </c>
      <c r="C805" t="s">
        <v>320</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373</v>
      </c>
      <c r="B806">
        <v>2013</v>
      </c>
      <c r="C806" t="s">
        <v>320</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373</v>
      </c>
      <c r="B807">
        <v>2012</v>
      </c>
      <c r="C807" t="s">
        <v>320</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373</v>
      </c>
      <c r="B808">
        <v>2011</v>
      </c>
      <c r="C808" t="s">
        <v>320</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373</v>
      </c>
      <c r="B809">
        <v>2010</v>
      </c>
      <c r="C809" t="s">
        <v>320</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373</v>
      </c>
      <c r="B810">
        <v>2009</v>
      </c>
      <c r="C810" t="s">
        <v>320</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373</v>
      </c>
      <c r="B811">
        <v>2008</v>
      </c>
      <c r="C811" t="s">
        <v>320</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373</v>
      </c>
      <c r="B812">
        <v>2007</v>
      </c>
      <c r="C812" t="s">
        <v>320</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373</v>
      </c>
      <c r="B813">
        <v>2006</v>
      </c>
      <c r="C813" t="s">
        <v>320</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373</v>
      </c>
      <c r="B814">
        <v>2005</v>
      </c>
      <c r="C814" t="s">
        <v>320</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373</v>
      </c>
      <c r="B815">
        <v>2004</v>
      </c>
      <c r="C815" t="s">
        <v>320</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373</v>
      </c>
      <c r="B816">
        <v>2003</v>
      </c>
      <c r="C816" t="s">
        <v>320</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373</v>
      </c>
      <c r="B817">
        <v>2002</v>
      </c>
      <c r="C817" t="s">
        <v>320</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373</v>
      </c>
      <c r="B818">
        <v>2001</v>
      </c>
      <c r="C818" t="s">
        <v>320</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373</v>
      </c>
      <c r="B819">
        <v>2000</v>
      </c>
      <c r="C819" t="s">
        <v>320</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374</v>
      </c>
      <c r="B820">
        <v>2015</v>
      </c>
      <c r="C820" t="s">
        <v>320</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374</v>
      </c>
      <c r="B821">
        <v>2014</v>
      </c>
      <c r="C821" t="s">
        <v>320</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374</v>
      </c>
      <c r="B822">
        <v>2013</v>
      </c>
      <c r="C822" t="s">
        <v>320</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374</v>
      </c>
      <c r="B823">
        <v>2012</v>
      </c>
      <c r="C823" t="s">
        <v>320</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374</v>
      </c>
      <c r="B824">
        <v>2011</v>
      </c>
      <c r="C824" t="s">
        <v>320</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374</v>
      </c>
      <c r="B825">
        <v>2010</v>
      </c>
      <c r="C825" t="s">
        <v>320</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374</v>
      </c>
      <c r="B826">
        <v>2009</v>
      </c>
      <c r="C826" t="s">
        <v>320</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374</v>
      </c>
      <c r="B827">
        <v>2008</v>
      </c>
      <c r="C827" t="s">
        <v>320</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374</v>
      </c>
      <c r="B828">
        <v>2007</v>
      </c>
      <c r="C828" t="s">
        <v>320</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374</v>
      </c>
      <c r="B829">
        <v>2006</v>
      </c>
      <c r="C829" t="s">
        <v>320</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374</v>
      </c>
      <c r="B830">
        <v>2005</v>
      </c>
      <c r="C830" t="s">
        <v>320</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374</v>
      </c>
      <c r="B831">
        <v>2004</v>
      </c>
      <c r="C831" t="s">
        <v>320</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374</v>
      </c>
      <c r="B832">
        <v>2003</v>
      </c>
      <c r="C832" t="s">
        <v>320</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374</v>
      </c>
      <c r="B833">
        <v>2002</v>
      </c>
      <c r="C833" t="s">
        <v>320</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374</v>
      </c>
      <c r="B834">
        <v>2001</v>
      </c>
      <c r="C834" t="s">
        <v>320</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374</v>
      </c>
      <c r="B835">
        <v>2000</v>
      </c>
      <c r="C835" t="s">
        <v>320</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375</v>
      </c>
      <c r="B836">
        <v>2015</v>
      </c>
      <c r="C836" t="s">
        <v>320</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375</v>
      </c>
      <c r="B837">
        <v>2014</v>
      </c>
      <c r="C837" t="s">
        <v>320</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375</v>
      </c>
      <c r="B838">
        <v>2013</v>
      </c>
      <c r="C838" t="s">
        <v>320</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375</v>
      </c>
      <c r="B839">
        <v>2012</v>
      </c>
      <c r="C839" t="s">
        <v>320</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375</v>
      </c>
      <c r="B840">
        <v>2011</v>
      </c>
      <c r="C840" t="s">
        <v>320</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375</v>
      </c>
      <c r="B841">
        <v>2010</v>
      </c>
      <c r="C841" t="s">
        <v>320</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375</v>
      </c>
      <c r="B842">
        <v>2009</v>
      </c>
      <c r="C842" t="s">
        <v>320</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375</v>
      </c>
      <c r="B843">
        <v>2008</v>
      </c>
      <c r="C843" t="s">
        <v>320</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375</v>
      </c>
      <c r="B844">
        <v>2007</v>
      </c>
      <c r="C844" t="s">
        <v>320</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375</v>
      </c>
      <c r="B845">
        <v>2006</v>
      </c>
      <c r="C845" t="s">
        <v>320</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375</v>
      </c>
      <c r="B846">
        <v>2005</v>
      </c>
      <c r="C846" t="s">
        <v>320</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375</v>
      </c>
      <c r="B847">
        <v>2004</v>
      </c>
      <c r="C847" t="s">
        <v>320</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375</v>
      </c>
      <c r="B848">
        <v>2003</v>
      </c>
      <c r="C848" t="s">
        <v>320</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375</v>
      </c>
      <c r="B849">
        <v>2002</v>
      </c>
      <c r="C849" t="s">
        <v>320</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375</v>
      </c>
      <c r="B850">
        <v>2001</v>
      </c>
      <c r="C850" t="s">
        <v>320</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375</v>
      </c>
      <c r="B851">
        <v>2000</v>
      </c>
      <c r="C851" t="s">
        <v>320</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376</v>
      </c>
      <c r="B852">
        <v>2015</v>
      </c>
      <c r="C852" t="s">
        <v>320</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376</v>
      </c>
      <c r="B853">
        <v>2014</v>
      </c>
      <c r="C853" t="s">
        <v>320</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376</v>
      </c>
      <c r="B854">
        <v>2013</v>
      </c>
      <c r="C854" t="s">
        <v>320</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376</v>
      </c>
      <c r="B855">
        <v>2012</v>
      </c>
      <c r="C855" t="s">
        <v>320</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376</v>
      </c>
      <c r="B856">
        <v>2011</v>
      </c>
      <c r="C856" t="s">
        <v>320</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376</v>
      </c>
      <c r="B857">
        <v>2010</v>
      </c>
      <c r="C857" t="s">
        <v>320</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376</v>
      </c>
      <c r="B858">
        <v>2009</v>
      </c>
      <c r="C858" t="s">
        <v>320</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376</v>
      </c>
      <c r="B859">
        <v>2008</v>
      </c>
      <c r="C859" t="s">
        <v>320</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376</v>
      </c>
      <c r="B860">
        <v>2007</v>
      </c>
      <c r="C860" t="s">
        <v>320</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376</v>
      </c>
      <c r="B861">
        <v>2006</v>
      </c>
      <c r="C861" t="s">
        <v>320</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376</v>
      </c>
      <c r="B862">
        <v>2005</v>
      </c>
      <c r="C862" t="s">
        <v>320</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376</v>
      </c>
      <c r="B863">
        <v>2004</v>
      </c>
      <c r="C863" t="s">
        <v>320</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376</v>
      </c>
      <c r="B864">
        <v>2003</v>
      </c>
      <c r="C864" t="s">
        <v>320</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376</v>
      </c>
      <c r="B865">
        <v>2002</v>
      </c>
      <c r="C865" t="s">
        <v>320</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376</v>
      </c>
      <c r="B866">
        <v>2001</v>
      </c>
      <c r="C866" t="s">
        <v>320</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376</v>
      </c>
      <c r="B867">
        <v>2000</v>
      </c>
      <c r="C867" t="s">
        <v>320</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377</v>
      </c>
      <c r="B868">
        <v>2015</v>
      </c>
      <c r="C868" t="s">
        <v>320</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377</v>
      </c>
      <c r="B869">
        <v>2014</v>
      </c>
      <c r="C869" t="s">
        <v>320</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377</v>
      </c>
      <c r="B870">
        <v>2013</v>
      </c>
      <c r="C870" t="s">
        <v>320</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377</v>
      </c>
      <c r="B871">
        <v>2012</v>
      </c>
      <c r="C871" t="s">
        <v>320</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377</v>
      </c>
      <c r="B872">
        <v>2011</v>
      </c>
      <c r="C872" t="s">
        <v>320</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377</v>
      </c>
      <c r="B873">
        <v>2010</v>
      </c>
      <c r="C873" t="s">
        <v>320</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377</v>
      </c>
      <c r="B874">
        <v>2009</v>
      </c>
      <c r="C874" t="s">
        <v>320</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377</v>
      </c>
      <c r="B875">
        <v>2008</v>
      </c>
      <c r="C875" t="s">
        <v>320</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377</v>
      </c>
      <c r="B876">
        <v>2007</v>
      </c>
      <c r="C876" t="s">
        <v>320</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377</v>
      </c>
      <c r="B877">
        <v>2006</v>
      </c>
      <c r="C877" t="s">
        <v>320</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377</v>
      </c>
      <c r="B878">
        <v>2005</v>
      </c>
      <c r="C878" t="s">
        <v>320</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377</v>
      </c>
      <c r="B879">
        <v>2004</v>
      </c>
      <c r="C879" t="s">
        <v>320</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377</v>
      </c>
      <c r="B880">
        <v>2003</v>
      </c>
      <c r="C880" t="s">
        <v>320</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377</v>
      </c>
      <c r="B881">
        <v>2002</v>
      </c>
      <c r="C881" t="s">
        <v>320</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377</v>
      </c>
      <c r="B882">
        <v>2001</v>
      </c>
      <c r="C882" t="s">
        <v>320</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377</v>
      </c>
      <c r="B883">
        <v>2000</v>
      </c>
      <c r="C883" t="s">
        <v>320</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378</v>
      </c>
      <c r="B884">
        <v>2015</v>
      </c>
      <c r="C884" t="s">
        <v>320</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378</v>
      </c>
      <c r="B885">
        <v>2014</v>
      </c>
      <c r="C885" t="s">
        <v>320</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378</v>
      </c>
      <c r="B886">
        <v>2013</v>
      </c>
      <c r="C886" t="s">
        <v>320</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378</v>
      </c>
      <c r="B887">
        <v>2012</v>
      </c>
      <c r="C887" t="s">
        <v>320</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378</v>
      </c>
      <c r="B888">
        <v>2011</v>
      </c>
      <c r="C888" t="s">
        <v>320</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378</v>
      </c>
      <c r="B889">
        <v>2010</v>
      </c>
      <c r="C889" t="s">
        <v>320</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378</v>
      </c>
      <c r="B890">
        <v>2009</v>
      </c>
      <c r="C890" t="s">
        <v>320</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378</v>
      </c>
      <c r="B891">
        <v>2008</v>
      </c>
      <c r="C891" t="s">
        <v>320</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378</v>
      </c>
      <c r="B892">
        <v>2007</v>
      </c>
      <c r="C892" t="s">
        <v>320</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378</v>
      </c>
      <c r="B893">
        <v>2006</v>
      </c>
      <c r="C893" t="s">
        <v>320</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378</v>
      </c>
      <c r="B894">
        <v>2005</v>
      </c>
      <c r="C894" t="s">
        <v>320</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378</v>
      </c>
      <c r="B895">
        <v>2004</v>
      </c>
      <c r="C895" t="s">
        <v>320</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378</v>
      </c>
      <c r="B896">
        <v>2003</v>
      </c>
      <c r="C896" t="s">
        <v>320</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378</v>
      </c>
      <c r="B897">
        <v>2002</v>
      </c>
      <c r="C897" t="s">
        <v>320</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378</v>
      </c>
      <c r="B898">
        <v>2001</v>
      </c>
      <c r="C898" t="s">
        <v>320</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378</v>
      </c>
      <c r="B899">
        <v>2000</v>
      </c>
      <c r="C899" t="s">
        <v>320</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379</v>
      </c>
      <c r="B900">
        <v>2015</v>
      </c>
      <c r="C900" t="s">
        <v>320</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379</v>
      </c>
      <c r="B901">
        <v>2014</v>
      </c>
      <c r="C901" t="s">
        <v>320</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379</v>
      </c>
      <c r="B902">
        <v>2013</v>
      </c>
      <c r="C902" t="s">
        <v>320</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379</v>
      </c>
      <c r="B903">
        <v>2012</v>
      </c>
      <c r="C903" t="s">
        <v>320</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379</v>
      </c>
      <c r="B904">
        <v>2011</v>
      </c>
      <c r="C904" t="s">
        <v>320</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379</v>
      </c>
      <c r="B905">
        <v>2010</v>
      </c>
      <c r="C905" t="s">
        <v>320</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379</v>
      </c>
      <c r="B906">
        <v>2009</v>
      </c>
      <c r="C906" t="s">
        <v>320</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379</v>
      </c>
      <c r="B907">
        <v>2008</v>
      </c>
      <c r="C907" t="s">
        <v>320</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379</v>
      </c>
      <c r="B908">
        <v>2007</v>
      </c>
      <c r="C908" t="s">
        <v>320</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379</v>
      </c>
      <c r="B909">
        <v>2006</v>
      </c>
      <c r="C909" t="s">
        <v>320</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379</v>
      </c>
      <c r="B910">
        <v>2005</v>
      </c>
      <c r="C910" t="s">
        <v>320</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379</v>
      </c>
      <c r="B911">
        <v>2004</v>
      </c>
      <c r="C911" t="s">
        <v>320</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379</v>
      </c>
      <c r="B912">
        <v>2003</v>
      </c>
      <c r="C912" t="s">
        <v>320</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379</v>
      </c>
      <c r="B913">
        <v>2002</v>
      </c>
      <c r="C913" t="s">
        <v>320</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379</v>
      </c>
      <c r="B914">
        <v>2001</v>
      </c>
      <c r="C914" t="s">
        <v>320</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379</v>
      </c>
      <c r="B915">
        <v>2000</v>
      </c>
      <c r="C915" t="s">
        <v>320</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380</v>
      </c>
      <c r="B916">
        <v>2015</v>
      </c>
      <c r="C916" t="s">
        <v>320</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380</v>
      </c>
      <c r="B917">
        <v>2014</v>
      </c>
      <c r="C917" t="s">
        <v>320</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380</v>
      </c>
      <c r="B918">
        <v>2013</v>
      </c>
      <c r="C918" t="s">
        <v>320</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380</v>
      </c>
      <c r="B919">
        <v>2012</v>
      </c>
      <c r="C919" t="s">
        <v>320</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380</v>
      </c>
      <c r="B920">
        <v>2011</v>
      </c>
      <c r="C920" t="s">
        <v>320</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380</v>
      </c>
      <c r="B921">
        <v>2010</v>
      </c>
      <c r="C921" t="s">
        <v>320</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380</v>
      </c>
      <c r="B922">
        <v>2009</v>
      </c>
      <c r="C922" t="s">
        <v>320</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380</v>
      </c>
      <c r="B923">
        <v>2008</v>
      </c>
      <c r="C923" t="s">
        <v>320</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380</v>
      </c>
      <c r="B924">
        <v>2007</v>
      </c>
      <c r="C924" t="s">
        <v>320</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380</v>
      </c>
      <c r="B925">
        <v>2006</v>
      </c>
      <c r="C925" t="s">
        <v>320</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380</v>
      </c>
      <c r="B926">
        <v>2005</v>
      </c>
      <c r="C926" t="s">
        <v>320</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380</v>
      </c>
      <c r="B927">
        <v>2004</v>
      </c>
      <c r="C927" t="s">
        <v>320</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380</v>
      </c>
      <c r="B928">
        <v>2003</v>
      </c>
      <c r="C928" t="s">
        <v>320</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380</v>
      </c>
      <c r="B929">
        <v>2002</v>
      </c>
      <c r="C929" t="s">
        <v>320</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380</v>
      </c>
      <c r="B930">
        <v>2001</v>
      </c>
      <c r="C930" t="s">
        <v>320</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380</v>
      </c>
      <c r="B931">
        <v>2000</v>
      </c>
      <c r="C931" t="s">
        <v>320</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381</v>
      </c>
      <c r="B932">
        <v>2015</v>
      </c>
      <c r="C932" t="s">
        <v>320</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381</v>
      </c>
      <c r="B933">
        <v>2014</v>
      </c>
      <c r="C933" t="s">
        <v>320</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381</v>
      </c>
      <c r="B934">
        <v>2013</v>
      </c>
      <c r="C934" t="s">
        <v>320</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381</v>
      </c>
      <c r="B935">
        <v>2012</v>
      </c>
      <c r="C935" t="s">
        <v>320</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381</v>
      </c>
      <c r="B936">
        <v>2011</v>
      </c>
      <c r="C936" t="s">
        <v>320</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381</v>
      </c>
      <c r="B937">
        <v>2010</v>
      </c>
      <c r="C937" t="s">
        <v>320</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381</v>
      </c>
      <c r="B938">
        <v>2009</v>
      </c>
      <c r="C938" t="s">
        <v>320</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381</v>
      </c>
      <c r="B939">
        <v>2008</v>
      </c>
      <c r="C939" t="s">
        <v>320</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381</v>
      </c>
      <c r="B940">
        <v>2007</v>
      </c>
      <c r="C940" t="s">
        <v>320</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381</v>
      </c>
      <c r="B941">
        <v>2006</v>
      </c>
      <c r="C941" t="s">
        <v>320</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381</v>
      </c>
      <c r="B942">
        <v>2005</v>
      </c>
      <c r="C942" t="s">
        <v>320</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381</v>
      </c>
      <c r="B943">
        <v>2004</v>
      </c>
      <c r="C943" t="s">
        <v>320</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381</v>
      </c>
      <c r="B944">
        <v>2003</v>
      </c>
      <c r="C944" t="s">
        <v>320</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381</v>
      </c>
      <c r="B945">
        <v>2002</v>
      </c>
      <c r="C945" t="s">
        <v>320</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381</v>
      </c>
      <c r="B946">
        <v>2001</v>
      </c>
      <c r="C946" t="s">
        <v>320</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381</v>
      </c>
      <c r="B947">
        <v>2000</v>
      </c>
      <c r="C947" t="s">
        <v>320</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382</v>
      </c>
      <c r="B948">
        <v>2015</v>
      </c>
      <c r="C948" t="s">
        <v>320</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382</v>
      </c>
      <c r="B949">
        <v>2014</v>
      </c>
      <c r="C949" t="s">
        <v>320</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382</v>
      </c>
      <c r="B950">
        <v>2013</v>
      </c>
      <c r="C950" t="s">
        <v>320</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382</v>
      </c>
      <c r="B951">
        <v>2012</v>
      </c>
      <c r="C951" t="s">
        <v>320</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382</v>
      </c>
      <c r="B952">
        <v>2011</v>
      </c>
      <c r="C952" t="s">
        <v>320</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382</v>
      </c>
      <c r="B953">
        <v>2010</v>
      </c>
      <c r="C953" t="s">
        <v>320</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382</v>
      </c>
      <c r="B954">
        <v>2009</v>
      </c>
      <c r="C954" t="s">
        <v>320</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382</v>
      </c>
      <c r="B955">
        <v>2008</v>
      </c>
      <c r="C955" t="s">
        <v>320</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382</v>
      </c>
      <c r="B956">
        <v>2007</v>
      </c>
      <c r="C956" t="s">
        <v>320</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382</v>
      </c>
      <c r="B957">
        <v>2006</v>
      </c>
      <c r="C957" t="s">
        <v>320</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382</v>
      </c>
      <c r="B958">
        <v>2005</v>
      </c>
      <c r="C958" t="s">
        <v>320</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382</v>
      </c>
      <c r="B959">
        <v>2004</v>
      </c>
      <c r="C959" t="s">
        <v>320</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382</v>
      </c>
      <c r="B960">
        <v>2003</v>
      </c>
      <c r="C960" t="s">
        <v>320</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382</v>
      </c>
      <c r="B961">
        <v>2002</v>
      </c>
      <c r="C961" t="s">
        <v>320</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382</v>
      </c>
      <c r="B962">
        <v>2001</v>
      </c>
      <c r="C962" t="s">
        <v>320</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382</v>
      </c>
      <c r="B963">
        <v>2000</v>
      </c>
      <c r="C963" t="s">
        <v>320</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383</v>
      </c>
      <c r="B964">
        <v>2015</v>
      </c>
      <c r="C964" t="s">
        <v>320</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383</v>
      </c>
      <c r="B965">
        <v>2014</v>
      </c>
      <c r="C965" t="s">
        <v>320</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383</v>
      </c>
      <c r="B966">
        <v>2013</v>
      </c>
      <c r="C966" t="s">
        <v>320</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383</v>
      </c>
      <c r="B967">
        <v>2012</v>
      </c>
      <c r="C967" t="s">
        <v>320</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383</v>
      </c>
      <c r="B968">
        <v>2011</v>
      </c>
      <c r="C968" t="s">
        <v>320</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383</v>
      </c>
      <c r="B969">
        <v>2010</v>
      </c>
      <c r="C969" t="s">
        <v>320</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383</v>
      </c>
      <c r="B970">
        <v>2009</v>
      </c>
      <c r="C970" t="s">
        <v>320</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383</v>
      </c>
      <c r="B971">
        <v>2008</v>
      </c>
      <c r="C971" t="s">
        <v>320</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383</v>
      </c>
      <c r="B972">
        <v>2007</v>
      </c>
      <c r="C972" t="s">
        <v>320</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383</v>
      </c>
      <c r="B973">
        <v>2006</v>
      </c>
      <c r="C973" t="s">
        <v>320</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383</v>
      </c>
      <c r="B974">
        <v>2005</v>
      </c>
      <c r="C974" t="s">
        <v>320</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383</v>
      </c>
      <c r="B975">
        <v>2004</v>
      </c>
      <c r="C975" t="s">
        <v>320</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383</v>
      </c>
      <c r="B976">
        <v>2003</v>
      </c>
      <c r="C976" t="s">
        <v>320</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383</v>
      </c>
      <c r="B977">
        <v>2002</v>
      </c>
      <c r="C977" t="s">
        <v>320</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383</v>
      </c>
      <c r="B978">
        <v>2001</v>
      </c>
      <c r="C978" t="s">
        <v>320</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383</v>
      </c>
      <c r="B979">
        <v>2000</v>
      </c>
      <c r="C979" t="s">
        <v>320</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384</v>
      </c>
      <c r="B980">
        <v>2015</v>
      </c>
      <c r="C980" t="s">
        <v>320</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384</v>
      </c>
      <c r="B981">
        <v>2014</v>
      </c>
      <c r="C981" t="s">
        <v>320</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384</v>
      </c>
      <c r="B982">
        <v>2013</v>
      </c>
      <c r="C982" t="s">
        <v>320</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384</v>
      </c>
      <c r="B983">
        <v>2012</v>
      </c>
      <c r="C983" t="s">
        <v>320</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384</v>
      </c>
      <c r="B984">
        <v>2011</v>
      </c>
      <c r="C984" t="s">
        <v>320</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384</v>
      </c>
      <c r="B985">
        <v>2010</v>
      </c>
      <c r="C985" t="s">
        <v>320</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384</v>
      </c>
      <c r="B986">
        <v>2009</v>
      </c>
      <c r="C986" t="s">
        <v>320</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384</v>
      </c>
      <c r="B987">
        <v>2008</v>
      </c>
      <c r="C987" t="s">
        <v>320</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384</v>
      </c>
      <c r="B988">
        <v>2007</v>
      </c>
      <c r="C988" t="s">
        <v>320</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384</v>
      </c>
      <c r="B989">
        <v>2006</v>
      </c>
      <c r="C989" t="s">
        <v>320</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384</v>
      </c>
      <c r="B990">
        <v>2005</v>
      </c>
      <c r="C990" t="s">
        <v>320</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384</v>
      </c>
      <c r="B991">
        <v>2004</v>
      </c>
      <c r="C991" t="s">
        <v>320</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384</v>
      </c>
      <c r="B992">
        <v>2003</v>
      </c>
      <c r="C992" t="s">
        <v>320</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384</v>
      </c>
      <c r="B993">
        <v>2002</v>
      </c>
      <c r="C993" t="s">
        <v>320</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384</v>
      </c>
      <c r="B994">
        <v>2001</v>
      </c>
      <c r="C994" t="s">
        <v>320</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384</v>
      </c>
      <c r="B995">
        <v>2000</v>
      </c>
      <c r="C995" t="s">
        <v>320</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385</v>
      </c>
      <c r="B996">
        <v>2015</v>
      </c>
      <c r="C996" t="s">
        <v>328</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385</v>
      </c>
      <c r="B997">
        <v>2014</v>
      </c>
      <c r="C997" t="s">
        <v>328</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385</v>
      </c>
      <c r="B998">
        <v>2013</v>
      </c>
      <c r="C998" t="s">
        <v>328</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385</v>
      </c>
      <c r="B999">
        <v>2012</v>
      </c>
      <c r="C999" t="s">
        <v>328</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385</v>
      </c>
      <c r="B1000">
        <v>2011</v>
      </c>
      <c r="C1000" t="s">
        <v>328</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385</v>
      </c>
      <c r="B1001">
        <v>2010</v>
      </c>
      <c r="C1001" t="s">
        <v>328</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385</v>
      </c>
      <c r="B1002">
        <v>2009</v>
      </c>
      <c r="C1002" t="s">
        <v>328</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385</v>
      </c>
      <c r="B1003">
        <v>2008</v>
      </c>
      <c r="C1003" t="s">
        <v>328</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385</v>
      </c>
      <c r="B1004">
        <v>2007</v>
      </c>
      <c r="C1004" t="s">
        <v>328</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385</v>
      </c>
      <c r="B1005">
        <v>2006</v>
      </c>
      <c r="C1005" t="s">
        <v>328</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385</v>
      </c>
      <c r="B1006">
        <v>2005</v>
      </c>
      <c r="C1006" t="s">
        <v>328</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385</v>
      </c>
      <c r="B1007">
        <v>2004</v>
      </c>
      <c r="C1007" t="s">
        <v>328</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385</v>
      </c>
      <c r="B1008">
        <v>2003</v>
      </c>
      <c r="C1008" t="s">
        <v>328</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385</v>
      </c>
      <c r="B1009">
        <v>2002</v>
      </c>
      <c r="C1009" t="s">
        <v>328</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385</v>
      </c>
      <c r="B1010">
        <v>2001</v>
      </c>
      <c r="C1010" t="s">
        <v>328</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385</v>
      </c>
      <c r="B1011">
        <v>2000</v>
      </c>
      <c r="C1011" t="s">
        <v>328</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386</v>
      </c>
      <c r="B1012">
        <v>2015</v>
      </c>
      <c r="C1012" t="s">
        <v>320</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386</v>
      </c>
      <c r="B1013">
        <v>2014</v>
      </c>
      <c r="C1013" t="s">
        <v>320</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386</v>
      </c>
      <c r="B1014">
        <v>2013</v>
      </c>
      <c r="C1014" t="s">
        <v>320</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386</v>
      </c>
      <c r="B1015">
        <v>2012</v>
      </c>
      <c r="C1015" t="s">
        <v>320</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386</v>
      </c>
      <c r="B1016">
        <v>2011</v>
      </c>
      <c r="C1016" t="s">
        <v>320</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386</v>
      </c>
      <c r="B1017">
        <v>2010</v>
      </c>
      <c r="C1017" t="s">
        <v>320</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386</v>
      </c>
      <c r="B1018">
        <v>2009</v>
      </c>
      <c r="C1018" t="s">
        <v>320</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386</v>
      </c>
      <c r="B1019">
        <v>2008</v>
      </c>
      <c r="C1019" t="s">
        <v>320</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386</v>
      </c>
      <c r="B1020">
        <v>2007</v>
      </c>
      <c r="C1020" t="s">
        <v>320</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386</v>
      </c>
      <c r="B1021">
        <v>2006</v>
      </c>
      <c r="C1021" t="s">
        <v>320</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386</v>
      </c>
      <c r="B1022">
        <v>2005</v>
      </c>
      <c r="C1022" t="s">
        <v>320</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386</v>
      </c>
      <c r="B1023">
        <v>2004</v>
      </c>
      <c r="C1023" t="s">
        <v>320</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386</v>
      </c>
      <c r="B1024">
        <v>2003</v>
      </c>
      <c r="C1024" t="s">
        <v>320</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386</v>
      </c>
      <c r="B1025">
        <v>2002</v>
      </c>
      <c r="C1025" t="s">
        <v>320</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386</v>
      </c>
      <c r="B1026">
        <v>2001</v>
      </c>
      <c r="C1026" t="s">
        <v>320</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386</v>
      </c>
      <c r="B1027">
        <v>2000</v>
      </c>
      <c r="C1027" t="s">
        <v>320</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387</v>
      </c>
      <c r="B1028">
        <v>2015</v>
      </c>
      <c r="C1028" t="s">
        <v>320</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387</v>
      </c>
      <c r="B1029">
        <v>2014</v>
      </c>
      <c r="C1029" t="s">
        <v>320</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387</v>
      </c>
      <c r="B1030">
        <v>2013</v>
      </c>
      <c r="C1030" t="s">
        <v>320</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387</v>
      </c>
      <c r="B1031">
        <v>2012</v>
      </c>
      <c r="C1031" t="s">
        <v>320</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387</v>
      </c>
      <c r="B1032">
        <v>2011</v>
      </c>
      <c r="C1032" t="s">
        <v>320</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387</v>
      </c>
      <c r="B1033">
        <v>2010</v>
      </c>
      <c r="C1033" t="s">
        <v>320</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387</v>
      </c>
      <c r="B1034">
        <v>2009</v>
      </c>
      <c r="C1034" t="s">
        <v>320</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387</v>
      </c>
      <c r="B1035">
        <v>2008</v>
      </c>
      <c r="C1035" t="s">
        <v>320</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387</v>
      </c>
      <c r="B1036">
        <v>2007</v>
      </c>
      <c r="C1036" t="s">
        <v>320</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387</v>
      </c>
      <c r="B1037">
        <v>2006</v>
      </c>
      <c r="C1037" t="s">
        <v>320</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387</v>
      </c>
      <c r="B1038">
        <v>2005</v>
      </c>
      <c r="C1038" t="s">
        <v>320</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387</v>
      </c>
      <c r="B1039">
        <v>2004</v>
      </c>
      <c r="C1039" t="s">
        <v>320</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387</v>
      </c>
      <c r="B1040">
        <v>2003</v>
      </c>
      <c r="C1040" t="s">
        <v>320</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387</v>
      </c>
      <c r="B1041">
        <v>2002</v>
      </c>
      <c r="C1041" t="s">
        <v>320</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387</v>
      </c>
      <c r="B1042">
        <v>2001</v>
      </c>
      <c r="C1042" t="s">
        <v>320</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387</v>
      </c>
      <c r="B1043">
        <v>2000</v>
      </c>
      <c r="C1043" t="s">
        <v>320</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388</v>
      </c>
      <c r="B1044">
        <v>2015</v>
      </c>
      <c r="C1044" t="s">
        <v>320</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388</v>
      </c>
      <c r="B1045">
        <v>2014</v>
      </c>
      <c r="C1045" t="s">
        <v>320</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388</v>
      </c>
      <c r="B1046">
        <v>2013</v>
      </c>
      <c r="C1046" t="s">
        <v>320</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388</v>
      </c>
      <c r="B1047">
        <v>2012</v>
      </c>
      <c r="C1047" t="s">
        <v>320</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388</v>
      </c>
      <c r="B1048">
        <v>2011</v>
      </c>
      <c r="C1048" t="s">
        <v>320</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388</v>
      </c>
      <c r="B1049">
        <v>2010</v>
      </c>
      <c r="C1049" t="s">
        <v>320</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388</v>
      </c>
      <c r="B1050">
        <v>2009</v>
      </c>
      <c r="C1050" t="s">
        <v>320</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388</v>
      </c>
      <c r="B1051">
        <v>2008</v>
      </c>
      <c r="C1051" t="s">
        <v>320</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388</v>
      </c>
      <c r="B1052">
        <v>2007</v>
      </c>
      <c r="C1052" t="s">
        <v>320</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388</v>
      </c>
      <c r="B1053">
        <v>2006</v>
      </c>
      <c r="C1053" t="s">
        <v>320</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388</v>
      </c>
      <c r="B1054">
        <v>2005</v>
      </c>
      <c r="C1054" t="s">
        <v>320</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388</v>
      </c>
      <c r="B1055">
        <v>2004</v>
      </c>
      <c r="C1055" t="s">
        <v>320</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388</v>
      </c>
      <c r="B1056">
        <v>2003</v>
      </c>
      <c r="C1056" t="s">
        <v>320</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388</v>
      </c>
      <c r="B1057">
        <v>2002</v>
      </c>
      <c r="C1057" t="s">
        <v>320</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388</v>
      </c>
      <c r="B1058">
        <v>2001</v>
      </c>
      <c r="C1058" t="s">
        <v>320</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388</v>
      </c>
      <c r="B1059">
        <v>2000</v>
      </c>
      <c r="C1059" t="s">
        <v>320</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389</v>
      </c>
      <c r="B1060">
        <v>2015</v>
      </c>
      <c r="C1060" t="s">
        <v>320</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389</v>
      </c>
      <c r="B1061">
        <v>2014</v>
      </c>
      <c r="C1061" t="s">
        <v>320</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389</v>
      </c>
      <c r="B1062">
        <v>2013</v>
      </c>
      <c r="C1062" t="s">
        <v>320</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389</v>
      </c>
      <c r="B1063">
        <v>2012</v>
      </c>
      <c r="C1063" t="s">
        <v>320</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389</v>
      </c>
      <c r="B1064">
        <v>2011</v>
      </c>
      <c r="C1064" t="s">
        <v>320</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389</v>
      </c>
      <c r="B1065">
        <v>2010</v>
      </c>
      <c r="C1065" t="s">
        <v>320</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389</v>
      </c>
      <c r="B1066">
        <v>2009</v>
      </c>
      <c r="C1066" t="s">
        <v>320</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389</v>
      </c>
      <c r="B1067">
        <v>2008</v>
      </c>
      <c r="C1067" t="s">
        <v>320</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389</v>
      </c>
      <c r="B1068">
        <v>2007</v>
      </c>
      <c r="C1068" t="s">
        <v>320</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389</v>
      </c>
      <c r="B1069">
        <v>2006</v>
      </c>
      <c r="C1069" t="s">
        <v>320</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389</v>
      </c>
      <c r="B1070">
        <v>2005</v>
      </c>
      <c r="C1070" t="s">
        <v>320</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389</v>
      </c>
      <c r="B1071">
        <v>2004</v>
      </c>
      <c r="C1071" t="s">
        <v>320</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389</v>
      </c>
      <c r="B1072">
        <v>2003</v>
      </c>
      <c r="C1072" t="s">
        <v>320</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389</v>
      </c>
      <c r="B1073">
        <v>2002</v>
      </c>
      <c r="C1073" t="s">
        <v>320</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389</v>
      </c>
      <c r="B1074">
        <v>2001</v>
      </c>
      <c r="C1074" t="s">
        <v>320</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389</v>
      </c>
      <c r="B1075">
        <v>2000</v>
      </c>
      <c r="C1075" t="s">
        <v>320</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390</v>
      </c>
      <c r="B1076">
        <v>2015</v>
      </c>
      <c r="C1076" t="s">
        <v>320</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390</v>
      </c>
      <c r="B1077">
        <v>2014</v>
      </c>
      <c r="C1077" t="s">
        <v>320</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390</v>
      </c>
      <c r="B1078">
        <v>2013</v>
      </c>
      <c r="C1078" t="s">
        <v>320</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390</v>
      </c>
      <c r="B1079">
        <v>2012</v>
      </c>
      <c r="C1079" t="s">
        <v>320</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390</v>
      </c>
      <c r="B1080">
        <v>2011</v>
      </c>
      <c r="C1080" t="s">
        <v>320</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390</v>
      </c>
      <c r="B1081">
        <v>2010</v>
      </c>
      <c r="C1081" t="s">
        <v>320</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390</v>
      </c>
      <c r="B1082">
        <v>2009</v>
      </c>
      <c r="C1082" t="s">
        <v>320</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390</v>
      </c>
      <c r="B1083">
        <v>2008</v>
      </c>
      <c r="C1083" t="s">
        <v>320</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390</v>
      </c>
      <c r="B1084">
        <v>2007</v>
      </c>
      <c r="C1084" t="s">
        <v>320</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390</v>
      </c>
      <c r="B1085">
        <v>2006</v>
      </c>
      <c r="C1085" t="s">
        <v>320</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390</v>
      </c>
      <c r="B1086">
        <v>2005</v>
      </c>
      <c r="C1086" t="s">
        <v>320</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390</v>
      </c>
      <c r="B1087">
        <v>2004</v>
      </c>
      <c r="C1087" t="s">
        <v>320</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390</v>
      </c>
      <c r="B1088">
        <v>2003</v>
      </c>
      <c r="C1088" t="s">
        <v>320</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390</v>
      </c>
      <c r="B1089">
        <v>2002</v>
      </c>
      <c r="C1089" t="s">
        <v>320</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390</v>
      </c>
      <c r="B1090">
        <v>2001</v>
      </c>
      <c r="C1090" t="s">
        <v>320</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390</v>
      </c>
      <c r="B1091">
        <v>2000</v>
      </c>
      <c r="C1091" t="s">
        <v>320</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391</v>
      </c>
      <c r="B1092">
        <v>2015</v>
      </c>
      <c r="C1092" t="s">
        <v>320</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391</v>
      </c>
      <c r="B1093">
        <v>2014</v>
      </c>
      <c r="C1093" t="s">
        <v>320</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391</v>
      </c>
      <c r="B1094">
        <v>2013</v>
      </c>
      <c r="C1094" t="s">
        <v>320</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391</v>
      </c>
      <c r="B1095">
        <v>2012</v>
      </c>
      <c r="C1095" t="s">
        <v>320</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391</v>
      </c>
      <c r="B1096">
        <v>2011</v>
      </c>
      <c r="C1096" t="s">
        <v>320</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391</v>
      </c>
      <c r="B1097">
        <v>2010</v>
      </c>
      <c r="C1097" t="s">
        <v>320</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391</v>
      </c>
      <c r="B1098">
        <v>2009</v>
      </c>
      <c r="C1098" t="s">
        <v>320</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391</v>
      </c>
      <c r="B1099">
        <v>2008</v>
      </c>
      <c r="C1099" t="s">
        <v>320</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391</v>
      </c>
      <c r="B1100">
        <v>2007</v>
      </c>
      <c r="C1100" t="s">
        <v>320</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391</v>
      </c>
      <c r="B1101">
        <v>2006</v>
      </c>
      <c r="C1101" t="s">
        <v>320</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391</v>
      </c>
      <c r="B1102">
        <v>2005</v>
      </c>
      <c r="C1102" t="s">
        <v>320</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391</v>
      </c>
      <c r="B1103">
        <v>2004</v>
      </c>
      <c r="C1103" t="s">
        <v>320</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391</v>
      </c>
      <c r="B1104">
        <v>2003</v>
      </c>
      <c r="C1104" t="s">
        <v>320</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391</v>
      </c>
      <c r="B1105">
        <v>2002</v>
      </c>
      <c r="C1105" t="s">
        <v>320</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391</v>
      </c>
      <c r="B1106">
        <v>2001</v>
      </c>
      <c r="C1106" t="s">
        <v>320</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391</v>
      </c>
      <c r="B1107">
        <v>2000</v>
      </c>
      <c r="C1107" t="s">
        <v>320</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392</v>
      </c>
      <c r="B1108">
        <v>2015</v>
      </c>
      <c r="C1108" t="s">
        <v>320</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392</v>
      </c>
      <c r="B1109">
        <v>2014</v>
      </c>
      <c r="C1109" t="s">
        <v>320</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392</v>
      </c>
      <c r="B1110">
        <v>2013</v>
      </c>
      <c r="C1110" t="s">
        <v>320</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392</v>
      </c>
      <c r="B1111">
        <v>2012</v>
      </c>
      <c r="C1111" t="s">
        <v>320</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392</v>
      </c>
      <c r="B1112">
        <v>2011</v>
      </c>
      <c r="C1112" t="s">
        <v>320</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392</v>
      </c>
      <c r="B1113">
        <v>2010</v>
      </c>
      <c r="C1113" t="s">
        <v>320</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392</v>
      </c>
      <c r="B1114">
        <v>2009</v>
      </c>
      <c r="C1114" t="s">
        <v>320</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392</v>
      </c>
      <c r="B1115">
        <v>2008</v>
      </c>
      <c r="C1115" t="s">
        <v>320</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392</v>
      </c>
      <c r="B1116">
        <v>2007</v>
      </c>
      <c r="C1116" t="s">
        <v>320</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392</v>
      </c>
      <c r="B1117">
        <v>2006</v>
      </c>
      <c r="C1117" t="s">
        <v>320</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392</v>
      </c>
      <c r="B1118">
        <v>2005</v>
      </c>
      <c r="C1118" t="s">
        <v>320</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392</v>
      </c>
      <c r="B1119">
        <v>2004</v>
      </c>
      <c r="C1119" t="s">
        <v>320</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392</v>
      </c>
      <c r="B1120">
        <v>2003</v>
      </c>
      <c r="C1120" t="s">
        <v>320</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392</v>
      </c>
      <c r="B1121">
        <v>2002</v>
      </c>
      <c r="C1121" t="s">
        <v>320</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392</v>
      </c>
      <c r="B1122">
        <v>2001</v>
      </c>
      <c r="C1122" t="s">
        <v>320</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392</v>
      </c>
      <c r="B1123">
        <v>2000</v>
      </c>
      <c r="C1123" t="s">
        <v>320</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393</v>
      </c>
      <c r="B1124">
        <v>2015</v>
      </c>
      <c r="C1124" t="s">
        <v>320</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393</v>
      </c>
      <c r="B1125">
        <v>2014</v>
      </c>
      <c r="C1125" t="s">
        <v>320</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393</v>
      </c>
      <c r="B1126">
        <v>2013</v>
      </c>
      <c r="C1126" t="s">
        <v>320</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393</v>
      </c>
      <c r="B1127">
        <v>2012</v>
      </c>
      <c r="C1127" t="s">
        <v>320</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393</v>
      </c>
      <c r="B1128">
        <v>2011</v>
      </c>
      <c r="C1128" t="s">
        <v>320</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393</v>
      </c>
      <c r="B1129">
        <v>2010</v>
      </c>
      <c r="C1129" t="s">
        <v>320</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393</v>
      </c>
      <c r="B1130">
        <v>2009</v>
      </c>
      <c r="C1130" t="s">
        <v>320</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393</v>
      </c>
      <c r="B1131">
        <v>2008</v>
      </c>
      <c r="C1131" t="s">
        <v>320</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393</v>
      </c>
      <c r="B1132">
        <v>2007</v>
      </c>
      <c r="C1132" t="s">
        <v>320</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393</v>
      </c>
      <c r="B1133">
        <v>2006</v>
      </c>
      <c r="C1133" t="s">
        <v>320</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393</v>
      </c>
      <c r="B1134">
        <v>2005</v>
      </c>
      <c r="C1134" t="s">
        <v>320</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393</v>
      </c>
      <c r="B1135">
        <v>2004</v>
      </c>
      <c r="C1135" t="s">
        <v>320</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393</v>
      </c>
      <c r="B1136">
        <v>2003</v>
      </c>
      <c r="C1136" t="s">
        <v>320</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393</v>
      </c>
      <c r="B1137">
        <v>2002</v>
      </c>
      <c r="C1137" t="s">
        <v>320</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393</v>
      </c>
      <c r="B1138">
        <v>2001</v>
      </c>
      <c r="C1138" t="s">
        <v>320</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393</v>
      </c>
      <c r="B1139">
        <v>2000</v>
      </c>
      <c r="C1139" t="s">
        <v>320</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394</v>
      </c>
      <c r="B1140">
        <v>2015</v>
      </c>
      <c r="C1140" t="s">
        <v>320</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394</v>
      </c>
      <c r="B1141">
        <v>2014</v>
      </c>
      <c r="C1141" t="s">
        <v>320</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394</v>
      </c>
      <c r="B1142">
        <v>2013</v>
      </c>
      <c r="C1142" t="s">
        <v>320</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394</v>
      </c>
      <c r="B1143">
        <v>2012</v>
      </c>
      <c r="C1143" t="s">
        <v>320</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394</v>
      </c>
      <c r="B1144">
        <v>2011</v>
      </c>
      <c r="C1144" t="s">
        <v>320</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394</v>
      </c>
      <c r="B1145">
        <v>2010</v>
      </c>
      <c r="C1145" t="s">
        <v>320</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394</v>
      </c>
      <c r="B1146">
        <v>2009</v>
      </c>
      <c r="C1146" t="s">
        <v>320</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394</v>
      </c>
      <c r="B1147">
        <v>2008</v>
      </c>
      <c r="C1147" t="s">
        <v>320</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394</v>
      </c>
      <c r="B1148">
        <v>2007</v>
      </c>
      <c r="C1148" t="s">
        <v>320</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394</v>
      </c>
      <c r="B1149">
        <v>2006</v>
      </c>
      <c r="C1149" t="s">
        <v>320</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394</v>
      </c>
      <c r="B1150">
        <v>2005</v>
      </c>
      <c r="C1150" t="s">
        <v>320</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394</v>
      </c>
      <c r="B1151">
        <v>2004</v>
      </c>
      <c r="C1151" t="s">
        <v>320</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394</v>
      </c>
      <c r="B1152">
        <v>2003</v>
      </c>
      <c r="C1152" t="s">
        <v>320</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394</v>
      </c>
      <c r="B1153">
        <v>2002</v>
      </c>
      <c r="C1153" t="s">
        <v>320</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394</v>
      </c>
      <c r="B1154">
        <v>2001</v>
      </c>
      <c r="C1154" t="s">
        <v>320</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394</v>
      </c>
      <c r="B1155">
        <v>2000</v>
      </c>
      <c r="C1155" t="s">
        <v>320</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395</v>
      </c>
      <c r="B1156">
        <v>2015</v>
      </c>
      <c r="C1156" t="s">
        <v>328</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395</v>
      </c>
      <c r="B1157">
        <v>2014</v>
      </c>
      <c r="C1157" t="s">
        <v>328</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395</v>
      </c>
      <c r="B1158">
        <v>2013</v>
      </c>
      <c r="C1158" t="s">
        <v>328</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395</v>
      </c>
      <c r="B1159">
        <v>2012</v>
      </c>
      <c r="C1159" t="s">
        <v>328</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395</v>
      </c>
      <c r="B1160">
        <v>2011</v>
      </c>
      <c r="C1160" t="s">
        <v>328</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395</v>
      </c>
      <c r="B1161">
        <v>2010</v>
      </c>
      <c r="C1161" t="s">
        <v>328</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395</v>
      </c>
      <c r="B1162">
        <v>2009</v>
      </c>
      <c r="C1162" t="s">
        <v>328</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395</v>
      </c>
      <c r="B1163">
        <v>2008</v>
      </c>
      <c r="C1163" t="s">
        <v>328</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395</v>
      </c>
      <c r="B1164">
        <v>2007</v>
      </c>
      <c r="C1164" t="s">
        <v>328</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395</v>
      </c>
      <c r="B1165">
        <v>2006</v>
      </c>
      <c r="C1165" t="s">
        <v>328</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395</v>
      </c>
      <c r="B1166">
        <v>2005</v>
      </c>
      <c r="C1166" t="s">
        <v>328</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395</v>
      </c>
      <c r="B1167">
        <v>2004</v>
      </c>
      <c r="C1167" t="s">
        <v>328</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395</v>
      </c>
      <c r="B1168">
        <v>2003</v>
      </c>
      <c r="C1168" t="s">
        <v>328</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395</v>
      </c>
      <c r="B1169">
        <v>2002</v>
      </c>
      <c r="C1169" t="s">
        <v>328</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395</v>
      </c>
      <c r="B1170">
        <v>2001</v>
      </c>
      <c r="C1170" t="s">
        <v>328</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395</v>
      </c>
      <c r="B1171">
        <v>2000</v>
      </c>
      <c r="C1171" t="s">
        <v>328</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396</v>
      </c>
      <c r="B1172">
        <v>2015</v>
      </c>
      <c r="C1172" t="s">
        <v>328</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396</v>
      </c>
      <c r="B1173">
        <v>2014</v>
      </c>
      <c r="C1173" t="s">
        <v>328</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396</v>
      </c>
      <c r="B1174">
        <v>2013</v>
      </c>
      <c r="C1174" t="s">
        <v>328</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396</v>
      </c>
      <c r="B1175">
        <v>2012</v>
      </c>
      <c r="C1175" t="s">
        <v>328</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396</v>
      </c>
      <c r="B1176">
        <v>2011</v>
      </c>
      <c r="C1176" t="s">
        <v>328</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396</v>
      </c>
      <c r="B1177">
        <v>2010</v>
      </c>
      <c r="C1177" t="s">
        <v>328</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396</v>
      </c>
      <c r="B1178">
        <v>2009</v>
      </c>
      <c r="C1178" t="s">
        <v>328</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396</v>
      </c>
      <c r="B1179">
        <v>2008</v>
      </c>
      <c r="C1179" t="s">
        <v>328</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396</v>
      </c>
      <c r="B1180">
        <v>2007</v>
      </c>
      <c r="C1180" t="s">
        <v>328</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396</v>
      </c>
      <c r="B1181">
        <v>2006</v>
      </c>
      <c r="C1181" t="s">
        <v>328</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396</v>
      </c>
      <c r="B1182">
        <v>2005</v>
      </c>
      <c r="C1182" t="s">
        <v>328</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396</v>
      </c>
      <c r="B1183">
        <v>2004</v>
      </c>
      <c r="C1183" t="s">
        <v>328</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396</v>
      </c>
      <c r="B1184">
        <v>2003</v>
      </c>
      <c r="C1184" t="s">
        <v>328</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396</v>
      </c>
      <c r="B1185">
        <v>2002</v>
      </c>
      <c r="C1185" t="s">
        <v>328</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396</v>
      </c>
      <c r="B1186">
        <v>2001</v>
      </c>
      <c r="C1186" t="s">
        <v>328</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396</v>
      </c>
      <c r="B1187">
        <v>2000</v>
      </c>
      <c r="C1187" t="s">
        <v>328</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397</v>
      </c>
      <c r="B1188">
        <v>2015</v>
      </c>
      <c r="C1188" t="s">
        <v>320</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397</v>
      </c>
      <c r="B1189">
        <v>2014</v>
      </c>
      <c r="C1189" t="s">
        <v>320</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397</v>
      </c>
      <c r="B1190">
        <v>2013</v>
      </c>
      <c r="C1190" t="s">
        <v>320</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397</v>
      </c>
      <c r="B1191">
        <v>2012</v>
      </c>
      <c r="C1191" t="s">
        <v>320</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397</v>
      </c>
      <c r="B1192">
        <v>2011</v>
      </c>
      <c r="C1192" t="s">
        <v>320</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397</v>
      </c>
      <c r="B1193">
        <v>2010</v>
      </c>
      <c r="C1193" t="s">
        <v>320</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397</v>
      </c>
      <c r="B1194">
        <v>2009</v>
      </c>
      <c r="C1194" t="s">
        <v>320</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397</v>
      </c>
      <c r="B1195">
        <v>2008</v>
      </c>
      <c r="C1195" t="s">
        <v>320</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397</v>
      </c>
      <c r="B1196">
        <v>2007</v>
      </c>
      <c r="C1196" t="s">
        <v>320</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397</v>
      </c>
      <c r="B1197">
        <v>2006</v>
      </c>
      <c r="C1197" t="s">
        <v>320</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397</v>
      </c>
      <c r="B1198">
        <v>2005</v>
      </c>
      <c r="C1198" t="s">
        <v>320</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397</v>
      </c>
      <c r="B1199">
        <v>2004</v>
      </c>
      <c r="C1199" t="s">
        <v>320</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397</v>
      </c>
      <c r="B1200">
        <v>2003</v>
      </c>
      <c r="C1200" t="s">
        <v>320</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397</v>
      </c>
      <c r="B1201">
        <v>2002</v>
      </c>
      <c r="C1201" t="s">
        <v>320</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397</v>
      </c>
      <c r="B1202">
        <v>2001</v>
      </c>
      <c r="C1202" t="s">
        <v>320</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397</v>
      </c>
      <c r="B1203">
        <v>2000</v>
      </c>
      <c r="C1203" t="s">
        <v>320</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398</v>
      </c>
      <c r="B1204">
        <v>2015</v>
      </c>
      <c r="C1204" t="s">
        <v>320</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398</v>
      </c>
      <c r="B1205">
        <v>2014</v>
      </c>
      <c r="C1205" t="s">
        <v>320</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398</v>
      </c>
      <c r="B1206">
        <v>2013</v>
      </c>
      <c r="C1206" t="s">
        <v>320</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398</v>
      </c>
      <c r="B1207">
        <v>2012</v>
      </c>
      <c r="C1207" t="s">
        <v>320</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398</v>
      </c>
      <c r="B1208">
        <v>2011</v>
      </c>
      <c r="C1208" t="s">
        <v>320</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398</v>
      </c>
      <c r="B1209">
        <v>2010</v>
      </c>
      <c r="C1209" t="s">
        <v>320</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398</v>
      </c>
      <c r="B1210">
        <v>2009</v>
      </c>
      <c r="C1210" t="s">
        <v>320</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398</v>
      </c>
      <c r="B1211">
        <v>2008</v>
      </c>
      <c r="C1211" t="s">
        <v>320</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398</v>
      </c>
      <c r="B1212">
        <v>2007</v>
      </c>
      <c r="C1212" t="s">
        <v>320</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398</v>
      </c>
      <c r="B1213">
        <v>2006</v>
      </c>
      <c r="C1213" t="s">
        <v>320</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398</v>
      </c>
      <c r="B1214">
        <v>2005</v>
      </c>
      <c r="C1214" t="s">
        <v>320</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398</v>
      </c>
      <c r="B1215">
        <v>2004</v>
      </c>
      <c r="C1215" t="s">
        <v>320</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398</v>
      </c>
      <c r="B1216">
        <v>2003</v>
      </c>
      <c r="C1216" t="s">
        <v>320</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398</v>
      </c>
      <c r="B1217">
        <v>2002</v>
      </c>
      <c r="C1217" t="s">
        <v>320</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398</v>
      </c>
      <c r="B1218">
        <v>2001</v>
      </c>
      <c r="C1218" t="s">
        <v>320</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398</v>
      </c>
      <c r="B1219">
        <v>2000</v>
      </c>
      <c r="C1219" t="s">
        <v>320</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399</v>
      </c>
      <c r="B1220">
        <v>2015</v>
      </c>
      <c r="C1220" t="s">
        <v>320</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399</v>
      </c>
      <c r="B1221">
        <v>2014</v>
      </c>
      <c r="C1221" t="s">
        <v>320</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399</v>
      </c>
      <c r="B1222">
        <v>2013</v>
      </c>
      <c r="C1222" t="s">
        <v>320</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399</v>
      </c>
      <c r="B1223">
        <v>2012</v>
      </c>
      <c r="C1223" t="s">
        <v>320</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399</v>
      </c>
      <c r="B1224">
        <v>2011</v>
      </c>
      <c r="C1224" t="s">
        <v>320</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399</v>
      </c>
      <c r="B1225">
        <v>2010</v>
      </c>
      <c r="C1225" t="s">
        <v>320</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399</v>
      </c>
      <c r="B1226">
        <v>2009</v>
      </c>
      <c r="C1226" t="s">
        <v>320</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399</v>
      </c>
      <c r="B1227">
        <v>2008</v>
      </c>
      <c r="C1227" t="s">
        <v>320</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399</v>
      </c>
      <c r="B1228">
        <v>2007</v>
      </c>
      <c r="C1228" t="s">
        <v>320</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399</v>
      </c>
      <c r="B1229">
        <v>2006</v>
      </c>
      <c r="C1229" t="s">
        <v>320</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399</v>
      </c>
      <c r="B1230">
        <v>2005</v>
      </c>
      <c r="C1230" t="s">
        <v>320</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399</v>
      </c>
      <c r="B1231">
        <v>2004</v>
      </c>
      <c r="C1231" t="s">
        <v>320</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399</v>
      </c>
      <c r="B1232">
        <v>2003</v>
      </c>
      <c r="C1232" t="s">
        <v>320</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399</v>
      </c>
      <c r="B1233">
        <v>2002</v>
      </c>
      <c r="C1233" t="s">
        <v>320</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399</v>
      </c>
      <c r="B1234">
        <v>2001</v>
      </c>
      <c r="C1234" t="s">
        <v>320</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399</v>
      </c>
      <c r="B1235">
        <v>2000</v>
      </c>
      <c r="C1235" t="s">
        <v>320</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400</v>
      </c>
      <c r="B1236">
        <v>2015</v>
      </c>
      <c r="C1236" t="s">
        <v>320</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400</v>
      </c>
      <c r="B1237">
        <v>2014</v>
      </c>
      <c r="C1237" t="s">
        <v>320</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400</v>
      </c>
      <c r="B1238">
        <v>2013</v>
      </c>
      <c r="C1238" t="s">
        <v>320</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400</v>
      </c>
      <c r="B1239">
        <v>2012</v>
      </c>
      <c r="C1239" t="s">
        <v>320</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400</v>
      </c>
      <c r="B1240">
        <v>2011</v>
      </c>
      <c r="C1240" t="s">
        <v>320</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400</v>
      </c>
      <c r="B1241">
        <v>2010</v>
      </c>
      <c r="C1241" t="s">
        <v>320</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400</v>
      </c>
      <c r="B1242">
        <v>2009</v>
      </c>
      <c r="C1242" t="s">
        <v>320</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400</v>
      </c>
      <c r="B1243">
        <v>2008</v>
      </c>
      <c r="C1243" t="s">
        <v>320</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400</v>
      </c>
      <c r="B1244">
        <v>2007</v>
      </c>
      <c r="C1244" t="s">
        <v>320</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400</v>
      </c>
      <c r="B1245">
        <v>2006</v>
      </c>
      <c r="C1245" t="s">
        <v>320</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400</v>
      </c>
      <c r="B1246">
        <v>2005</v>
      </c>
      <c r="C1246" t="s">
        <v>320</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400</v>
      </c>
      <c r="B1247">
        <v>2004</v>
      </c>
      <c r="C1247" t="s">
        <v>320</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400</v>
      </c>
      <c r="B1248">
        <v>2003</v>
      </c>
      <c r="C1248" t="s">
        <v>320</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400</v>
      </c>
      <c r="B1249">
        <v>2002</v>
      </c>
      <c r="C1249" t="s">
        <v>320</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400</v>
      </c>
      <c r="B1250">
        <v>2001</v>
      </c>
      <c r="C1250" t="s">
        <v>320</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400</v>
      </c>
      <c r="B1251">
        <v>2000</v>
      </c>
      <c r="C1251" t="s">
        <v>320</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401</v>
      </c>
      <c r="B1252">
        <v>2015</v>
      </c>
      <c r="C1252" t="s">
        <v>328</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401</v>
      </c>
      <c r="B1253">
        <v>2014</v>
      </c>
      <c r="C1253" t="s">
        <v>328</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401</v>
      </c>
      <c r="B1254">
        <v>2013</v>
      </c>
      <c r="C1254" t="s">
        <v>328</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401</v>
      </c>
      <c r="B1255">
        <v>2012</v>
      </c>
      <c r="C1255" t="s">
        <v>328</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401</v>
      </c>
      <c r="B1256">
        <v>2011</v>
      </c>
      <c r="C1256" t="s">
        <v>328</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401</v>
      </c>
      <c r="B1257">
        <v>2010</v>
      </c>
      <c r="C1257" t="s">
        <v>328</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401</v>
      </c>
      <c r="B1258">
        <v>2009</v>
      </c>
      <c r="C1258" t="s">
        <v>328</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401</v>
      </c>
      <c r="B1259">
        <v>2008</v>
      </c>
      <c r="C1259" t="s">
        <v>328</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401</v>
      </c>
      <c r="B1260">
        <v>2007</v>
      </c>
      <c r="C1260" t="s">
        <v>328</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401</v>
      </c>
      <c r="B1261">
        <v>2006</v>
      </c>
      <c r="C1261" t="s">
        <v>328</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401</v>
      </c>
      <c r="B1262">
        <v>2005</v>
      </c>
      <c r="C1262" t="s">
        <v>328</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401</v>
      </c>
      <c r="B1263">
        <v>2004</v>
      </c>
      <c r="C1263" t="s">
        <v>328</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401</v>
      </c>
      <c r="B1264">
        <v>2003</v>
      </c>
      <c r="C1264" t="s">
        <v>328</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401</v>
      </c>
      <c r="B1265">
        <v>2002</v>
      </c>
      <c r="C1265" t="s">
        <v>328</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401</v>
      </c>
      <c r="B1266">
        <v>2001</v>
      </c>
      <c r="C1266" t="s">
        <v>328</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401</v>
      </c>
      <c r="B1267">
        <v>2000</v>
      </c>
      <c r="C1267" t="s">
        <v>328</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402</v>
      </c>
      <c r="B1268">
        <v>2015</v>
      </c>
      <c r="C1268" t="s">
        <v>320</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402</v>
      </c>
      <c r="B1269">
        <v>2014</v>
      </c>
      <c r="C1269" t="s">
        <v>320</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402</v>
      </c>
      <c r="B1270">
        <v>2013</v>
      </c>
      <c r="C1270" t="s">
        <v>320</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402</v>
      </c>
      <c r="B1271">
        <v>2012</v>
      </c>
      <c r="C1271" t="s">
        <v>320</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402</v>
      </c>
      <c r="B1272">
        <v>2011</v>
      </c>
      <c r="C1272" t="s">
        <v>320</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402</v>
      </c>
      <c r="B1273">
        <v>2010</v>
      </c>
      <c r="C1273" t="s">
        <v>320</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402</v>
      </c>
      <c r="B1274">
        <v>2009</v>
      </c>
      <c r="C1274" t="s">
        <v>320</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402</v>
      </c>
      <c r="B1275">
        <v>2008</v>
      </c>
      <c r="C1275" t="s">
        <v>320</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402</v>
      </c>
      <c r="B1276">
        <v>2007</v>
      </c>
      <c r="C1276" t="s">
        <v>320</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402</v>
      </c>
      <c r="B1277">
        <v>2006</v>
      </c>
      <c r="C1277" t="s">
        <v>320</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402</v>
      </c>
      <c r="B1278">
        <v>2005</v>
      </c>
      <c r="C1278" t="s">
        <v>320</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402</v>
      </c>
      <c r="B1279">
        <v>2004</v>
      </c>
      <c r="C1279" t="s">
        <v>320</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402</v>
      </c>
      <c r="B1280">
        <v>2003</v>
      </c>
      <c r="C1280" t="s">
        <v>320</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402</v>
      </c>
      <c r="B1281">
        <v>2002</v>
      </c>
      <c r="C1281" t="s">
        <v>320</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402</v>
      </c>
      <c r="B1282">
        <v>2001</v>
      </c>
      <c r="C1282" t="s">
        <v>320</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402</v>
      </c>
      <c r="B1283">
        <v>2000</v>
      </c>
      <c r="C1283" t="s">
        <v>320</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403</v>
      </c>
      <c r="B1284">
        <v>2015</v>
      </c>
      <c r="C1284" t="s">
        <v>328</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403</v>
      </c>
      <c r="B1285">
        <v>2014</v>
      </c>
      <c r="C1285" t="s">
        <v>328</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403</v>
      </c>
      <c r="B1286">
        <v>2013</v>
      </c>
      <c r="C1286" t="s">
        <v>328</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403</v>
      </c>
      <c r="B1287">
        <v>2012</v>
      </c>
      <c r="C1287" t="s">
        <v>328</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403</v>
      </c>
      <c r="B1288">
        <v>2011</v>
      </c>
      <c r="C1288" t="s">
        <v>328</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403</v>
      </c>
      <c r="B1289">
        <v>2010</v>
      </c>
      <c r="C1289" t="s">
        <v>328</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403</v>
      </c>
      <c r="B1290">
        <v>2009</v>
      </c>
      <c r="C1290" t="s">
        <v>328</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403</v>
      </c>
      <c r="B1291">
        <v>2008</v>
      </c>
      <c r="C1291" t="s">
        <v>328</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403</v>
      </c>
      <c r="B1292">
        <v>2007</v>
      </c>
      <c r="C1292" t="s">
        <v>328</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403</v>
      </c>
      <c r="B1293">
        <v>2006</v>
      </c>
      <c r="C1293" t="s">
        <v>328</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403</v>
      </c>
      <c r="B1294">
        <v>2005</v>
      </c>
      <c r="C1294" t="s">
        <v>328</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403</v>
      </c>
      <c r="B1295">
        <v>2004</v>
      </c>
      <c r="C1295" t="s">
        <v>328</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403</v>
      </c>
      <c r="B1296">
        <v>2003</v>
      </c>
      <c r="C1296" t="s">
        <v>328</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403</v>
      </c>
      <c r="B1297">
        <v>2002</v>
      </c>
      <c r="C1297" t="s">
        <v>328</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403</v>
      </c>
      <c r="B1298">
        <v>2001</v>
      </c>
      <c r="C1298" t="s">
        <v>328</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403</v>
      </c>
      <c r="B1299">
        <v>2000</v>
      </c>
      <c r="C1299" t="s">
        <v>328</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404</v>
      </c>
      <c r="B1300">
        <v>2015</v>
      </c>
      <c r="C1300" t="s">
        <v>320</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404</v>
      </c>
      <c r="B1301">
        <v>2014</v>
      </c>
      <c r="C1301" t="s">
        <v>320</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404</v>
      </c>
      <c r="B1302">
        <v>2013</v>
      </c>
      <c r="C1302" t="s">
        <v>320</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404</v>
      </c>
      <c r="B1303">
        <v>2012</v>
      </c>
      <c r="C1303" t="s">
        <v>320</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404</v>
      </c>
      <c r="B1304">
        <v>2011</v>
      </c>
      <c r="C1304" t="s">
        <v>320</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404</v>
      </c>
      <c r="B1305">
        <v>2010</v>
      </c>
      <c r="C1305" t="s">
        <v>320</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404</v>
      </c>
      <c r="B1306">
        <v>2009</v>
      </c>
      <c r="C1306" t="s">
        <v>320</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404</v>
      </c>
      <c r="B1307">
        <v>2008</v>
      </c>
      <c r="C1307" t="s">
        <v>320</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404</v>
      </c>
      <c r="B1308">
        <v>2007</v>
      </c>
      <c r="C1308" t="s">
        <v>320</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404</v>
      </c>
      <c r="B1309">
        <v>2006</v>
      </c>
      <c r="C1309" t="s">
        <v>320</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404</v>
      </c>
      <c r="B1310">
        <v>2005</v>
      </c>
      <c r="C1310" t="s">
        <v>320</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404</v>
      </c>
      <c r="B1311">
        <v>2004</v>
      </c>
      <c r="C1311" t="s">
        <v>320</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404</v>
      </c>
      <c r="B1312">
        <v>2003</v>
      </c>
      <c r="C1312" t="s">
        <v>320</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404</v>
      </c>
      <c r="B1313">
        <v>2002</v>
      </c>
      <c r="C1313" t="s">
        <v>320</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404</v>
      </c>
      <c r="B1314">
        <v>2001</v>
      </c>
      <c r="C1314" t="s">
        <v>320</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404</v>
      </c>
      <c r="B1315">
        <v>2000</v>
      </c>
      <c r="C1315" t="s">
        <v>320</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405</v>
      </c>
      <c r="B1316">
        <v>2015</v>
      </c>
      <c r="C1316" t="s">
        <v>328</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405</v>
      </c>
      <c r="B1317">
        <v>2014</v>
      </c>
      <c r="C1317" t="s">
        <v>328</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405</v>
      </c>
      <c r="B1318">
        <v>2013</v>
      </c>
      <c r="C1318" t="s">
        <v>328</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405</v>
      </c>
      <c r="B1319">
        <v>2012</v>
      </c>
      <c r="C1319" t="s">
        <v>328</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405</v>
      </c>
      <c r="B1320">
        <v>2011</v>
      </c>
      <c r="C1320" t="s">
        <v>328</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405</v>
      </c>
      <c r="B1321">
        <v>2010</v>
      </c>
      <c r="C1321" t="s">
        <v>328</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405</v>
      </c>
      <c r="B1322">
        <v>2009</v>
      </c>
      <c r="C1322" t="s">
        <v>328</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405</v>
      </c>
      <c r="B1323">
        <v>2008</v>
      </c>
      <c r="C1323" t="s">
        <v>328</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405</v>
      </c>
      <c r="B1324">
        <v>2007</v>
      </c>
      <c r="C1324" t="s">
        <v>328</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405</v>
      </c>
      <c r="B1325">
        <v>2006</v>
      </c>
      <c r="C1325" t="s">
        <v>328</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405</v>
      </c>
      <c r="B1326">
        <v>2005</v>
      </c>
      <c r="C1326" t="s">
        <v>328</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405</v>
      </c>
      <c r="B1327">
        <v>2004</v>
      </c>
      <c r="C1327" t="s">
        <v>328</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405</v>
      </c>
      <c r="B1328">
        <v>2003</v>
      </c>
      <c r="C1328" t="s">
        <v>328</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405</v>
      </c>
      <c r="B1329">
        <v>2002</v>
      </c>
      <c r="C1329" t="s">
        <v>328</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405</v>
      </c>
      <c r="B1330">
        <v>2001</v>
      </c>
      <c r="C1330" t="s">
        <v>328</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405</v>
      </c>
      <c r="B1331">
        <v>2000</v>
      </c>
      <c r="C1331" t="s">
        <v>328</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406</v>
      </c>
      <c r="B1332">
        <v>2015</v>
      </c>
      <c r="C1332" t="s">
        <v>320</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406</v>
      </c>
      <c r="B1333">
        <v>2014</v>
      </c>
      <c r="C1333" t="s">
        <v>320</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406</v>
      </c>
      <c r="B1334">
        <v>2013</v>
      </c>
      <c r="C1334" t="s">
        <v>320</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406</v>
      </c>
      <c r="B1335">
        <v>2012</v>
      </c>
      <c r="C1335" t="s">
        <v>320</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406</v>
      </c>
      <c r="B1336">
        <v>2011</v>
      </c>
      <c r="C1336" t="s">
        <v>320</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406</v>
      </c>
      <c r="B1337">
        <v>2010</v>
      </c>
      <c r="C1337" t="s">
        <v>320</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406</v>
      </c>
      <c r="B1338">
        <v>2009</v>
      </c>
      <c r="C1338" t="s">
        <v>320</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406</v>
      </c>
      <c r="B1339">
        <v>2008</v>
      </c>
      <c r="C1339" t="s">
        <v>320</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406</v>
      </c>
      <c r="B1340">
        <v>2007</v>
      </c>
      <c r="C1340" t="s">
        <v>320</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406</v>
      </c>
      <c r="B1341">
        <v>2006</v>
      </c>
      <c r="C1341" t="s">
        <v>320</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406</v>
      </c>
      <c r="B1342">
        <v>2005</v>
      </c>
      <c r="C1342" t="s">
        <v>320</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406</v>
      </c>
      <c r="B1343">
        <v>2004</v>
      </c>
      <c r="C1343" t="s">
        <v>320</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406</v>
      </c>
      <c r="B1344">
        <v>2003</v>
      </c>
      <c r="C1344" t="s">
        <v>320</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406</v>
      </c>
      <c r="B1345">
        <v>2002</v>
      </c>
      <c r="C1345" t="s">
        <v>320</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406</v>
      </c>
      <c r="B1346">
        <v>2001</v>
      </c>
      <c r="C1346" t="s">
        <v>320</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406</v>
      </c>
      <c r="B1347">
        <v>2000</v>
      </c>
      <c r="C1347" t="s">
        <v>320</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407</v>
      </c>
      <c r="B1348">
        <v>2015</v>
      </c>
      <c r="C1348" t="s">
        <v>320</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407</v>
      </c>
      <c r="B1349">
        <v>2014</v>
      </c>
      <c r="C1349" t="s">
        <v>320</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407</v>
      </c>
      <c r="B1350">
        <v>2013</v>
      </c>
      <c r="C1350" t="s">
        <v>320</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407</v>
      </c>
      <c r="B1351">
        <v>2012</v>
      </c>
      <c r="C1351" t="s">
        <v>320</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407</v>
      </c>
      <c r="B1352">
        <v>2011</v>
      </c>
      <c r="C1352" t="s">
        <v>320</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407</v>
      </c>
      <c r="B1353">
        <v>2010</v>
      </c>
      <c r="C1353" t="s">
        <v>320</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407</v>
      </c>
      <c r="B1354">
        <v>2009</v>
      </c>
      <c r="C1354" t="s">
        <v>320</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407</v>
      </c>
      <c r="B1355">
        <v>2008</v>
      </c>
      <c r="C1355" t="s">
        <v>320</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407</v>
      </c>
      <c r="B1356">
        <v>2007</v>
      </c>
      <c r="C1356" t="s">
        <v>320</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407</v>
      </c>
      <c r="B1357">
        <v>2006</v>
      </c>
      <c r="C1357" t="s">
        <v>320</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407</v>
      </c>
      <c r="B1358">
        <v>2005</v>
      </c>
      <c r="C1358" t="s">
        <v>320</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407</v>
      </c>
      <c r="B1359">
        <v>2004</v>
      </c>
      <c r="C1359" t="s">
        <v>320</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407</v>
      </c>
      <c r="B1360">
        <v>2003</v>
      </c>
      <c r="C1360" t="s">
        <v>320</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407</v>
      </c>
      <c r="B1361">
        <v>2002</v>
      </c>
      <c r="C1361" t="s">
        <v>320</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407</v>
      </c>
      <c r="B1362">
        <v>2001</v>
      </c>
      <c r="C1362" t="s">
        <v>320</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407</v>
      </c>
      <c r="B1363">
        <v>2000</v>
      </c>
      <c r="C1363" t="s">
        <v>320</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408</v>
      </c>
      <c r="B1364">
        <v>2015</v>
      </c>
      <c r="C1364" t="s">
        <v>320</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408</v>
      </c>
      <c r="B1365">
        <v>2014</v>
      </c>
      <c r="C1365" t="s">
        <v>320</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408</v>
      </c>
      <c r="B1366">
        <v>2013</v>
      </c>
      <c r="C1366" t="s">
        <v>320</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408</v>
      </c>
      <c r="B1367">
        <v>2012</v>
      </c>
      <c r="C1367" t="s">
        <v>320</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408</v>
      </c>
      <c r="B1368">
        <v>2011</v>
      </c>
      <c r="C1368" t="s">
        <v>320</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408</v>
      </c>
      <c r="B1369">
        <v>2010</v>
      </c>
      <c r="C1369" t="s">
        <v>320</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408</v>
      </c>
      <c r="B1370">
        <v>2009</v>
      </c>
      <c r="C1370" t="s">
        <v>320</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408</v>
      </c>
      <c r="B1371">
        <v>2008</v>
      </c>
      <c r="C1371" t="s">
        <v>320</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408</v>
      </c>
      <c r="B1372">
        <v>2007</v>
      </c>
      <c r="C1372" t="s">
        <v>320</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408</v>
      </c>
      <c r="B1373">
        <v>2006</v>
      </c>
      <c r="C1373" t="s">
        <v>320</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408</v>
      </c>
      <c r="B1374">
        <v>2005</v>
      </c>
      <c r="C1374" t="s">
        <v>320</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408</v>
      </c>
      <c r="B1375">
        <v>2004</v>
      </c>
      <c r="C1375" t="s">
        <v>320</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408</v>
      </c>
      <c r="B1376">
        <v>2003</v>
      </c>
      <c r="C1376" t="s">
        <v>320</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408</v>
      </c>
      <c r="B1377">
        <v>2002</v>
      </c>
      <c r="C1377" t="s">
        <v>320</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408</v>
      </c>
      <c r="B1378">
        <v>2001</v>
      </c>
      <c r="C1378" t="s">
        <v>320</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408</v>
      </c>
      <c r="B1379">
        <v>2000</v>
      </c>
      <c r="C1379" t="s">
        <v>320</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409</v>
      </c>
      <c r="B1380">
        <v>2015</v>
      </c>
      <c r="C1380" t="s">
        <v>320</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409</v>
      </c>
      <c r="B1381">
        <v>2014</v>
      </c>
      <c r="C1381" t="s">
        <v>320</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409</v>
      </c>
      <c r="B1382">
        <v>2013</v>
      </c>
      <c r="C1382" t="s">
        <v>320</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409</v>
      </c>
      <c r="B1383">
        <v>2012</v>
      </c>
      <c r="C1383" t="s">
        <v>320</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409</v>
      </c>
      <c r="B1384">
        <v>2011</v>
      </c>
      <c r="C1384" t="s">
        <v>320</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409</v>
      </c>
      <c r="B1385">
        <v>2010</v>
      </c>
      <c r="C1385" t="s">
        <v>320</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409</v>
      </c>
      <c r="B1386">
        <v>2009</v>
      </c>
      <c r="C1386" t="s">
        <v>320</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409</v>
      </c>
      <c r="B1387">
        <v>2008</v>
      </c>
      <c r="C1387" t="s">
        <v>320</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409</v>
      </c>
      <c r="B1388">
        <v>2007</v>
      </c>
      <c r="C1388" t="s">
        <v>320</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409</v>
      </c>
      <c r="B1389">
        <v>2006</v>
      </c>
      <c r="C1389" t="s">
        <v>320</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409</v>
      </c>
      <c r="B1390">
        <v>2005</v>
      </c>
      <c r="C1390" t="s">
        <v>320</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409</v>
      </c>
      <c r="B1391">
        <v>2004</v>
      </c>
      <c r="C1391" t="s">
        <v>320</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409</v>
      </c>
      <c r="B1392">
        <v>2003</v>
      </c>
      <c r="C1392" t="s">
        <v>320</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409</v>
      </c>
      <c r="B1393">
        <v>2002</v>
      </c>
      <c r="C1393" t="s">
        <v>320</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409</v>
      </c>
      <c r="B1394">
        <v>2001</v>
      </c>
      <c r="C1394" t="s">
        <v>320</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409</v>
      </c>
      <c r="B1395">
        <v>2000</v>
      </c>
      <c r="C1395" t="s">
        <v>320</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410</v>
      </c>
      <c r="B1396">
        <v>2015</v>
      </c>
      <c r="C1396" t="s">
        <v>320</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410</v>
      </c>
      <c r="B1397">
        <v>2014</v>
      </c>
      <c r="C1397" t="s">
        <v>320</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410</v>
      </c>
      <c r="B1398">
        <v>2013</v>
      </c>
      <c r="C1398" t="s">
        <v>320</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410</v>
      </c>
      <c r="B1399">
        <v>2012</v>
      </c>
      <c r="C1399" t="s">
        <v>320</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410</v>
      </c>
      <c r="B1400">
        <v>2011</v>
      </c>
      <c r="C1400" t="s">
        <v>320</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410</v>
      </c>
      <c r="B1401">
        <v>2010</v>
      </c>
      <c r="C1401" t="s">
        <v>320</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410</v>
      </c>
      <c r="B1402">
        <v>2009</v>
      </c>
      <c r="C1402" t="s">
        <v>320</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410</v>
      </c>
      <c r="B1403">
        <v>2008</v>
      </c>
      <c r="C1403" t="s">
        <v>320</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410</v>
      </c>
      <c r="B1404">
        <v>2007</v>
      </c>
      <c r="C1404" t="s">
        <v>320</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410</v>
      </c>
      <c r="B1405">
        <v>2006</v>
      </c>
      <c r="C1405" t="s">
        <v>320</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410</v>
      </c>
      <c r="B1406">
        <v>2005</v>
      </c>
      <c r="C1406" t="s">
        <v>320</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410</v>
      </c>
      <c r="B1407">
        <v>2004</v>
      </c>
      <c r="C1407" t="s">
        <v>320</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410</v>
      </c>
      <c r="B1408">
        <v>2003</v>
      </c>
      <c r="C1408" t="s">
        <v>320</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410</v>
      </c>
      <c r="B1409">
        <v>2002</v>
      </c>
      <c r="C1409" t="s">
        <v>320</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410</v>
      </c>
      <c r="B1410">
        <v>2001</v>
      </c>
      <c r="C1410" t="s">
        <v>320</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410</v>
      </c>
      <c r="B1411">
        <v>2000</v>
      </c>
      <c r="C1411" t="s">
        <v>320</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411</v>
      </c>
      <c r="B1412">
        <v>2015</v>
      </c>
      <c r="C1412" t="s">
        <v>320</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411</v>
      </c>
      <c r="B1413">
        <v>2014</v>
      </c>
      <c r="C1413" t="s">
        <v>320</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411</v>
      </c>
      <c r="B1414">
        <v>2013</v>
      </c>
      <c r="C1414" t="s">
        <v>320</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411</v>
      </c>
      <c r="B1415">
        <v>2012</v>
      </c>
      <c r="C1415" t="s">
        <v>320</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411</v>
      </c>
      <c r="B1416">
        <v>2011</v>
      </c>
      <c r="C1416" t="s">
        <v>320</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411</v>
      </c>
      <c r="B1417">
        <v>2010</v>
      </c>
      <c r="C1417" t="s">
        <v>320</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411</v>
      </c>
      <c r="B1418">
        <v>2009</v>
      </c>
      <c r="C1418" t="s">
        <v>320</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411</v>
      </c>
      <c r="B1419">
        <v>2008</v>
      </c>
      <c r="C1419" t="s">
        <v>320</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411</v>
      </c>
      <c r="B1420">
        <v>2007</v>
      </c>
      <c r="C1420" t="s">
        <v>320</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411</v>
      </c>
      <c r="B1421">
        <v>2006</v>
      </c>
      <c r="C1421" t="s">
        <v>320</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411</v>
      </c>
      <c r="B1422">
        <v>2005</v>
      </c>
      <c r="C1422" t="s">
        <v>320</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411</v>
      </c>
      <c r="B1423">
        <v>2004</v>
      </c>
      <c r="C1423" t="s">
        <v>320</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411</v>
      </c>
      <c r="B1424">
        <v>2003</v>
      </c>
      <c r="C1424" t="s">
        <v>320</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411</v>
      </c>
      <c r="B1425">
        <v>2002</v>
      </c>
      <c r="C1425" t="s">
        <v>320</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411</v>
      </c>
      <c r="B1426">
        <v>2001</v>
      </c>
      <c r="C1426" t="s">
        <v>320</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411</v>
      </c>
      <c r="B1427">
        <v>2000</v>
      </c>
      <c r="C1427" t="s">
        <v>320</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412</v>
      </c>
      <c r="B1428">
        <v>2015</v>
      </c>
      <c r="C1428" t="s">
        <v>320</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412</v>
      </c>
      <c r="B1429">
        <v>2014</v>
      </c>
      <c r="C1429" t="s">
        <v>320</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412</v>
      </c>
      <c r="B1430">
        <v>2013</v>
      </c>
      <c r="C1430" t="s">
        <v>320</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412</v>
      </c>
      <c r="B1431">
        <v>2012</v>
      </c>
      <c r="C1431" t="s">
        <v>320</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412</v>
      </c>
      <c r="B1432">
        <v>2011</v>
      </c>
      <c r="C1432" t="s">
        <v>320</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412</v>
      </c>
      <c r="B1433">
        <v>2010</v>
      </c>
      <c r="C1433" t="s">
        <v>320</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412</v>
      </c>
      <c r="B1434">
        <v>2009</v>
      </c>
      <c r="C1434" t="s">
        <v>320</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412</v>
      </c>
      <c r="B1435">
        <v>2008</v>
      </c>
      <c r="C1435" t="s">
        <v>320</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412</v>
      </c>
      <c r="B1436">
        <v>2007</v>
      </c>
      <c r="C1436" t="s">
        <v>320</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412</v>
      </c>
      <c r="B1437">
        <v>2006</v>
      </c>
      <c r="C1437" t="s">
        <v>320</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412</v>
      </c>
      <c r="B1438">
        <v>2005</v>
      </c>
      <c r="C1438" t="s">
        <v>320</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412</v>
      </c>
      <c r="B1439">
        <v>2004</v>
      </c>
      <c r="C1439" t="s">
        <v>320</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412</v>
      </c>
      <c r="B1440">
        <v>2003</v>
      </c>
      <c r="C1440" t="s">
        <v>320</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412</v>
      </c>
      <c r="B1441">
        <v>2002</v>
      </c>
      <c r="C1441" t="s">
        <v>320</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412</v>
      </c>
      <c r="B1442">
        <v>2001</v>
      </c>
      <c r="C1442" t="s">
        <v>320</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412</v>
      </c>
      <c r="B1443">
        <v>2000</v>
      </c>
      <c r="C1443" t="s">
        <v>320</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413</v>
      </c>
      <c r="B1444">
        <v>2015</v>
      </c>
      <c r="C1444" t="s">
        <v>328</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413</v>
      </c>
      <c r="B1445">
        <v>2014</v>
      </c>
      <c r="C1445" t="s">
        <v>328</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413</v>
      </c>
      <c r="B1446">
        <v>2013</v>
      </c>
      <c r="C1446" t="s">
        <v>328</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413</v>
      </c>
      <c r="B1447">
        <v>2012</v>
      </c>
      <c r="C1447" t="s">
        <v>328</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413</v>
      </c>
      <c r="B1448">
        <v>2011</v>
      </c>
      <c r="C1448" t="s">
        <v>328</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413</v>
      </c>
      <c r="B1449">
        <v>2010</v>
      </c>
      <c r="C1449" t="s">
        <v>328</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413</v>
      </c>
      <c r="B1450">
        <v>2009</v>
      </c>
      <c r="C1450" t="s">
        <v>328</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413</v>
      </c>
      <c r="B1451">
        <v>2008</v>
      </c>
      <c r="C1451" t="s">
        <v>328</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413</v>
      </c>
      <c r="B1452">
        <v>2007</v>
      </c>
      <c r="C1452" t="s">
        <v>328</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413</v>
      </c>
      <c r="B1453">
        <v>2006</v>
      </c>
      <c r="C1453" t="s">
        <v>328</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413</v>
      </c>
      <c r="B1454">
        <v>2005</v>
      </c>
      <c r="C1454" t="s">
        <v>328</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413</v>
      </c>
      <c r="B1455">
        <v>2004</v>
      </c>
      <c r="C1455" t="s">
        <v>328</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413</v>
      </c>
      <c r="B1456">
        <v>2003</v>
      </c>
      <c r="C1456" t="s">
        <v>328</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413</v>
      </c>
      <c r="B1457">
        <v>2002</v>
      </c>
      <c r="C1457" t="s">
        <v>328</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413</v>
      </c>
      <c r="B1458">
        <v>2001</v>
      </c>
      <c r="C1458" t="s">
        <v>328</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413</v>
      </c>
      <c r="B1459">
        <v>2000</v>
      </c>
      <c r="C1459" t="s">
        <v>328</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414</v>
      </c>
      <c r="B1460">
        <v>2015</v>
      </c>
      <c r="C1460" t="s">
        <v>320</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414</v>
      </c>
      <c r="B1461">
        <v>2014</v>
      </c>
      <c r="C1461" t="s">
        <v>320</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414</v>
      </c>
      <c r="B1462">
        <v>2013</v>
      </c>
      <c r="C1462" t="s">
        <v>320</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414</v>
      </c>
      <c r="B1463">
        <v>2012</v>
      </c>
      <c r="C1463" t="s">
        <v>320</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414</v>
      </c>
      <c r="B1464">
        <v>2011</v>
      </c>
      <c r="C1464" t="s">
        <v>320</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414</v>
      </c>
      <c r="B1465">
        <v>2010</v>
      </c>
      <c r="C1465" t="s">
        <v>320</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414</v>
      </c>
      <c r="B1466">
        <v>2009</v>
      </c>
      <c r="C1466" t="s">
        <v>320</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414</v>
      </c>
      <c r="B1467">
        <v>2008</v>
      </c>
      <c r="C1467" t="s">
        <v>320</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414</v>
      </c>
      <c r="B1468">
        <v>2007</v>
      </c>
      <c r="C1468" t="s">
        <v>320</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414</v>
      </c>
      <c r="B1469">
        <v>2006</v>
      </c>
      <c r="C1469" t="s">
        <v>320</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414</v>
      </c>
      <c r="B1470">
        <v>2005</v>
      </c>
      <c r="C1470" t="s">
        <v>320</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414</v>
      </c>
      <c r="B1471">
        <v>2004</v>
      </c>
      <c r="C1471" t="s">
        <v>320</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414</v>
      </c>
      <c r="B1472">
        <v>2003</v>
      </c>
      <c r="C1472" t="s">
        <v>320</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414</v>
      </c>
      <c r="B1473">
        <v>2002</v>
      </c>
      <c r="C1473" t="s">
        <v>320</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414</v>
      </c>
      <c r="B1474">
        <v>2001</v>
      </c>
      <c r="C1474" t="s">
        <v>320</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414</v>
      </c>
      <c r="B1475">
        <v>2000</v>
      </c>
      <c r="C1475" t="s">
        <v>320</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415</v>
      </c>
      <c r="B1476">
        <v>2015</v>
      </c>
      <c r="C1476" t="s">
        <v>320</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415</v>
      </c>
      <c r="B1477">
        <v>2014</v>
      </c>
      <c r="C1477" t="s">
        <v>320</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415</v>
      </c>
      <c r="B1478">
        <v>2013</v>
      </c>
      <c r="C1478" t="s">
        <v>320</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415</v>
      </c>
      <c r="B1479">
        <v>2012</v>
      </c>
      <c r="C1479" t="s">
        <v>320</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415</v>
      </c>
      <c r="B1480">
        <v>2011</v>
      </c>
      <c r="C1480" t="s">
        <v>320</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415</v>
      </c>
      <c r="B1481">
        <v>2010</v>
      </c>
      <c r="C1481" t="s">
        <v>320</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415</v>
      </c>
      <c r="B1482">
        <v>2009</v>
      </c>
      <c r="C1482" t="s">
        <v>320</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415</v>
      </c>
      <c r="B1483">
        <v>2008</v>
      </c>
      <c r="C1483" t="s">
        <v>320</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415</v>
      </c>
      <c r="B1484">
        <v>2007</v>
      </c>
      <c r="C1484" t="s">
        <v>320</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415</v>
      </c>
      <c r="B1485">
        <v>2006</v>
      </c>
      <c r="C1485" t="s">
        <v>320</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415</v>
      </c>
      <c r="B1486">
        <v>2005</v>
      </c>
      <c r="C1486" t="s">
        <v>320</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415</v>
      </c>
      <c r="B1487">
        <v>2004</v>
      </c>
      <c r="C1487" t="s">
        <v>320</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415</v>
      </c>
      <c r="B1488">
        <v>2003</v>
      </c>
      <c r="C1488" t="s">
        <v>320</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415</v>
      </c>
      <c r="B1489">
        <v>2002</v>
      </c>
      <c r="C1489" t="s">
        <v>320</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415</v>
      </c>
      <c r="B1490">
        <v>2001</v>
      </c>
      <c r="C1490" t="s">
        <v>320</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415</v>
      </c>
      <c r="B1491">
        <v>2000</v>
      </c>
      <c r="C1491" t="s">
        <v>320</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416</v>
      </c>
      <c r="B1492">
        <v>2015</v>
      </c>
      <c r="C1492" t="s">
        <v>320</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416</v>
      </c>
      <c r="B1493">
        <v>2014</v>
      </c>
      <c r="C1493" t="s">
        <v>320</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416</v>
      </c>
      <c r="B1494">
        <v>2013</v>
      </c>
      <c r="C1494" t="s">
        <v>320</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416</v>
      </c>
      <c r="B1495">
        <v>2012</v>
      </c>
      <c r="C1495" t="s">
        <v>320</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416</v>
      </c>
      <c r="B1496">
        <v>2011</v>
      </c>
      <c r="C1496" t="s">
        <v>320</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416</v>
      </c>
      <c r="B1497">
        <v>2010</v>
      </c>
      <c r="C1497" t="s">
        <v>320</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416</v>
      </c>
      <c r="B1498">
        <v>2009</v>
      </c>
      <c r="C1498" t="s">
        <v>320</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416</v>
      </c>
      <c r="B1499">
        <v>2008</v>
      </c>
      <c r="C1499" t="s">
        <v>320</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416</v>
      </c>
      <c r="B1500">
        <v>2007</v>
      </c>
      <c r="C1500" t="s">
        <v>320</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416</v>
      </c>
      <c r="B1501">
        <v>2006</v>
      </c>
      <c r="C1501" t="s">
        <v>320</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416</v>
      </c>
      <c r="B1502">
        <v>2005</v>
      </c>
      <c r="C1502" t="s">
        <v>320</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416</v>
      </c>
      <c r="B1503">
        <v>2004</v>
      </c>
      <c r="C1503" t="s">
        <v>320</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416</v>
      </c>
      <c r="B1504">
        <v>2003</v>
      </c>
      <c r="C1504" t="s">
        <v>320</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416</v>
      </c>
      <c r="B1505">
        <v>2002</v>
      </c>
      <c r="C1505" t="s">
        <v>320</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416</v>
      </c>
      <c r="B1506">
        <v>2001</v>
      </c>
      <c r="C1506" t="s">
        <v>320</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416</v>
      </c>
      <c r="B1507">
        <v>2000</v>
      </c>
      <c r="C1507" t="s">
        <v>320</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417</v>
      </c>
      <c r="B1508">
        <v>2015</v>
      </c>
      <c r="C1508" t="s">
        <v>320</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417</v>
      </c>
      <c r="B1509">
        <v>2014</v>
      </c>
      <c r="C1509" t="s">
        <v>320</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417</v>
      </c>
      <c r="B1510">
        <v>2013</v>
      </c>
      <c r="C1510" t="s">
        <v>320</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417</v>
      </c>
      <c r="B1511">
        <v>2012</v>
      </c>
      <c r="C1511" t="s">
        <v>320</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417</v>
      </c>
      <c r="B1512">
        <v>2011</v>
      </c>
      <c r="C1512" t="s">
        <v>320</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417</v>
      </c>
      <c r="B1513">
        <v>2010</v>
      </c>
      <c r="C1513" t="s">
        <v>320</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417</v>
      </c>
      <c r="B1514">
        <v>2009</v>
      </c>
      <c r="C1514" t="s">
        <v>320</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417</v>
      </c>
      <c r="B1515">
        <v>2008</v>
      </c>
      <c r="C1515" t="s">
        <v>320</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417</v>
      </c>
      <c r="B1516">
        <v>2007</v>
      </c>
      <c r="C1516" t="s">
        <v>320</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417</v>
      </c>
      <c r="B1517">
        <v>2006</v>
      </c>
      <c r="C1517" t="s">
        <v>320</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417</v>
      </c>
      <c r="B1518">
        <v>2005</v>
      </c>
      <c r="C1518" t="s">
        <v>320</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417</v>
      </c>
      <c r="B1519">
        <v>2004</v>
      </c>
      <c r="C1519" t="s">
        <v>320</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417</v>
      </c>
      <c r="B1520">
        <v>2003</v>
      </c>
      <c r="C1520" t="s">
        <v>320</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417</v>
      </c>
      <c r="B1521">
        <v>2002</v>
      </c>
      <c r="C1521" t="s">
        <v>320</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417</v>
      </c>
      <c r="B1522">
        <v>2001</v>
      </c>
      <c r="C1522" t="s">
        <v>320</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417</v>
      </c>
      <c r="B1523">
        <v>2000</v>
      </c>
      <c r="C1523" t="s">
        <v>320</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418</v>
      </c>
      <c r="B1524">
        <v>2015</v>
      </c>
      <c r="C1524" t="s">
        <v>328</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418</v>
      </c>
      <c r="B1525">
        <v>2014</v>
      </c>
      <c r="C1525" t="s">
        <v>328</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418</v>
      </c>
      <c r="B1526">
        <v>2013</v>
      </c>
      <c r="C1526" t="s">
        <v>328</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418</v>
      </c>
      <c r="B1527">
        <v>2012</v>
      </c>
      <c r="C1527" t="s">
        <v>328</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418</v>
      </c>
      <c r="B1528">
        <v>2011</v>
      </c>
      <c r="C1528" t="s">
        <v>328</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418</v>
      </c>
      <c r="B1529">
        <v>2010</v>
      </c>
      <c r="C1529" t="s">
        <v>328</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418</v>
      </c>
      <c r="B1530">
        <v>2009</v>
      </c>
      <c r="C1530" t="s">
        <v>328</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418</v>
      </c>
      <c r="B1531">
        <v>2008</v>
      </c>
      <c r="C1531" t="s">
        <v>328</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418</v>
      </c>
      <c r="B1532">
        <v>2007</v>
      </c>
      <c r="C1532" t="s">
        <v>328</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418</v>
      </c>
      <c r="B1533">
        <v>2006</v>
      </c>
      <c r="C1533" t="s">
        <v>328</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418</v>
      </c>
      <c r="B1534">
        <v>2005</v>
      </c>
      <c r="C1534" t="s">
        <v>328</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418</v>
      </c>
      <c r="B1535">
        <v>2004</v>
      </c>
      <c r="C1535" t="s">
        <v>328</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418</v>
      </c>
      <c r="B1536">
        <v>2003</v>
      </c>
      <c r="C1536" t="s">
        <v>328</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418</v>
      </c>
      <c r="B1537">
        <v>2002</v>
      </c>
      <c r="C1537" t="s">
        <v>328</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418</v>
      </c>
      <c r="B1538">
        <v>2001</v>
      </c>
      <c r="C1538" t="s">
        <v>328</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418</v>
      </c>
      <c r="B1539">
        <v>2000</v>
      </c>
      <c r="C1539" t="s">
        <v>328</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419</v>
      </c>
      <c r="B1540">
        <v>2015</v>
      </c>
      <c r="C1540" t="s">
        <v>328</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419</v>
      </c>
      <c r="B1541">
        <v>2014</v>
      </c>
      <c r="C1541" t="s">
        <v>328</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419</v>
      </c>
      <c r="B1542">
        <v>2013</v>
      </c>
      <c r="C1542" t="s">
        <v>328</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419</v>
      </c>
      <c r="B1543">
        <v>2012</v>
      </c>
      <c r="C1543" t="s">
        <v>328</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419</v>
      </c>
      <c r="B1544">
        <v>2011</v>
      </c>
      <c r="C1544" t="s">
        <v>328</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419</v>
      </c>
      <c r="B1545">
        <v>2010</v>
      </c>
      <c r="C1545" t="s">
        <v>328</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419</v>
      </c>
      <c r="B1546">
        <v>2009</v>
      </c>
      <c r="C1546" t="s">
        <v>328</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419</v>
      </c>
      <c r="B1547">
        <v>2008</v>
      </c>
      <c r="C1547" t="s">
        <v>328</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419</v>
      </c>
      <c r="B1548">
        <v>2007</v>
      </c>
      <c r="C1548" t="s">
        <v>328</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419</v>
      </c>
      <c r="B1549">
        <v>2006</v>
      </c>
      <c r="C1549" t="s">
        <v>328</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419</v>
      </c>
      <c r="B1550">
        <v>2005</v>
      </c>
      <c r="C1550" t="s">
        <v>328</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419</v>
      </c>
      <c r="B1551">
        <v>2004</v>
      </c>
      <c r="C1551" t="s">
        <v>328</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419</v>
      </c>
      <c r="B1552">
        <v>2003</v>
      </c>
      <c r="C1552" t="s">
        <v>328</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419</v>
      </c>
      <c r="B1553">
        <v>2002</v>
      </c>
      <c r="C1553" t="s">
        <v>328</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419</v>
      </c>
      <c r="B1554">
        <v>2001</v>
      </c>
      <c r="C1554" t="s">
        <v>328</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419</v>
      </c>
      <c r="B1555">
        <v>2000</v>
      </c>
      <c r="C1555" t="s">
        <v>328</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420</v>
      </c>
      <c r="B1556">
        <v>2015</v>
      </c>
      <c r="C1556" t="s">
        <v>320</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420</v>
      </c>
      <c r="B1557">
        <v>2014</v>
      </c>
      <c r="C1557" t="s">
        <v>320</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420</v>
      </c>
      <c r="B1558">
        <v>2013</v>
      </c>
      <c r="C1558" t="s">
        <v>320</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420</v>
      </c>
      <c r="B1559">
        <v>2012</v>
      </c>
      <c r="C1559" t="s">
        <v>320</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420</v>
      </c>
      <c r="B1560">
        <v>2011</v>
      </c>
      <c r="C1560" t="s">
        <v>320</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420</v>
      </c>
      <c r="B1561">
        <v>2010</v>
      </c>
      <c r="C1561" t="s">
        <v>320</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420</v>
      </c>
      <c r="B1562">
        <v>2009</v>
      </c>
      <c r="C1562" t="s">
        <v>320</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420</v>
      </c>
      <c r="B1563">
        <v>2008</v>
      </c>
      <c r="C1563" t="s">
        <v>320</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420</v>
      </c>
      <c r="B1564">
        <v>2007</v>
      </c>
      <c r="C1564" t="s">
        <v>320</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420</v>
      </c>
      <c r="B1565">
        <v>2006</v>
      </c>
      <c r="C1565" t="s">
        <v>320</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420</v>
      </c>
      <c r="B1566">
        <v>2005</v>
      </c>
      <c r="C1566" t="s">
        <v>320</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420</v>
      </c>
      <c r="B1567">
        <v>2004</v>
      </c>
      <c r="C1567" t="s">
        <v>320</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420</v>
      </c>
      <c r="B1568">
        <v>2003</v>
      </c>
      <c r="C1568" t="s">
        <v>320</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420</v>
      </c>
      <c r="B1569">
        <v>2002</v>
      </c>
      <c r="C1569" t="s">
        <v>320</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420</v>
      </c>
      <c r="B1570">
        <v>2001</v>
      </c>
      <c r="C1570" t="s">
        <v>320</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420</v>
      </c>
      <c r="B1571">
        <v>2000</v>
      </c>
      <c r="C1571" t="s">
        <v>320</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421</v>
      </c>
      <c r="B1572">
        <v>2015</v>
      </c>
      <c r="C1572" t="s">
        <v>320</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421</v>
      </c>
      <c r="B1573">
        <v>2014</v>
      </c>
      <c r="C1573" t="s">
        <v>320</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421</v>
      </c>
      <c r="B1574">
        <v>2013</v>
      </c>
      <c r="C1574" t="s">
        <v>320</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421</v>
      </c>
      <c r="B1575">
        <v>2012</v>
      </c>
      <c r="C1575" t="s">
        <v>320</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421</v>
      </c>
      <c r="B1576">
        <v>2011</v>
      </c>
      <c r="C1576" t="s">
        <v>320</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421</v>
      </c>
      <c r="B1577">
        <v>2010</v>
      </c>
      <c r="C1577" t="s">
        <v>320</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421</v>
      </c>
      <c r="B1578">
        <v>2009</v>
      </c>
      <c r="C1578" t="s">
        <v>320</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421</v>
      </c>
      <c r="B1579">
        <v>2008</v>
      </c>
      <c r="C1579" t="s">
        <v>320</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421</v>
      </c>
      <c r="B1580">
        <v>2007</v>
      </c>
      <c r="C1580" t="s">
        <v>320</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421</v>
      </c>
      <c r="B1581">
        <v>2006</v>
      </c>
      <c r="C1581" t="s">
        <v>320</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421</v>
      </c>
      <c r="B1582">
        <v>2005</v>
      </c>
      <c r="C1582" t="s">
        <v>320</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421</v>
      </c>
      <c r="B1583">
        <v>2004</v>
      </c>
      <c r="C1583" t="s">
        <v>320</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421</v>
      </c>
      <c r="B1584">
        <v>2003</v>
      </c>
      <c r="C1584" t="s">
        <v>320</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421</v>
      </c>
      <c r="B1585">
        <v>2002</v>
      </c>
      <c r="C1585" t="s">
        <v>320</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421</v>
      </c>
      <c r="B1586">
        <v>2001</v>
      </c>
      <c r="C1586" t="s">
        <v>320</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421</v>
      </c>
      <c r="B1587">
        <v>2000</v>
      </c>
      <c r="C1587" t="s">
        <v>320</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422</v>
      </c>
      <c r="B1588">
        <v>2015</v>
      </c>
      <c r="C1588" t="s">
        <v>320</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422</v>
      </c>
      <c r="B1589">
        <v>2014</v>
      </c>
      <c r="C1589" t="s">
        <v>320</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422</v>
      </c>
      <c r="B1590">
        <v>2013</v>
      </c>
      <c r="C1590" t="s">
        <v>320</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422</v>
      </c>
      <c r="B1591">
        <v>2012</v>
      </c>
      <c r="C1591" t="s">
        <v>320</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422</v>
      </c>
      <c r="B1592">
        <v>2011</v>
      </c>
      <c r="C1592" t="s">
        <v>320</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422</v>
      </c>
      <c r="B1593">
        <v>2010</v>
      </c>
      <c r="C1593" t="s">
        <v>320</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422</v>
      </c>
      <c r="B1594">
        <v>2009</v>
      </c>
      <c r="C1594" t="s">
        <v>320</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422</v>
      </c>
      <c r="B1595">
        <v>2008</v>
      </c>
      <c r="C1595" t="s">
        <v>320</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422</v>
      </c>
      <c r="B1596">
        <v>2007</v>
      </c>
      <c r="C1596" t="s">
        <v>320</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422</v>
      </c>
      <c r="B1597">
        <v>2006</v>
      </c>
      <c r="C1597" t="s">
        <v>320</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422</v>
      </c>
      <c r="B1598">
        <v>2005</v>
      </c>
      <c r="C1598" t="s">
        <v>320</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422</v>
      </c>
      <c r="B1599">
        <v>2004</v>
      </c>
      <c r="C1599" t="s">
        <v>320</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422</v>
      </c>
      <c r="B1600">
        <v>2003</v>
      </c>
      <c r="C1600" t="s">
        <v>320</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422</v>
      </c>
      <c r="B1601">
        <v>2002</v>
      </c>
      <c r="C1601" t="s">
        <v>320</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422</v>
      </c>
      <c r="B1602">
        <v>2001</v>
      </c>
      <c r="C1602" t="s">
        <v>320</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422</v>
      </c>
      <c r="B1603">
        <v>2000</v>
      </c>
      <c r="C1603" t="s">
        <v>320</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423</v>
      </c>
      <c r="B1604">
        <v>2015</v>
      </c>
      <c r="C1604" t="s">
        <v>320</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423</v>
      </c>
      <c r="B1605">
        <v>2014</v>
      </c>
      <c r="C1605" t="s">
        <v>320</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423</v>
      </c>
      <c r="B1606">
        <v>2013</v>
      </c>
      <c r="C1606" t="s">
        <v>320</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423</v>
      </c>
      <c r="B1607">
        <v>2012</v>
      </c>
      <c r="C1607" t="s">
        <v>320</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423</v>
      </c>
      <c r="B1608">
        <v>2011</v>
      </c>
      <c r="C1608" t="s">
        <v>320</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423</v>
      </c>
      <c r="B1609">
        <v>2010</v>
      </c>
      <c r="C1609" t="s">
        <v>320</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423</v>
      </c>
      <c r="B1610">
        <v>2009</v>
      </c>
      <c r="C1610" t="s">
        <v>320</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423</v>
      </c>
      <c r="B1611">
        <v>2008</v>
      </c>
      <c r="C1611" t="s">
        <v>320</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423</v>
      </c>
      <c r="B1612">
        <v>2007</v>
      </c>
      <c r="C1612" t="s">
        <v>320</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423</v>
      </c>
      <c r="B1613">
        <v>2006</v>
      </c>
      <c r="C1613" t="s">
        <v>320</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423</v>
      </c>
      <c r="B1614">
        <v>2005</v>
      </c>
      <c r="C1614" t="s">
        <v>320</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423</v>
      </c>
      <c r="B1615">
        <v>2004</v>
      </c>
      <c r="C1615" t="s">
        <v>320</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423</v>
      </c>
      <c r="B1616">
        <v>2003</v>
      </c>
      <c r="C1616" t="s">
        <v>320</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423</v>
      </c>
      <c r="B1617">
        <v>2002</v>
      </c>
      <c r="C1617" t="s">
        <v>320</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423</v>
      </c>
      <c r="B1618">
        <v>2001</v>
      </c>
      <c r="C1618" t="s">
        <v>320</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423</v>
      </c>
      <c r="B1619">
        <v>2000</v>
      </c>
      <c r="C1619" t="s">
        <v>320</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424</v>
      </c>
      <c r="B1620">
        <v>2015</v>
      </c>
      <c r="C1620" t="s">
        <v>320</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424</v>
      </c>
      <c r="B1621">
        <v>2014</v>
      </c>
      <c r="C1621" t="s">
        <v>320</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424</v>
      </c>
      <c r="B1622">
        <v>2013</v>
      </c>
      <c r="C1622" t="s">
        <v>320</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424</v>
      </c>
      <c r="B1623">
        <v>2012</v>
      </c>
      <c r="C1623" t="s">
        <v>320</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424</v>
      </c>
      <c r="B1624">
        <v>2011</v>
      </c>
      <c r="C1624" t="s">
        <v>320</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424</v>
      </c>
      <c r="B1625">
        <v>2010</v>
      </c>
      <c r="C1625" t="s">
        <v>320</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424</v>
      </c>
      <c r="B1626">
        <v>2009</v>
      </c>
      <c r="C1626" t="s">
        <v>320</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424</v>
      </c>
      <c r="B1627">
        <v>2008</v>
      </c>
      <c r="C1627" t="s">
        <v>320</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424</v>
      </c>
      <c r="B1628">
        <v>2007</v>
      </c>
      <c r="C1628" t="s">
        <v>320</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424</v>
      </c>
      <c r="B1629">
        <v>2006</v>
      </c>
      <c r="C1629" t="s">
        <v>320</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424</v>
      </c>
      <c r="B1630">
        <v>2005</v>
      </c>
      <c r="C1630" t="s">
        <v>320</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424</v>
      </c>
      <c r="B1631">
        <v>2004</v>
      </c>
      <c r="C1631" t="s">
        <v>320</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424</v>
      </c>
      <c r="B1632">
        <v>2003</v>
      </c>
      <c r="C1632" t="s">
        <v>320</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424</v>
      </c>
      <c r="B1633">
        <v>2002</v>
      </c>
      <c r="C1633" t="s">
        <v>320</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424</v>
      </c>
      <c r="B1634">
        <v>2001</v>
      </c>
      <c r="C1634" t="s">
        <v>320</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424</v>
      </c>
      <c r="B1635">
        <v>2000</v>
      </c>
      <c r="C1635" t="s">
        <v>320</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425</v>
      </c>
      <c r="B1636">
        <v>2015</v>
      </c>
      <c r="C1636" t="s">
        <v>328</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425</v>
      </c>
      <c r="B1637">
        <v>2014</v>
      </c>
      <c r="C1637" t="s">
        <v>328</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425</v>
      </c>
      <c r="B1638">
        <v>2013</v>
      </c>
      <c r="C1638" t="s">
        <v>328</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425</v>
      </c>
      <c r="B1639">
        <v>2012</v>
      </c>
      <c r="C1639" t="s">
        <v>328</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425</v>
      </c>
      <c r="B1640">
        <v>2011</v>
      </c>
      <c r="C1640" t="s">
        <v>328</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425</v>
      </c>
      <c r="B1641">
        <v>2010</v>
      </c>
      <c r="C1641" t="s">
        <v>328</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425</v>
      </c>
      <c r="B1642">
        <v>2009</v>
      </c>
      <c r="C1642" t="s">
        <v>328</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425</v>
      </c>
      <c r="B1643">
        <v>2008</v>
      </c>
      <c r="C1643" t="s">
        <v>328</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425</v>
      </c>
      <c r="B1644">
        <v>2007</v>
      </c>
      <c r="C1644" t="s">
        <v>328</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425</v>
      </c>
      <c r="B1645">
        <v>2006</v>
      </c>
      <c r="C1645" t="s">
        <v>328</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425</v>
      </c>
      <c r="B1646">
        <v>2005</v>
      </c>
      <c r="C1646" t="s">
        <v>328</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425</v>
      </c>
      <c r="B1647">
        <v>2004</v>
      </c>
      <c r="C1647" t="s">
        <v>328</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425</v>
      </c>
      <c r="B1648">
        <v>2003</v>
      </c>
      <c r="C1648" t="s">
        <v>328</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425</v>
      </c>
      <c r="B1649">
        <v>2002</v>
      </c>
      <c r="C1649" t="s">
        <v>328</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425</v>
      </c>
      <c r="B1650">
        <v>2001</v>
      </c>
      <c r="C1650" t="s">
        <v>328</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425</v>
      </c>
      <c r="B1651">
        <v>2000</v>
      </c>
      <c r="C1651" t="s">
        <v>328</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426</v>
      </c>
      <c r="B1652">
        <v>2013</v>
      </c>
      <c r="C1652" t="s">
        <v>320</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427</v>
      </c>
      <c r="B1653">
        <v>2015</v>
      </c>
      <c r="C1653" t="s">
        <v>320</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427</v>
      </c>
      <c r="B1654">
        <v>2014</v>
      </c>
      <c r="C1654" t="s">
        <v>320</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427</v>
      </c>
      <c r="B1655">
        <v>2013</v>
      </c>
      <c r="C1655" t="s">
        <v>320</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427</v>
      </c>
      <c r="B1656">
        <v>2012</v>
      </c>
      <c r="C1656" t="s">
        <v>320</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427</v>
      </c>
      <c r="B1657">
        <v>2011</v>
      </c>
      <c r="C1657" t="s">
        <v>320</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427</v>
      </c>
      <c r="B1658">
        <v>2010</v>
      </c>
      <c r="C1658" t="s">
        <v>320</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427</v>
      </c>
      <c r="B1659">
        <v>2009</v>
      </c>
      <c r="C1659" t="s">
        <v>320</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427</v>
      </c>
      <c r="B1660">
        <v>2008</v>
      </c>
      <c r="C1660" t="s">
        <v>320</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427</v>
      </c>
      <c r="B1661">
        <v>2007</v>
      </c>
      <c r="C1661" t="s">
        <v>320</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427</v>
      </c>
      <c r="B1662">
        <v>2006</v>
      </c>
      <c r="C1662" t="s">
        <v>320</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427</v>
      </c>
      <c r="B1663">
        <v>2005</v>
      </c>
      <c r="C1663" t="s">
        <v>320</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427</v>
      </c>
      <c r="B1664">
        <v>2004</v>
      </c>
      <c r="C1664" t="s">
        <v>320</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427</v>
      </c>
      <c r="B1665">
        <v>2003</v>
      </c>
      <c r="C1665" t="s">
        <v>320</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427</v>
      </c>
      <c r="B1666">
        <v>2002</v>
      </c>
      <c r="C1666" t="s">
        <v>320</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427</v>
      </c>
      <c r="B1667">
        <v>2001</v>
      </c>
      <c r="C1667" t="s">
        <v>320</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427</v>
      </c>
      <c r="B1668">
        <v>2000</v>
      </c>
      <c r="C1668" t="s">
        <v>320</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428</v>
      </c>
      <c r="B1669">
        <v>2015</v>
      </c>
      <c r="C1669" t="s">
        <v>320</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428</v>
      </c>
      <c r="B1670">
        <v>2014</v>
      </c>
      <c r="C1670" t="s">
        <v>320</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428</v>
      </c>
      <c r="B1671">
        <v>2013</v>
      </c>
      <c r="C1671" t="s">
        <v>320</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428</v>
      </c>
      <c r="B1672">
        <v>2012</v>
      </c>
      <c r="C1672" t="s">
        <v>320</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428</v>
      </c>
      <c r="B1673">
        <v>2011</v>
      </c>
      <c r="C1673" t="s">
        <v>320</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428</v>
      </c>
      <c r="B1674">
        <v>2010</v>
      </c>
      <c r="C1674" t="s">
        <v>320</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428</v>
      </c>
      <c r="B1675">
        <v>2009</v>
      </c>
      <c r="C1675" t="s">
        <v>320</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428</v>
      </c>
      <c r="B1676">
        <v>2008</v>
      </c>
      <c r="C1676" t="s">
        <v>320</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428</v>
      </c>
      <c r="B1677">
        <v>2007</v>
      </c>
      <c r="C1677" t="s">
        <v>320</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428</v>
      </c>
      <c r="B1678">
        <v>2006</v>
      </c>
      <c r="C1678" t="s">
        <v>320</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428</v>
      </c>
      <c r="B1679">
        <v>2005</v>
      </c>
      <c r="C1679" t="s">
        <v>320</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428</v>
      </c>
      <c r="B1680">
        <v>2004</v>
      </c>
      <c r="C1680" t="s">
        <v>320</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428</v>
      </c>
      <c r="B1681">
        <v>2003</v>
      </c>
      <c r="C1681" t="s">
        <v>320</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428</v>
      </c>
      <c r="B1682">
        <v>2002</v>
      </c>
      <c r="C1682" t="s">
        <v>320</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428</v>
      </c>
      <c r="B1683">
        <v>2001</v>
      </c>
      <c r="C1683" t="s">
        <v>320</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428</v>
      </c>
      <c r="B1684">
        <v>2000</v>
      </c>
      <c r="C1684" t="s">
        <v>320</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429</v>
      </c>
      <c r="B1685">
        <v>2015</v>
      </c>
      <c r="C1685" t="s">
        <v>320</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429</v>
      </c>
      <c r="B1686">
        <v>2014</v>
      </c>
      <c r="C1686" t="s">
        <v>320</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429</v>
      </c>
      <c r="B1687">
        <v>2013</v>
      </c>
      <c r="C1687" t="s">
        <v>320</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429</v>
      </c>
      <c r="B1688">
        <v>2012</v>
      </c>
      <c r="C1688" t="s">
        <v>320</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429</v>
      </c>
      <c r="B1689">
        <v>2011</v>
      </c>
      <c r="C1689" t="s">
        <v>320</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429</v>
      </c>
      <c r="B1690">
        <v>2010</v>
      </c>
      <c r="C1690" t="s">
        <v>320</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429</v>
      </c>
      <c r="B1691">
        <v>2009</v>
      </c>
      <c r="C1691" t="s">
        <v>320</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429</v>
      </c>
      <c r="B1692">
        <v>2008</v>
      </c>
      <c r="C1692" t="s">
        <v>320</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429</v>
      </c>
      <c r="B1693">
        <v>2007</v>
      </c>
      <c r="C1693" t="s">
        <v>320</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429</v>
      </c>
      <c r="B1694">
        <v>2006</v>
      </c>
      <c r="C1694" t="s">
        <v>320</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429</v>
      </c>
      <c r="B1695">
        <v>2005</v>
      </c>
      <c r="C1695" t="s">
        <v>320</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429</v>
      </c>
      <c r="B1696">
        <v>2004</v>
      </c>
      <c r="C1696" t="s">
        <v>320</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429</v>
      </c>
      <c r="B1697">
        <v>2003</v>
      </c>
      <c r="C1697" t="s">
        <v>320</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429</v>
      </c>
      <c r="B1698">
        <v>2002</v>
      </c>
      <c r="C1698" t="s">
        <v>320</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429</v>
      </c>
      <c r="B1699">
        <v>2001</v>
      </c>
      <c r="C1699" t="s">
        <v>320</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429</v>
      </c>
      <c r="B1700">
        <v>2000</v>
      </c>
      <c r="C1700" t="s">
        <v>320</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430</v>
      </c>
      <c r="B1701">
        <v>2015</v>
      </c>
      <c r="C1701" t="s">
        <v>320</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430</v>
      </c>
      <c r="B1702">
        <v>2014</v>
      </c>
      <c r="C1702" t="s">
        <v>320</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430</v>
      </c>
      <c r="B1703">
        <v>2013</v>
      </c>
      <c r="C1703" t="s">
        <v>320</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430</v>
      </c>
      <c r="B1704">
        <v>2012</v>
      </c>
      <c r="C1704" t="s">
        <v>320</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430</v>
      </c>
      <c r="B1705">
        <v>2011</v>
      </c>
      <c r="C1705" t="s">
        <v>320</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430</v>
      </c>
      <c r="B1706">
        <v>2010</v>
      </c>
      <c r="C1706" t="s">
        <v>320</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430</v>
      </c>
      <c r="B1707">
        <v>2009</v>
      </c>
      <c r="C1707" t="s">
        <v>320</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430</v>
      </c>
      <c r="B1708">
        <v>2008</v>
      </c>
      <c r="C1708" t="s">
        <v>320</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430</v>
      </c>
      <c r="B1709">
        <v>2007</v>
      </c>
      <c r="C1709" t="s">
        <v>320</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430</v>
      </c>
      <c r="B1710">
        <v>2006</v>
      </c>
      <c r="C1710" t="s">
        <v>320</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430</v>
      </c>
      <c r="B1711">
        <v>2005</v>
      </c>
      <c r="C1711" t="s">
        <v>320</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430</v>
      </c>
      <c r="B1712">
        <v>2004</v>
      </c>
      <c r="C1712" t="s">
        <v>320</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430</v>
      </c>
      <c r="B1713">
        <v>2003</v>
      </c>
      <c r="C1713" t="s">
        <v>320</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430</v>
      </c>
      <c r="B1714">
        <v>2002</v>
      </c>
      <c r="C1714" t="s">
        <v>320</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430</v>
      </c>
      <c r="B1715">
        <v>2001</v>
      </c>
      <c r="C1715" t="s">
        <v>320</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430</v>
      </c>
      <c r="B1716">
        <v>2000</v>
      </c>
      <c r="C1716" t="s">
        <v>320</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431</v>
      </c>
      <c r="B1717">
        <v>2013</v>
      </c>
      <c r="C1717" t="s">
        <v>320</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432</v>
      </c>
      <c r="B1718">
        <v>2015</v>
      </c>
      <c r="C1718" t="s">
        <v>320</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432</v>
      </c>
      <c r="B1719">
        <v>2014</v>
      </c>
      <c r="C1719" t="s">
        <v>320</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432</v>
      </c>
      <c r="B1720">
        <v>2013</v>
      </c>
      <c r="C1720" t="s">
        <v>320</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432</v>
      </c>
      <c r="B1721">
        <v>2012</v>
      </c>
      <c r="C1721" t="s">
        <v>320</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432</v>
      </c>
      <c r="B1722">
        <v>2011</v>
      </c>
      <c r="C1722" t="s">
        <v>320</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432</v>
      </c>
      <c r="B1723">
        <v>2010</v>
      </c>
      <c r="C1723" t="s">
        <v>320</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432</v>
      </c>
      <c r="B1724">
        <v>2009</v>
      </c>
      <c r="C1724" t="s">
        <v>320</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432</v>
      </c>
      <c r="B1725">
        <v>2008</v>
      </c>
      <c r="C1725" t="s">
        <v>320</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432</v>
      </c>
      <c r="B1726">
        <v>2007</v>
      </c>
      <c r="C1726" t="s">
        <v>320</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432</v>
      </c>
      <c r="B1727">
        <v>2006</v>
      </c>
      <c r="C1727" t="s">
        <v>320</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432</v>
      </c>
      <c r="B1728">
        <v>2005</v>
      </c>
      <c r="C1728" t="s">
        <v>320</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432</v>
      </c>
      <c r="B1729">
        <v>2004</v>
      </c>
      <c r="C1729" t="s">
        <v>320</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432</v>
      </c>
      <c r="B1730">
        <v>2003</v>
      </c>
      <c r="C1730" t="s">
        <v>320</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432</v>
      </c>
      <c r="B1731">
        <v>2002</v>
      </c>
      <c r="C1731" t="s">
        <v>320</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432</v>
      </c>
      <c r="B1732">
        <v>2001</v>
      </c>
      <c r="C1732" t="s">
        <v>320</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432</v>
      </c>
      <c r="B1733">
        <v>2000</v>
      </c>
      <c r="C1733" t="s">
        <v>320</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433</v>
      </c>
      <c r="B1734">
        <v>2015</v>
      </c>
      <c r="C1734" t="s">
        <v>320</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433</v>
      </c>
      <c r="B1735">
        <v>2014</v>
      </c>
      <c r="C1735" t="s">
        <v>320</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433</v>
      </c>
      <c r="B1736">
        <v>2013</v>
      </c>
      <c r="C1736" t="s">
        <v>320</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433</v>
      </c>
      <c r="B1737">
        <v>2012</v>
      </c>
      <c r="C1737" t="s">
        <v>320</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433</v>
      </c>
      <c r="B1738">
        <v>2011</v>
      </c>
      <c r="C1738" t="s">
        <v>320</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433</v>
      </c>
      <c r="B1739">
        <v>2010</v>
      </c>
      <c r="C1739" t="s">
        <v>320</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433</v>
      </c>
      <c r="B1740">
        <v>2009</v>
      </c>
      <c r="C1740" t="s">
        <v>320</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433</v>
      </c>
      <c r="B1741">
        <v>2008</v>
      </c>
      <c r="C1741" t="s">
        <v>320</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433</v>
      </c>
      <c r="B1742">
        <v>2007</v>
      </c>
      <c r="C1742" t="s">
        <v>320</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433</v>
      </c>
      <c r="B1743">
        <v>2006</v>
      </c>
      <c r="C1743" t="s">
        <v>320</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433</v>
      </c>
      <c r="B1744">
        <v>2005</v>
      </c>
      <c r="C1744" t="s">
        <v>320</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433</v>
      </c>
      <c r="B1745">
        <v>2004</v>
      </c>
      <c r="C1745" t="s">
        <v>320</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433</v>
      </c>
      <c r="B1746">
        <v>2003</v>
      </c>
      <c r="C1746" t="s">
        <v>320</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433</v>
      </c>
      <c r="B1747">
        <v>2002</v>
      </c>
      <c r="C1747" t="s">
        <v>320</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433</v>
      </c>
      <c r="B1748">
        <v>2001</v>
      </c>
      <c r="C1748" t="s">
        <v>320</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433</v>
      </c>
      <c r="B1749">
        <v>2000</v>
      </c>
      <c r="C1749" t="s">
        <v>320</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434</v>
      </c>
      <c r="B1750">
        <v>2015</v>
      </c>
      <c r="C1750" t="s">
        <v>320</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434</v>
      </c>
      <c r="B1751">
        <v>2014</v>
      </c>
      <c r="C1751" t="s">
        <v>320</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434</v>
      </c>
      <c r="B1752">
        <v>2013</v>
      </c>
      <c r="C1752" t="s">
        <v>320</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434</v>
      </c>
      <c r="B1753">
        <v>2012</v>
      </c>
      <c r="C1753" t="s">
        <v>320</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434</v>
      </c>
      <c r="B1754">
        <v>2011</v>
      </c>
      <c r="C1754" t="s">
        <v>320</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434</v>
      </c>
      <c r="B1755">
        <v>2010</v>
      </c>
      <c r="C1755" t="s">
        <v>320</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434</v>
      </c>
      <c r="B1756">
        <v>2009</v>
      </c>
      <c r="C1756" t="s">
        <v>320</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434</v>
      </c>
      <c r="B1757">
        <v>2008</v>
      </c>
      <c r="C1757" t="s">
        <v>320</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434</v>
      </c>
      <c r="B1758">
        <v>2007</v>
      </c>
      <c r="C1758" t="s">
        <v>320</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434</v>
      </c>
      <c r="B1759">
        <v>2006</v>
      </c>
      <c r="C1759" t="s">
        <v>320</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434</v>
      </c>
      <c r="B1760">
        <v>2005</v>
      </c>
      <c r="C1760" t="s">
        <v>320</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434</v>
      </c>
      <c r="B1761">
        <v>2004</v>
      </c>
      <c r="C1761" t="s">
        <v>320</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434</v>
      </c>
      <c r="B1762">
        <v>2003</v>
      </c>
      <c r="C1762" t="s">
        <v>320</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434</v>
      </c>
      <c r="B1763">
        <v>2002</v>
      </c>
      <c r="C1763" t="s">
        <v>320</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434</v>
      </c>
      <c r="B1764">
        <v>2001</v>
      </c>
      <c r="C1764" t="s">
        <v>320</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434</v>
      </c>
      <c r="B1765">
        <v>2000</v>
      </c>
      <c r="C1765" t="s">
        <v>320</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435</v>
      </c>
      <c r="B1766">
        <v>2015</v>
      </c>
      <c r="C1766" t="s">
        <v>320</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435</v>
      </c>
      <c r="B1767">
        <v>2014</v>
      </c>
      <c r="C1767" t="s">
        <v>320</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435</v>
      </c>
      <c r="B1768">
        <v>2013</v>
      </c>
      <c r="C1768" t="s">
        <v>320</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435</v>
      </c>
      <c r="B1769">
        <v>2012</v>
      </c>
      <c r="C1769" t="s">
        <v>320</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435</v>
      </c>
      <c r="B1770">
        <v>2011</v>
      </c>
      <c r="C1770" t="s">
        <v>320</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435</v>
      </c>
      <c r="B1771">
        <v>2010</v>
      </c>
      <c r="C1771" t="s">
        <v>320</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435</v>
      </c>
      <c r="B1772">
        <v>2009</v>
      </c>
      <c r="C1772" t="s">
        <v>320</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435</v>
      </c>
      <c r="B1773">
        <v>2008</v>
      </c>
      <c r="C1773" t="s">
        <v>320</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435</v>
      </c>
      <c r="B1774">
        <v>2007</v>
      </c>
      <c r="C1774" t="s">
        <v>320</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435</v>
      </c>
      <c r="B1775">
        <v>2006</v>
      </c>
      <c r="C1775" t="s">
        <v>320</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435</v>
      </c>
      <c r="B1776">
        <v>2005</v>
      </c>
      <c r="C1776" t="s">
        <v>320</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435</v>
      </c>
      <c r="B1777">
        <v>2004</v>
      </c>
      <c r="C1777" t="s">
        <v>320</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435</v>
      </c>
      <c r="B1778">
        <v>2003</v>
      </c>
      <c r="C1778" t="s">
        <v>320</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435</v>
      </c>
      <c r="B1779">
        <v>2002</v>
      </c>
      <c r="C1779" t="s">
        <v>320</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435</v>
      </c>
      <c r="B1780">
        <v>2001</v>
      </c>
      <c r="C1780" t="s">
        <v>320</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435</v>
      </c>
      <c r="B1781">
        <v>2000</v>
      </c>
      <c r="C1781" t="s">
        <v>320</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436</v>
      </c>
      <c r="B1782">
        <v>2015</v>
      </c>
      <c r="C1782" t="s">
        <v>320</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436</v>
      </c>
      <c r="B1783">
        <v>2014</v>
      </c>
      <c r="C1783" t="s">
        <v>320</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436</v>
      </c>
      <c r="B1784">
        <v>2013</v>
      </c>
      <c r="C1784" t="s">
        <v>320</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436</v>
      </c>
      <c r="B1785">
        <v>2012</v>
      </c>
      <c r="C1785" t="s">
        <v>320</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436</v>
      </c>
      <c r="B1786">
        <v>2011</v>
      </c>
      <c r="C1786" t="s">
        <v>320</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436</v>
      </c>
      <c r="B1787">
        <v>2010</v>
      </c>
      <c r="C1787" t="s">
        <v>320</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436</v>
      </c>
      <c r="B1788">
        <v>2009</v>
      </c>
      <c r="C1788" t="s">
        <v>320</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436</v>
      </c>
      <c r="B1789">
        <v>2008</v>
      </c>
      <c r="C1789" t="s">
        <v>320</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436</v>
      </c>
      <c r="B1790">
        <v>2007</v>
      </c>
      <c r="C1790" t="s">
        <v>320</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436</v>
      </c>
      <c r="B1791">
        <v>2006</v>
      </c>
      <c r="C1791" t="s">
        <v>320</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436</v>
      </c>
      <c r="B1792">
        <v>2005</v>
      </c>
      <c r="C1792" t="s">
        <v>320</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436</v>
      </c>
      <c r="B1793">
        <v>2004</v>
      </c>
      <c r="C1793" t="s">
        <v>320</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436</v>
      </c>
      <c r="B1794">
        <v>2003</v>
      </c>
      <c r="C1794" t="s">
        <v>320</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436</v>
      </c>
      <c r="B1795">
        <v>2002</v>
      </c>
      <c r="C1795" t="s">
        <v>320</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436</v>
      </c>
      <c r="B1796">
        <v>2001</v>
      </c>
      <c r="C1796" t="s">
        <v>320</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436</v>
      </c>
      <c r="B1797">
        <v>2000</v>
      </c>
      <c r="C1797" t="s">
        <v>320</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437</v>
      </c>
      <c r="B1798">
        <v>2015</v>
      </c>
      <c r="C1798" t="s">
        <v>320</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437</v>
      </c>
      <c r="B1799">
        <v>2014</v>
      </c>
      <c r="C1799" t="s">
        <v>320</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437</v>
      </c>
      <c r="B1800">
        <v>2013</v>
      </c>
      <c r="C1800" t="s">
        <v>320</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437</v>
      </c>
      <c r="B1801">
        <v>2012</v>
      </c>
      <c r="C1801" t="s">
        <v>320</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437</v>
      </c>
      <c r="B1802">
        <v>2011</v>
      </c>
      <c r="C1802" t="s">
        <v>320</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437</v>
      </c>
      <c r="B1803">
        <v>2010</v>
      </c>
      <c r="C1803" t="s">
        <v>320</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437</v>
      </c>
      <c r="B1804">
        <v>2009</v>
      </c>
      <c r="C1804" t="s">
        <v>320</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437</v>
      </c>
      <c r="B1805">
        <v>2008</v>
      </c>
      <c r="C1805" t="s">
        <v>320</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437</v>
      </c>
      <c r="B1806">
        <v>2007</v>
      </c>
      <c r="C1806" t="s">
        <v>320</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437</v>
      </c>
      <c r="B1807">
        <v>2006</v>
      </c>
      <c r="C1807" t="s">
        <v>320</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437</v>
      </c>
      <c r="B1808">
        <v>2005</v>
      </c>
      <c r="C1808" t="s">
        <v>320</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437</v>
      </c>
      <c r="B1809">
        <v>2004</v>
      </c>
      <c r="C1809" t="s">
        <v>320</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437</v>
      </c>
      <c r="B1810">
        <v>2003</v>
      </c>
      <c r="C1810" t="s">
        <v>320</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437</v>
      </c>
      <c r="B1811">
        <v>2002</v>
      </c>
      <c r="C1811" t="s">
        <v>320</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437</v>
      </c>
      <c r="B1812">
        <v>2001</v>
      </c>
      <c r="C1812" t="s">
        <v>320</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437</v>
      </c>
      <c r="B1813">
        <v>2000</v>
      </c>
      <c r="C1813" t="s">
        <v>320</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438</v>
      </c>
      <c r="B1814">
        <v>2013</v>
      </c>
      <c r="C1814" t="s">
        <v>320</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439</v>
      </c>
      <c r="B1815">
        <v>2015</v>
      </c>
      <c r="C1815" t="s">
        <v>320</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439</v>
      </c>
      <c r="B1816">
        <v>2014</v>
      </c>
      <c r="C1816" t="s">
        <v>320</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439</v>
      </c>
      <c r="B1817">
        <v>2013</v>
      </c>
      <c r="C1817" t="s">
        <v>320</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439</v>
      </c>
      <c r="B1818">
        <v>2012</v>
      </c>
      <c r="C1818" t="s">
        <v>320</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439</v>
      </c>
      <c r="B1819">
        <v>2011</v>
      </c>
      <c r="C1819" t="s">
        <v>320</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439</v>
      </c>
      <c r="B1820">
        <v>2010</v>
      </c>
      <c r="C1820" t="s">
        <v>320</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439</v>
      </c>
      <c r="B1821">
        <v>2009</v>
      </c>
      <c r="C1821" t="s">
        <v>320</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439</v>
      </c>
      <c r="B1822">
        <v>2008</v>
      </c>
      <c r="C1822" t="s">
        <v>320</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439</v>
      </c>
      <c r="B1823">
        <v>2007</v>
      </c>
      <c r="C1823" t="s">
        <v>320</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439</v>
      </c>
      <c r="B1824">
        <v>2006</v>
      </c>
      <c r="C1824" t="s">
        <v>320</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439</v>
      </c>
      <c r="B1825">
        <v>2005</v>
      </c>
      <c r="C1825" t="s">
        <v>320</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439</v>
      </c>
      <c r="B1826">
        <v>2004</v>
      </c>
      <c r="C1826" t="s">
        <v>320</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439</v>
      </c>
      <c r="B1827">
        <v>2003</v>
      </c>
      <c r="C1827" t="s">
        <v>320</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439</v>
      </c>
      <c r="B1828">
        <v>2002</v>
      </c>
      <c r="C1828" t="s">
        <v>320</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439</v>
      </c>
      <c r="B1829">
        <v>2001</v>
      </c>
      <c r="C1829" t="s">
        <v>320</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439</v>
      </c>
      <c r="B1830">
        <v>2000</v>
      </c>
      <c r="C1830" t="s">
        <v>320</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440</v>
      </c>
      <c r="B1831">
        <v>2015</v>
      </c>
      <c r="C1831" t="s">
        <v>328</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440</v>
      </c>
      <c r="B1832">
        <v>2014</v>
      </c>
      <c r="C1832" t="s">
        <v>328</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440</v>
      </c>
      <c r="B1833">
        <v>2013</v>
      </c>
      <c r="C1833" t="s">
        <v>328</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440</v>
      </c>
      <c r="B1834">
        <v>2012</v>
      </c>
      <c r="C1834" t="s">
        <v>328</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440</v>
      </c>
      <c r="B1835">
        <v>2011</v>
      </c>
      <c r="C1835" t="s">
        <v>328</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440</v>
      </c>
      <c r="B1836">
        <v>2010</v>
      </c>
      <c r="C1836" t="s">
        <v>328</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440</v>
      </c>
      <c r="B1837">
        <v>2009</v>
      </c>
      <c r="C1837" t="s">
        <v>328</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440</v>
      </c>
      <c r="B1838">
        <v>2008</v>
      </c>
      <c r="C1838" t="s">
        <v>328</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440</v>
      </c>
      <c r="B1839">
        <v>2007</v>
      </c>
      <c r="C1839" t="s">
        <v>328</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440</v>
      </c>
      <c r="B1840">
        <v>2006</v>
      </c>
      <c r="C1840" t="s">
        <v>328</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440</v>
      </c>
      <c r="B1841">
        <v>2005</v>
      </c>
      <c r="C1841" t="s">
        <v>328</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440</v>
      </c>
      <c r="B1842">
        <v>2004</v>
      </c>
      <c r="C1842" t="s">
        <v>328</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440</v>
      </c>
      <c r="B1843">
        <v>2003</v>
      </c>
      <c r="C1843" t="s">
        <v>328</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440</v>
      </c>
      <c r="B1844">
        <v>2002</v>
      </c>
      <c r="C1844" t="s">
        <v>328</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440</v>
      </c>
      <c r="B1845">
        <v>2001</v>
      </c>
      <c r="C1845" t="s">
        <v>328</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440</v>
      </c>
      <c r="B1846">
        <v>2000</v>
      </c>
      <c r="C1846" t="s">
        <v>328</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441</v>
      </c>
      <c r="B1847">
        <v>2015</v>
      </c>
      <c r="C1847" t="s">
        <v>328</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441</v>
      </c>
      <c r="B1848">
        <v>2014</v>
      </c>
      <c r="C1848" t="s">
        <v>328</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441</v>
      </c>
      <c r="B1849">
        <v>2013</v>
      </c>
      <c r="C1849" t="s">
        <v>328</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441</v>
      </c>
      <c r="B1850">
        <v>2012</v>
      </c>
      <c r="C1850" t="s">
        <v>328</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441</v>
      </c>
      <c r="B1851">
        <v>2011</v>
      </c>
      <c r="C1851" t="s">
        <v>328</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441</v>
      </c>
      <c r="B1852">
        <v>2010</v>
      </c>
      <c r="C1852" t="s">
        <v>328</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441</v>
      </c>
      <c r="B1853">
        <v>2009</v>
      </c>
      <c r="C1853" t="s">
        <v>328</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441</v>
      </c>
      <c r="B1854">
        <v>2008</v>
      </c>
      <c r="C1854" t="s">
        <v>328</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441</v>
      </c>
      <c r="B1855">
        <v>2007</v>
      </c>
      <c r="C1855" t="s">
        <v>328</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441</v>
      </c>
      <c r="B1856">
        <v>2006</v>
      </c>
      <c r="C1856" t="s">
        <v>328</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441</v>
      </c>
      <c r="B1857">
        <v>2005</v>
      </c>
      <c r="C1857" t="s">
        <v>328</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441</v>
      </c>
      <c r="B1858">
        <v>2004</v>
      </c>
      <c r="C1858" t="s">
        <v>328</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441</v>
      </c>
      <c r="B1859">
        <v>2003</v>
      </c>
      <c r="C1859" t="s">
        <v>328</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441</v>
      </c>
      <c r="B1860">
        <v>2002</v>
      </c>
      <c r="C1860" t="s">
        <v>328</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441</v>
      </c>
      <c r="B1861">
        <v>2001</v>
      </c>
      <c r="C1861" t="s">
        <v>328</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441</v>
      </c>
      <c r="B1862">
        <v>2000</v>
      </c>
      <c r="C1862" t="s">
        <v>328</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442</v>
      </c>
      <c r="B1863">
        <v>2015</v>
      </c>
      <c r="C1863" t="s">
        <v>320</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442</v>
      </c>
      <c r="B1864">
        <v>2014</v>
      </c>
      <c r="C1864" t="s">
        <v>320</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442</v>
      </c>
      <c r="B1865">
        <v>2013</v>
      </c>
      <c r="C1865" t="s">
        <v>320</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442</v>
      </c>
      <c r="B1866">
        <v>2012</v>
      </c>
      <c r="C1866" t="s">
        <v>320</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442</v>
      </c>
      <c r="B1867">
        <v>2011</v>
      </c>
      <c r="C1867" t="s">
        <v>320</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442</v>
      </c>
      <c r="B1868">
        <v>2010</v>
      </c>
      <c r="C1868" t="s">
        <v>320</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442</v>
      </c>
      <c r="B1869">
        <v>2009</v>
      </c>
      <c r="C1869" t="s">
        <v>320</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442</v>
      </c>
      <c r="B1870">
        <v>2008</v>
      </c>
      <c r="C1870" t="s">
        <v>320</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442</v>
      </c>
      <c r="B1871">
        <v>2007</v>
      </c>
      <c r="C1871" t="s">
        <v>320</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442</v>
      </c>
      <c r="B1872">
        <v>2006</v>
      </c>
      <c r="C1872" t="s">
        <v>320</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442</v>
      </c>
      <c r="B1873">
        <v>2005</v>
      </c>
      <c r="C1873" t="s">
        <v>320</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442</v>
      </c>
      <c r="B1874">
        <v>2004</v>
      </c>
      <c r="C1874" t="s">
        <v>320</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442</v>
      </c>
      <c r="B1875">
        <v>2003</v>
      </c>
      <c r="C1875" t="s">
        <v>320</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442</v>
      </c>
      <c r="B1876">
        <v>2002</v>
      </c>
      <c r="C1876" t="s">
        <v>320</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442</v>
      </c>
      <c r="B1877">
        <v>2001</v>
      </c>
      <c r="C1877" t="s">
        <v>320</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442</v>
      </c>
      <c r="B1878">
        <v>2000</v>
      </c>
      <c r="C1878" t="s">
        <v>320</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443</v>
      </c>
      <c r="B1879">
        <v>2015</v>
      </c>
      <c r="C1879" t="s">
        <v>320</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443</v>
      </c>
      <c r="B1880">
        <v>2014</v>
      </c>
      <c r="C1880" t="s">
        <v>320</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443</v>
      </c>
      <c r="B1881">
        <v>2013</v>
      </c>
      <c r="C1881" t="s">
        <v>320</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443</v>
      </c>
      <c r="B1882">
        <v>2012</v>
      </c>
      <c r="C1882" t="s">
        <v>320</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443</v>
      </c>
      <c r="B1883">
        <v>2011</v>
      </c>
      <c r="C1883" t="s">
        <v>320</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443</v>
      </c>
      <c r="B1884">
        <v>2010</v>
      </c>
      <c r="C1884" t="s">
        <v>320</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443</v>
      </c>
      <c r="B1885">
        <v>2009</v>
      </c>
      <c r="C1885" t="s">
        <v>320</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443</v>
      </c>
      <c r="B1886">
        <v>2008</v>
      </c>
      <c r="C1886" t="s">
        <v>320</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443</v>
      </c>
      <c r="B1887">
        <v>2007</v>
      </c>
      <c r="C1887" t="s">
        <v>320</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443</v>
      </c>
      <c r="B1888">
        <v>2006</v>
      </c>
      <c r="C1888" t="s">
        <v>320</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443</v>
      </c>
      <c r="B1889">
        <v>2005</v>
      </c>
      <c r="C1889" t="s">
        <v>320</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443</v>
      </c>
      <c r="B1890">
        <v>2004</v>
      </c>
      <c r="C1890" t="s">
        <v>320</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443</v>
      </c>
      <c r="B1891">
        <v>2003</v>
      </c>
      <c r="C1891" t="s">
        <v>320</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443</v>
      </c>
      <c r="B1892">
        <v>2002</v>
      </c>
      <c r="C1892" t="s">
        <v>320</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443</v>
      </c>
      <c r="B1893">
        <v>2001</v>
      </c>
      <c r="C1893" t="s">
        <v>320</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443</v>
      </c>
      <c r="B1894">
        <v>2000</v>
      </c>
      <c r="C1894" t="s">
        <v>320</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444</v>
      </c>
      <c r="B1895">
        <v>2015</v>
      </c>
      <c r="C1895" t="s">
        <v>320</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444</v>
      </c>
      <c r="B1896">
        <v>2014</v>
      </c>
      <c r="C1896" t="s">
        <v>320</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444</v>
      </c>
      <c r="B1897">
        <v>2013</v>
      </c>
      <c r="C1897" t="s">
        <v>320</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444</v>
      </c>
      <c r="B1898">
        <v>2012</v>
      </c>
      <c r="C1898" t="s">
        <v>320</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444</v>
      </c>
      <c r="B1899">
        <v>2011</v>
      </c>
      <c r="C1899" t="s">
        <v>320</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444</v>
      </c>
      <c r="B1900">
        <v>2010</v>
      </c>
      <c r="C1900" t="s">
        <v>320</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444</v>
      </c>
      <c r="B1901">
        <v>2009</v>
      </c>
      <c r="C1901" t="s">
        <v>320</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444</v>
      </c>
      <c r="B1902">
        <v>2008</v>
      </c>
      <c r="C1902" t="s">
        <v>320</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444</v>
      </c>
      <c r="B1903">
        <v>2007</v>
      </c>
      <c r="C1903" t="s">
        <v>320</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444</v>
      </c>
      <c r="B1904">
        <v>2006</v>
      </c>
      <c r="C1904" t="s">
        <v>320</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444</v>
      </c>
      <c r="B1905">
        <v>2005</v>
      </c>
      <c r="C1905" t="s">
        <v>320</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444</v>
      </c>
      <c r="B1906">
        <v>2004</v>
      </c>
      <c r="C1906" t="s">
        <v>320</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444</v>
      </c>
      <c r="B1907">
        <v>2003</v>
      </c>
      <c r="C1907" t="s">
        <v>320</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444</v>
      </c>
      <c r="B1908">
        <v>2002</v>
      </c>
      <c r="C1908" t="s">
        <v>320</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444</v>
      </c>
      <c r="B1909">
        <v>2001</v>
      </c>
      <c r="C1909" t="s">
        <v>320</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444</v>
      </c>
      <c r="B1910">
        <v>2000</v>
      </c>
      <c r="C1910" t="s">
        <v>320</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445</v>
      </c>
      <c r="B1911">
        <v>2013</v>
      </c>
      <c r="C1911" t="s">
        <v>320</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446</v>
      </c>
      <c r="B1912">
        <v>2015</v>
      </c>
      <c r="C1912" t="s">
        <v>328</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446</v>
      </c>
      <c r="B1913">
        <v>2014</v>
      </c>
      <c r="C1913" t="s">
        <v>328</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446</v>
      </c>
      <c r="B1914">
        <v>2013</v>
      </c>
      <c r="C1914" t="s">
        <v>328</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446</v>
      </c>
      <c r="B1915">
        <v>2012</v>
      </c>
      <c r="C1915" t="s">
        <v>328</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446</v>
      </c>
      <c r="B1916">
        <v>2011</v>
      </c>
      <c r="C1916" t="s">
        <v>328</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446</v>
      </c>
      <c r="B1917">
        <v>2010</v>
      </c>
      <c r="C1917" t="s">
        <v>328</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446</v>
      </c>
      <c r="B1918">
        <v>2009</v>
      </c>
      <c r="C1918" t="s">
        <v>328</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446</v>
      </c>
      <c r="B1919">
        <v>2008</v>
      </c>
      <c r="C1919" t="s">
        <v>328</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446</v>
      </c>
      <c r="B1920">
        <v>2007</v>
      </c>
      <c r="C1920" t="s">
        <v>328</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446</v>
      </c>
      <c r="B1921">
        <v>2006</v>
      </c>
      <c r="C1921" t="s">
        <v>328</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446</v>
      </c>
      <c r="B1922">
        <v>2005</v>
      </c>
      <c r="C1922" t="s">
        <v>328</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446</v>
      </c>
      <c r="B1923">
        <v>2004</v>
      </c>
      <c r="C1923" t="s">
        <v>328</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446</v>
      </c>
      <c r="B1924">
        <v>2003</v>
      </c>
      <c r="C1924" t="s">
        <v>328</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446</v>
      </c>
      <c r="B1925">
        <v>2002</v>
      </c>
      <c r="C1925" t="s">
        <v>328</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446</v>
      </c>
      <c r="B1926">
        <v>2001</v>
      </c>
      <c r="C1926" t="s">
        <v>328</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446</v>
      </c>
      <c r="B1927">
        <v>2000</v>
      </c>
      <c r="C1927" t="s">
        <v>328</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447</v>
      </c>
      <c r="B1928">
        <v>2015</v>
      </c>
      <c r="C1928" t="s">
        <v>320</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447</v>
      </c>
      <c r="B1929">
        <v>2014</v>
      </c>
      <c r="C1929" t="s">
        <v>320</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447</v>
      </c>
      <c r="B1930">
        <v>2013</v>
      </c>
      <c r="C1930" t="s">
        <v>320</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447</v>
      </c>
      <c r="B1931">
        <v>2012</v>
      </c>
      <c r="C1931" t="s">
        <v>320</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447</v>
      </c>
      <c r="B1932">
        <v>2011</v>
      </c>
      <c r="C1932" t="s">
        <v>320</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447</v>
      </c>
      <c r="B1933">
        <v>2010</v>
      </c>
      <c r="C1933" t="s">
        <v>320</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447</v>
      </c>
      <c r="B1934">
        <v>2009</v>
      </c>
      <c r="C1934" t="s">
        <v>320</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447</v>
      </c>
      <c r="B1935">
        <v>2008</v>
      </c>
      <c r="C1935" t="s">
        <v>320</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447</v>
      </c>
      <c r="B1936">
        <v>2007</v>
      </c>
      <c r="C1936" t="s">
        <v>320</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447</v>
      </c>
      <c r="B1937">
        <v>2006</v>
      </c>
      <c r="C1937" t="s">
        <v>320</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447</v>
      </c>
      <c r="B1938">
        <v>2005</v>
      </c>
      <c r="C1938" t="s">
        <v>320</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447</v>
      </c>
      <c r="B1939">
        <v>2004</v>
      </c>
      <c r="C1939" t="s">
        <v>320</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447</v>
      </c>
      <c r="B1940">
        <v>2003</v>
      </c>
      <c r="C1940" t="s">
        <v>320</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447</v>
      </c>
      <c r="B1941">
        <v>2002</v>
      </c>
      <c r="C1941" t="s">
        <v>320</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447</v>
      </c>
      <c r="B1942">
        <v>2001</v>
      </c>
      <c r="C1942" t="s">
        <v>320</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447</v>
      </c>
      <c r="B1943">
        <v>2000</v>
      </c>
      <c r="C1943" t="s">
        <v>320</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448</v>
      </c>
      <c r="B1944">
        <v>2015</v>
      </c>
      <c r="C1944" t="s">
        <v>320</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448</v>
      </c>
      <c r="B1945">
        <v>2014</v>
      </c>
      <c r="C1945" t="s">
        <v>320</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448</v>
      </c>
      <c r="B1946">
        <v>2013</v>
      </c>
      <c r="C1946" t="s">
        <v>320</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448</v>
      </c>
      <c r="B1947">
        <v>2012</v>
      </c>
      <c r="C1947" t="s">
        <v>320</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448</v>
      </c>
      <c r="B1948">
        <v>2011</v>
      </c>
      <c r="C1948" t="s">
        <v>320</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448</v>
      </c>
      <c r="B1949">
        <v>2010</v>
      </c>
      <c r="C1949" t="s">
        <v>320</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448</v>
      </c>
      <c r="B1950">
        <v>2009</v>
      </c>
      <c r="C1950" t="s">
        <v>320</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448</v>
      </c>
      <c r="B1951">
        <v>2008</v>
      </c>
      <c r="C1951" t="s">
        <v>320</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448</v>
      </c>
      <c r="B1952">
        <v>2007</v>
      </c>
      <c r="C1952" t="s">
        <v>320</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448</v>
      </c>
      <c r="B1953">
        <v>2006</v>
      </c>
      <c r="C1953" t="s">
        <v>320</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448</v>
      </c>
      <c r="B1954">
        <v>2005</v>
      </c>
      <c r="C1954" t="s">
        <v>320</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448</v>
      </c>
      <c r="B1955">
        <v>2004</v>
      </c>
      <c r="C1955" t="s">
        <v>320</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448</v>
      </c>
      <c r="B1956">
        <v>2003</v>
      </c>
      <c r="C1956" t="s">
        <v>320</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448</v>
      </c>
      <c r="B1957">
        <v>2002</v>
      </c>
      <c r="C1957" t="s">
        <v>320</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448</v>
      </c>
      <c r="B1958">
        <v>2001</v>
      </c>
      <c r="C1958" t="s">
        <v>320</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448</v>
      </c>
      <c r="B1959">
        <v>2000</v>
      </c>
      <c r="C1959" t="s">
        <v>320</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449</v>
      </c>
      <c r="B1960">
        <v>2013</v>
      </c>
      <c r="C1960" t="s">
        <v>320</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450</v>
      </c>
      <c r="B1961">
        <v>2015</v>
      </c>
      <c r="C1961" t="s">
        <v>320</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450</v>
      </c>
      <c r="B1962">
        <v>2014</v>
      </c>
      <c r="C1962" t="s">
        <v>320</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450</v>
      </c>
      <c r="B1963">
        <v>2013</v>
      </c>
      <c r="C1963" t="s">
        <v>320</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450</v>
      </c>
      <c r="B1964">
        <v>2012</v>
      </c>
      <c r="C1964" t="s">
        <v>320</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450</v>
      </c>
      <c r="B1965">
        <v>2011</v>
      </c>
      <c r="C1965" t="s">
        <v>320</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450</v>
      </c>
      <c r="B1966">
        <v>2010</v>
      </c>
      <c r="C1966" t="s">
        <v>320</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450</v>
      </c>
      <c r="B1967">
        <v>2009</v>
      </c>
      <c r="C1967" t="s">
        <v>320</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450</v>
      </c>
      <c r="B1968">
        <v>2008</v>
      </c>
      <c r="C1968" t="s">
        <v>320</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450</v>
      </c>
      <c r="B1969">
        <v>2007</v>
      </c>
      <c r="C1969" t="s">
        <v>320</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450</v>
      </c>
      <c r="B1970">
        <v>2006</v>
      </c>
      <c r="C1970" t="s">
        <v>320</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450</v>
      </c>
      <c r="B1971">
        <v>2005</v>
      </c>
      <c r="C1971" t="s">
        <v>320</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450</v>
      </c>
      <c r="B1972">
        <v>2004</v>
      </c>
      <c r="C1972" t="s">
        <v>320</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450</v>
      </c>
      <c r="B1973">
        <v>2003</v>
      </c>
      <c r="C1973" t="s">
        <v>320</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450</v>
      </c>
      <c r="B1974">
        <v>2002</v>
      </c>
      <c r="C1974" t="s">
        <v>320</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450</v>
      </c>
      <c r="B1975">
        <v>2001</v>
      </c>
      <c r="C1975" t="s">
        <v>320</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450</v>
      </c>
      <c r="B1976">
        <v>2000</v>
      </c>
      <c r="C1976" t="s">
        <v>320</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451</v>
      </c>
      <c r="B1977">
        <v>2015</v>
      </c>
      <c r="C1977" t="s">
        <v>320</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451</v>
      </c>
      <c r="B1978">
        <v>2014</v>
      </c>
      <c r="C1978" t="s">
        <v>320</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451</v>
      </c>
      <c r="B1979">
        <v>2013</v>
      </c>
      <c r="C1979" t="s">
        <v>320</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451</v>
      </c>
      <c r="B1980">
        <v>2012</v>
      </c>
      <c r="C1980" t="s">
        <v>320</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451</v>
      </c>
      <c r="B1981">
        <v>2011</v>
      </c>
      <c r="C1981" t="s">
        <v>320</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451</v>
      </c>
      <c r="B1982">
        <v>2010</v>
      </c>
      <c r="C1982" t="s">
        <v>320</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451</v>
      </c>
      <c r="B1983">
        <v>2009</v>
      </c>
      <c r="C1983" t="s">
        <v>320</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451</v>
      </c>
      <c r="B1984">
        <v>2008</v>
      </c>
      <c r="C1984" t="s">
        <v>320</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451</v>
      </c>
      <c r="B1985">
        <v>2007</v>
      </c>
      <c r="C1985" t="s">
        <v>320</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451</v>
      </c>
      <c r="B1986">
        <v>2006</v>
      </c>
      <c r="C1986" t="s">
        <v>320</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451</v>
      </c>
      <c r="B1987">
        <v>2005</v>
      </c>
      <c r="C1987" t="s">
        <v>320</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451</v>
      </c>
      <c r="B1988">
        <v>2004</v>
      </c>
      <c r="C1988" t="s">
        <v>320</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451</v>
      </c>
      <c r="B1989">
        <v>2003</v>
      </c>
      <c r="C1989" t="s">
        <v>320</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451</v>
      </c>
      <c r="B1990">
        <v>2002</v>
      </c>
      <c r="C1990" t="s">
        <v>320</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451</v>
      </c>
      <c r="B1991">
        <v>2001</v>
      </c>
      <c r="C1991" t="s">
        <v>320</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451</v>
      </c>
      <c r="B1992">
        <v>2000</v>
      </c>
      <c r="C1992" t="s">
        <v>320</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452</v>
      </c>
      <c r="B1993">
        <v>2015</v>
      </c>
      <c r="C1993" t="s">
        <v>320</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452</v>
      </c>
      <c r="B1994">
        <v>2014</v>
      </c>
      <c r="C1994" t="s">
        <v>320</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452</v>
      </c>
      <c r="B1995">
        <v>2013</v>
      </c>
      <c r="C1995" t="s">
        <v>320</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452</v>
      </c>
      <c r="B1996">
        <v>2012</v>
      </c>
      <c r="C1996" t="s">
        <v>320</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452</v>
      </c>
      <c r="B1997">
        <v>2011</v>
      </c>
      <c r="C1997" t="s">
        <v>320</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452</v>
      </c>
      <c r="B1998">
        <v>2010</v>
      </c>
      <c r="C1998" t="s">
        <v>320</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452</v>
      </c>
      <c r="B1999">
        <v>2009</v>
      </c>
      <c r="C1999" t="s">
        <v>320</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452</v>
      </c>
      <c r="B2000">
        <v>2008</v>
      </c>
      <c r="C2000" t="s">
        <v>320</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452</v>
      </c>
      <c r="B2001">
        <v>2007</v>
      </c>
      <c r="C2001" t="s">
        <v>320</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452</v>
      </c>
      <c r="B2002">
        <v>2006</v>
      </c>
      <c r="C2002" t="s">
        <v>320</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452</v>
      </c>
      <c r="B2003">
        <v>2005</v>
      </c>
      <c r="C2003" t="s">
        <v>320</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452</v>
      </c>
      <c r="B2004">
        <v>2004</v>
      </c>
      <c r="C2004" t="s">
        <v>320</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452</v>
      </c>
      <c r="B2005">
        <v>2003</v>
      </c>
      <c r="C2005" t="s">
        <v>320</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452</v>
      </c>
      <c r="B2006">
        <v>2002</v>
      </c>
      <c r="C2006" t="s">
        <v>320</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452</v>
      </c>
      <c r="B2007">
        <v>2001</v>
      </c>
      <c r="C2007" t="s">
        <v>320</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452</v>
      </c>
      <c r="B2008">
        <v>2000</v>
      </c>
      <c r="C2008" t="s">
        <v>320</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453</v>
      </c>
      <c r="B2009">
        <v>2015</v>
      </c>
      <c r="C2009" t="s">
        <v>320</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453</v>
      </c>
      <c r="B2010">
        <v>2014</v>
      </c>
      <c r="C2010" t="s">
        <v>320</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453</v>
      </c>
      <c r="B2011">
        <v>2013</v>
      </c>
      <c r="C2011" t="s">
        <v>320</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453</v>
      </c>
      <c r="B2012">
        <v>2012</v>
      </c>
      <c r="C2012" t="s">
        <v>320</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453</v>
      </c>
      <c r="B2013">
        <v>2011</v>
      </c>
      <c r="C2013" t="s">
        <v>320</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453</v>
      </c>
      <c r="B2014">
        <v>2010</v>
      </c>
      <c r="C2014" t="s">
        <v>320</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453</v>
      </c>
      <c r="B2015">
        <v>2009</v>
      </c>
      <c r="C2015" t="s">
        <v>320</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453</v>
      </c>
      <c r="B2016">
        <v>2008</v>
      </c>
      <c r="C2016" t="s">
        <v>320</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453</v>
      </c>
      <c r="B2017">
        <v>2007</v>
      </c>
      <c r="C2017" t="s">
        <v>320</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453</v>
      </c>
      <c r="B2018">
        <v>2006</v>
      </c>
      <c r="C2018" t="s">
        <v>320</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453</v>
      </c>
      <c r="B2019">
        <v>2005</v>
      </c>
      <c r="C2019" t="s">
        <v>320</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453</v>
      </c>
      <c r="B2020">
        <v>2004</v>
      </c>
      <c r="C2020" t="s">
        <v>320</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453</v>
      </c>
      <c r="B2021">
        <v>2003</v>
      </c>
      <c r="C2021" t="s">
        <v>320</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453</v>
      </c>
      <c r="B2022">
        <v>2002</v>
      </c>
      <c r="C2022" t="s">
        <v>320</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453</v>
      </c>
      <c r="B2023">
        <v>2001</v>
      </c>
      <c r="C2023" t="s">
        <v>320</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453</v>
      </c>
      <c r="B2024">
        <v>2000</v>
      </c>
      <c r="C2024" t="s">
        <v>320</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454</v>
      </c>
      <c r="B2025">
        <v>2015</v>
      </c>
      <c r="C2025" t="s">
        <v>320</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454</v>
      </c>
      <c r="B2026">
        <v>2014</v>
      </c>
      <c r="C2026" t="s">
        <v>320</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454</v>
      </c>
      <c r="B2027">
        <v>2013</v>
      </c>
      <c r="C2027" t="s">
        <v>320</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454</v>
      </c>
      <c r="B2028">
        <v>2012</v>
      </c>
      <c r="C2028" t="s">
        <v>320</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454</v>
      </c>
      <c r="B2029">
        <v>2011</v>
      </c>
      <c r="C2029" t="s">
        <v>320</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454</v>
      </c>
      <c r="B2030">
        <v>2010</v>
      </c>
      <c r="C2030" t="s">
        <v>320</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454</v>
      </c>
      <c r="B2031">
        <v>2009</v>
      </c>
      <c r="C2031" t="s">
        <v>320</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454</v>
      </c>
      <c r="B2032">
        <v>2008</v>
      </c>
      <c r="C2032" t="s">
        <v>320</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454</v>
      </c>
      <c r="B2033">
        <v>2007</v>
      </c>
      <c r="C2033" t="s">
        <v>320</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454</v>
      </c>
      <c r="B2034">
        <v>2006</v>
      </c>
      <c r="C2034" t="s">
        <v>320</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454</v>
      </c>
      <c r="B2035">
        <v>2005</v>
      </c>
      <c r="C2035" t="s">
        <v>320</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454</v>
      </c>
      <c r="B2036">
        <v>2004</v>
      </c>
      <c r="C2036" t="s">
        <v>320</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454</v>
      </c>
      <c r="B2037">
        <v>2003</v>
      </c>
      <c r="C2037" t="s">
        <v>320</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454</v>
      </c>
      <c r="B2038">
        <v>2002</v>
      </c>
      <c r="C2038" t="s">
        <v>320</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454</v>
      </c>
      <c r="B2039">
        <v>2001</v>
      </c>
      <c r="C2039" t="s">
        <v>320</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454</v>
      </c>
      <c r="B2040">
        <v>2000</v>
      </c>
      <c r="C2040" t="s">
        <v>320</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455</v>
      </c>
      <c r="B2041">
        <v>2015</v>
      </c>
      <c r="C2041" t="s">
        <v>328</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455</v>
      </c>
      <c r="B2042">
        <v>2014</v>
      </c>
      <c r="C2042" t="s">
        <v>328</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455</v>
      </c>
      <c r="B2043">
        <v>2013</v>
      </c>
      <c r="C2043" t="s">
        <v>328</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455</v>
      </c>
      <c r="B2044">
        <v>2012</v>
      </c>
      <c r="C2044" t="s">
        <v>328</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455</v>
      </c>
      <c r="B2045">
        <v>2011</v>
      </c>
      <c r="C2045" t="s">
        <v>328</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455</v>
      </c>
      <c r="B2046">
        <v>2010</v>
      </c>
      <c r="C2046" t="s">
        <v>328</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455</v>
      </c>
      <c r="B2047">
        <v>2009</v>
      </c>
      <c r="C2047" t="s">
        <v>328</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455</v>
      </c>
      <c r="B2048">
        <v>2008</v>
      </c>
      <c r="C2048" t="s">
        <v>328</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455</v>
      </c>
      <c r="B2049">
        <v>2007</v>
      </c>
      <c r="C2049" t="s">
        <v>328</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455</v>
      </c>
      <c r="B2050">
        <v>2006</v>
      </c>
      <c r="C2050" t="s">
        <v>328</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455</v>
      </c>
      <c r="B2051">
        <v>2005</v>
      </c>
      <c r="C2051" t="s">
        <v>328</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455</v>
      </c>
      <c r="B2052">
        <v>2004</v>
      </c>
      <c r="C2052" t="s">
        <v>328</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455</v>
      </c>
      <c r="B2053">
        <v>2003</v>
      </c>
      <c r="C2053" t="s">
        <v>328</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455</v>
      </c>
      <c r="B2054">
        <v>2002</v>
      </c>
      <c r="C2054" t="s">
        <v>328</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455</v>
      </c>
      <c r="B2055">
        <v>2001</v>
      </c>
      <c r="C2055" t="s">
        <v>328</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455</v>
      </c>
      <c r="B2056">
        <v>2000</v>
      </c>
      <c r="C2056" t="s">
        <v>328</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456</v>
      </c>
      <c r="B2057">
        <v>2015</v>
      </c>
      <c r="C2057" t="s">
        <v>328</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456</v>
      </c>
      <c r="B2058">
        <v>2014</v>
      </c>
      <c r="C2058" t="s">
        <v>328</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456</v>
      </c>
      <c r="B2059">
        <v>2013</v>
      </c>
      <c r="C2059" t="s">
        <v>328</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456</v>
      </c>
      <c r="B2060">
        <v>2012</v>
      </c>
      <c r="C2060" t="s">
        <v>328</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456</v>
      </c>
      <c r="B2061">
        <v>2011</v>
      </c>
      <c r="C2061" t="s">
        <v>328</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456</v>
      </c>
      <c r="B2062">
        <v>2010</v>
      </c>
      <c r="C2062" t="s">
        <v>328</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456</v>
      </c>
      <c r="B2063">
        <v>2009</v>
      </c>
      <c r="C2063" t="s">
        <v>328</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456</v>
      </c>
      <c r="B2064">
        <v>2008</v>
      </c>
      <c r="C2064" t="s">
        <v>328</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456</v>
      </c>
      <c r="B2065">
        <v>2007</v>
      </c>
      <c r="C2065" t="s">
        <v>328</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456</v>
      </c>
      <c r="B2066">
        <v>2006</v>
      </c>
      <c r="C2066" t="s">
        <v>328</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456</v>
      </c>
      <c r="B2067">
        <v>2005</v>
      </c>
      <c r="C2067" t="s">
        <v>328</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456</v>
      </c>
      <c r="B2068">
        <v>2004</v>
      </c>
      <c r="C2068" t="s">
        <v>328</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456</v>
      </c>
      <c r="B2069">
        <v>2003</v>
      </c>
      <c r="C2069" t="s">
        <v>328</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456</v>
      </c>
      <c r="B2070">
        <v>2002</v>
      </c>
      <c r="C2070" t="s">
        <v>328</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456</v>
      </c>
      <c r="B2071">
        <v>2001</v>
      </c>
      <c r="C2071" t="s">
        <v>328</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456</v>
      </c>
      <c r="B2072">
        <v>2000</v>
      </c>
      <c r="C2072" t="s">
        <v>328</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457</v>
      </c>
      <c r="B2073">
        <v>2015</v>
      </c>
      <c r="C2073" t="s">
        <v>320</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457</v>
      </c>
      <c r="B2074">
        <v>2014</v>
      </c>
      <c r="C2074" t="s">
        <v>320</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457</v>
      </c>
      <c r="B2075">
        <v>2013</v>
      </c>
      <c r="C2075" t="s">
        <v>320</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457</v>
      </c>
      <c r="B2076">
        <v>2012</v>
      </c>
      <c r="C2076" t="s">
        <v>320</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457</v>
      </c>
      <c r="B2077">
        <v>2011</v>
      </c>
      <c r="C2077" t="s">
        <v>320</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457</v>
      </c>
      <c r="B2078">
        <v>2010</v>
      </c>
      <c r="C2078" t="s">
        <v>320</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457</v>
      </c>
      <c r="B2079">
        <v>2009</v>
      </c>
      <c r="C2079" t="s">
        <v>320</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457</v>
      </c>
      <c r="B2080">
        <v>2008</v>
      </c>
      <c r="C2080" t="s">
        <v>320</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457</v>
      </c>
      <c r="B2081">
        <v>2007</v>
      </c>
      <c r="C2081" t="s">
        <v>320</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457</v>
      </c>
      <c r="B2082">
        <v>2006</v>
      </c>
      <c r="C2082" t="s">
        <v>320</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457</v>
      </c>
      <c r="B2083">
        <v>2005</v>
      </c>
      <c r="C2083" t="s">
        <v>320</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457</v>
      </c>
      <c r="B2084">
        <v>2004</v>
      </c>
      <c r="C2084" t="s">
        <v>320</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457</v>
      </c>
      <c r="B2085">
        <v>2003</v>
      </c>
      <c r="C2085" t="s">
        <v>320</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457</v>
      </c>
      <c r="B2086">
        <v>2002</v>
      </c>
      <c r="C2086" t="s">
        <v>320</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457</v>
      </c>
      <c r="B2087">
        <v>2001</v>
      </c>
      <c r="C2087" t="s">
        <v>320</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457</v>
      </c>
      <c r="B2088">
        <v>2000</v>
      </c>
      <c r="C2088" t="s">
        <v>320</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458</v>
      </c>
      <c r="B2089">
        <v>2015</v>
      </c>
      <c r="C2089" t="s">
        <v>320</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458</v>
      </c>
      <c r="B2090">
        <v>2014</v>
      </c>
      <c r="C2090" t="s">
        <v>320</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458</v>
      </c>
      <c r="B2091">
        <v>2013</v>
      </c>
      <c r="C2091" t="s">
        <v>320</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458</v>
      </c>
      <c r="B2092">
        <v>2012</v>
      </c>
      <c r="C2092" t="s">
        <v>320</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458</v>
      </c>
      <c r="B2093">
        <v>2011</v>
      </c>
      <c r="C2093" t="s">
        <v>320</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458</v>
      </c>
      <c r="B2094">
        <v>2010</v>
      </c>
      <c r="C2094" t="s">
        <v>320</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458</v>
      </c>
      <c r="B2095">
        <v>2009</v>
      </c>
      <c r="C2095" t="s">
        <v>320</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458</v>
      </c>
      <c r="B2096">
        <v>2008</v>
      </c>
      <c r="C2096" t="s">
        <v>320</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458</v>
      </c>
      <c r="B2097">
        <v>2007</v>
      </c>
      <c r="C2097" t="s">
        <v>320</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458</v>
      </c>
      <c r="B2098">
        <v>2006</v>
      </c>
      <c r="C2098" t="s">
        <v>320</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458</v>
      </c>
      <c r="B2099">
        <v>2005</v>
      </c>
      <c r="C2099" t="s">
        <v>320</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458</v>
      </c>
      <c r="B2100">
        <v>2004</v>
      </c>
      <c r="C2100" t="s">
        <v>320</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458</v>
      </c>
      <c r="B2101">
        <v>2003</v>
      </c>
      <c r="C2101" t="s">
        <v>320</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458</v>
      </c>
      <c r="B2102">
        <v>2002</v>
      </c>
      <c r="C2102" t="s">
        <v>320</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458</v>
      </c>
      <c r="B2103">
        <v>2001</v>
      </c>
      <c r="C2103" t="s">
        <v>320</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458</v>
      </c>
      <c r="B2104">
        <v>2000</v>
      </c>
      <c r="C2104" t="s">
        <v>320</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459</v>
      </c>
      <c r="B2105">
        <v>2015</v>
      </c>
      <c r="C2105" t="s">
        <v>320</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459</v>
      </c>
      <c r="B2106">
        <v>2014</v>
      </c>
      <c r="C2106" t="s">
        <v>320</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459</v>
      </c>
      <c r="B2107">
        <v>2013</v>
      </c>
      <c r="C2107" t="s">
        <v>320</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459</v>
      </c>
      <c r="B2108">
        <v>2012</v>
      </c>
      <c r="C2108" t="s">
        <v>320</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459</v>
      </c>
      <c r="B2109">
        <v>2011</v>
      </c>
      <c r="C2109" t="s">
        <v>320</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459</v>
      </c>
      <c r="B2110">
        <v>2010</v>
      </c>
      <c r="C2110" t="s">
        <v>320</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459</v>
      </c>
      <c r="B2111">
        <v>2009</v>
      </c>
      <c r="C2111" t="s">
        <v>320</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459</v>
      </c>
      <c r="B2112">
        <v>2008</v>
      </c>
      <c r="C2112" t="s">
        <v>320</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459</v>
      </c>
      <c r="B2113">
        <v>2007</v>
      </c>
      <c r="C2113" t="s">
        <v>320</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459</v>
      </c>
      <c r="B2114">
        <v>2006</v>
      </c>
      <c r="C2114" t="s">
        <v>320</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459</v>
      </c>
      <c r="B2115">
        <v>2005</v>
      </c>
      <c r="C2115" t="s">
        <v>320</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459</v>
      </c>
      <c r="B2116">
        <v>2004</v>
      </c>
      <c r="C2116" t="s">
        <v>320</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459</v>
      </c>
      <c r="B2117">
        <v>2003</v>
      </c>
      <c r="C2117" t="s">
        <v>320</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459</v>
      </c>
      <c r="B2118">
        <v>2002</v>
      </c>
      <c r="C2118" t="s">
        <v>320</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459</v>
      </c>
      <c r="B2119">
        <v>2001</v>
      </c>
      <c r="C2119" t="s">
        <v>320</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459</v>
      </c>
      <c r="B2120">
        <v>2000</v>
      </c>
      <c r="C2120" t="s">
        <v>320</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460</v>
      </c>
      <c r="B2121">
        <v>2015</v>
      </c>
      <c r="C2121" t="s">
        <v>328</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460</v>
      </c>
      <c r="B2122">
        <v>2014</v>
      </c>
      <c r="C2122" t="s">
        <v>328</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460</v>
      </c>
      <c r="B2123">
        <v>2013</v>
      </c>
      <c r="C2123" t="s">
        <v>328</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460</v>
      </c>
      <c r="B2124">
        <v>2012</v>
      </c>
      <c r="C2124" t="s">
        <v>328</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460</v>
      </c>
      <c r="B2125">
        <v>2011</v>
      </c>
      <c r="C2125" t="s">
        <v>328</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460</v>
      </c>
      <c r="B2126">
        <v>2010</v>
      </c>
      <c r="C2126" t="s">
        <v>328</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460</v>
      </c>
      <c r="B2127">
        <v>2009</v>
      </c>
      <c r="C2127" t="s">
        <v>328</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460</v>
      </c>
      <c r="B2128">
        <v>2008</v>
      </c>
      <c r="C2128" t="s">
        <v>328</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460</v>
      </c>
      <c r="B2129">
        <v>2007</v>
      </c>
      <c r="C2129" t="s">
        <v>328</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460</v>
      </c>
      <c r="B2130">
        <v>2006</v>
      </c>
      <c r="C2130" t="s">
        <v>328</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460</v>
      </c>
      <c r="B2131">
        <v>2005</v>
      </c>
      <c r="C2131" t="s">
        <v>328</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460</v>
      </c>
      <c r="B2132">
        <v>2004</v>
      </c>
      <c r="C2132" t="s">
        <v>328</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460</v>
      </c>
      <c r="B2133">
        <v>2003</v>
      </c>
      <c r="C2133" t="s">
        <v>328</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460</v>
      </c>
      <c r="B2134">
        <v>2002</v>
      </c>
      <c r="C2134" t="s">
        <v>328</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460</v>
      </c>
      <c r="B2135">
        <v>2001</v>
      </c>
      <c r="C2135" t="s">
        <v>328</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460</v>
      </c>
      <c r="B2136">
        <v>2000</v>
      </c>
      <c r="C2136" t="s">
        <v>328</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461</v>
      </c>
      <c r="B2137">
        <v>2015</v>
      </c>
      <c r="C2137" t="s">
        <v>320</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461</v>
      </c>
      <c r="B2138">
        <v>2014</v>
      </c>
      <c r="C2138" t="s">
        <v>320</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461</v>
      </c>
      <c r="B2139">
        <v>2013</v>
      </c>
      <c r="C2139" t="s">
        <v>320</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461</v>
      </c>
      <c r="B2140">
        <v>2012</v>
      </c>
      <c r="C2140" t="s">
        <v>320</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461</v>
      </c>
      <c r="B2141">
        <v>2011</v>
      </c>
      <c r="C2141" t="s">
        <v>320</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461</v>
      </c>
      <c r="B2142">
        <v>2010</v>
      </c>
      <c r="C2142" t="s">
        <v>320</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461</v>
      </c>
      <c r="B2143">
        <v>2009</v>
      </c>
      <c r="C2143" t="s">
        <v>320</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461</v>
      </c>
      <c r="B2144">
        <v>2008</v>
      </c>
      <c r="C2144" t="s">
        <v>320</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461</v>
      </c>
      <c r="B2145">
        <v>2007</v>
      </c>
      <c r="C2145" t="s">
        <v>320</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461</v>
      </c>
      <c r="B2146">
        <v>2006</v>
      </c>
      <c r="C2146" t="s">
        <v>320</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461</v>
      </c>
      <c r="B2147">
        <v>2005</v>
      </c>
      <c r="C2147" t="s">
        <v>320</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461</v>
      </c>
      <c r="B2148">
        <v>2004</v>
      </c>
      <c r="C2148" t="s">
        <v>320</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461</v>
      </c>
      <c r="B2149">
        <v>2003</v>
      </c>
      <c r="C2149" t="s">
        <v>320</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461</v>
      </c>
      <c r="B2150">
        <v>2002</v>
      </c>
      <c r="C2150" t="s">
        <v>320</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461</v>
      </c>
      <c r="B2151">
        <v>2001</v>
      </c>
      <c r="C2151" t="s">
        <v>320</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461</v>
      </c>
      <c r="B2152">
        <v>2000</v>
      </c>
      <c r="C2152" t="s">
        <v>320</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462</v>
      </c>
      <c r="B2153">
        <v>2015</v>
      </c>
      <c r="C2153" t="s">
        <v>320</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462</v>
      </c>
      <c r="B2154">
        <v>2014</v>
      </c>
      <c r="C2154" t="s">
        <v>320</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462</v>
      </c>
      <c r="B2155">
        <v>2013</v>
      </c>
      <c r="C2155" t="s">
        <v>320</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462</v>
      </c>
      <c r="B2156">
        <v>2012</v>
      </c>
      <c r="C2156" t="s">
        <v>320</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462</v>
      </c>
      <c r="B2157">
        <v>2011</v>
      </c>
      <c r="C2157" t="s">
        <v>320</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462</v>
      </c>
      <c r="B2158">
        <v>2010</v>
      </c>
      <c r="C2158" t="s">
        <v>320</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462</v>
      </c>
      <c r="B2159">
        <v>2009</v>
      </c>
      <c r="C2159" t="s">
        <v>320</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462</v>
      </c>
      <c r="B2160">
        <v>2008</v>
      </c>
      <c r="C2160" t="s">
        <v>320</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462</v>
      </c>
      <c r="B2161">
        <v>2007</v>
      </c>
      <c r="C2161" t="s">
        <v>320</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462</v>
      </c>
      <c r="B2162">
        <v>2006</v>
      </c>
      <c r="C2162" t="s">
        <v>320</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462</v>
      </c>
      <c r="B2163">
        <v>2005</v>
      </c>
      <c r="C2163" t="s">
        <v>320</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462</v>
      </c>
      <c r="B2164">
        <v>2004</v>
      </c>
      <c r="C2164" t="s">
        <v>320</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462</v>
      </c>
      <c r="B2165">
        <v>2003</v>
      </c>
      <c r="C2165" t="s">
        <v>320</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462</v>
      </c>
      <c r="B2166">
        <v>2002</v>
      </c>
      <c r="C2166" t="s">
        <v>320</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462</v>
      </c>
      <c r="B2167">
        <v>2001</v>
      </c>
      <c r="C2167" t="s">
        <v>320</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462</v>
      </c>
      <c r="B2168">
        <v>2000</v>
      </c>
      <c r="C2168" t="s">
        <v>320</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463</v>
      </c>
      <c r="B2169">
        <v>2013</v>
      </c>
      <c r="C2169" t="s">
        <v>320</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464</v>
      </c>
      <c r="B2170">
        <v>2015</v>
      </c>
      <c r="C2170" t="s">
        <v>320</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464</v>
      </c>
      <c r="B2171">
        <v>2014</v>
      </c>
      <c r="C2171" t="s">
        <v>320</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464</v>
      </c>
      <c r="B2172">
        <v>2013</v>
      </c>
      <c r="C2172" t="s">
        <v>320</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464</v>
      </c>
      <c r="B2173">
        <v>2012</v>
      </c>
      <c r="C2173" t="s">
        <v>320</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464</v>
      </c>
      <c r="B2174">
        <v>2011</v>
      </c>
      <c r="C2174" t="s">
        <v>320</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464</v>
      </c>
      <c r="B2175">
        <v>2010</v>
      </c>
      <c r="C2175" t="s">
        <v>320</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464</v>
      </c>
      <c r="B2176">
        <v>2009</v>
      </c>
      <c r="C2176" t="s">
        <v>320</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464</v>
      </c>
      <c r="B2177">
        <v>2008</v>
      </c>
      <c r="C2177" t="s">
        <v>320</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464</v>
      </c>
      <c r="B2178">
        <v>2007</v>
      </c>
      <c r="C2178" t="s">
        <v>320</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464</v>
      </c>
      <c r="B2179">
        <v>2006</v>
      </c>
      <c r="C2179" t="s">
        <v>320</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464</v>
      </c>
      <c r="B2180">
        <v>2005</v>
      </c>
      <c r="C2180" t="s">
        <v>320</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464</v>
      </c>
      <c r="B2181">
        <v>2004</v>
      </c>
      <c r="C2181" t="s">
        <v>320</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464</v>
      </c>
      <c r="B2182">
        <v>2003</v>
      </c>
      <c r="C2182" t="s">
        <v>320</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464</v>
      </c>
      <c r="B2183">
        <v>2002</v>
      </c>
      <c r="C2183" t="s">
        <v>320</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464</v>
      </c>
      <c r="B2184">
        <v>2001</v>
      </c>
      <c r="C2184" t="s">
        <v>320</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464</v>
      </c>
      <c r="B2185">
        <v>2000</v>
      </c>
      <c r="C2185" t="s">
        <v>320</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465</v>
      </c>
      <c r="B2186">
        <v>2015</v>
      </c>
      <c r="C2186" t="s">
        <v>320</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465</v>
      </c>
      <c r="B2187">
        <v>2014</v>
      </c>
      <c r="C2187" t="s">
        <v>320</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465</v>
      </c>
      <c r="B2188">
        <v>2013</v>
      </c>
      <c r="C2188" t="s">
        <v>320</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465</v>
      </c>
      <c r="B2189">
        <v>2012</v>
      </c>
      <c r="C2189" t="s">
        <v>320</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465</v>
      </c>
      <c r="B2190">
        <v>2011</v>
      </c>
      <c r="C2190" t="s">
        <v>320</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465</v>
      </c>
      <c r="B2191">
        <v>2010</v>
      </c>
      <c r="C2191" t="s">
        <v>320</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465</v>
      </c>
      <c r="B2192">
        <v>2009</v>
      </c>
      <c r="C2192" t="s">
        <v>320</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465</v>
      </c>
      <c r="B2193">
        <v>2008</v>
      </c>
      <c r="C2193" t="s">
        <v>320</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465</v>
      </c>
      <c r="B2194">
        <v>2007</v>
      </c>
      <c r="C2194" t="s">
        <v>320</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465</v>
      </c>
      <c r="B2195">
        <v>2006</v>
      </c>
      <c r="C2195" t="s">
        <v>320</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465</v>
      </c>
      <c r="B2196">
        <v>2005</v>
      </c>
      <c r="C2196" t="s">
        <v>320</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465</v>
      </c>
      <c r="B2197">
        <v>2004</v>
      </c>
      <c r="C2197" t="s">
        <v>320</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465</v>
      </c>
      <c r="B2198">
        <v>2003</v>
      </c>
      <c r="C2198" t="s">
        <v>320</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465</v>
      </c>
      <c r="B2199">
        <v>2002</v>
      </c>
      <c r="C2199" t="s">
        <v>320</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465</v>
      </c>
      <c r="B2200">
        <v>2001</v>
      </c>
      <c r="C2200" t="s">
        <v>320</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465</v>
      </c>
      <c r="B2201">
        <v>2000</v>
      </c>
      <c r="C2201" t="s">
        <v>320</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466</v>
      </c>
      <c r="B2202">
        <v>2015</v>
      </c>
      <c r="C2202" t="s">
        <v>320</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466</v>
      </c>
      <c r="B2203">
        <v>2014</v>
      </c>
      <c r="C2203" t="s">
        <v>320</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466</v>
      </c>
      <c r="B2204">
        <v>2013</v>
      </c>
      <c r="C2204" t="s">
        <v>320</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466</v>
      </c>
      <c r="B2205">
        <v>2012</v>
      </c>
      <c r="C2205" t="s">
        <v>320</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466</v>
      </c>
      <c r="B2206">
        <v>2011</v>
      </c>
      <c r="C2206" t="s">
        <v>320</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466</v>
      </c>
      <c r="B2207">
        <v>2010</v>
      </c>
      <c r="C2207" t="s">
        <v>320</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466</v>
      </c>
      <c r="B2208">
        <v>2009</v>
      </c>
      <c r="C2208" t="s">
        <v>320</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466</v>
      </c>
      <c r="B2209">
        <v>2008</v>
      </c>
      <c r="C2209" t="s">
        <v>320</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466</v>
      </c>
      <c r="B2210">
        <v>2007</v>
      </c>
      <c r="C2210" t="s">
        <v>320</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466</v>
      </c>
      <c r="B2211">
        <v>2006</v>
      </c>
      <c r="C2211" t="s">
        <v>320</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466</v>
      </c>
      <c r="B2212">
        <v>2005</v>
      </c>
      <c r="C2212" t="s">
        <v>320</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466</v>
      </c>
      <c r="B2213">
        <v>2004</v>
      </c>
      <c r="C2213" t="s">
        <v>320</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466</v>
      </c>
      <c r="B2214">
        <v>2003</v>
      </c>
      <c r="C2214" t="s">
        <v>320</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466</v>
      </c>
      <c r="B2215">
        <v>2002</v>
      </c>
      <c r="C2215" t="s">
        <v>320</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466</v>
      </c>
      <c r="B2216">
        <v>2001</v>
      </c>
      <c r="C2216" t="s">
        <v>320</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466</v>
      </c>
      <c r="B2217">
        <v>2000</v>
      </c>
      <c r="C2217" t="s">
        <v>320</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467</v>
      </c>
      <c r="B2218">
        <v>2013</v>
      </c>
      <c r="C2218" t="s">
        <v>320</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468</v>
      </c>
      <c r="B2219">
        <v>2015</v>
      </c>
      <c r="C2219" t="s">
        <v>320</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468</v>
      </c>
      <c r="B2220">
        <v>2014</v>
      </c>
      <c r="C2220" t="s">
        <v>320</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468</v>
      </c>
      <c r="B2221">
        <v>2013</v>
      </c>
      <c r="C2221" t="s">
        <v>320</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468</v>
      </c>
      <c r="B2222">
        <v>2012</v>
      </c>
      <c r="C2222" t="s">
        <v>320</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468</v>
      </c>
      <c r="B2223">
        <v>2011</v>
      </c>
      <c r="C2223" t="s">
        <v>320</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468</v>
      </c>
      <c r="B2224">
        <v>2010</v>
      </c>
      <c r="C2224" t="s">
        <v>320</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468</v>
      </c>
      <c r="B2225">
        <v>2009</v>
      </c>
      <c r="C2225" t="s">
        <v>320</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468</v>
      </c>
      <c r="B2226">
        <v>2008</v>
      </c>
      <c r="C2226" t="s">
        <v>320</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468</v>
      </c>
      <c r="B2227">
        <v>2007</v>
      </c>
      <c r="C2227" t="s">
        <v>320</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468</v>
      </c>
      <c r="B2228">
        <v>2006</v>
      </c>
      <c r="C2228" t="s">
        <v>320</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468</v>
      </c>
      <c r="B2229">
        <v>2005</v>
      </c>
      <c r="C2229" t="s">
        <v>320</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468</v>
      </c>
      <c r="B2230">
        <v>2004</v>
      </c>
      <c r="C2230" t="s">
        <v>320</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468</v>
      </c>
      <c r="B2231">
        <v>2003</v>
      </c>
      <c r="C2231" t="s">
        <v>320</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468</v>
      </c>
      <c r="B2232">
        <v>2002</v>
      </c>
      <c r="C2232" t="s">
        <v>320</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468</v>
      </c>
      <c r="B2233">
        <v>2001</v>
      </c>
      <c r="C2233" t="s">
        <v>320</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468</v>
      </c>
      <c r="B2234">
        <v>2000</v>
      </c>
      <c r="C2234" t="s">
        <v>320</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469</v>
      </c>
      <c r="B2235">
        <v>2015</v>
      </c>
      <c r="C2235" t="s">
        <v>320</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469</v>
      </c>
      <c r="B2236">
        <v>2014</v>
      </c>
      <c r="C2236" t="s">
        <v>320</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469</v>
      </c>
      <c r="B2237">
        <v>2013</v>
      </c>
      <c r="C2237" t="s">
        <v>320</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469</v>
      </c>
      <c r="B2238">
        <v>2012</v>
      </c>
      <c r="C2238" t="s">
        <v>320</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469</v>
      </c>
      <c r="B2239">
        <v>2011</v>
      </c>
      <c r="C2239" t="s">
        <v>320</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469</v>
      </c>
      <c r="B2240">
        <v>2010</v>
      </c>
      <c r="C2240" t="s">
        <v>320</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469</v>
      </c>
      <c r="B2241">
        <v>2009</v>
      </c>
      <c r="C2241" t="s">
        <v>320</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469</v>
      </c>
      <c r="B2242">
        <v>2008</v>
      </c>
      <c r="C2242" t="s">
        <v>320</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469</v>
      </c>
      <c r="B2243">
        <v>2007</v>
      </c>
      <c r="C2243" t="s">
        <v>320</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469</v>
      </c>
      <c r="B2244">
        <v>2006</v>
      </c>
      <c r="C2244" t="s">
        <v>320</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469</v>
      </c>
      <c r="B2245">
        <v>2005</v>
      </c>
      <c r="C2245" t="s">
        <v>320</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469</v>
      </c>
      <c r="B2246">
        <v>2004</v>
      </c>
      <c r="C2246" t="s">
        <v>320</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469</v>
      </c>
      <c r="B2247">
        <v>2003</v>
      </c>
      <c r="C2247" t="s">
        <v>320</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469</v>
      </c>
      <c r="B2248">
        <v>2002</v>
      </c>
      <c r="C2248" t="s">
        <v>320</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469</v>
      </c>
      <c r="B2249">
        <v>2001</v>
      </c>
      <c r="C2249" t="s">
        <v>320</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469</v>
      </c>
      <c r="B2250">
        <v>2000</v>
      </c>
      <c r="C2250" t="s">
        <v>320</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470</v>
      </c>
      <c r="B2251">
        <v>2015</v>
      </c>
      <c r="C2251" t="s">
        <v>320</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470</v>
      </c>
      <c r="B2252">
        <v>2014</v>
      </c>
      <c r="C2252" t="s">
        <v>320</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470</v>
      </c>
      <c r="B2253">
        <v>2013</v>
      </c>
      <c r="C2253" t="s">
        <v>320</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470</v>
      </c>
      <c r="B2254">
        <v>2012</v>
      </c>
      <c r="C2254" t="s">
        <v>320</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470</v>
      </c>
      <c r="B2255">
        <v>2011</v>
      </c>
      <c r="C2255" t="s">
        <v>320</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470</v>
      </c>
      <c r="B2256">
        <v>2010</v>
      </c>
      <c r="C2256" t="s">
        <v>320</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470</v>
      </c>
      <c r="B2257">
        <v>2009</v>
      </c>
      <c r="C2257" t="s">
        <v>320</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470</v>
      </c>
      <c r="B2258">
        <v>2008</v>
      </c>
      <c r="C2258" t="s">
        <v>320</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470</v>
      </c>
      <c r="B2259">
        <v>2007</v>
      </c>
      <c r="C2259" t="s">
        <v>320</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470</v>
      </c>
      <c r="B2260">
        <v>2006</v>
      </c>
      <c r="C2260" t="s">
        <v>320</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470</v>
      </c>
      <c r="B2261">
        <v>2005</v>
      </c>
      <c r="C2261" t="s">
        <v>320</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470</v>
      </c>
      <c r="B2262">
        <v>2004</v>
      </c>
      <c r="C2262" t="s">
        <v>320</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470</v>
      </c>
      <c r="B2263">
        <v>2003</v>
      </c>
      <c r="C2263" t="s">
        <v>320</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470</v>
      </c>
      <c r="B2264">
        <v>2002</v>
      </c>
      <c r="C2264" t="s">
        <v>320</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470</v>
      </c>
      <c r="B2265">
        <v>2001</v>
      </c>
      <c r="C2265" t="s">
        <v>320</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470</v>
      </c>
      <c r="B2266">
        <v>2000</v>
      </c>
      <c r="C2266" t="s">
        <v>320</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471</v>
      </c>
      <c r="B2267">
        <v>2015</v>
      </c>
      <c r="C2267" t="s">
        <v>320</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471</v>
      </c>
      <c r="B2268">
        <v>2014</v>
      </c>
      <c r="C2268" t="s">
        <v>320</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471</v>
      </c>
      <c r="B2269">
        <v>2013</v>
      </c>
      <c r="C2269" t="s">
        <v>320</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471</v>
      </c>
      <c r="B2270">
        <v>2012</v>
      </c>
      <c r="C2270" t="s">
        <v>320</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471</v>
      </c>
      <c r="B2271">
        <v>2011</v>
      </c>
      <c r="C2271" t="s">
        <v>320</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471</v>
      </c>
      <c r="B2272">
        <v>2010</v>
      </c>
      <c r="C2272" t="s">
        <v>320</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471</v>
      </c>
      <c r="B2273">
        <v>2009</v>
      </c>
      <c r="C2273" t="s">
        <v>320</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471</v>
      </c>
      <c r="B2274">
        <v>2008</v>
      </c>
      <c r="C2274" t="s">
        <v>320</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471</v>
      </c>
      <c r="B2275">
        <v>2007</v>
      </c>
      <c r="C2275" t="s">
        <v>320</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471</v>
      </c>
      <c r="B2276">
        <v>2006</v>
      </c>
      <c r="C2276" t="s">
        <v>320</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471</v>
      </c>
      <c r="B2277">
        <v>2005</v>
      </c>
      <c r="C2277" t="s">
        <v>320</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471</v>
      </c>
      <c r="B2278">
        <v>2004</v>
      </c>
      <c r="C2278" t="s">
        <v>320</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471</v>
      </c>
      <c r="B2279">
        <v>2003</v>
      </c>
      <c r="C2279" t="s">
        <v>320</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471</v>
      </c>
      <c r="B2280">
        <v>2002</v>
      </c>
      <c r="C2280" t="s">
        <v>320</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471</v>
      </c>
      <c r="B2281">
        <v>2001</v>
      </c>
      <c r="C2281" t="s">
        <v>320</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471</v>
      </c>
      <c r="B2282">
        <v>2000</v>
      </c>
      <c r="C2282" t="s">
        <v>320</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472</v>
      </c>
      <c r="B2283">
        <v>2015</v>
      </c>
      <c r="C2283" t="s">
        <v>320</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472</v>
      </c>
      <c r="B2284">
        <v>2014</v>
      </c>
      <c r="C2284" t="s">
        <v>320</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472</v>
      </c>
      <c r="B2285">
        <v>2013</v>
      </c>
      <c r="C2285" t="s">
        <v>320</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472</v>
      </c>
      <c r="B2286">
        <v>2012</v>
      </c>
      <c r="C2286" t="s">
        <v>320</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472</v>
      </c>
      <c r="B2287">
        <v>2011</v>
      </c>
      <c r="C2287" t="s">
        <v>320</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472</v>
      </c>
      <c r="B2288">
        <v>2010</v>
      </c>
      <c r="C2288" t="s">
        <v>320</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472</v>
      </c>
      <c r="B2289">
        <v>2009</v>
      </c>
      <c r="C2289" t="s">
        <v>320</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472</v>
      </c>
      <c r="B2290">
        <v>2008</v>
      </c>
      <c r="C2290" t="s">
        <v>320</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472</v>
      </c>
      <c r="B2291">
        <v>2007</v>
      </c>
      <c r="C2291" t="s">
        <v>320</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472</v>
      </c>
      <c r="B2292">
        <v>2006</v>
      </c>
      <c r="C2292" t="s">
        <v>320</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472</v>
      </c>
      <c r="B2293">
        <v>2005</v>
      </c>
      <c r="C2293" t="s">
        <v>320</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472</v>
      </c>
      <c r="B2294">
        <v>2004</v>
      </c>
      <c r="C2294" t="s">
        <v>320</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472</v>
      </c>
      <c r="B2295">
        <v>2003</v>
      </c>
      <c r="C2295" t="s">
        <v>320</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472</v>
      </c>
      <c r="B2296">
        <v>2002</v>
      </c>
      <c r="C2296" t="s">
        <v>320</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472</v>
      </c>
      <c r="B2297">
        <v>2001</v>
      </c>
      <c r="C2297" t="s">
        <v>320</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472</v>
      </c>
      <c r="B2298">
        <v>2000</v>
      </c>
      <c r="C2298" t="s">
        <v>320</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473</v>
      </c>
      <c r="B2299">
        <v>2015</v>
      </c>
      <c r="C2299" t="s">
        <v>320</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473</v>
      </c>
      <c r="B2300">
        <v>2014</v>
      </c>
      <c r="C2300" t="s">
        <v>320</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473</v>
      </c>
      <c r="B2301">
        <v>2013</v>
      </c>
      <c r="C2301" t="s">
        <v>320</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473</v>
      </c>
      <c r="B2302">
        <v>2012</v>
      </c>
      <c r="C2302" t="s">
        <v>320</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473</v>
      </c>
      <c r="B2303">
        <v>2011</v>
      </c>
      <c r="C2303" t="s">
        <v>320</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473</v>
      </c>
      <c r="B2304">
        <v>2010</v>
      </c>
      <c r="C2304" t="s">
        <v>320</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473</v>
      </c>
      <c r="B2305">
        <v>2009</v>
      </c>
      <c r="C2305" t="s">
        <v>320</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473</v>
      </c>
      <c r="B2306">
        <v>2008</v>
      </c>
      <c r="C2306" t="s">
        <v>320</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473</v>
      </c>
      <c r="B2307">
        <v>2007</v>
      </c>
      <c r="C2307" t="s">
        <v>320</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473</v>
      </c>
      <c r="B2308">
        <v>2006</v>
      </c>
      <c r="C2308" t="s">
        <v>320</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473</v>
      </c>
      <c r="B2309">
        <v>2005</v>
      </c>
      <c r="C2309" t="s">
        <v>320</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473</v>
      </c>
      <c r="B2310">
        <v>2004</v>
      </c>
      <c r="C2310" t="s">
        <v>320</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473</v>
      </c>
      <c r="B2311">
        <v>2003</v>
      </c>
      <c r="C2311" t="s">
        <v>320</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473</v>
      </c>
      <c r="B2312">
        <v>2002</v>
      </c>
      <c r="C2312" t="s">
        <v>320</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473</v>
      </c>
      <c r="B2313">
        <v>2001</v>
      </c>
      <c r="C2313" t="s">
        <v>320</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473</v>
      </c>
      <c r="B2314">
        <v>2000</v>
      </c>
      <c r="C2314" t="s">
        <v>320</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474</v>
      </c>
      <c r="B2315">
        <v>2015</v>
      </c>
      <c r="C2315" t="s">
        <v>328</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474</v>
      </c>
      <c r="B2316">
        <v>2014</v>
      </c>
      <c r="C2316" t="s">
        <v>328</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474</v>
      </c>
      <c r="B2317">
        <v>2013</v>
      </c>
      <c r="C2317" t="s">
        <v>328</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474</v>
      </c>
      <c r="B2318">
        <v>2012</v>
      </c>
      <c r="C2318" t="s">
        <v>328</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474</v>
      </c>
      <c r="B2319">
        <v>2011</v>
      </c>
      <c r="C2319" t="s">
        <v>328</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474</v>
      </c>
      <c r="B2320">
        <v>2010</v>
      </c>
      <c r="C2320" t="s">
        <v>328</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474</v>
      </c>
      <c r="B2321">
        <v>2009</v>
      </c>
      <c r="C2321" t="s">
        <v>328</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474</v>
      </c>
      <c r="B2322">
        <v>2008</v>
      </c>
      <c r="C2322" t="s">
        <v>328</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474</v>
      </c>
      <c r="B2323">
        <v>2007</v>
      </c>
      <c r="C2323" t="s">
        <v>328</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474</v>
      </c>
      <c r="B2324">
        <v>2006</v>
      </c>
      <c r="C2324" t="s">
        <v>328</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474</v>
      </c>
      <c r="B2325">
        <v>2005</v>
      </c>
      <c r="C2325" t="s">
        <v>328</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474</v>
      </c>
      <c r="B2326">
        <v>2004</v>
      </c>
      <c r="C2326" t="s">
        <v>328</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474</v>
      </c>
      <c r="B2327">
        <v>2003</v>
      </c>
      <c r="C2327" t="s">
        <v>328</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474</v>
      </c>
      <c r="B2328">
        <v>2002</v>
      </c>
      <c r="C2328" t="s">
        <v>328</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474</v>
      </c>
      <c r="B2329">
        <v>2001</v>
      </c>
      <c r="C2329" t="s">
        <v>328</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474</v>
      </c>
      <c r="B2330">
        <v>2000</v>
      </c>
      <c r="C2330" t="s">
        <v>328</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475</v>
      </c>
      <c r="B2331">
        <v>2015</v>
      </c>
      <c r="C2331" t="s">
        <v>328</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475</v>
      </c>
      <c r="B2332">
        <v>2014</v>
      </c>
      <c r="C2332" t="s">
        <v>328</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475</v>
      </c>
      <c r="B2333">
        <v>2013</v>
      </c>
      <c r="C2333" t="s">
        <v>328</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475</v>
      </c>
      <c r="B2334">
        <v>2012</v>
      </c>
      <c r="C2334" t="s">
        <v>328</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475</v>
      </c>
      <c r="B2335">
        <v>2011</v>
      </c>
      <c r="C2335" t="s">
        <v>328</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475</v>
      </c>
      <c r="B2336">
        <v>2010</v>
      </c>
      <c r="C2336" t="s">
        <v>328</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475</v>
      </c>
      <c r="B2337">
        <v>2009</v>
      </c>
      <c r="C2337" t="s">
        <v>328</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475</v>
      </c>
      <c r="B2338">
        <v>2008</v>
      </c>
      <c r="C2338" t="s">
        <v>328</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475</v>
      </c>
      <c r="B2339">
        <v>2007</v>
      </c>
      <c r="C2339" t="s">
        <v>328</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475</v>
      </c>
      <c r="B2340">
        <v>2006</v>
      </c>
      <c r="C2340" t="s">
        <v>328</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475</v>
      </c>
      <c r="B2341">
        <v>2005</v>
      </c>
      <c r="C2341" t="s">
        <v>328</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475</v>
      </c>
      <c r="B2342">
        <v>2004</v>
      </c>
      <c r="C2342" t="s">
        <v>328</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475</v>
      </c>
      <c r="B2343">
        <v>2003</v>
      </c>
      <c r="C2343" t="s">
        <v>328</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475</v>
      </c>
      <c r="B2344">
        <v>2002</v>
      </c>
      <c r="C2344" t="s">
        <v>328</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475</v>
      </c>
      <c r="B2345">
        <v>2001</v>
      </c>
      <c r="C2345" t="s">
        <v>328</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475</v>
      </c>
      <c r="B2346">
        <v>2000</v>
      </c>
      <c r="C2346" t="s">
        <v>328</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476</v>
      </c>
      <c r="B2347">
        <v>2015</v>
      </c>
      <c r="C2347" t="s">
        <v>328</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476</v>
      </c>
      <c r="B2348">
        <v>2014</v>
      </c>
      <c r="C2348" t="s">
        <v>328</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476</v>
      </c>
      <c r="B2349">
        <v>2013</v>
      </c>
      <c r="C2349" t="s">
        <v>328</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476</v>
      </c>
      <c r="B2350">
        <v>2012</v>
      </c>
      <c r="C2350" t="s">
        <v>328</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476</v>
      </c>
      <c r="B2351">
        <v>2011</v>
      </c>
      <c r="C2351" t="s">
        <v>328</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476</v>
      </c>
      <c r="B2352">
        <v>2010</v>
      </c>
      <c r="C2352" t="s">
        <v>328</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476</v>
      </c>
      <c r="B2353">
        <v>2009</v>
      </c>
      <c r="C2353" t="s">
        <v>328</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476</v>
      </c>
      <c r="B2354">
        <v>2008</v>
      </c>
      <c r="C2354" t="s">
        <v>328</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476</v>
      </c>
      <c r="B2355">
        <v>2007</v>
      </c>
      <c r="C2355" t="s">
        <v>328</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476</v>
      </c>
      <c r="B2356">
        <v>2006</v>
      </c>
      <c r="C2356" t="s">
        <v>328</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476</v>
      </c>
      <c r="B2357">
        <v>2005</v>
      </c>
      <c r="C2357" t="s">
        <v>328</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476</v>
      </c>
      <c r="B2358">
        <v>2004</v>
      </c>
      <c r="C2358" t="s">
        <v>328</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476</v>
      </c>
      <c r="B2359">
        <v>2003</v>
      </c>
      <c r="C2359" t="s">
        <v>328</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476</v>
      </c>
      <c r="B2360">
        <v>2002</v>
      </c>
      <c r="C2360" t="s">
        <v>328</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476</v>
      </c>
      <c r="B2361">
        <v>2001</v>
      </c>
      <c r="C2361" t="s">
        <v>328</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476</v>
      </c>
      <c r="B2362">
        <v>2000</v>
      </c>
      <c r="C2362" t="s">
        <v>328</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477</v>
      </c>
      <c r="B2363">
        <v>2015</v>
      </c>
      <c r="C2363" t="s">
        <v>320</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477</v>
      </c>
      <c r="B2364">
        <v>2014</v>
      </c>
      <c r="C2364" t="s">
        <v>320</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477</v>
      </c>
      <c r="B2365">
        <v>2013</v>
      </c>
      <c r="C2365" t="s">
        <v>320</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477</v>
      </c>
      <c r="B2366">
        <v>2012</v>
      </c>
      <c r="C2366" t="s">
        <v>320</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477</v>
      </c>
      <c r="B2367">
        <v>2011</v>
      </c>
      <c r="C2367" t="s">
        <v>320</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477</v>
      </c>
      <c r="B2368">
        <v>2010</v>
      </c>
      <c r="C2368" t="s">
        <v>320</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477</v>
      </c>
      <c r="B2369">
        <v>2009</v>
      </c>
      <c r="C2369" t="s">
        <v>320</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477</v>
      </c>
      <c r="B2370">
        <v>2008</v>
      </c>
      <c r="C2370" t="s">
        <v>320</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477</v>
      </c>
      <c r="B2371">
        <v>2007</v>
      </c>
      <c r="C2371" t="s">
        <v>320</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477</v>
      </c>
      <c r="B2372">
        <v>2006</v>
      </c>
      <c r="C2372" t="s">
        <v>320</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477</v>
      </c>
      <c r="B2373">
        <v>2005</v>
      </c>
      <c r="C2373" t="s">
        <v>320</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477</v>
      </c>
      <c r="B2374">
        <v>2004</v>
      </c>
      <c r="C2374" t="s">
        <v>320</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477</v>
      </c>
      <c r="B2375">
        <v>2003</v>
      </c>
      <c r="C2375" t="s">
        <v>320</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477</v>
      </c>
      <c r="B2376">
        <v>2002</v>
      </c>
      <c r="C2376" t="s">
        <v>320</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477</v>
      </c>
      <c r="B2377">
        <v>2001</v>
      </c>
      <c r="C2377" t="s">
        <v>320</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477</v>
      </c>
      <c r="B2378">
        <v>2000</v>
      </c>
      <c r="C2378" t="s">
        <v>320</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478</v>
      </c>
      <c r="B2379">
        <v>2015</v>
      </c>
      <c r="C2379" t="s">
        <v>320</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478</v>
      </c>
      <c r="B2380">
        <v>2014</v>
      </c>
      <c r="C2380" t="s">
        <v>320</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478</v>
      </c>
      <c r="B2381">
        <v>2013</v>
      </c>
      <c r="C2381" t="s">
        <v>320</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478</v>
      </c>
      <c r="B2382">
        <v>2012</v>
      </c>
      <c r="C2382" t="s">
        <v>320</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478</v>
      </c>
      <c r="B2383">
        <v>2011</v>
      </c>
      <c r="C2383" t="s">
        <v>320</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478</v>
      </c>
      <c r="B2384">
        <v>2010</v>
      </c>
      <c r="C2384" t="s">
        <v>320</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478</v>
      </c>
      <c r="B2385">
        <v>2009</v>
      </c>
      <c r="C2385" t="s">
        <v>320</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478</v>
      </c>
      <c r="B2386">
        <v>2008</v>
      </c>
      <c r="C2386" t="s">
        <v>320</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478</v>
      </c>
      <c r="B2387">
        <v>2007</v>
      </c>
      <c r="C2387" t="s">
        <v>320</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478</v>
      </c>
      <c r="B2388">
        <v>2006</v>
      </c>
      <c r="C2388" t="s">
        <v>320</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478</v>
      </c>
      <c r="B2389">
        <v>2005</v>
      </c>
      <c r="C2389" t="s">
        <v>320</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478</v>
      </c>
      <c r="B2390">
        <v>2004</v>
      </c>
      <c r="C2390" t="s">
        <v>320</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478</v>
      </c>
      <c r="B2391">
        <v>2003</v>
      </c>
      <c r="C2391" t="s">
        <v>320</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478</v>
      </c>
      <c r="B2392">
        <v>2002</v>
      </c>
      <c r="C2392" t="s">
        <v>320</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478</v>
      </c>
      <c r="B2393">
        <v>2001</v>
      </c>
      <c r="C2393" t="s">
        <v>320</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478</v>
      </c>
      <c r="B2394">
        <v>2000</v>
      </c>
      <c r="C2394" t="s">
        <v>320</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479</v>
      </c>
      <c r="B2395">
        <v>2015</v>
      </c>
      <c r="C2395" t="s">
        <v>320</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479</v>
      </c>
      <c r="B2396">
        <v>2014</v>
      </c>
      <c r="C2396" t="s">
        <v>320</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479</v>
      </c>
      <c r="B2397">
        <v>2013</v>
      </c>
      <c r="C2397" t="s">
        <v>320</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479</v>
      </c>
      <c r="B2398">
        <v>2012</v>
      </c>
      <c r="C2398" t="s">
        <v>320</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479</v>
      </c>
      <c r="B2399">
        <v>2011</v>
      </c>
      <c r="C2399" t="s">
        <v>320</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479</v>
      </c>
      <c r="B2400">
        <v>2010</v>
      </c>
      <c r="C2400" t="s">
        <v>320</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479</v>
      </c>
      <c r="B2401">
        <v>2009</v>
      </c>
      <c r="C2401" t="s">
        <v>320</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479</v>
      </c>
      <c r="B2402">
        <v>2008</v>
      </c>
      <c r="C2402" t="s">
        <v>320</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479</v>
      </c>
      <c r="B2403">
        <v>2007</v>
      </c>
      <c r="C2403" t="s">
        <v>320</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479</v>
      </c>
      <c r="B2404">
        <v>2006</v>
      </c>
      <c r="C2404" t="s">
        <v>320</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479</v>
      </c>
      <c r="B2405">
        <v>2005</v>
      </c>
      <c r="C2405" t="s">
        <v>320</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479</v>
      </c>
      <c r="B2406">
        <v>2004</v>
      </c>
      <c r="C2406" t="s">
        <v>320</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479</v>
      </c>
      <c r="B2407">
        <v>2003</v>
      </c>
      <c r="C2407" t="s">
        <v>320</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479</v>
      </c>
      <c r="B2408">
        <v>2002</v>
      </c>
      <c r="C2408" t="s">
        <v>320</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479</v>
      </c>
      <c r="B2409">
        <v>2001</v>
      </c>
      <c r="C2409" t="s">
        <v>320</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479</v>
      </c>
      <c r="B2410">
        <v>2000</v>
      </c>
      <c r="C2410" t="s">
        <v>320</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480</v>
      </c>
      <c r="B2411">
        <v>2015</v>
      </c>
      <c r="C2411" t="s">
        <v>320</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480</v>
      </c>
      <c r="B2412">
        <v>2014</v>
      </c>
      <c r="C2412" t="s">
        <v>320</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480</v>
      </c>
      <c r="B2413">
        <v>2013</v>
      </c>
      <c r="C2413" t="s">
        <v>320</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480</v>
      </c>
      <c r="B2414">
        <v>2012</v>
      </c>
      <c r="C2414" t="s">
        <v>320</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480</v>
      </c>
      <c r="B2415">
        <v>2011</v>
      </c>
      <c r="C2415" t="s">
        <v>320</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480</v>
      </c>
      <c r="B2416">
        <v>2010</v>
      </c>
      <c r="C2416" t="s">
        <v>320</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480</v>
      </c>
      <c r="B2417">
        <v>2009</v>
      </c>
      <c r="C2417" t="s">
        <v>320</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480</v>
      </c>
      <c r="B2418">
        <v>2008</v>
      </c>
      <c r="C2418" t="s">
        <v>320</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480</v>
      </c>
      <c r="B2419">
        <v>2007</v>
      </c>
      <c r="C2419" t="s">
        <v>320</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480</v>
      </c>
      <c r="B2420">
        <v>2006</v>
      </c>
      <c r="C2420" t="s">
        <v>320</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480</v>
      </c>
      <c r="B2421">
        <v>2005</v>
      </c>
      <c r="C2421" t="s">
        <v>320</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480</v>
      </c>
      <c r="B2422">
        <v>2004</v>
      </c>
      <c r="C2422" t="s">
        <v>320</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480</v>
      </c>
      <c r="B2423">
        <v>2003</v>
      </c>
      <c r="C2423" t="s">
        <v>320</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480</v>
      </c>
      <c r="B2424">
        <v>2002</v>
      </c>
      <c r="C2424" t="s">
        <v>320</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480</v>
      </c>
      <c r="B2425">
        <v>2001</v>
      </c>
      <c r="C2425" t="s">
        <v>320</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480</v>
      </c>
      <c r="B2426">
        <v>2000</v>
      </c>
      <c r="C2426" t="s">
        <v>320</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481</v>
      </c>
      <c r="B2427">
        <v>2015</v>
      </c>
      <c r="C2427" t="s">
        <v>328</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481</v>
      </c>
      <c r="B2428">
        <v>2014</v>
      </c>
      <c r="C2428" t="s">
        <v>328</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481</v>
      </c>
      <c r="B2429">
        <v>2013</v>
      </c>
      <c r="C2429" t="s">
        <v>328</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481</v>
      </c>
      <c r="B2430">
        <v>2012</v>
      </c>
      <c r="C2430" t="s">
        <v>328</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481</v>
      </c>
      <c r="B2431">
        <v>2011</v>
      </c>
      <c r="C2431" t="s">
        <v>328</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481</v>
      </c>
      <c r="B2432">
        <v>2010</v>
      </c>
      <c r="C2432" t="s">
        <v>328</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481</v>
      </c>
      <c r="B2433">
        <v>2009</v>
      </c>
      <c r="C2433" t="s">
        <v>328</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481</v>
      </c>
      <c r="B2434">
        <v>2008</v>
      </c>
      <c r="C2434" t="s">
        <v>328</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481</v>
      </c>
      <c r="B2435">
        <v>2007</v>
      </c>
      <c r="C2435" t="s">
        <v>328</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481</v>
      </c>
      <c r="B2436">
        <v>2006</v>
      </c>
      <c r="C2436" t="s">
        <v>328</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481</v>
      </c>
      <c r="B2437">
        <v>2005</v>
      </c>
      <c r="C2437" t="s">
        <v>328</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481</v>
      </c>
      <c r="B2438">
        <v>2004</v>
      </c>
      <c r="C2438" t="s">
        <v>328</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481</v>
      </c>
      <c r="B2439">
        <v>2003</v>
      </c>
      <c r="C2439" t="s">
        <v>328</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481</v>
      </c>
      <c r="B2440">
        <v>2002</v>
      </c>
      <c r="C2440" t="s">
        <v>328</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481</v>
      </c>
      <c r="B2441">
        <v>2001</v>
      </c>
      <c r="C2441" t="s">
        <v>328</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481</v>
      </c>
      <c r="B2442">
        <v>2000</v>
      </c>
      <c r="C2442" t="s">
        <v>328</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482</v>
      </c>
      <c r="B2443">
        <v>2015</v>
      </c>
      <c r="C2443" t="s">
        <v>320</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482</v>
      </c>
      <c r="B2444">
        <v>2014</v>
      </c>
      <c r="C2444" t="s">
        <v>320</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482</v>
      </c>
      <c r="B2445">
        <v>2013</v>
      </c>
      <c r="C2445" t="s">
        <v>320</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482</v>
      </c>
      <c r="B2446">
        <v>2012</v>
      </c>
      <c r="C2446" t="s">
        <v>320</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482</v>
      </c>
      <c r="B2447">
        <v>2011</v>
      </c>
      <c r="C2447" t="s">
        <v>320</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482</v>
      </c>
      <c r="B2448">
        <v>2010</v>
      </c>
      <c r="C2448" t="s">
        <v>320</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482</v>
      </c>
      <c r="B2449">
        <v>2009</v>
      </c>
      <c r="C2449" t="s">
        <v>320</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482</v>
      </c>
      <c r="B2450">
        <v>2008</v>
      </c>
      <c r="C2450" t="s">
        <v>320</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482</v>
      </c>
      <c r="B2451">
        <v>2007</v>
      </c>
      <c r="C2451" t="s">
        <v>320</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482</v>
      </c>
      <c r="B2452">
        <v>2006</v>
      </c>
      <c r="C2452" t="s">
        <v>320</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482</v>
      </c>
      <c r="B2453">
        <v>2005</v>
      </c>
      <c r="C2453" t="s">
        <v>320</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482</v>
      </c>
      <c r="B2454">
        <v>2004</v>
      </c>
      <c r="C2454" t="s">
        <v>320</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482</v>
      </c>
      <c r="B2455">
        <v>2003</v>
      </c>
      <c r="C2455" t="s">
        <v>320</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482</v>
      </c>
      <c r="B2456">
        <v>2002</v>
      </c>
      <c r="C2456" t="s">
        <v>320</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482</v>
      </c>
      <c r="B2457">
        <v>2001</v>
      </c>
      <c r="C2457" t="s">
        <v>320</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482</v>
      </c>
      <c r="B2458">
        <v>2000</v>
      </c>
      <c r="C2458" t="s">
        <v>320</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483</v>
      </c>
      <c r="B2459">
        <v>2015</v>
      </c>
      <c r="C2459" t="s">
        <v>320</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483</v>
      </c>
      <c r="B2460">
        <v>2014</v>
      </c>
      <c r="C2460" t="s">
        <v>320</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483</v>
      </c>
      <c r="B2461">
        <v>2013</v>
      </c>
      <c r="C2461" t="s">
        <v>320</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483</v>
      </c>
      <c r="B2462">
        <v>2012</v>
      </c>
      <c r="C2462" t="s">
        <v>320</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483</v>
      </c>
      <c r="B2463">
        <v>2011</v>
      </c>
      <c r="C2463" t="s">
        <v>320</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483</v>
      </c>
      <c r="B2464">
        <v>2010</v>
      </c>
      <c r="C2464" t="s">
        <v>320</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483</v>
      </c>
      <c r="B2465">
        <v>2009</v>
      </c>
      <c r="C2465" t="s">
        <v>320</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483</v>
      </c>
      <c r="B2466">
        <v>2008</v>
      </c>
      <c r="C2466" t="s">
        <v>320</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483</v>
      </c>
      <c r="B2467">
        <v>2007</v>
      </c>
      <c r="C2467" t="s">
        <v>320</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483</v>
      </c>
      <c r="B2468">
        <v>2006</v>
      </c>
      <c r="C2468" t="s">
        <v>320</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483</v>
      </c>
      <c r="B2469">
        <v>2005</v>
      </c>
      <c r="C2469" t="s">
        <v>320</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483</v>
      </c>
      <c r="B2470">
        <v>2004</v>
      </c>
      <c r="C2470" t="s">
        <v>320</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483</v>
      </c>
      <c r="B2471">
        <v>2003</v>
      </c>
      <c r="C2471" t="s">
        <v>320</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483</v>
      </c>
      <c r="B2472">
        <v>2002</v>
      </c>
      <c r="C2472" t="s">
        <v>320</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483</v>
      </c>
      <c r="B2473">
        <v>2001</v>
      </c>
      <c r="C2473" t="s">
        <v>320</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483</v>
      </c>
      <c r="B2474">
        <v>2000</v>
      </c>
      <c r="C2474" t="s">
        <v>320</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484</v>
      </c>
      <c r="B2475">
        <v>2015</v>
      </c>
      <c r="C2475" t="s">
        <v>320</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484</v>
      </c>
      <c r="B2476">
        <v>2014</v>
      </c>
      <c r="C2476" t="s">
        <v>320</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484</v>
      </c>
      <c r="B2477">
        <v>2013</v>
      </c>
      <c r="C2477" t="s">
        <v>320</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484</v>
      </c>
      <c r="B2478">
        <v>2012</v>
      </c>
      <c r="C2478" t="s">
        <v>320</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484</v>
      </c>
      <c r="B2479">
        <v>2011</v>
      </c>
      <c r="C2479" t="s">
        <v>320</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484</v>
      </c>
      <c r="B2480">
        <v>2010</v>
      </c>
      <c r="C2480" t="s">
        <v>320</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484</v>
      </c>
      <c r="B2481">
        <v>2009</v>
      </c>
      <c r="C2481" t="s">
        <v>320</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484</v>
      </c>
      <c r="B2482">
        <v>2008</v>
      </c>
      <c r="C2482" t="s">
        <v>320</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484</v>
      </c>
      <c r="B2483">
        <v>2007</v>
      </c>
      <c r="C2483" t="s">
        <v>320</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484</v>
      </c>
      <c r="B2484">
        <v>2006</v>
      </c>
      <c r="C2484" t="s">
        <v>320</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484</v>
      </c>
      <c r="B2485">
        <v>2005</v>
      </c>
      <c r="C2485" t="s">
        <v>320</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484</v>
      </c>
      <c r="B2486">
        <v>2004</v>
      </c>
      <c r="C2486" t="s">
        <v>320</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484</v>
      </c>
      <c r="B2487">
        <v>2003</v>
      </c>
      <c r="C2487" t="s">
        <v>320</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484</v>
      </c>
      <c r="B2488">
        <v>2002</v>
      </c>
      <c r="C2488" t="s">
        <v>320</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484</v>
      </c>
      <c r="B2489">
        <v>2001</v>
      </c>
      <c r="C2489" t="s">
        <v>320</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484</v>
      </c>
      <c r="B2490">
        <v>2000</v>
      </c>
      <c r="C2490" t="s">
        <v>320</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485</v>
      </c>
      <c r="B2491">
        <v>2015</v>
      </c>
      <c r="C2491" t="s">
        <v>320</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485</v>
      </c>
      <c r="B2492">
        <v>2014</v>
      </c>
      <c r="C2492" t="s">
        <v>320</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485</v>
      </c>
      <c r="B2493">
        <v>2013</v>
      </c>
      <c r="C2493" t="s">
        <v>320</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485</v>
      </c>
      <c r="B2494">
        <v>2012</v>
      </c>
      <c r="C2494" t="s">
        <v>320</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485</v>
      </c>
      <c r="B2495">
        <v>2011</v>
      </c>
      <c r="C2495" t="s">
        <v>320</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485</v>
      </c>
      <c r="B2496">
        <v>2010</v>
      </c>
      <c r="C2496" t="s">
        <v>320</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485</v>
      </c>
      <c r="B2497">
        <v>2009</v>
      </c>
      <c r="C2497" t="s">
        <v>320</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485</v>
      </c>
      <c r="B2498">
        <v>2008</v>
      </c>
      <c r="C2498" t="s">
        <v>320</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485</v>
      </c>
      <c r="B2499">
        <v>2007</v>
      </c>
      <c r="C2499" t="s">
        <v>320</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485</v>
      </c>
      <c r="B2500">
        <v>2006</v>
      </c>
      <c r="C2500" t="s">
        <v>320</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485</v>
      </c>
      <c r="B2501">
        <v>2005</v>
      </c>
      <c r="C2501" t="s">
        <v>320</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485</v>
      </c>
      <c r="B2502">
        <v>2004</v>
      </c>
      <c r="C2502" t="s">
        <v>320</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485</v>
      </c>
      <c r="B2503">
        <v>2003</v>
      </c>
      <c r="C2503" t="s">
        <v>320</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485</v>
      </c>
      <c r="B2504">
        <v>2002</v>
      </c>
      <c r="C2504" t="s">
        <v>320</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485</v>
      </c>
      <c r="B2505">
        <v>2001</v>
      </c>
      <c r="C2505" t="s">
        <v>320</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485</v>
      </c>
      <c r="B2506">
        <v>2000</v>
      </c>
      <c r="C2506" t="s">
        <v>320</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486</v>
      </c>
      <c r="B2507">
        <v>2015</v>
      </c>
      <c r="C2507" t="s">
        <v>328</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486</v>
      </c>
      <c r="B2508">
        <v>2014</v>
      </c>
      <c r="C2508" t="s">
        <v>328</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486</v>
      </c>
      <c r="B2509">
        <v>2013</v>
      </c>
      <c r="C2509" t="s">
        <v>328</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486</v>
      </c>
      <c r="B2510">
        <v>2012</v>
      </c>
      <c r="C2510" t="s">
        <v>328</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486</v>
      </c>
      <c r="B2511">
        <v>2011</v>
      </c>
      <c r="C2511" t="s">
        <v>328</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486</v>
      </c>
      <c r="B2512">
        <v>2010</v>
      </c>
      <c r="C2512" t="s">
        <v>328</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486</v>
      </c>
      <c r="B2513">
        <v>2009</v>
      </c>
      <c r="C2513" t="s">
        <v>328</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486</v>
      </c>
      <c r="B2514">
        <v>2008</v>
      </c>
      <c r="C2514" t="s">
        <v>328</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486</v>
      </c>
      <c r="B2515">
        <v>2007</v>
      </c>
      <c r="C2515" t="s">
        <v>328</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486</v>
      </c>
      <c r="B2516">
        <v>2006</v>
      </c>
      <c r="C2516" t="s">
        <v>328</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486</v>
      </c>
      <c r="B2517">
        <v>2005</v>
      </c>
      <c r="C2517" t="s">
        <v>328</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486</v>
      </c>
      <c r="B2518">
        <v>2004</v>
      </c>
      <c r="C2518" t="s">
        <v>328</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486</v>
      </c>
      <c r="B2519">
        <v>2003</v>
      </c>
      <c r="C2519" t="s">
        <v>328</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486</v>
      </c>
      <c r="B2520">
        <v>2002</v>
      </c>
      <c r="C2520" t="s">
        <v>328</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486</v>
      </c>
      <c r="B2521">
        <v>2001</v>
      </c>
      <c r="C2521" t="s">
        <v>328</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486</v>
      </c>
      <c r="B2522">
        <v>2000</v>
      </c>
      <c r="C2522" t="s">
        <v>328</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487</v>
      </c>
      <c r="B2523">
        <v>2015</v>
      </c>
      <c r="C2523" t="s">
        <v>328</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487</v>
      </c>
      <c r="B2524">
        <v>2014</v>
      </c>
      <c r="C2524" t="s">
        <v>328</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487</v>
      </c>
      <c r="B2525">
        <v>2013</v>
      </c>
      <c r="C2525" t="s">
        <v>328</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487</v>
      </c>
      <c r="B2526">
        <v>2012</v>
      </c>
      <c r="C2526" t="s">
        <v>328</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487</v>
      </c>
      <c r="B2527">
        <v>2011</v>
      </c>
      <c r="C2527" t="s">
        <v>328</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487</v>
      </c>
      <c r="B2528">
        <v>2010</v>
      </c>
      <c r="C2528" t="s">
        <v>328</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487</v>
      </c>
      <c r="B2529">
        <v>2009</v>
      </c>
      <c r="C2529" t="s">
        <v>328</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487</v>
      </c>
      <c r="B2530">
        <v>2008</v>
      </c>
      <c r="C2530" t="s">
        <v>328</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487</v>
      </c>
      <c r="B2531">
        <v>2007</v>
      </c>
      <c r="C2531" t="s">
        <v>328</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487</v>
      </c>
      <c r="B2532">
        <v>2006</v>
      </c>
      <c r="C2532" t="s">
        <v>328</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487</v>
      </c>
      <c r="B2533">
        <v>2005</v>
      </c>
      <c r="C2533" t="s">
        <v>328</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487</v>
      </c>
      <c r="B2534">
        <v>2004</v>
      </c>
      <c r="C2534" t="s">
        <v>328</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487</v>
      </c>
      <c r="B2535">
        <v>2003</v>
      </c>
      <c r="C2535" t="s">
        <v>328</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487</v>
      </c>
      <c r="B2536">
        <v>2002</v>
      </c>
      <c r="C2536" t="s">
        <v>328</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487</v>
      </c>
      <c r="B2537">
        <v>2001</v>
      </c>
      <c r="C2537" t="s">
        <v>328</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487</v>
      </c>
      <c r="B2538">
        <v>2000</v>
      </c>
      <c r="C2538" t="s">
        <v>328</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488</v>
      </c>
      <c r="B2539">
        <v>2015</v>
      </c>
      <c r="C2539" t="s">
        <v>320</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488</v>
      </c>
      <c r="B2540">
        <v>2014</v>
      </c>
      <c r="C2540" t="s">
        <v>320</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488</v>
      </c>
      <c r="B2541">
        <v>2013</v>
      </c>
      <c r="C2541" t="s">
        <v>320</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488</v>
      </c>
      <c r="B2542">
        <v>2012</v>
      </c>
      <c r="C2542" t="s">
        <v>320</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488</v>
      </c>
      <c r="B2543">
        <v>2011</v>
      </c>
      <c r="C2543" t="s">
        <v>320</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488</v>
      </c>
      <c r="B2544">
        <v>2010</v>
      </c>
      <c r="C2544" t="s">
        <v>320</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488</v>
      </c>
      <c r="B2545">
        <v>2009</v>
      </c>
      <c r="C2545" t="s">
        <v>320</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488</v>
      </c>
      <c r="B2546">
        <v>2008</v>
      </c>
      <c r="C2546" t="s">
        <v>320</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488</v>
      </c>
      <c r="B2547">
        <v>2007</v>
      </c>
      <c r="C2547" t="s">
        <v>320</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488</v>
      </c>
      <c r="B2548">
        <v>2006</v>
      </c>
      <c r="C2548" t="s">
        <v>320</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488</v>
      </c>
      <c r="B2549">
        <v>2005</v>
      </c>
      <c r="C2549" t="s">
        <v>320</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488</v>
      </c>
      <c r="B2550">
        <v>2004</v>
      </c>
      <c r="C2550" t="s">
        <v>320</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488</v>
      </c>
      <c r="B2551">
        <v>2003</v>
      </c>
      <c r="C2551" t="s">
        <v>320</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488</v>
      </c>
      <c r="B2552">
        <v>2002</v>
      </c>
      <c r="C2552" t="s">
        <v>320</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488</v>
      </c>
      <c r="B2553">
        <v>2001</v>
      </c>
      <c r="C2553" t="s">
        <v>320</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488</v>
      </c>
      <c r="B2554">
        <v>2000</v>
      </c>
      <c r="C2554" t="s">
        <v>320</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489</v>
      </c>
      <c r="B2555">
        <v>2015</v>
      </c>
      <c r="C2555" t="s">
        <v>320</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489</v>
      </c>
      <c r="B2556">
        <v>2014</v>
      </c>
      <c r="C2556" t="s">
        <v>320</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489</v>
      </c>
      <c r="B2557">
        <v>2013</v>
      </c>
      <c r="C2557" t="s">
        <v>320</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489</v>
      </c>
      <c r="B2558">
        <v>2012</v>
      </c>
      <c r="C2558" t="s">
        <v>320</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489</v>
      </c>
      <c r="B2559">
        <v>2011</v>
      </c>
      <c r="C2559" t="s">
        <v>320</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489</v>
      </c>
      <c r="B2560">
        <v>2010</v>
      </c>
      <c r="C2560" t="s">
        <v>320</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489</v>
      </c>
      <c r="B2561">
        <v>2009</v>
      </c>
      <c r="C2561" t="s">
        <v>320</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489</v>
      </c>
      <c r="B2562">
        <v>2008</v>
      </c>
      <c r="C2562" t="s">
        <v>320</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489</v>
      </c>
      <c r="B2563">
        <v>2007</v>
      </c>
      <c r="C2563" t="s">
        <v>320</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489</v>
      </c>
      <c r="B2564">
        <v>2006</v>
      </c>
      <c r="C2564" t="s">
        <v>320</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489</v>
      </c>
      <c r="B2565">
        <v>2005</v>
      </c>
      <c r="C2565" t="s">
        <v>320</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489</v>
      </c>
      <c r="B2566">
        <v>2004</v>
      </c>
      <c r="C2566" t="s">
        <v>320</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489</v>
      </c>
      <c r="B2567">
        <v>2003</v>
      </c>
      <c r="C2567" t="s">
        <v>320</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489</v>
      </c>
      <c r="B2568">
        <v>2002</v>
      </c>
      <c r="C2568" t="s">
        <v>320</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489</v>
      </c>
      <c r="B2569">
        <v>2001</v>
      </c>
      <c r="C2569" t="s">
        <v>320</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489</v>
      </c>
      <c r="B2570">
        <v>2000</v>
      </c>
      <c r="C2570" t="s">
        <v>320</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490</v>
      </c>
      <c r="B2571">
        <v>2015</v>
      </c>
      <c r="C2571" t="s">
        <v>320</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490</v>
      </c>
      <c r="B2572">
        <v>2014</v>
      </c>
      <c r="C2572" t="s">
        <v>320</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490</v>
      </c>
      <c r="B2573">
        <v>2013</v>
      </c>
      <c r="C2573" t="s">
        <v>320</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490</v>
      </c>
      <c r="B2574">
        <v>2012</v>
      </c>
      <c r="C2574" t="s">
        <v>320</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490</v>
      </c>
      <c r="B2575">
        <v>2011</v>
      </c>
      <c r="C2575" t="s">
        <v>320</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490</v>
      </c>
      <c r="B2576">
        <v>2010</v>
      </c>
      <c r="C2576" t="s">
        <v>320</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490</v>
      </c>
      <c r="B2577">
        <v>2009</v>
      </c>
      <c r="C2577" t="s">
        <v>320</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490</v>
      </c>
      <c r="B2578">
        <v>2008</v>
      </c>
      <c r="C2578" t="s">
        <v>320</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490</v>
      </c>
      <c r="B2579">
        <v>2007</v>
      </c>
      <c r="C2579" t="s">
        <v>320</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490</v>
      </c>
      <c r="B2580">
        <v>2006</v>
      </c>
      <c r="C2580" t="s">
        <v>320</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490</v>
      </c>
      <c r="B2581">
        <v>2005</v>
      </c>
      <c r="C2581" t="s">
        <v>320</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490</v>
      </c>
      <c r="B2582">
        <v>2004</v>
      </c>
      <c r="C2582" t="s">
        <v>320</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490</v>
      </c>
      <c r="B2583">
        <v>2003</v>
      </c>
      <c r="C2583" t="s">
        <v>320</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490</v>
      </c>
      <c r="B2584">
        <v>2002</v>
      </c>
      <c r="C2584" t="s">
        <v>320</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490</v>
      </c>
      <c r="B2585">
        <v>2001</v>
      </c>
      <c r="C2585" t="s">
        <v>320</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490</v>
      </c>
      <c r="B2586">
        <v>2000</v>
      </c>
      <c r="C2586" t="s">
        <v>320</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491</v>
      </c>
      <c r="B2587">
        <v>2015</v>
      </c>
      <c r="C2587" t="s">
        <v>320</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491</v>
      </c>
      <c r="B2588">
        <v>2014</v>
      </c>
      <c r="C2588" t="s">
        <v>320</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491</v>
      </c>
      <c r="B2589">
        <v>2013</v>
      </c>
      <c r="C2589" t="s">
        <v>320</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491</v>
      </c>
      <c r="B2590">
        <v>2012</v>
      </c>
      <c r="C2590" t="s">
        <v>320</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491</v>
      </c>
      <c r="B2591">
        <v>2011</v>
      </c>
      <c r="C2591" t="s">
        <v>320</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491</v>
      </c>
      <c r="B2592">
        <v>2010</v>
      </c>
      <c r="C2592" t="s">
        <v>320</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491</v>
      </c>
      <c r="B2593">
        <v>2009</v>
      </c>
      <c r="C2593" t="s">
        <v>320</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491</v>
      </c>
      <c r="B2594">
        <v>2008</v>
      </c>
      <c r="C2594" t="s">
        <v>320</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491</v>
      </c>
      <c r="B2595">
        <v>2007</v>
      </c>
      <c r="C2595" t="s">
        <v>320</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491</v>
      </c>
      <c r="B2596">
        <v>2006</v>
      </c>
      <c r="C2596" t="s">
        <v>320</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491</v>
      </c>
      <c r="B2597">
        <v>2005</v>
      </c>
      <c r="C2597" t="s">
        <v>320</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491</v>
      </c>
      <c r="B2598">
        <v>2004</v>
      </c>
      <c r="C2598" t="s">
        <v>320</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491</v>
      </c>
      <c r="B2599">
        <v>2003</v>
      </c>
      <c r="C2599" t="s">
        <v>320</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491</v>
      </c>
      <c r="B2600">
        <v>2002</v>
      </c>
      <c r="C2600" t="s">
        <v>320</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491</v>
      </c>
      <c r="B2601">
        <v>2001</v>
      </c>
      <c r="C2601" t="s">
        <v>320</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491</v>
      </c>
      <c r="B2602">
        <v>2000</v>
      </c>
      <c r="C2602" t="s">
        <v>320</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492</v>
      </c>
      <c r="B2603">
        <v>2015</v>
      </c>
      <c r="C2603" t="s">
        <v>320</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492</v>
      </c>
      <c r="B2604">
        <v>2014</v>
      </c>
      <c r="C2604" t="s">
        <v>320</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492</v>
      </c>
      <c r="B2605">
        <v>2013</v>
      </c>
      <c r="C2605" t="s">
        <v>320</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492</v>
      </c>
      <c r="B2606">
        <v>2012</v>
      </c>
      <c r="C2606" t="s">
        <v>320</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492</v>
      </c>
      <c r="B2607">
        <v>2011</v>
      </c>
      <c r="C2607" t="s">
        <v>320</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492</v>
      </c>
      <c r="B2608">
        <v>2010</v>
      </c>
      <c r="C2608" t="s">
        <v>320</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492</v>
      </c>
      <c r="B2609">
        <v>2009</v>
      </c>
      <c r="C2609" t="s">
        <v>320</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492</v>
      </c>
      <c r="B2610">
        <v>2008</v>
      </c>
      <c r="C2610" t="s">
        <v>320</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492</v>
      </c>
      <c r="B2611">
        <v>2007</v>
      </c>
      <c r="C2611" t="s">
        <v>320</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492</v>
      </c>
      <c r="B2612">
        <v>2006</v>
      </c>
      <c r="C2612" t="s">
        <v>320</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492</v>
      </c>
      <c r="B2613">
        <v>2005</v>
      </c>
      <c r="C2613" t="s">
        <v>320</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492</v>
      </c>
      <c r="B2614">
        <v>2004</v>
      </c>
      <c r="C2614" t="s">
        <v>320</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492</v>
      </c>
      <c r="B2615">
        <v>2003</v>
      </c>
      <c r="C2615" t="s">
        <v>320</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492</v>
      </c>
      <c r="B2616">
        <v>2002</v>
      </c>
      <c r="C2616" t="s">
        <v>320</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492</v>
      </c>
      <c r="B2617">
        <v>2001</v>
      </c>
      <c r="C2617" t="s">
        <v>320</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492</v>
      </c>
      <c r="B2618">
        <v>2000</v>
      </c>
      <c r="C2618" t="s">
        <v>320</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493</v>
      </c>
      <c r="B2619">
        <v>2015</v>
      </c>
      <c r="C2619" t="s">
        <v>320</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493</v>
      </c>
      <c r="B2620">
        <v>2014</v>
      </c>
      <c r="C2620" t="s">
        <v>320</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493</v>
      </c>
      <c r="B2621">
        <v>2013</v>
      </c>
      <c r="C2621" t="s">
        <v>320</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493</v>
      </c>
      <c r="B2622">
        <v>2012</v>
      </c>
      <c r="C2622" t="s">
        <v>320</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493</v>
      </c>
      <c r="B2623">
        <v>2011</v>
      </c>
      <c r="C2623" t="s">
        <v>320</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493</v>
      </c>
      <c r="B2624">
        <v>2010</v>
      </c>
      <c r="C2624" t="s">
        <v>320</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493</v>
      </c>
      <c r="B2625">
        <v>2009</v>
      </c>
      <c r="C2625" t="s">
        <v>320</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493</v>
      </c>
      <c r="B2626">
        <v>2008</v>
      </c>
      <c r="C2626" t="s">
        <v>320</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493</v>
      </c>
      <c r="B2627">
        <v>2007</v>
      </c>
      <c r="C2627" t="s">
        <v>320</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493</v>
      </c>
      <c r="B2628">
        <v>2006</v>
      </c>
      <c r="C2628" t="s">
        <v>320</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493</v>
      </c>
      <c r="B2629">
        <v>2005</v>
      </c>
      <c r="C2629" t="s">
        <v>320</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493</v>
      </c>
      <c r="B2630">
        <v>2004</v>
      </c>
      <c r="C2630" t="s">
        <v>320</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493</v>
      </c>
      <c r="B2631">
        <v>2003</v>
      </c>
      <c r="C2631" t="s">
        <v>320</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493</v>
      </c>
      <c r="B2632">
        <v>2002</v>
      </c>
      <c r="C2632" t="s">
        <v>320</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493</v>
      </c>
      <c r="B2633">
        <v>2001</v>
      </c>
      <c r="C2633" t="s">
        <v>320</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493</v>
      </c>
      <c r="B2634">
        <v>2000</v>
      </c>
      <c r="C2634" t="s">
        <v>320</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494</v>
      </c>
      <c r="B2635">
        <v>2015</v>
      </c>
      <c r="C2635" t="s">
        <v>320</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494</v>
      </c>
      <c r="B2636">
        <v>2014</v>
      </c>
      <c r="C2636" t="s">
        <v>320</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494</v>
      </c>
      <c r="B2637">
        <v>2013</v>
      </c>
      <c r="C2637" t="s">
        <v>320</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494</v>
      </c>
      <c r="B2638">
        <v>2012</v>
      </c>
      <c r="C2638" t="s">
        <v>320</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494</v>
      </c>
      <c r="B2639">
        <v>2011</v>
      </c>
      <c r="C2639" t="s">
        <v>320</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494</v>
      </c>
      <c r="B2640">
        <v>2010</v>
      </c>
      <c r="C2640" t="s">
        <v>320</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494</v>
      </c>
      <c r="B2641">
        <v>2009</v>
      </c>
      <c r="C2641" t="s">
        <v>320</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494</v>
      </c>
      <c r="B2642">
        <v>2008</v>
      </c>
      <c r="C2642" t="s">
        <v>320</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494</v>
      </c>
      <c r="B2643">
        <v>2007</v>
      </c>
      <c r="C2643" t="s">
        <v>320</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494</v>
      </c>
      <c r="B2644">
        <v>2006</v>
      </c>
      <c r="C2644" t="s">
        <v>320</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494</v>
      </c>
      <c r="B2645">
        <v>2005</v>
      </c>
      <c r="C2645" t="s">
        <v>320</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494</v>
      </c>
      <c r="B2646">
        <v>2004</v>
      </c>
      <c r="C2646" t="s">
        <v>320</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494</v>
      </c>
      <c r="B2647">
        <v>2003</v>
      </c>
      <c r="C2647" t="s">
        <v>320</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494</v>
      </c>
      <c r="B2648">
        <v>2002</v>
      </c>
      <c r="C2648" t="s">
        <v>320</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494</v>
      </c>
      <c r="B2649">
        <v>2001</v>
      </c>
      <c r="C2649" t="s">
        <v>320</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494</v>
      </c>
      <c r="B2650">
        <v>2000</v>
      </c>
      <c r="C2650" t="s">
        <v>320</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495</v>
      </c>
      <c r="B2651">
        <v>2015</v>
      </c>
      <c r="C2651" t="s">
        <v>320</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495</v>
      </c>
      <c r="B2652">
        <v>2014</v>
      </c>
      <c r="C2652" t="s">
        <v>320</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495</v>
      </c>
      <c r="B2653">
        <v>2013</v>
      </c>
      <c r="C2653" t="s">
        <v>320</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495</v>
      </c>
      <c r="B2654">
        <v>2012</v>
      </c>
      <c r="C2654" t="s">
        <v>320</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495</v>
      </c>
      <c r="B2655">
        <v>2011</v>
      </c>
      <c r="C2655" t="s">
        <v>320</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495</v>
      </c>
      <c r="B2656">
        <v>2010</v>
      </c>
      <c r="C2656" t="s">
        <v>320</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495</v>
      </c>
      <c r="B2657">
        <v>2009</v>
      </c>
      <c r="C2657" t="s">
        <v>320</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495</v>
      </c>
      <c r="B2658">
        <v>2008</v>
      </c>
      <c r="C2658" t="s">
        <v>320</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495</v>
      </c>
      <c r="B2659">
        <v>2007</v>
      </c>
      <c r="C2659" t="s">
        <v>320</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495</v>
      </c>
      <c r="B2660">
        <v>2006</v>
      </c>
      <c r="C2660" t="s">
        <v>320</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495</v>
      </c>
      <c r="B2661">
        <v>2005</v>
      </c>
      <c r="C2661" t="s">
        <v>320</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495</v>
      </c>
      <c r="B2662">
        <v>2004</v>
      </c>
      <c r="C2662" t="s">
        <v>320</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495</v>
      </c>
      <c r="B2663">
        <v>2003</v>
      </c>
      <c r="C2663" t="s">
        <v>320</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495</v>
      </c>
      <c r="B2664">
        <v>2002</v>
      </c>
      <c r="C2664" t="s">
        <v>320</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495</v>
      </c>
      <c r="B2665">
        <v>2001</v>
      </c>
      <c r="C2665" t="s">
        <v>320</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495</v>
      </c>
      <c r="B2666">
        <v>2000</v>
      </c>
      <c r="C2666" t="s">
        <v>320</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496</v>
      </c>
      <c r="B2667">
        <v>2015</v>
      </c>
      <c r="C2667" t="s">
        <v>320</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496</v>
      </c>
      <c r="B2668">
        <v>2014</v>
      </c>
      <c r="C2668" t="s">
        <v>320</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496</v>
      </c>
      <c r="B2669">
        <v>2013</v>
      </c>
      <c r="C2669" t="s">
        <v>320</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496</v>
      </c>
      <c r="B2670">
        <v>2012</v>
      </c>
      <c r="C2670" t="s">
        <v>320</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496</v>
      </c>
      <c r="B2671">
        <v>2011</v>
      </c>
      <c r="C2671" t="s">
        <v>320</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496</v>
      </c>
      <c r="B2672">
        <v>2010</v>
      </c>
      <c r="C2672" t="s">
        <v>320</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496</v>
      </c>
      <c r="B2673">
        <v>2009</v>
      </c>
      <c r="C2673" t="s">
        <v>320</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496</v>
      </c>
      <c r="B2674">
        <v>2008</v>
      </c>
      <c r="C2674" t="s">
        <v>320</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496</v>
      </c>
      <c r="B2675">
        <v>2007</v>
      </c>
      <c r="C2675" t="s">
        <v>320</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496</v>
      </c>
      <c r="B2676">
        <v>2006</v>
      </c>
      <c r="C2676" t="s">
        <v>320</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496</v>
      </c>
      <c r="B2677">
        <v>2005</v>
      </c>
      <c r="C2677" t="s">
        <v>320</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496</v>
      </c>
      <c r="B2678">
        <v>2004</v>
      </c>
      <c r="C2678" t="s">
        <v>320</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496</v>
      </c>
      <c r="B2679">
        <v>2003</v>
      </c>
      <c r="C2679" t="s">
        <v>320</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496</v>
      </c>
      <c r="B2680">
        <v>2002</v>
      </c>
      <c r="C2680" t="s">
        <v>320</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496</v>
      </c>
      <c r="B2681">
        <v>2001</v>
      </c>
      <c r="C2681" t="s">
        <v>320</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496</v>
      </c>
      <c r="B2682">
        <v>2000</v>
      </c>
      <c r="C2682" t="s">
        <v>320</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497</v>
      </c>
      <c r="B2683">
        <v>2015</v>
      </c>
      <c r="C2683" t="s">
        <v>320</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497</v>
      </c>
      <c r="B2684">
        <v>2014</v>
      </c>
      <c r="C2684" t="s">
        <v>320</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497</v>
      </c>
      <c r="B2685">
        <v>2013</v>
      </c>
      <c r="C2685" t="s">
        <v>320</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497</v>
      </c>
      <c r="B2686">
        <v>2012</v>
      </c>
      <c r="C2686" t="s">
        <v>320</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497</v>
      </c>
      <c r="B2687">
        <v>2011</v>
      </c>
      <c r="C2687" t="s">
        <v>320</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497</v>
      </c>
      <c r="B2688">
        <v>2010</v>
      </c>
      <c r="C2688" t="s">
        <v>320</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497</v>
      </c>
      <c r="B2689">
        <v>2009</v>
      </c>
      <c r="C2689" t="s">
        <v>320</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497</v>
      </c>
      <c r="B2690">
        <v>2008</v>
      </c>
      <c r="C2690" t="s">
        <v>320</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497</v>
      </c>
      <c r="B2691">
        <v>2007</v>
      </c>
      <c r="C2691" t="s">
        <v>320</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497</v>
      </c>
      <c r="B2692">
        <v>2006</v>
      </c>
      <c r="C2692" t="s">
        <v>320</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497</v>
      </c>
      <c r="B2693">
        <v>2005</v>
      </c>
      <c r="C2693" t="s">
        <v>320</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497</v>
      </c>
      <c r="B2694">
        <v>2004</v>
      </c>
      <c r="C2694" t="s">
        <v>320</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497</v>
      </c>
      <c r="B2695">
        <v>2003</v>
      </c>
      <c r="C2695" t="s">
        <v>320</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497</v>
      </c>
      <c r="B2696">
        <v>2002</v>
      </c>
      <c r="C2696" t="s">
        <v>320</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497</v>
      </c>
      <c r="B2697">
        <v>2001</v>
      </c>
      <c r="C2697" t="s">
        <v>320</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497</v>
      </c>
      <c r="B2698">
        <v>2000</v>
      </c>
      <c r="C2698" t="s">
        <v>320</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498</v>
      </c>
      <c r="B2699">
        <v>2015</v>
      </c>
      <c r="C2699" t="s">
        <v>320</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498</v>
      </c>
      <c r="B2700">
        <v>2014</v>
      </c>
      <c r="C2700" t="s">
        <v>320</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498</v>
      </c>
      <c r="B2701">
        <v>2013</v>
      </c>
      <c r="C2701" t="s">
        <v>320</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498</v>
      </c>
      <c r="B2702">
        <v>2012</v>
      </c>
      <c r="C2702" t="s">
        <v>320</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498</v>
      </c>
      <c r="B2703">
        <v>2011</v>
      </c>
      <c r="C2703" t="s">
        <v>320</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498</v>
      </c>
      <c r="B2704">
        <v>2010</v>
      </c>
      <c r="C2704" t="s">
        <v>320</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498</v>
      </c>
      <c r="B2705">
        <v>2009</v>
      </c>
      <c r="C2705" t="s">
        <v>320</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498</v>
      </c>
      <c r="B2706">
        <v>2008</v>
      </c>
      <c r="C2706" t="s">
        <v>320</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498</v>
      </c>
      <c r="B2707">
        <v>2007</v>
      </c>
      <c r="C2707" t="s">
        <v>320</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498</v>
      </c>
      <c r="B2708">
        <v>2006</v>
      </c>
      <c r="C2708" t="s">
        <v>320</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498</v>
      </c>
      <c r="B2709">
        <v>2005</v>
      </c>
      <c r="C2709" t="s">
        <v>320</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498</v>
      </c>
      <c r="B2710">
        <v>2004</v>
      </c>
      <c r="C2710" t="s">
        <v>320</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498</v>
      </c>
      <c r="B2711">
        <v>2003</v>
      </c>
      <c r="C2711" t="s">
        <v>320</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498</v>
      </c>
      <c r="B2712">
        <v>2002</v>
      </c>
      <c r="C2712" t="s">
        <v>320</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498</v>
      </c>
      <c r="B2713">
        <v>2001</v>
      </c>
      <c r="C2713" t="s">
        <v>320</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498</v>
      </c>
      <c r="B2714">
        <v>2000</v>
      </c>
      <c r="C2714" t="s">
        <v>320</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499</v>
      </c>
      <c r="B2715">
        <v>2013</v>
      </c>
      <c r="C2715" t="s">
        <v>320</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500</v>
      </c>
      <c r="B2716">
        <v>2015</v>
      </c>
      <c r="C2716" t="s">
        <v>320</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500</v>
      </c>
      <c r="B2717">
        <v>2014</v>
      </c>
      <c r="C2717" t="s">
        <v>320</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500</v>
      </c>
      <c r="B2718">
        <v>2013</v>
      </c>
      <c r="C2718" t="s">
        <v>320</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500</v>
      </c>
      <c r="B2719">
        <v>2012</v>
      </c>
      <c r="C2719" t="s">
        <v>320</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500</v>
      </c>
      <c r="B2720">
        <v>2011</v>
      </c>
      <c r="C2720" t="s">
        <v>320</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500</v>
      </c>
      <c r="B2721">
        <v>2010</v>
      </c>
      <c r="C2721" t="s">
        <v>320</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500</v>
      </c>
      <c r="B2722">
        <v>2009</v>
      </c>
      <c r="C2722" t="s">
        <v>320</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500</v>
      </c>
      <c r="B2723">
        <v>2008</v>
      </c>
      <c r="C2723" t="s">
        <v>320</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500</v>
      </c>
      <c r="B2724">
        <v>2007</v>
      </c>
      <c r="C2724" t="s">
        <v>320</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500</v>
      </c>
      <c r="B2725">
        <v>2006</v>
      </c>
      <c r="C2725" t="s">
        <v>320</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500</v>
      </c>
      <c r="B2726">
        <v>2005</v>
      </c>
      <c r="C2726" t="s">
        <v>320</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500</v>
      </c>
      <c r="B2727">
        <v>2004</v>
      </c>
      <c r="C2727" t="s">
        <v>320</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500</v>
      </c>
      <c r="B2728">
        <v>2003</v>
      </c>
      <c r="C2728" t="s">
        <v>320</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500</v>
      </c>
      <c r="B2729">
        <v>2002</v>
      </c>
      <c r="C2729" t="s">
        <v>320</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500</v>
      </c>
      <c r="B2730">
        <v>2001</v>
      </c>
      <c r="C2730" t="s">
        <v>320</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500</v>
      </c>
      <c r="B2731">
        <v>2000</v>
      </c>
      <c r="C2731" t="s">
        <v>320</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501</v>
      </c>
      <c r="B2732">
        <v>2015</v>
      </c>
      <c r="C2732" t="s">
        <v>320</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501</v>
      </c>
      <c r="B2733">
        <v>2014</v>
      </c>
      <c r="C2733" t="s">
        <v>320</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501</v>
      </c>
      <c r="B2734">
        <v>2013</v>
      </c>
      <c r="C2734" t="s">
        <v>320</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501</v>
      </c>
      <c r="B2735">
        <v>2012</v>
      </c>
      <c r="C2735" t="s">
        <v>320</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501</v>
      </c>
      <c r="B2736">
        <v>2011</v>
      </c>
      <c r="C2736" t="s">
        <v>320</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501</v>
      </c>
      <c r="B2737">
        <v>2010</v>
      </c>
      <c r="C2737" t="s">
        <v>320</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501</v>
      </c>
      <c r="B2738">
        <v>2009</v>
      </c>
      <c r="C2738" t="s">
        <v>320</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501</v>
      </c>
      <c r="B2739">
        <v>2008</v>
      </c>
      <c r="C2739" t="s">
        <v>320</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501</v>
      </c>
      <c r="B2740">
        <v>2007</v>
      </c>
      <c r="C2740" t="s">
        <v>320</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501</v>
      </c>
      <c r="B2741">
        <v>2006</v>
      </c>
      <c r="C2741" t="s">
        <v>320</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501</v>
      </c>
      <c r="B2742">
        <v>2005</v>
      </c>
      <c r="C2742" t="s">
        <v>320</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501</v>
      </c>
      <c r="B2743">
        <v>2004</v>
      </c>
      <c r="C2743" t="s">
        <v>320</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501</v>
      </c>
      <c r="B2744">
        <v>2003</v>
      </c>
      <c r="C2744" t="s">
        <v>320</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501</v>
      </c>
      <c r="B2745">
        <v>2002</v>
      </c>
      <c r="C2745" t="s">
        <v>320</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501</v>
      </c>
      <c r="B2746">
        <v>2001</v>
      </c>
      <c r="C2746" t="s">
        <v>320</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501</v>
      </c>
      <c r="B2747">
        <v>2000</v>
      </c>
      <c r="C2747" t="s">
        <v>320</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502</v>
      </c>
      <c r="B2748">
        <v>2015</v>
      </c>
      <c r="C2748" t="s">
        <v>320</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502</v>
      </c>
      <c r="B2749">
        <v>2014</v>
      </c>
      <c r="C2749" t="s">
        <v>320</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502</v>
      </c>
      <c r="B2750">
        <v>2013</v>
      </c>
      <c r="C2750" t="s">
        <v>320</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502</v>
      </c>
      <c r="B2751">
        <v>2012</v>
      </c>
      <c r="C2751" t="s">
        <v>320</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502</v>
      </c>
      <c r="B2752">
        <v>2011</v>
      </c>
      <c r="C2752" t="s">
        <v>320</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502</v>
      </c>
      <c r="B2753">
        <v>2010</v>
      </c>
      <c r="C2753" t="s">
        <v>320</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502</v>
      </c>
      <c r="B2754">
        <v>2009</v>
      </c>
      <c r="C2754" t="s">
        <v>320</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502</v>
      </c>
      <c r="B2755">
        <v>2008</v>
      </c>
      <c r="C2755" t="s">
        <v>320</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502</v>
      </c>
      <c r="B2756">
        <v>2007</v>
      </c>
      <c r="C2756" t="s">
        <v>320</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502</v>
      </c>
      <c r="B2757">
        <v>2006</v>
      </c>
      <c r="C2757" t="s">
        <v>320</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502</v>
      </c>
      <c r="B2758">
        <v>2005</v>
      </c>
      <c r="C2758" t="s">
        <v>320</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502</v>
      </c>
      <c r="B2759">
        <v>2004</v>
      </c>
      <c r="C2759" t="s">
        <v>320</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502</v>
      </c>
      <c r="B2760">
        <v>2003</v>
      </c>
      <c r="C2760" t="s">
        <v>320</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502</v>
      </c>
      <c r="B2761">
        <v>2002</v>
      </c>
      <c r="C2761" t="s">
        <v>320</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502</v>
      </c>
      <c r="B2762">
        <v>2001</v>
      </c>
      <c r="C2762" t="s">
        <v>320</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502</v>
      </c>
      <c r="B2763">
        <v>2000</v>
      </c>
      <c r="C2763" t="s">
        <v>320</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503</v>
      </c>
      <c r="B2764">
        <v>2015</v>
      </c>
      <c r="C2764" t="s">
        <v>328</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503</v>
      </c>
      <c r="B2765">
        <v>2014</v>
      </c>
      <c r="C2765" t="s">
        <v>328</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503</v>
      </c>
      <c r="B2766">
        <v>2013</v>
      </c>
      <c r="C2766" t="s">
        <v>328</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503</v>
      </c>
      <c r="B2767">
        <v>2012</v>
      </c>
      <c r="C2767" t="s">
        <v>328</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503</v>
      </c>
      <c r="B2768">
        <v>2011</v>
      </c>
      <c r="C2768" t="s">
        <v>328</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503</v>
      </c>
      <c r="B2769">
        <v>2010</v>
      </c>
      <c r="C2769" t="s">
        <v>328</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503</v>
      </c>
      <c r="B2770">
        <v>2009</v>
      </c>
      <c r="C2770" t="s">
        <v>328</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503</v>
      </c>
      <c r="B2771">
        <v>2008</v>
      </c>
      <c r="C2771" t="s">
        <v>328</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503</v>
      </c>
      <c r="B2772">
        <v>2007</v>
      </c>
      <c r="C2772" t="s">
        <v>328</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503</v>
      </c>
      <c r="B2773">
        <v>2006</v>
      </c>
      <c r="C2773" t="s">
        <v>328</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503</v>
      </c>
      <c r="B2774">
        <v>2005</v>
      </c>
      <c r="C2774" t="s">
        <v>328</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503</v>
      </c>
      <c r="B2775">
        <v>2004</v>
      </c>
      <c r="C2775" t="s">
        <v>328</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503</v>
      </c>
      <c r="B2776">
        <v>2003</v>
      </c>
      <c r="C2776" t="s">
        <v>328</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503</v>
      </c>
      <c r="B2777">
        <v>2002</v>
      </c>
      <c r="C2777" t="s">
        <v>328</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503</v>
      </c>
      <c r="B2778">
        <v>2001</v>
      </c>
      <c r="C2778" t="s">
        <v>328</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503</v>
      </c>
      <c r="B2779">
        <v>2000</v>
      </c>
      <c r="C2779" t="s">
        <v>328</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504</v>
      </c>
      <c r="B2780">
        <v>2015</v>
      </c>
      <c r="C2780" t="s">
        <v>320</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504</v>
      </c>
      <c r="B2781">
        <v>2014</v>
      </c>
      <c r="C2781" t="s">
        <v>320</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504</v>
      </c>
      <c r="B2782">
        <v>2013</v>
      </c>
      <c r="C2782" t="s">
        <v>320</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504</v>
      </c>
      <c r="B2783">
        <v>2012</v>
      </c>
      <c r="C2783" t="s">
        <v>320</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504</v>
      </c>
      <c r="B2784">
        <v>2011</v>
      </c>
      <c r="C2784" t="s">
        <v>320</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504</v>
      </c>
      <c r="B2785">
        <v>2010</v>
      </c>
      <c r="C2785" t="s">
        <v>320</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504</v>
      </c>
      <c r="B2786">
        <v>2009</v>
      </c>
      <c r="C2786" t="s">
        <v>320</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504</v>
      </c>
      <c r="B2787">
        <v>2008</v>
      </c>
      <c r="C2787" t="s">
        <v>320</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504</v>
      </c>
      <c r="B2788">
        <v>2007</v>
      </c>
      <c r="C2788" t="s">
        <v>320</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504</v>
      </c>
      <c r="B2789">
        <v>2006</v>
      </c>
      <c r="C2789" t="s">
        <v>320</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504</v>
      </c>
      <c r="B2790">
        <v>2005</v>
      </c>
      <c r="C2790" t="s">
        <v>320</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504</v>
      </c>
      <c r="B2791">
        <v>2004</v>
      </c>
      <c r="C2791" t="s">
        <v>320</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504</v>
      </c>
      <c r="B2792">
        <v>2003</v>
      </c>
      <c r="C2792" t="s">
        <v>320</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504</v>
      </c>
      <c r="B2793">
        <v>2002</v>
      </c>
      <c r="C2793" t="s">
        <v>320</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504</v>
      </c>
      <c r="B2794">
        <v>2001</v>
      </c>
      <c r="C2794" t="s">
        <v>320</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504</v>
      </c>
      <c r="B2795">
        <v>2000</v>
      </c>
      <c r="C2795" t="s">
        <v>320</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505</v>
      </c>
      <c r="B2796">
        <v>2015</v>
      </c>
      <c r="C2796" t="s">
        <v>328</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505</v>
      </c>
      <c r="B2797">
        <v>2014</v>
      </c>
      <c r="C2797" t="s">
        <v>328</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505</v>
      </c>
      <c r="B2798">
        <v>2013</v>
      </c>
      <c r="C2798" t="s">
        <v>328</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505</v>
      </c>
      <c r="B2799">
        <v>2012</v>
      </c>
      <c r="C2799" t="s">
        <v>328</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505</v>
      </c>
      <c r="B2800">
        <v>2011</v>
      </c>
      <c r="C2800" t="s">
        <v>328</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505</v>
      </c>
      <c r="B2801">
        <v>2010</v>
      </c>
      <c r="C2801" t="s">
        <v>328</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505</v>
      </c>
      <c r="B2802">
        <v>2009</v>
      </c>
      <c r="C2802" t="s">
        <v>328</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505</v>
      </c>
      <c r="B2803">
        <v>2008</v>
      </c>
      <c r="C2803" t="s">
        <v>328</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505</v>
      </c>
      <c r="B2804">
        <v>2007</v>
      </c>
      <c r="C2804" t="s">
        <v>328</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505</v>
      </c>
      <c r="B2805">
        <v>2006</v>
      </c>
      <c r="C2805" t="s">
        <v>328</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505</v>
      </c>
      <c r="B2806">
        <v>2005</v>
      </c>
      <c r="C2806" t="s">
        <v>328</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505</v>
      </c>
      <c r="B2807">
        <v>2004</v>
      </c>
      <c r="C2807" t="s">
        <v>328</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505</v>
      </c>
      <c r="B2808">
        <v>2003</v>
      </c>
      <c r="C2808" t="s">
        <v>328</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505</v>
      </c>
      <c r="B2809">
        <v>2002</v>
      </c>
      <c r="C2809" t="s">
        <v>328</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505</v>
      </c>
      <c r="B2810">
        <v>2001</v>
      </c>
      <c r="C2810" t="s">
        <v>328</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505</v>
      </c>
      <c r="B2811">
        <v>2000</v>
      </c>
      <c r="C2811" t="s">
        <v>328</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506</v>
      </c>
      <c r="B2812">
        <v>2015</v>
      </c>
      <c r="C2812" t="s">
        <v>320</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506</v>
      </c>
      <c r="B2813">
        <v>2014</v>
      </c>
      <c r="C2813" t="s">
        <v>320</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506</v>
      </c>
      <c r="B2814">
        <v>2013</v>
      </c>
      <c r="C2814" t="s">
        <v>320</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506</v>
      </c>
      <c r="B2815">
        <v>2012</v>
      </c>
      <c r="C2815" t="s">
        <v>320</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506</v>
      </c>
      <c r="B2816">
        <v>2011</v>
      </c>
      <c r="C2816" t="s">
        <v>320</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506</v>
      </c>
      <c r="B2817">
        <v>2010</v>
      </c>
      <c r="C2817" t="s">
        <v>320</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506</v>
      </c>
      <c r="B2818">
        <v>2009</v>
      </c>
      <c r="C2818" t="s">
        <v>320</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506</v>
      </c>
      <c r="B2819">
        <v>2008</v>
      </c>
      <c r="C2819" t="s">
        <v>320</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506</v>
      </c>
      <c r="B2820">
        <v>2007</v>
      </c>
      <c r="C2820" t="s">
        <v>320</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506</v>
      </c>
      <c r="B2821">
        <v>2006</v>
      </c>
      <c r="C2821" t="s">
        <v>320</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506</v>
      </c>
      <c r="B2822">
        <v>2005</v>
      </c>
      <c r="C2822" t="s">
        <v>320</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506</v>
      </c>
      <c r="B2823">
        <v>2004</v>
      </c>
      <c r="C2823" t="s">
        <v>320</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506</v>
      </c>
      <c r="B2824">
        <v>2003</v>
      </c>
      <c r="C2824" t="s">
        <v>320</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506</v>
      </c>
      <c r="B2825">
        <v>2002</v>
      </c>
      <c r="C2825" t="s">
        <v>320</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506</v>
      </c>
      <c r="B2826">
        <v>2001</v>
      </c>
      <c r="C2826" t="s">
        <v>320</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506</v>
      </c>
      <c r="B2827">
        <v>2000</v>
      </c>
      <c r="C2827" t="s">
        <v>320</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507</v>
      </c>
      <c r="B2828">
        <v>2015</v>
      </c>
      <c r="C2828" t="s">
        <v>320</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507</v>
      </c>
      <c r="B2829">
        <v>2014</v>
      </c>
      <c r="C2829" t="s">
        <v>320</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507</v>
      </c>
      <c r="B2830">
        <v>2013</v>
      </c>
      <c r="C2830" t="s">
        <v>320</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507</v>
      </c>
      <c r="B2831">
        <v>2012</v>
      </c>
      <c r="C2831" t="s">
        <v>320</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507</v>
      </c>
      <c r="B2832">
        <v>2011</v>
      </c>
      <c r="C2832" t="s">
        <v>320</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507</v>
      </c>
      <c r="B2833">
        <v>2010</v>
      </c>
      <c r="C2833" t="s">
        <v>320</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507</v>
      </c>
      <c r="B2834">
        <v>2009</v>
      </c>
      <c r="C2834" t="s">
        <v>320</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507</v>
      </c>
      <c r="B2835">
        <v>2008</v>
      </c>
      <c r="C2835" t="s">
        <v>320</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507</v>
      </c>
      <c r="B2836">
        <v>2007</v>
      </c>
      <c r="C2836" t="s">
        <v>320</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507</v>
      </c>
      <c r="B2837">
        <v>2006</v>
      </c>
      <c r="C2837" t="s">
        <v>320</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507</v>
      </c>
      <c r="B2838">
        <v>2005</v>
      </c>
      <c r="C2838" t="s">
        <v>320</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507</v>
      </c>
      <c r="B2839">
        <v>2004</v>
      </c>
      <c r="C2839" t="s">
        <v>320</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507</v>
      </c>
      <c r="B2840">
        <v>2003</v>
      </c>
      <c r="C2840" t="s">
        <v>320</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507</v>
      </c>
      <c r="B2841">
        <v>2002</v>
      </c>
      <c r="C2841" t="s">
        <v>320</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507</v>
      </c>
      <c r="B2842">
        <v>2001</v>
      </c>
      <c r="C2842" t="s">
        <v>320</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507</v>
      </c>
      <c r="B2843">
        <v>2000</v>
      </c>
      <c r="C2843" t="s">
        <v>320</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508</v>
      </c>
      <c r="B2844">
        <v>2015</v>
      </c>
      <c r="C2844" t="s">
        <v>320</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508</v>
      </c>
      <c r="B2845">
        <v>2014</v>
      </c>
      <c r="C2845" t="s">
        <v>320</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508</v>
      </c>
      <c r="B2846">
        <v>2013</v>
      </c>
      <c r="C2846" t="s">
        <v>320</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508</v>
      </c>
      <c r="B2847">
        <v>2012</v>
      </c>
      <c r="C2847" t="s">
        <v>320</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508</v>
      </c>
      <c r="B2848">
        <v>2011</v>
      </c>
      <c r="C2848" t="s">
        <v>320</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508</v>
      </c>
      <c r="B2849">
        <v>2010</v>
      </c>
      <c r="C2849" t="s">
        <v>320</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508</v>
      </c>
      <c r="B2850">
        <v>2009</v>
      </c>
      <c r="C2850" t="s">
        <v>320</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508</v>
      </c>
      <c r="B2851">
        <v>2008</v>
      </c>
      <c r="C2851" t="s">
        <v>320</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508</v>
      </c>
      <c r="B2852">
        <v>2007</v>
      </c>
      <c r="C2852" t="s">
        <v>320</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508</v>
      </c>
      <c r="B2853">
        <v>2006</v>
      </c>
      <c r="C2853" t="s">
        <v>320</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508</v>
      </c>
      <c r="B2854">
        <v>2005</v>
      </c>
      <c r="C2854" t="s">
        <v>320</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508</v>
      </c>
      <c r="B2855">
        <v>2004</v>
      </c>
      <c r="C2855" t="s">
        <v>320</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508</v>
      </c>
      <c r="B2856">
        <v>2003</v>
      </c>
      <c r="C2856" t="s">
        <v>320</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508</v>
      </c>
      <c r="B2857">
        <v>2002</v>
      </c>
      <c r="C2857" t="s">
        <v>320</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508</v>
      </c>
      <c r="B2858">
        <v>2001</v>
      </c>
      <c r="C2858" t="s">
        <v>320</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508</v>
      </c>
      <c r="B2859">
        <v>2000</v>
      </c>
      <c r="C2859" t="s">
        <v>320</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509</v>
      </c>
      <c r="B2860">
        <v>2015</v>
      </c>
      <c r="C2860" t="s">
        <v>320</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509</v>
      </c>
      <c r="B2861">
        <v>2014</v>
      </c>
      <c r="C2861" t="s">
        <v>320</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509</v>
      </c>
      <c r="B2862">
        <v>2013</v>
      </c>
      <c r="C2862" t="s">
        <v>320</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509</v>
      </c>
      <c r="B2863">
        <v>2012</v>
      </c>
      <c r="C2863" t="s">
        <v>320</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509</v>
      </c>
      <c r="B2864">
        <v>2011</v>
      </c>
      <c r="C2864" t="s">
        <v>320</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509</v>
      </c>
      <c r="B2865">
        <v>2010</v>
      </c>
      <c r="C2865" t="s">
        <v>320</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509</v>
      </c>
      <c r="B2866">
        <v>2009</v>
      </c>
      <c r="C2866" t="s">
        <v>320</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509</v>
      </c>
      <c r="B2867">
        <v>2008</v>
      </c>
      <c r="C2867" t="s">
        <v>320</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509</v>
      </c>
      <c r="B2868">
        <v>2007</v>
      </c>
      <c r="C2868" t="s">
        <v>320</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509</v>
      </c>
      <c r="B2869">
        <v>2006</v>
      </c>
      <c r="C2869" t="s">
        <v>320</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509</v>
      </c>
      <c r="B2870">
        <v>2005</v>
      </c>
      <c r="C2870" t="s">
        <v>320</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509</v>
      </c>
      <c r="B2871">
        <v>2004</v>
      </c>
      <c r="C2871" t="s">
        <v>320</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509</v>
      </c>
      <c r="B2872">
        <v>2003</v>
      </c>
      <c r="C2872" t="s">
        <v>320</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509</v>
      </c>
      <c r="B2873">
        <v>2002</v>
      </c>
      <c r="C2873" t="s">
        <v>320</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509</v>
      </c>
      <c r="B2874">
        <v>2001</v>
      </c>
      <c r="C2874" t="s">
        <v>320</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509</v>
      </c>
      <c r="B2875">
        <v>2000</v>
      </c>
      <c r="C2875" t="s">
        <v>320</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510</v>
      </c>
      <c r="B2876">
        <v>2015</v>
      </c>
      <c r="C2876" t="s">
        <v>320</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510</v>
      </c>
      <c r="B2877">
        <v>2014</v>
      </c>
      <c r="C2877" t="s">
        <v>320</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510</v>
      </c>
      <c r="B2878">
        <v>2013</v>
      </c>
      <c r="C2878" t="s">
        <v>320</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510</v>
      </c>
      <c r="B2879">
        <v>2012</v>
      </c>
      <c r="C2879" t="s">
        <v>320</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510</v>
      </c>
      <c r="B2880">
        <v>2011</v>
      </c>
      <c r="C2880" t="s">
        <v>320</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510</v>
      </c>
      <c r="B2881">
        <v>2010</v>
      </c>
      <c r="C2881" t="s">
        <v>320</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510</v>
      </c>
      <c r="B2882">
        <v>2009</v>
      </c>
      <c r="C2882" t="s">
        <v>320</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510</v>
      </c>
      <c r="B2883">
        <v>2008</v>
      </c>
      <c r="C2883" t="s">
        <v>320</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510</v>
      </c>
      <c r="B2884">
        <v>2007</v>
      </c>
      <c r="C2884" t="s">
        <v>320</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510</v>
      </c>
      <c r="B2885">
        <v>2006</v>
      </c>
      <c r="C2885" t="s">
        <v>320</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510</v>
      </c>
      <c r="B2886">
        <v>2005</v>
      </c>
      <c r="C2886" t="s">
        <v>320</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510</v>
      </c>
      <c r="B2887">
        <v>2004</v>
      </c>
      <c r="C2887" t="s">
        <v>320</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510</v>
      </c>
      <c r="B2888">
        <v>2003</v>
      </c>
      <c r="C2888" t="s">
        <v>320</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510</v>
      </c>
      <c r="B2889">
        <v>2002</v>
      </c>
      <c r="C2889" t="s">
        <v>320</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510</v>
      </c>
      <c r="B2890">
        <v>2001</v>
      </c>
      <c r="C2890" t="s">
        <v>320</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510</v>
      </c>
      <c r="B2891">
        <v>2000</v>
      </c>
      <c r="C2891" t="s">
        <v>320</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511</v>
      </c>
      <c r="B2892">
        <v>2015</v>
      </c>
      <c r="C2892" t="s">
        <v>320</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511</v>
      </c>
      <c r="B2893">
        <v>2014</v>
      </c>
      <c r="C2893" t="s">
        <v>320</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511</v>
      </c>
      <c r="B2894">
        <v>2013</v>
      </c>
      <c r="C2894" t="s">
        <v>320</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511</v>
      </c>
      <c r="B2895">
        <v>2012</v>
      </c>
      <c r="C2895" t="s">
        <v>320</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511</v>
      </c>
      <c r="B2896">
        <v>2011</v>
      </c>
      <c r="C2896" t="s">
        <v>320</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511</v>
      </c>
      <c r="B2897">
        <v>2010</v>
      </c>
      <c r="C2897" t="s">
        <v>320</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511</v>
      </c>
      <c r="B2898">
        <v>2009</v>
      </c>
      <c r="C2898" t="s">
        <v>320</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511</v>
      </c>
      <c r="B2899">
        <v>2008</v>
      </c>
      <c r="C2899" t="s">
        <v>320</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511</v>
      </c>
      <c r="B2900">
        <v>2007</v>
      </c>
      <c r="C2900" t="s">
        <v>320</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511</v>
      </c>
      <c r="B2901">
        <v>2006</v>
      </c>
      <c r="C2901" t="s">
        <v>320</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511</v>
      </c>
      <c r="B2902">
        <v>2005</v>
      </c>
      <c r="C2902" t="s">
        <v>320</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511</v>
      </c>
      <c r="B2903">
        <v>2004</v>
      </c>
      <c r="C2903" t="s">
        <v>320</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511</v>
      </c>
      <c r="B2904">
        <v>2003</v>
      </c>
      <c r="C2904" t="s">
        <v>320</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511</v>
      </c>
      <c r="B2905">
        <v>2002</v>
      </c>
      <c r="C2905" t="s">
        <v>320</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511</v>
      </c>
      <c r="B2906">
        <v>2001</v>
      </c>
      <c r="C2906" t="s">
        <v>320</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511</v>
      </c>
      <c r="B2907">
        <v>2000</v>
      </c>
      <c r="C2907" t="s">
        <v>320</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512</v>
      </c>
      <c r="B2908">
        <v>2015</v>
      </c>
      <c r="C2908" t="s">
        <v>320</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512</v>
      </c>
      <c r="B2909">
        <v>2014</v>
      </c>
      <c r="C2909" t="s">
        <v>320</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512</v>
      </c>
      <c r="B2910">
        <v>2013</v>
      </c>
      <c r="C2910" t="s">
        <v>320</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512</v>
      </c>
      <c r="B2911">
        <v>2012</v>
      </c>
      <c r="C2911" t="s">
        <v>320</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512</v>
      </c>
      <c r="B2912">
        <v>2011</v>
      </c>
      <c r="C2912" t="s">
        <v>320</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512</v>
      </c>
      <c r="B2913">
        <v>2010</v>
      </c>
      <c r="C2913" t="s">
        <v>320</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512</v>
      </c>
      <c r="B2914">
        <v>2009</v>
      </c>
      <c r="C2914" t="s">
        <v>320</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512</v>
      </c>
      <c r="B2915">
        <v>2008</v>
      </c>
      <c r="C2915" t="s">
        <v>320</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512</v>
      </c>
      <c r="B2916">
        <v>2007</v>
      </c>
      <c r="C2916" t="s">
        <v>320</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512</v>
      </c>
      <c r="B2917">
        <v>2006</v>
      </c>
      <c r="C2917" t="s">
        <v>320</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512</v>
      </c>
      <c r="B2918">
        <v>2005</v>
      </c>
      <c r="C2918" t="s">
        <v>320</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512</v>
      </c>
      <c r="B2919">
        <v>2004</v>
      </c>
      <c r="C2919" t="s">
        <v>320</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512</v>
      </c>
      <c r="B2920">
        <v>2003</v>
      </c>
      <c r="C2920" t="s">
        <v>320</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512</v>
      </c>
      <c r="B2921">
        <v>2002</v>
      </c>
      <c r="C2921" t="s">
        <v>320</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512</v>
      </c>
      <c r="B2922">
        <v>2001</v>
      </c>
      <c r="C2922" t="s">
        <v>320</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512</v>
      </c>
      <c r="B2923">
        <v>2000</v>
      </c>
      <c r="C2923" t="s">
        <v>320</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513</v>
      </c>
      <c r="B2924">
        <v>2015</v>
      </c>
      <c r="C2924" t="s">
        <v>320</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513</v>
      </c>
      <c r="B2925">
        <v>2014</v>
      </c>
      <c r="C2925" t="s">
        <v>320</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513</v>
      </c>
      <c r="B2926">
        <v>2013</v>
      </c>
      <c r="C2926" t="s">
        <v>320</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513</v>
      </c>
      <c r="B2927">
        <v>2012</v>
      </c>
      <c r="C2927" t="s">
        <v>320</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513</v>
      </c>
      <c r="B2928">
        <v>2011</v>
      </c>
      <c r="C2928" t="s">
        <v>320</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513</v>
      </c>
      <c r="B2929">
        <v>2010</v>
      </c>
      <c r="C2929" t="s">
        <v>320</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513</v>
      </c>
      <c r="B2930">
        <v>2009</v>
      </c>
      <c r="C2930" t="s">
        <v>320</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513</v>
      </c>
      <c r="B2931">
        <v>2008</v>
      </c>
      <c r="C2931" t="s">
        <v>320</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513</v>
      </c>
      <c r="B2932">
        <v>2007</v>
      </c>
      <c r="C2932" t="s">
        <v>320</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513</v>
      </c>
      <c r="B2933">
        <v>2006</v>
      </c>
      <c r="C2933" t="s">
        <v>320</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513</v>
      </c>
      <c r="B2934">
        <v>2005</v>
      </c>
      <c r="C2934" t="s">
        <v>320</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513</v>
      </c>
      <c r="B2935">
        <v>2004</v>
      </c>
      <c r="C2935" t="s">
        <v>320</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513</v>
      </c>
      <c r="B2936">
        <v>2003</v>
      </c>
      <c r="C2936" t="s">
        <v>320</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513</v>
      </c>
      <c r="B2937">
        <v>2002</v>
      </c>
      <c r="C2937" t="s">
        <v>320</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513</v>
      </c>
      <c r="B2938">
        <v>2001</v>
      </c>
      <c r="C2938" t="s">
        <v>320</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513</v>
      </c>
      <c r="B2939">
        <v>2000</v>
      </c>
      <c r="C2939" t="s">
        <v>320</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1616</v>
      </c>
      <c r="B1" t="s">
        <v>1617</v>
      </c>
      <c r="C1" t="s">
        <v>1618</v>
      </c>
      <c r="D1" t="s">
        <v>1619</v>
      </c>
      <c r="E1" t="s">
        <v>1620</v>
      </c>
      <c r="F1" t="s">
        <v>1621</v>
      </c>
      <c r="G1" t="s">
        <v>1622</v>
      </c>
      <c r="H1" t="s">
        <v>1623</v>
      </c>
      <c r="I1" t="s">
        <v>1624</v>
      </c>
      <c r="J1" t="s">
        <v>1625</v>
      </c>
      <c r="K1" t="s">
        <v>318</v>
      </c>
    </row>
    <row r="2" spans="1:11" x14ac:dyDescent="0.25">
      <c r="A2" t="s">
        <v>1626</v>
      </c>
      <c r="B2" t="s">
        <v>1627</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1628</v>
      </c>
      <c r="B3" t="s">
        <v>1627</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1629</v>
      </c>
      <c r="B4" t="s">
        <v>1627</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1630</v>
      </c>
      <c r="B5" t="s">
        <v>1627</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1631</v>
      </c>
      <c r="B6" t="s">
        <v>1627</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1632</v>
      </c>
      <c r="B7" t="s">
        <v>1627</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1633</v>
      </c>
      <c r="B8" t="s">
        <v>1627</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1634</v>
      </c>
      <c r="B9" t="s">
        <v>1627</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1635</v>
      </c>
      <c r="B10" t="s">
        <v>1627</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1636</v>
      </c>
      <c r="B11" t="s">
        <v>1627</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1637</v>
      </c>
      <c r="B12" t="s">
        <v>1627</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1638</v>
      </c>
      <c r="B13" t="s">
        <v>1627</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1639</v>
      </c>
      <c r="B14" t="s">
        <v>1627</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1640</v>
      </c>
      <c r="B15" t="s">
        <v>1627</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1641</v>
      </c>
      <c r="B16" t="s">
        <v>1627</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1642</v>
      </c>
      <c r="B17" t="s">
        <v>1627</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1643</v>
      </c>
      <c r="B18" t="s">
        <v>1627</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1644</v>
      </c>
      <c r="B19" t="s">
        <v>1627</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1645</v>
      </c>
      <c r="B20" t="s">
        <v>1646</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1647</v>
      </c>
      <c r="B21" t="s">
        <v>1646</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1648</v>
      </c>
      <c r="B22" t="s">
        <v>1646</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1649</v>
      </c>
      <c r="B23" t="s">
        <v>1646</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1650</v>
      </c>
      <c r="B24" t="s">
        <v>1646</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1651</v>
      </c>
      <c r="B25" t="s">
        <v>1646</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1652</v>
      </c>
      <c r="B26" t="s">
        <v>1646</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1653</v>
      </c>
      <c r="B27" t="s">
        <v>1646</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1654</v>
      </c>
      <c r="B28" t="s">
        <v>1646</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1655</v>
      </c>
      <c r="B29" t="s">
        <v>1646</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1656</v>
      </c>
      <c r="B30" t="s">
        <v>1646</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1657</v>
      </c>
      <c r="B31" t="s">
        <v>1646</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1658</v>
      </c>
      <c r="B32" t="s">
        <v>1646</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1659</v>
      </c>
      <c r="B33" t="s">
        <v>1646</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1660</v>
      </c>
      <c r="B34" t="s">
        <v>1646</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1661</v>
      </c>
      <c r="B35" t="s">
        <v>1646</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1662</v>
      </c>
      <c r="B36" t="s">
        <v>1646</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1663</v>
      </c>
      <c r="B37" t="s">
        <v>1646</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1664</v>
      </c>
      <c r="B38" t="s">
        <v>1646</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1665</v>
      </c>
      <c r="B39" t="s">
        <v>1646</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1666</v>
      </c>
      <c r="B40" t="s">
        <v>1667</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1668</v>
      </c>
      <c r="B41" t="s">
        <v>1667</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1669</v>
      </c>
      <c r="B42" t="s">
        <v>1667</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1670</v>
      </c>
      <c r="B43" t="s">
        <v>1667</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1671</v>
      </c>
      <c r="B44" t="s">
        <v>1667</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1672</v>
      </c>
      <c r="B45" t="s">
        <v>1667</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1673</v>
      </c>
      <c r="B46" t="s">
        <v>1667</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1674</v>
      </c>
      <c r="B47" t="s">
        <v>1667</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1675</v>
      </c>
      <c r="B48" t="s">
        <v>1667</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1676</v>
      </c>
      <c r="B49" t="s">
        <v>1667</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1677</v>
      </c>
      <c r="B50" t="s">
        <v>1667</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1678</v>
      </c>
      <c r="B51" t="s">
        <v>1667</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1679</v>
      </c>
      <c r="B52" t="s">
        <v>1667</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601</v>
      </c>
      <c r="B1" s="13"/>
      <c r="C1" s="13"/>
      <c r="D1" s="13"/>
    </row>
    <row r="2" spans="1:4" x14ac:dyDescent="0.25">
      <c r="A2" s="6" t="s">
        <v>602</v>
      </c>
      <c r="B2" s="6" t="s">
        <v>603</v>
      </c>
      <c r="C2" s="6" t="s">
        <v>810</v>
      </c>
      <c r="D2" s="6" t="s">
        <v>604</v>
      </c>
    </row>
    <row r="3" spans="1:4" ht="105" x14ac:dyDescent="0.25">
      <c r="A3" t="s">
        <v>605</v>
      </c>
      <c r="B3" s="18">
        <v>46189</v>
      </c>
      <c r="C3" t="s">
        <v>812</v>
      </c>
      <c r="D3" s="2" t="s">
        <v>606</v>
      </c>
    </row>
    <row r="4" spans="1:4" ht="105" x14ac:dyDescent="0.25">
      <c r="A4" t="s">
        <v>811</v>
      </c>
      <c r="B4" s="18">
        <v>46202</v>
      </c>
      <c r="C4" t="s">
        <v>812</v>
      </c>
      <c r="D4" s="2" t="s">
        <v>774</v>
      </c>
    </row>
    <row r="5" spans="1:4" ht="105" x14ac:dyDescent="0.25">
      <c r="A5" t="s">
        <v>813</v>
      </c>
      <c r="B5" s="18">
        <v>46206</v>
      </c>
      <c r="C5" t="s">
        <v>812</v>
      </c>
      <c r="D5" s="2" t="s">
        <v>814</v>
      </c>
    </row>
    <row r="6" spans="1:4" ht="150" x14ac:dyDescent="0.25">
      <c r="A6" t="s">
        <v>773</v>
      </c>
      <c r="B6" s="18">
        <v>46208</v>
      </c>
      <c r="C6" t="s">
        <v>815</v>
      </c>
      <c r="D6" s="2" t="s">
        <v>873</v>
      </c>
    </row>
    <row r="7" spans="1:4" ht="225" x14ac:dyDescent="0.25">
      <c r="A7" t="s">
        <v>1867</v>
      </c>
      <c r="B7" s="18">
        <v>46236</v>
      </c>
      <c r="C7" t="s">
        <v>812</v>
      </c>
      <c r="D7" s="2" t="s">
        <v>1868</v>
      </c>
    </row>
    <row r="8" spans="1:4" ht="150" x14ac:dyDescent="0.25">
      <c r="A8" t="s">
        <v>1869</v>
      </c>
      <c r="B8" s="18">
        <v>46236</v>
      </c>
      <c r="C8" t="s">
        <v>812</v>
      </c>
      <c r="D8" s="2" t="s">
        <v>1870</v>
      </c>
    </row>
    <row r="9" spans="1:4" ht="300" x14ac:dyDescent="0.25">
      <c r="A9" t="s">
        <v>1845</v>
      </c>
      <c r="B9" s="18">
        <v>46236</v>
      </c>
      <c r="C9" t="s">
        <v>815</v>
      </c>
      <c r="D9" s="2" t="s">
        <v>1853</v>
      </c>
    </row>
    <row r="10" spans="1:4" ht="225" x14ac:dyDescent="0.25">
      <c r="A10" t="s">
        <v>1871</v>
      </c>
      <c r="B10" s="18">
        <v>46237</v>
      </c>
      <c r="C10" t="s">
        <v>812</v>
      </c>
      <c r="D10" s="2" t="s">
        <v>1872</v>
      </c>
    </row>
    <row r="11" spans="1:4" ht="405" x14ac:dyDescent="0.25">
      <c r="A11" t="s">
        <v>1904</v>
      </c>
      <c r="B11" s="18">
        <v>46237</v>
      </c>
      <c r="C11" t="s">
        <v>812</v>
      </c>
      <c r="D11" s="2" t="s">
        <v>1936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65F64-8B31-41D4-B05A-D8172C47E96F}">
  <sheetPr>
    <tabColor rgb="FFDCE6F1"/>
  </sheetPr>
  <dimension ref="A1:A20"/>
  <sheetViews>
    <sheetView workbookViewId="0"/>
  </sheetViews>
  <sheetFormatPr defaultRowHeight="15" x14ac:dyDescent="0.25"/>
  <cols>
    <col min="1" max="1" width="110.7109375" customWidth="1"/>
  </cols>
  <sheetData>
    <row r="1" spans="1:1" x14ac:dyDescent="0.25">
      <c r="A1" s="4" t="s">
        <v>514</v>
      </c>
    </row>
    <row r="2" spans="1:1" ht="30" x14ac:dyDescent="0.25">
      <c r="A2" s="2" t="s">
        <v>803</v>
      </c>
    </row>
    <row r="3" spans="1:1" ht="30" x14ac:dyDescent="0.25">
      <c r="A3" s="2" t="s">
        <v>515</v>
      </c>
    </row>
    <row r="5" spans="1:1" x14ac:dyDescent="0.25">
      <c r="A5" s="4" t="s">
        <v>804</v>
      </c>
    </row>
    <row r="6" spans="1:1" ht="75" x14ac:dyDescent="0.25">
      <c r="A6" s="2" t="s">
        <v>1535</v>
      </c>
    </row>
    <row r="8" spans="1:1" x14ac:dyDescent="0.25">
      <c r="A8" s="4" t="s">
        <v>1851</v>
      </c>
    </row>
    <row r="9" spans="1:1" ht="180" x14ac:dyDescent="0.25">
      <c r="A9" s="2" t="s">
        <v>1694</v>
      </c>
    </row>
    <row r="10" spans="1:1" ht="90" x14ac:dyDescent="0.25">
      <c r="A10" s="2" t="s">
        <v>805</v>
      </c>
    </row>
    <row r="11" spans="1:1" ht="360" x14ac:dyDescent="0.25">
      <c r="A11" s="2" t="s">
        <v>1903</v>
      </c>
    </row>
    <row r="13" spans="1:1" x14ac:dyDescent="0.25">
      <c r="A13" s="4" t="s">
        <v>806</v>
      </c>
    </row>
    <row r="14" spans="1:1" ht="45" x14ac:dyDescent="0.25">
      <c r="A14" s="2" t="s">
        <v>807</v>
      </c>
    </row>
    <row r="16" spans="1:1" x14ac:dyDescent="0.25">
      <c r="A16" s="4" t="s">
        <v>808</v>
      </c>
    </row>
    <row r="17" spans="1:1" ht="60" x14ac:dyDescent="0.25">
      <c r="A17" s="2" t="s">
        <v>809</v>
      </c>
    </row>
    <row r="19" spans="1:1" x14ac:dyDescent="0.25">
      <c r="A19" s="4" t="s">
        <v>516</v>
      </c>
    </row>
    <row r="20" spans="1:1" ht="120" x14ac:dyDescent="0.25">
      <c r="A20" s="2" t="s">
        <v>1852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JN408"/>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hidden="1" customWidth="1" outlineLevel="1"/>
    <col min="74" max="74" width="2.7109375" customWidth="1" collapsed="1"/>
    <col min="75" max="274" width="12.7109375" customWidth="1" outlineLevel="1"/>
  </cols>
  <sheetData>
    <row r="1" spans="1:91" x14ac:dyDescent="0.25">
      <c r="A1" s="4" t="s">
        <v>800</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878</v>
      </c>
      <c r="J1" s="3" t="s">
        <v>1604</v>
      </c>
      <c r="K1" s="3" t="s">
        <v>1605</v>
      </c>
      <c r="L1" s="3" t="s">
        <v>1606</v>
      </c>
      <c r="N1" s="3" t="s">
        <v>1849</v>
      </c>
      <c r="O1" s="3">
        <f>SUM(_xlfn.TAKE(Spec_Design_Columns,COLUMNS(Source_Data)))+N(Allow_Intercept)</f>
        <v>17</v>
      </c>
      <c r="P1" s="3" t="s">
        <v>876</v>
      </c>
      <c r="Q1" s="3" t="s">
        <v>877</v>
      </c>
      <c r="S1" s="4" t="s">
        <v>607</v>
      </c>
      <c r="AA1" s="4" t="s">
        <v>610</v>
      </c>
      <c r="AJ1" s="37" t="s">
        <v>634</v>
      </c>
      <c r="AK1" s="38"/>
      <c r="AL1" s="45"/>
      <c r="AN1" s="4" t="s">
        <v>643</v>
      </c>
      <c r="BR1" s="37" t="s">
        <v>1854</v>
      </c>
      <c r="BS1" s="46"/>
      <c r="BU1" s="4" t="s">
        <v>1843</v>
      </c>
      <c r="BW1" s="4" t="s">
        <v>1850</v>
      </c>
      <c r="BY1" s="4" t="s">
        <v>1905</v>
      </c>
      <c r="BZ1" t="str" cm="1">
        <f t="array" ref="BZ1">Model_Formula()</f>
        <v>MPG ~ 1 + Horsepower + Weight + Model Year: 71 + Model Year: 72 + Model Year: 73 + Model Year: 74 + Model Year: 75 + Model Year: 76 + Model Year: 77 + Model Year: 78 + Model Year: 79 + Model Year: 80 + Model Year: 81 + Model Year: 82 + Origin: Europe + Origin: US</v>
      </c>
    </row>
    <row r="2" spans="1:91" ht="45" x14ac:dyDescent="0.25">
      <c r="A2" s="3" t="s">
        <v>642</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t="str" cm="1">
        <f t="array" ref="P2">IFERROR(Sequence_Delta_Spectrum(),"")</f>
        <v/>
      </c>
      <c r="S2" s="26"/>
      <c r="T2" s="26" t="s">
        <v>608</v>
      </c>
      <c r="U2" s="26" t="s">
        <v>609</v>
      </c>
      <c r="V2" s="26" t="s">
        <v>186</v>
      </c>
      <c r="W2" s="26" t="s">
        <v>188</v>
      </c>
      <c r="X2" s="26" t="s">
        <v>1529</v>
      </c>
      <c r="Y2" s="26" t="s">
        <v>86</v>
      </c>
      <c r="Z2" s="2"/>
      <c r="AA2" s="2"/>
      <c r="AB2" s="2"/>
      <c r="AC2" s="2"/>
      <c r="AD2" s="2"/>
      <c r="AE2" s="29" t="s">
        <v>721</v>
      </c>
      <c r="AF2" s="29" t="str" cm="1">
        <f t="array" ref="AF2">_xlfn.LET(_xlpm.n_c,COLUMNS(Source_Data),_xlpm.p,_xlfn.XMATCH("Response (y)",_xlfn.TAKE(Spec_Role,_xlpm.n_c)),_xlpm.h,INDEX(_xlfn.TOROW(Header_Names),_xlpm.p),IFERROR(IF(INDEX(_xlfn.TAKE(Spec_Transform,_xlpm.n_c),_xlpm.p)="Log","Ln("&amp;_xlpm.h&amp;")",_xlpm.h),"(none)"))</f>
        <v>MPG</v>
      </c>
      <c r="AG2" s="2"/>
      <c r="AH2" s="2"/>
      <c r="AI2" s="2"/>
      <c r="AJ2" s="27" t="s">
        <v>635</v>
      </c>
      <c r="AK2" s="26" t="s">
        <v>1913</v>
      </c>
      <c r="AL2" s="35" t="s">
        <v>1914</v>
      </c>
      <c r="AM2" s="2"/>
      <c r="AN2" s="26" t="s">
        <v>801</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1915</v>
      </c>
      <c r="BA2" s="28" t="s">
        <v>1916</v>
      </c>
      <c r="BR2" s="8" t="s">
        <v>1855</v>
      </c>
      <c r="BS2" s="24" t="b">
        <f>Allow_Intercept</f>
        <v>1</v>
      </c>
      <c r="BU2" s="3" t="s">
        <v>1917</v>
      </c>
      <c r="BW2" s="3" t="str">
        <f>IF(Allow_Intercept,"Intercept","")</f>
        <v>Intercept</v>
      </c>
      <c r="BX2" s="3" t="str" cm="1">
        <f t="array" ref="BX2:CM2">Constructed_Column_Names()</f>
        <v>Horsepower</v>
      </c>
      <c r="BY2" t="str">
        <v>Weight</v>
      </c>
      <c r="BZ2" t="str">
        <v>Model Year: 71</v>
      </c>
      <c r="CA2" t="str">
        <v>Model Year: 72</v>
      </c>
      <c r="CB2" t="str">
        <v>Model Year: 73</v>
      </c>
      <c r="CC2" t="str">
        <v>Model Year: 74</v>
      </c>
      <c r="CD2" t="str">
        <v>Model Year: 75</v>
      </c>
      <c r="CE2" t="str">
        <v>Model Year: 76</v>
      </c>
      <c r="CF2" t="str">
        <v>Model Year: 77</v>
      </c>
      <c r="CG2" t="str">
        <v>Model Year: 78</v>
      </c>
      <c r="CH2" t="str">
        <v>Model Year: 79</v>
      </c>
      <c r="CI2" t="str">
        <v>Model Year: 80</v>
      </c>
      <c r="CJ2" t="str">
        <v>Model Year: 81</v>
      </c>
      <c r="CK2" t="str">
        <v>Model Year: 82</v>
      </c>
      <c r="CL2" t="str">
        <v>Origin: Europe</v>
      </c>
      <c r="CM2" t="str">
        <v>Origin: US</v>
      </c>
    </row>
    <row r="3" spans="1:91" x14ac:dyDescent="0.25">
      <c r="A3" s="34" t="s">
        <v>867</v>
      </c>
      <c r="B3" s="34" t="s">
        <v>775</v>
      </c>
      <c r="C3" s="34" t="s">
        <v>772</v>
      </c>
      <c r="D3" s="34" t="s">
        <v>776</v>
      </c>
      <c r="E3" s="34" t="s">
        <v>777</v>
      </c>
      <c r="F3" s="34" t="s">
        <v>778</v>
      </c>
      <c r="G3" s="34" t="s">
        <v>779</v>
      </c>
      <c r="H3" s="34" t="s">
        <v>818</v>
      </c>
      <c r="I3" s="34" t="s">
        <v>874</v>
      </c>
      <c r="J3" s="34" t="s">
        <v>875</v>
      </c>
      <c r="K3" s="34" t="s">
        <v>780</v>
      </c>
      <c r="L3" s="34" t="s">
        <v>799</v>
      </c>
      <c r="M3" s="34" t="s">
        <v>1846</v>
      </c>
      <c r="N3" s="34" t="s">
        <v>1847</v>
      </c>
      <c r="O3" s="34" t="s">
        <v>1848</v>
      </c>
      <c r="S3" t="str" cm="1">
        <f t="array" ref="S3:S18">TRANSPOSE(Constructed_Column_Names())</f>
        <v>Horsepower</v>
      </c>
      <c r="T3" s="14" cm="1">
        <f t="array" ref="T3:T18">Pearson_R(Predictor_Columns(),Response_Column(),Sample_Include())</f>
        <v>-0.7784267838977752</v>
      </c>
      <c r="U3" s="14" cm="1">
        <f t="array" ref="U3:U18">Spearman_R(Predictor_Columns(),Response_Column(),Sample_Include())</f>
        <v>-0.85361640244538828</v>
      </c>
      <c r="V3" s="14" cm="1">
        <f t="array" ref="V3:V18">Skewness(Predictor_Columns(),Sample_Include())</f>
        <v>1.0873262824048666</v>
      </c>
      <c r="W3" s="14" cm="1">
        <f t="array" ref="W3:W18">Kurtosis(Predictor_Columns(),Sample_Include())</f>
        <v>0.69694699974278684</v>
      </c>
      <c r="X3" s="14" cm="1">
        <f t="array" ref="X3:X18">GVIF(Predictor_Columns(),Constructed_Column_Names(),Sample_Include())</f>
        <v>5.5543959920421502</v>
      </c>
      <c r="Y3" s="14" cm="1">
        <f t="array" ref="Y3:Y18">Generalized_Tolerance(Predictor_Columns(),Constructed_Column_Names(),Sample_Include())</f>
        <v>0.18003757770110593</v>
      </c>
      <c r="AA3" s="37" t="s">
        <v>611</v>
      </c>
      <c r="AB3" s="39"/>
      <c r="AD3" s="37" t="s">
        <v>616</v>
      </c>
      <c r="AE3" s="39"/>
      <c r="AG3" s="37" t="s">
        <v>1906</v>
      </c>
      <c r="AH3" s="39"/>
      <c r="AJ3" s="8" t="s">
        <v>636</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23.445918367346941</v>
      </c>
      <c r="AL3" s="11" cm="1">
        <f t="array" ref="AL3">Back_Transform_Response($AK$3,Fit_Context(),$AH$4,Smearing_Factor(Design_Columns(),Design_Response(),Sample_Include(),Fit_Context()))</f>
        <v>23.445918367346941</v>
      </c>
      <c r="AN3" t="str" cm="1">
        <f t="array" ref="AN3:AN394">IFERROR(_xlfn._xlws.FILTER(Row_Labels(),Sample_Include()),NA())</f>
        <v>chevrolet chevelle malibu</v>
      </c>
      <c r="AO3" s="7" cm="1">
        <f t="array" ref="AO3:AO394">Dependent_Variable(Design_Response(),Sample_Include())</f>
        <v>18</v>
      </c>
      <c r="AP3" s="7" cm="1">
        <f t="array" ref="AP3:AP394">Predictions(Design_Columns(),Design_Response(),Sample_Include())</f>
        <v>16.838573626431614</v>
      </c>
      <c r="AQ3" s="7" cm="1">
        <f t="array" ref="AQ3:AQ394">Residuals(Design_Columns(),Design_Response(),Sample_Include())</f>
        <v>1.1614263735683856</v>
      </c>
      <c r="AR3" s="7" cm="1">
        <f t="array" ref="AR3:AR394">Hat_Diagonal(Design_Columns(),Sample_Include())</f>
        <v>4.0149898039742615E-2</v>
      </c>
      <c r="AS3" s="7" cm="1">
        <f t="array" ref="AS3:AS394">Studentized_Residuals(Design_Columns(),Design_Response(),Sample_Include(),Fit_Context())</f>
        <v>0.38649046111356711</v>
      </c>
      <c r="AT3" s="7" cm="1">
        <f t="array" ref="AT3:AT394">Cooks_Distance(Design_Columns(),Design_Response(),Sample_Include(),Fit_Context())</f>
        <v>3.6754428083901326E-4</v>
      </c>
      <c r="AU3" s="7" cm="1">
        <f t="array" ref="AU3:AU394">_xlfn._xlws.SORT(Normal_Scores(Design_Response(),Sample_Include()))</f>
        <v>-3.0172230343004571</v>
      </c>
      <c r="AV3" s="7" cm="1">
        <f t="array" ref="AV3:AV394">Studentized_Residuals_Ranked(Design_Columns(),Design_Response(),Sample_Include(),Fit_Context())</f>
        <v>-3.4516826175693711</v>
      </c>
      <c r="AW3" s="7" cm="1">
        <f t="array" ref="AW3:AW394">SQRT(ABS(Studentized_Residuals(Design_Columns(),Design_Response(),Sample_Include(),Fit_Context())))</f>
        <v>0.62168356992409501</v>
      </c>
      <c r="AX3" s="7" cm="1">
        <f t="array" ref="AX3:AX394">LOOCV_Residual(Design_Columns(),Design_Response(),Sample_Include())</f>
        <v>1.2100080743820918</v>
      </c>
      <c r="AY3" s="7" t="e" cm="1">
        <f t="array" ref="AY3:AY394">IF(_xlfn.ANCHORARRAY(AT3)&gt;MIN(4/$AB$8,0.9),_xlfn.ANCHORARRAY(AT3),NA())</f>
        <v>#N/A</v>
      </c>
      <c r="AZ3" s="7" cm="1">
        <f t="array" ref="AZ3:AZ394">Unit_Space_Predictions(Design_Columns(),Design_Response(),Response_Column(),Sample_Include(),Fit_Context(),$AH$4)</f>
        <v>16.838573626431614</v>
      </c>
      <c r="BA3" s="7" cm="1">
        <f t="array" ref="BA3:BA394">Unit_Space_Residuals(Design_Columns(),Design_Response(),Response_Column(),Sample_Include(),Fit_Context(),$AH$4)</f>
        <v>1.1614263735683856</v>
      </c>
      <c r="BR3" s="8" t="s">
        <v>1856</v>
      </c>
      <c r="BS3" s="24" cm="1">
        <f t="array" ref="BS3">Absorbed_Degrees_Of_Freedom()</f>
        <v>0</v>
      </c>
      <c r="BU3" t="b" cm="1">
        <f t="array" ref="BU3:BU408">Sample_Include()</f>
        <v>1</v>
      </c>
      <c r="BW3" cm="1">
        <f t="array" ref="BW3:CM408">Design_Columns()</f>
        <v>1</v>
      </c>
      <c r="BX3">
        <v>130</v>
      </c>
      <c r="BY3">
        <v>3504</v>
      </c>
      <c r="BZ3">
        <v>0</v>
      </c>
      <c r="CA3">
        <v>0</v>
      </c>
      <c r="CB3">
        <v>0</v>
      </c>
      <c r="CC3">
        <v>0</v>
      </c>
      <c r="CD3">
        <v>0</v>
      </c>
      <c r="CE3">
        <v>0</v>
      </c>
      <c r="CF3">
        <v>0</v>
      </c>
      <c r="CG3">
        <v>0</v>
      </c>
      <c r="CH3">
        <v>0</v>
      </c>
      <c r="CI3">
        <v>0</v>
      </c>
      <c r="CJ3">
        <v>0</v>
      </c>
      <c r="CK3">
        <v>0</v>
      </c>
      <c r="CL3">
        <v>0</v>
      </c>
      <c r="CM3">
        <v>1</v>
      </c>
    </row>
    <row r="4" spans="1:91" x14ac:dyDescent="0.25">
      <c r="A4" t="str" cm="1">
        <f t="array" ref="A4:A15">TRANSPOSE(Header_Names)</f>
        <v>MPG</v>
      </c>
      <c r="B4" t="s">
        <v>798</v>
      </c>
      <c r="C4" t="b">
        <v>0</v>
      </c>
      <c r="D4" t="s">
        <v>781</v>
      </c>
      <c r="G4" t="s">
        <v>1695</v>
      </c>
      <c r="J4" t="str" cm="1">
        <f t="array" ref="J4:J15">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15">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15">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15">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Weight</v>
      </c>
      <c r="T4" s="14">
        <v>-0.83224421483157562</v>
      </c>
      <c r="U4" s="14">
        <v>-0.87558511987398702</v>
      </c>
      <c r="V4" s="14">
        <v>0.51958567405583889</v>
      </c>
      <c r="W4" s="14">
        <v>-0.80925938832796707</v>
      </c>
      <c r="X4" s="14">
        <v>5.7185914136149254</v>
      </c>
      <c r="Y4" s="14">
        <v>0.174868237240937</v>
      </c>
      <c r="AA4" s="8" t="s">
        <v>612</v>
      </c>
      <c r="AB4" s="11" cm="1">
        <f t="array" ref="AB4">Multiple_R(Design_Columns(),Design_Response(),Sample_Include(),Fit_Context())</f>
        <v>0.92297409283157827</v>
      </c>
      <c r="AD4" s="8" t="s">
        <v>41</v>
      </c>
      <c r="AE4" s="11" cm="1">
        <f t="array" ref="AE4">PRESS(Design_Columns(),Design_Response(),Sample_Include())</f>
        <v>3865.0233891256116</v>
      </c>
      <c r="AG4" s="8" t="s">
        <v>1907</v>
      </c>
      <c r="AH4" s="33" t="s">
        <v>1935</v>
      </c>
      <c r="AJ4" s="8" t="s">
        <v>1607</v>
      </c>
      <c r="AK4" s="7">
        <v>0.15492024062955487</v>
      </c>
      <c r="AL4" s="11"/>
      <c r="AN4" t="str">
        <v>buick skylark 320</v>
      </c>
      <c r="AO4" s="7">
        <v>15</v>
      </c>
      <c r="AP4" s="7">
        <v>15.313332990800617</v>
      </c>
      <c r="AQ4" s="7">
        <v>-0.31333299080061749</v>
      </c>
      <c r="AR4" s="7">
        <v>3.5578253857220431E-2</v>
      </c>
      <c r="AS4" s="7">
        <v>-0.10402109723737363</v>
      </c>
      <c r="AT4" s="7">
        <v>2.3480728919648279E-5</v>
      </c>
      <c r="AU4" s="7">
        <v>-2.6670046532742777</v>
      </c>
      <c r="AV4" s="7">
        <v>-2.7327997376671602</v>
      </c>
      <c r="AW4" s="7">
        <v>0.32252301815122225</v>
      </c>
      <c r="AX4" s="7">
        <v>-0.32489208383551893</v>
      </c>
      <c r="AY4" s="7" t="e">
        <v>#N/A</v>
      </c>
      <c r="AZ4" s="7">
        <v>15.313332990800617</v>
      </c>
      <c r="BA4" s="7">
        <v>-0.31333299080061749</v>
      </c>
      <c r="BR4" s="8" t="s">
        <v>1857</v>
      </c>
      <c r="BS4" s="24" t="str" cm="1">
        <f t="array" ref="BS4">IFERROR(INDEX(_xlfn.TAKE(Spec_Transform,COLUMNS(Source_Data)),_xlfn.XMATCH("Response (y)",_xlfn.TAKE(Spec_Role,COLUMNS(Source_Data)))),"None")</f>
        <v>None</v>
      </c>
      <c r="BU4" t="b">
        <v>1</v>
      </c>
      <c r="BW4">
        <v>1</v>
      </c>
      <c r="BX4">
        <v>165</v>
      </c>
      <c r="BY4">
        <v>3693</v>
      </c>
      <c r="BZ4">
        <v>0</v>
      </c>
      <c r="CA4">
        <v>0</v>
      </c>
      <c r="CB4">
        <v>0</v>
      </c>
      <c r="CC4">
        <v>0</v>
      </c>
      <c r="CD4">
        <v>0</v>
      </c>
      <c r="CE4">
        <v>0</v>
      </c>
      <c r="CF4">
        <v>0</v>
      </c>
      <c r="CG4">
        <v>0</v>
      </c>
      <c r="CH4">
        <v>0</v>
      </c>
      <c r="CI4">
        <v>0</v>
      </c>
      <c r="CJ4">
        <v>0</v>
      </c>
      <c r="CK4">
        <v>0</v>
      </c>
      <c r="CL4">
        <v>0</v>
      </c>
      <c r="CM4">
        <v>1</v>
      </c>
    </row>
    <row r="5" spans="1:91" x14ac:dyDescent="0.25">
      <c r="A5" t="str">
        <v>Cylinders</v>
      </c>
      <c r="B5" t="s">
        <v>797</v>
      </c>
      <c r="C5" t="b">
        <v>0</v>
      </c>
      <c r="D5" t="s">
        <v>781</v>
      </c>
      <c r="G5" t="s">
        <v>1695</v>
      </c>
      <c r="J5" t="str">
        <v/>
      </c>
      <c r="K5" t="str">
        <v/>
      </c>
      <c r="L5" t="str">
        <v/>
      </c>
      <c r="O5">
        <v>0</v>
      </c>
      <c r="S5" t="str">
        <v>Model Year: 71</v>
      </c>
      <c r="T5" s="14">
        <v>-8.1464390968000566E-2</v>
      </c>
      <c r="U5" s="14">
        <v>-7.885166012852686E-2</v>
      </c>
      <c r="V5" s="14">
        <v>3.4178672534749635</v>
      </c>
      <c r="W5" s="14">
        <v>9.7314413233527937</v>
      </c>
      <c r="X5" s="14">
        <v>1.7564955677455198</v>
      </c>
      <c r="Y5" s="14">
        <v>0.5693154132370003</v>
      </c>
      <c r="AA5" s="8" t="s">
        <v>613</v>
      </c>
      <c r="AB5" s="11" cm="1">
        <f t="array" ref="AB5">R_Squared(Design_Columns(),Design_Response(),Sample_Include(),Fit_Context())</f>
        <v>0.85188117603827496</v>
      </c>
      <c r="AD5" s="8" t="s">
        <v>555</v>
      </c>
      <c r="AE5" s="11" cm="1">
        <f t="array" ref="AE5">1-PRESS(Design_Columns(),Design_Response(),Sample_Include())/SS_Total(Design_Columns(),Design_Response(),Sample_Include(),Fit_Context())</f>
        <v>0.83773355519438908</v>
      </c>
      <c r="AG5" s="8" t="s">
        <v>1908</v>
      </c>
      <c r="AH5" s="11" cm="1">
        <f t="array" ref="AH5">Smearing_Factor(Design_Columns(),Design_Response(),Sample_Include(),Fit_Context())</f>
        <v>1</v>
      </c>
      <c r="AJ5" s="8" t="s">
        <v>1608</v>
      </c>
      <c r="AK5" s="7">
        <v>3.0711741103347818</v>
      </c>
      <c r="AL5" s="11"/>
      <c r="AN5" t="str">
        <v>plymouth satellite</v>
      </c>
      <c r="AO5" s="7">
        <v>18</v>
      </c>
      <c r="AP5" s="7">
        <v>16.858150041188733</v>
      </c>
      <c r="AQ5" s="7">
        <v>1.1418499588112674</v>
      </c>
      <c r="AR5" s="7">
        <v>3.544727708510207E-2</v>
      </c>
      <c r="AS5" s="7">
        <v>0.3790485664453398</v>
      </c>
      <c r="AT5" s="7">
        <v>3.1059732014923993E-4</v>
      </c>
      <c r="AU5" s="7">
        <v>-2.6670046532742777</v>
      </c>
      <c r="AV5" s="7">
        <v>-2.6063331092365791</v>
      </c>
      <c r="AW5" s="7">
        <v>0.6156692021250858</v>
      </c>
      <c r="AX5" s="7">
        <v>1.1838129027935078</v>
      </c>
      <c r="AY5" s="7" t="e">
        <v>#N/A</v>
      </c>
      <c r="AZ5" s="7">
        <v>16.858150041188733</v>
      </c>
      <c r="BA5" s="7">
        <v>1.1418499588112674</v>
      </c>
      <c r="BR5" s="8" t="s">
        <v>1858</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150</v>
      </c>
      <c r="BY5">
        <v>3436</v>
      </c>
      <c r="BZ5">
        <v>0</v>
      </c>
      <c r="CA5">
        <v>0</v>
      </c>
      <c r="CB5">
        <v>0</v>
      </c>
      <c r="CC5">
        <v>0</v>
      </c>
      <c r="CD5">
        <v>0</v>
      </c>
      <c r="CE5">
        <v>0</v>
      </c>
      <c r="CF5">
        <v>0</v>
      </c>
      <c r="CG5">
        <v>0</v>
      </c>
      <c r="CH5">
        <v>0</v>
      </c>
      <c r="CI5">
        <v>0</v>
      </c>
      <c r="CJ5">
        <v>0</v>
      </c>
      <c r="CK5">
        <v>0</v>
      </c>
      <c r="CL5">
        <v>0</v>
      </c>
      <c r="CM5">
        <v>1</v>
      </c>
    </row>
    <row r="6" spans="1:91" x14ac:dyDescent="0.25">
      <c r="A6" t="str">
        <v>Displacement</v>
      </c>
      <c r="B6" t="s">
        <v>797</v>
      </c>
      <c r="C6" t="b">
        <v>0</v>
      </c>
      <c r="D6" t="s">
        <v>781</v>
      </c>
      <c r="G6" t="s">
        <v>1695</v>
      </c>
      <c r="J6" t="str">
        <v/>
      </c>
      <c r="K6" t="str">
        <v/>
      </c>
      <c r="L6" t="str">
        <v/>
      </c>
      <c r="O6">
        <v>0</v>
      </c>
      <c r="S6" t="str">
        <v>Model Year: 72</v>
      </c>
      <c r="T6" s="14">
        <v>-0.16835292832299814</v>
      </c>
      <c r="U6" s="14">
        <v>-0.17118576357006526</v>
      </c>
      <c r="V6" s="14">
        <v>3.3409992263811197</v>
      </c>
      <c r="W6" s="14">
        <v>9.2092362452656538</v>
      </c>
      <c r="X6" s="14">
        <v>1.7564955677455198</v>
      </c>
      <c r="Y6" s="14">
        <v>0.5693154132370003</v>
      </c>
      <c r="AA6" s="8" t="s">
        <v>614</v>
      </c>
      <c r="AB6" s="11" cm="1">
        <f t="array" ref="AB6">Adjusted_R_Squared(Design_Columns(),Design_Response(),Sample_Include(),Fit_Context())</f>
        <v>0.84556143954924134</v>
      </c>
      <c r="AD6" s="8" t="s">
        <v>617</v>
      </c>
      <c r="AE6" s="11" cm="1">
        <f t="array" ref="AE6">COLUMNS(Design_Columns())/Observations(Design_Response(),Sample_Include())</f>
        <v>4.336734693877551E-2</v>
      </c>
      <c r="AG6" s="8" t="s">
        <v>1909</v>
      </c>
      <c r="AH6" s="11" cm="1">
        <f t="array" ref="AH6">Unit_Space_R_Squared(Design_Columns(),Design_Response(),Response_Column(),Sample_Include(),Fit_Context(),$AH$4)</f>
        <v>0.85188117603827518</v>
      </c>
      <c r="AJ6" s="8" t="s">
        <v>637</v>
      </c>
      <c r="AK6" s="7">
        <v>1.9663101608024118</v>
      </c>
      <c r="AL6" s="11"/>
      <c r="AN6" t="str">
        <v>amc rebel sst</v>
      </c>
      <c r="AO6" s="7">
        <v>16</v>
      </c>
      <c r="AP6" s="7">
        <v>16.873339970034085</v>
      </c>
      <c r="AQ6" s="7">
        <v>-0.8733399700340847</v>
      </c>
      <c r="AR6" s="7">
        <v>3.5454383105468036E-2</v>
      </c>
      <c r="AS6" s="7">
        <v>-0.28991504577289978</v>
      </c>
      <c r="AT6" s="7">
        <v>1.8173549121271767E-4</v>
      </c>
      <c r="AU6" s="7">
        <v>-2.368567059267872</v>
      </c>
      <c r="AV6" s="7">
        <v>-2.5586120959927223</v>
      </c>
      <c r="AW6" s="7">
        <v>0.53843759691620696</v>
      </c>
      <c r="AX6" s="7">
        <v>-0.90544185234691688</v>
      </c>
      <c r="AY6" s="7" t="e">
        <v>#N/A</v>
      </c>
      <c r="AZ6" s="7">
        <v>16.873339970034085</v>
      </c>
      <c r="BA6" s="7">
        <v>-0.8733399700340847</v>
      </c>
      <c r="BR6" s="9" t="s">
        <v>1859</v>
      </c>
      <c r="BS6" s="25" t="b" cm="1">
        <f t="array" ref="BS6">AND(ROWS(Fit_Context())=4,SUMPRODUCT(--ISERROR(Fit_Context()))=0)</f>
        <v>1</v>
      </c>
      <c r="BU6" t="b">
        <v>1</v>
      </c>
      <c r="BW6">
        <v>1</v>
      </c>
      <c r="BX6">
        <v>150</v>
      </c>
      <c r="BY6">
        <v>3433</v>
      </c>
      <c r="BZ6">
        <v>0</v>
      </c>
      <c r="CA6">
        <v>0</v>
      </c>
      <c r="CB6">
        <v>0</v>
      </c>
      <c r="CC6">
        <v>0</v>
      </c>
      <c r="CD6">
        <v>0</v>
      </c>
      <c r="CE6">
        <v>0</v>
      </c>
      <c r="CF6">
        <v>0</v>
      </c>
      <c r="CG6">
        <v>0</v>
      </c>
      <c r="CH6">
        <v>0</v>
      </c>
      <c r="CI6">
        <v>0</v>
      </c>
      <c r="CJ6">
        <v>0</v>
      </c>
      <c r="CK6">
        <v>0</v>
      </c>
      <c r="CL6">
        <v>0</v>
      </c>
      <c r="CM6">
        <v>1</v>
      </c>
    </row>
    <row r="7" spans="1:91" x14ac:dyDescent="0.25">
      <c r="A7" t="str">
        <v>Horsepower</v>
      </c>
      <c r="B7" t="s">
        <v>797</v>
      </c>
      <c r="C7" t="b">
        <v>1</v>
      </c>
      <c r="D7" t="s">
        <v>781</v>
      </c>
      <c r="G7" t="s">
        <v>1695</v>
      </c>
      <c r="J7" t="str">
        <v/>
      </c>
      <c r="K7" t="str">
        <v/>
      </c>
      <c r="L7" t="str">
        <v/>
      </c>
      <c r="O7">
        <v>1</v>
      </c>
      <c r="S7" t="str">
        <v>Model Year: 73</v>
      </c>
      <c r="T7" s="14">
        <v>-0.27443182636273983</v>
      </c>
      <c r="U7" s="14">
        <v>-0.28890633665588533</v>
      </c>
      <c r="V7" s="14">
        <v>2.6394903089248882</v>
      </c>
      <c r="W7" s="14">
        <v>4.9923545220842778</v>
      </c>
      <c r="X7" s="14">
        <v>1.7564955677455198</v>
      </c>
      <c r="Y7" s="14">
        <v>0.5693154132370003</v>
      </c>
      <c r="AA7" s="8" t="s">
        <v>615</v>
      </c>
      <c r="AB7" s="11" cm="1">
        <f t="array" ref="AB7">SE_Regression(Design_Columns(),Design_Response(),Sample_Include(),Fit_Context())</f>
        <v>3.0672642753818784</v>
      </c>
      <c r="AD7" s="8" t="s">
        <v>44</v>
      </c>
      <c r="AE7" s="11" cm="1">
        <f t="array" ref="AE7">AIC(Design_Columns(),Design_Response(),Sample_Include(),Fit_Context())</f>
        <v>895.31662324868432</v>
      </c>
      <c r="AG7" s="8" t="s">
        <v>1910</v>
      </c>
      <c r="AH7" s="11" cm="1">
        <f t="array" ref="AH7">Unit_Space_Adjusted_R_Squared(Design_Columns(),Design_Response(),Response_Column(),Sample_Include(),Fit_Context(),$AH$4)</f>
        <v>0.84556143954924157</v>
      </c>
      <c r="AJ7" s="8" t="s">
        <v>1609</v>
      </c>
      <c r="AK7" s="7">
        <v>23.141297124083092</v>
      </c>
      <c r="AL7" s="11" cm="1">
        <f t="array" ref="AL7">Back_Transform_Response($AK$7,Fit_Context(),"Naive",1)</f>
        <v>23.141297124083092</v>
      </c>
      <c r="AN7" t="str">
        <v>ford torino</v>
      </c>
      <c r="AO7" s="7">
        <v>17</v>
      </c>
      <c r="AP7" s="7">
        <v>16.954691335727627</v>
      </c>
      <c r="AQ7" s="7">
        <v>4.5308664272372567E-2</v>
      </c>
      <c r="AR7" s="7">
        <v>3.6442373899522838E-2</v>
      </c>
      <c r="AS7" s="7">
        <v>1.5048430824006871E-2</v>
      </c>
      <c r="AT7" s="7">
        <v>5.038050051044507E-7</v>
      </c>
      <c r="AU7" s="7">
        <v>-2.368567059267872</v>
      </c>
      <c r="AV7" s="7">
        <v>-2.2382603266400922</v>
      </c>
      <c r="AW7" s="7">
        <v>0.12267204581324496</v>
      </c>
      <c r="AX7" s="7">
        <v>4.7022267319638135E-2</v>
      </c>
      <c r="AY7" s="7" t="e">
        <v>#N/A</v>
      </c>
      <c r="AZ7" s="7">
        <v>16.954691335727627</v>
      </c>
      <c r="BA7" s="7">
        <v>4.5308664272372567E-2</v>
      </c>
      <c r="BU7" t="b">
        <v>1</v>
      </c>
      <c r="BW7">
        <v>1</v>
      </c>
      <c r="BX7">
        <v>140</v>
      </c>
      <c r="BY7">
        <v>3449</v>
      </c>
      <c r="BZ7">
        <v>0</v>
      </c>
      <c r="CA7">
        <v>0</v>
      </c>
      <c r="CB7">
        <v>0</v>
      </c>
      <c r="CC7">
        <v>0</v>
      </c>
      <c r="CD7">
        <v>0</v>
      </c>
      <c r="CE7">
        <v>0</v>
      </c>
      <c r="CF7">
        <v>0</v>
      </c>
      <c r="CG7">
        <v>0</v>
      </c>
      <c r="CH7">
        <v>0</v>
      </c>
      <c r="CI7">
        <v>0</v>
      </c>
      <c r="CJ7">
        <v>0</v>
      </c>
      <c r="CK7">
        <v>0</v>
      </c>
      <c r="CL7">
        <v>0</v>
      </c>
      <c r="CM7">
        <v>1</v>
      </c>
    </row>
    <row r="8" spans="1:91" x14ac:dyDescent="0.25">
      <c r="A8" t="str">
        <v>Weight</v>
      </c>
      <c r="B8" t="s">
        <v>797</v>
      </c>
      <c r="C8" t="b">
        <v>1</v>
      </c>
      <c r="D8" t="s">
        <v>781</v>
      </c>
      <c r="G8" t="s">
        <v>1695</v>
      </c>
      <c r="J8" t="str">
        <v/>
      </c>
      <c r="K8" t="str">
        <v/>
      </c>
      <c r="L8" t="str">
        <v/>
      </c>
      <c r="O8">
        <v>1</v>
      </c>
      <c r="S8" t="str">
        <v>Model Year: 74</v>
      </c>
      <c r="T8" s="14">
        <v>-2.3137459907604747E-2</v>
      </c>
      <c r="U8" s="14">
        <v>-1.3094569363613499E-2</v>
      </c>
      <c r="V8" s="14">
        <v>3.4987950670435035</v>
      </c>
      <c r="W8" s="14">
        <v>10.294062234453385</v>
      </c>
      <c r="X8" s="14">
        <v>1.7564955677455198</v>
      </c>
      <c r="Y8" s="14">
        <v>0.5693154132370003</v>
      </c>
      <c r="AA8" s="9" t="s">
        <v>6</v>
      </c>
      <c r="AB8" s="12" cm="1">
        <f t="array" ref="AB8">Observations(Design_Response(),Sample_Include())</f>
        <v>392</v>
      </c>
      <c r="AD8" s="8" t="s">
        <v>47</v>
      </c>
      <c r="AE8" s="11" cm="1">
        <f t="array" ref="AE8">BIC(Design_Columns(),Design_Response(),Sample_Include(),Fit_Context())</f>
        <v>962.82807452512213</v>
      </c>
      <c r="AG8" s="8" t="s">
        <v>1911</v>
      </c>
      <c r="AH8" s="11" cm="1">
        <f t="array" ref="AH8">Unit_Space_RMSE(Design_Columns(),Design_Response(),Response_Column(),Sample_Include(),Fit_Context(),$AH$4)</f>
        <v>3.0672642753818775</v>
      </c>
      <c r="AJ8" s="8" t="s">
        <v>1610</v>
      </c>
      <c r="AK8" s="7">
        <v>23.75053961061079</v>
      </c>
      <c r="AL8" s="11" cm="1">
        <f t="array" ref="AL8">Back_Transform_Response($AK$8,Fit_Context(),"Naive",1)</f>
        <v>23.75053961061079</v>
      </c>
      <c r="AN8" t="str">
        <v>ford galaxie 500</v>
      </c>
      <c r="AO8" s="7">
        <v>15</v>
      </c>
      <c r="AP8" s="7">
        <v>11.496506105738117</v>
      </c>
      <c r="AQ8" s="7">
        <v>3.503493894261883</v>
      </c>
      <c r="AR8" s="7">
        <v>4.042419204907835E-2</v>
      </c>
      <c r="AS8" s="7">
        <v>1.1660321456416103</v>
      </c>
      <c r="AT8" s="7">
        <v>3.3692573430559101E-3</v>
      </c>
      <c r="AU8" s="7">
        <v>-2.368567059267872</v>
      </c>
      <c r="AV8" s="7">
        <v>-2.2366030601609697</v>
      </c>
      <c r="AW8" s="7">
        <v>1.0798296836268255</v>
      </c>
      <c r="AX8" s="7">
        <v>3.6510860999541497</v>
      </c>
      <c r="AY8" s="7" t="e">
        <v>#N/A</v>
      </c>
      <c r="AZ8" s="7">
        <v>11.496506105738117</v>
      </c>
      <c r="BA8" s="7">
        <v>3.503493894261883</v>
      </c>
      <c r="BU8" t="b">
        <v>1</v>
      </c>
      <c r="BW8">
        <v>1</v>
      </c>
      <c r="BX8">
        <v>198</v>
      </c>
      <c r="BY8">
        <v>4341</v>
      </c>
      <c r="BZ8">
        <v>0</v>
      </c>
      <c r="CA8">
        <v>0</v>
      </c>
      <c r="CB8">
        <v>0</v>
      </c>
      <c r="CC8">
        <v>0</v>
      </c>
      <c r="CD8">
        <v>0</v>
      </c>
      <c r="CE8">
        <v>0</v>
      </c>
      <c r="CF8">
        <v>0</v>
      </c>
      <c r="CG8">
        <v>0</v>
      </c>
      <c r="CH8">
        <v>0</v>
      </c>
      <c r="CI8">
        <v>0</v>
      </c>
      <c r="CJ8">
        <v>0</v>
      </c>
      <c r="CK8">
        <v>0</v>
      </c>
      <c r="CL8">
        <v>0</v>
      </c>
      <c r="CM8">
        <v>1</v>
      </c>
    </row>
    <row r="9" spans="1:91" x14ac:dyDescent="0.25">
      <c r="A9" t="str">
        <v>Acceleration</v>
      </c>
      <c r="B9" t="s">
        <v>797</v>
      </c>
      <c r="C9" t="b">
        <v>0</v>
      </c>
      <c r="D9" t="s">
        <v>781</v>
      </c>
      <c r="G9" t="s">
        <v>1695</v>
      </c>
      <c r="J9" t="str">
        <v/>
      </c>
      <c r="K9" t="str">
        <v/>
      </c>
      <c r="L9" t="str">
        <v/>
      </c>
      <c r="O9">
        <v>0</v>
      </c>
      <c r="S9" t="str">
        <v>Model Year: 75</v>
      </c>
      <c r="T9" s="14">
        <v>-0.11741202684773239</v>
      </c>
      <c r="U9" s="14">
        <v>-0.11154790812345597</v>
      </c>
      <c r="V9" s="14">
        <v>3.1980848073673354</v>
      </c>
      <c r="W9" s="14">
        <v>8.2699143284054628</v>
      </c>
      <c r="X9" s="14">
        <v>1.7564955677455198</v>
      </c>
      <c r="Y9" s="14">
        <v>0.5693154132370003</v>
      </c>
      <c r="AD9" s="8" t="s">
        <v>50</v>
      </c>
      <c r="AE9" s="11" cm="1">
        <f t="array" ref="AE9">AICc(Design_Columns(),Design_Response(),Sample_Include(),Fit_Context())</f>
        <v>896.95298688504795</v>
      </c>
      <c r="AG9" s="9" t="s">
        <v>1912</v>
      </c>
      <c r="AH9" s="25" t="str" cm="1">
        <f t="array" ref="AH9">IF(Context_Response_Transform(Fit_Context())="Log","Original units (back-transformed)","Same as fit space")</f>
        <v>Same as fit space</v>
      </c>
      <c r="AJ9" s="8" t="s">
        <v>1611</v>
      </c>
      <c r="AK9" s="7">
        <v>17.40703750860235</v>
      </c>
      <c r="AL9" s="11" cm="1">
        <f t="array" ref="AL9">Back_Transform_Response($AK$9,Fit_Context(),"Naive",1)</f>
        <v>17.40703750860235</v>
      </c>
      <c r="AN9" t="str">
        <v>chevrolet impala</v>
      </c>
      <c r="AO9" s="7">
        <v>14</v>
      </c>
      <c r="AP9" s="7">
        <v>11.07348157776369</v>
      </c>
      <c r="AQ9" s="7">
        <v>2.9265184222363096</v>
      </c>
      <c r="AR9" s="7">
        <v>5.0603384396069082E-2</v>
      </c>
      <c r="AS9" s="7">
        <v>0.97921087107925164</v>
      </c>
      <c r="AT9" s="7">
        <v>3.0063214519007314E-3</v>
      </c>
      <c r="AU9" s="7">
        <v>-2.368567059267872</v>
      </c>
      <c r="AV9" s="7">
        <v>-2.1379379429147831</v>
      </c>
      <c r="AW9" s="7">
        <v>0.9895508430996619</v>
      </c>
      <c r="AX9" s="7">
        <v>3.0825035334412796</v>
      </c>
      <c r="AY9" s="7" t="e">
        <v>#N/A</v>
      </c>
      <c r="AZ9" s="7">
        <v>11.07348157776369</v>
      </c>
      <c r="BA9" s="7">
        <v>2.9265184222363096</v>
      </c>
      <c r="BU9" t="b">
        <v>1</v>
      </c>
      <c r="BW9">
        <v>1</v>
      </c>
      <c r="BX9">
        <v>220</v>
      </c>
      <c r="BY9">
        <v>4354</v>
      </c>
      <c r="BZ9">
        <v>0</v>
      </c>
      <c r="CA9">
        <v>0</v>
      </c>
      <c r="CB9">
        <v>0</v>
      </c>
      <c r="CC9">
        <v>0</v>
      </c>
      <c r="CD9">
        <v>0</v>
      </c>
      <c r="CE9">
        <v>0</v>
      </c>
      <c r="CF9">
        <v>0</v>
      </c>
      <c r="CG9">
        <v>0</v>
      </c>
      <c r="CH9">
        <v>0</v>
      </c>
      <c r="CI9">
        <v>0</v>
      </c>
      <c r="CJ9">
        <v>0</v>
      </c>
      <c r="CK9">
        <v>0</v>
      </c>
      <c r="CL9">
        <v>0</v>
      </c>
      <c r="CM9">
        <v>1</v>
      </c>
    </row>
    <row r="10" spans="1:91" x14ac:dyDescent="0.25">
      <c r="A10" t="str">
        <v>Model Year</v>
      </c>
      <c r="B10" t="s">
        <v>797</v>
      </c>
      <c r="C10" t="b">
        <v>1</v>
      </c>
      <c r="D10" t="s">
        <v>1693</v>
      </c>
      <c r="G10" t="s">
        <v>1695</v>
      </c>
      <c r="J10" t="str">
        <v/>
      </c>
      <c r="K10">
        <v>13</v>
      </c>
      <c r="L10">
        <v>70</v>
      </c>
      <c r="O10">
        <v>12</v>
      </c>
      <c r="S10" t="str">
        <v>Model Year: 76</v>
      </c>
      <c r="T10" s="14">
        <v>-7.4024476846945034E-2</v>
      </c>
      <c r="U10" s="14">
        <v>-6.3539355536400999E-2</v>
      </c>
      <c r="V10" s="14">
        <v>2.9480228374220565</v>
      </c>
      <c r="W10" s="14">
        <v>6.7251248614949075</v>
      </c>
      <c r="X10" s="14">
        <v>1.7564955677455198</v>
      </c>
      <c r="Y10" s="14">
        <v>0.5693154132370003</v>
      </c>
      <c r="AD10" s="8" t="s">
        <v>559</v>
      </c>
      <c r="AE10" s="11" cm="1">
        <f t="array" ref="AE10">QQ_Correlation(Design_Columns(),Design_Response(),Sample_Include(),Fit_Context())</f>
        <v>0.99113734434991863</v>
      </c>
      <c r="AJ10" s="8" t="s">
        <v>1692</v>
      </c>
      <c r="AK10" s="7">
        <v>29.484799226091532</v>
      </c>
      <c r="AL10" s="11" cm="1">
        <f t="array" ref="AL10">Back_Transform_Response($AK$10,Fit_Context(),"Naive",1)</f>
        <v>29.484799226091532</v>
      </c>
      <c r="AN10" t="str">
        <v>plymouth fury iii</v>
      </c>
      <c r="AO10" s="7">
        <v>14</v>
      </c>
      <c r="AP10" s="7">
        <v>11.367322741366301</v>
      </c>
      <c r="AQ10" s="7">
        <v>2.6326772586336986</v>
      </c>
      <c r="AR10" s="7">
        <v>4.8040491817131645E-2</v>
      </c>
      <c r="AS10" s="7">
        <v>0.87970525767099483</v>
      </c>
      <c r="AT10" s="7">
        <v>2.2972825975756234E-3</v>
      </c>
      <c r="AU10" s="7">
        <v>-2.0720014483779297</v>
      </c>
      <c r="AV10" s="7">
        <v>-2.0636596826638174</v>
      </c>
      <c r="AW10" s="7">
        <v>0.93792604061887253</v>
      </c>
      <c r="AX10" s="7">
        <v>2.765534916142641</v>
      </c>
      <c r="AY10" s="7" t="e">
        <v>#N/A</v>
      </c>
      <c r="AZ10" s="7">
        <v>11.367322741366301</v>
      </c>
      <c r="BA10" s="7">
        <v>2.6326772586336986</v>
      </c>
      <c r="BU10" t="b">
        <v>1</v>
      </c>
      <c r="BW10">
        <v>1</v>
      </c>
      <c r="BX10">
        <v>215</v>
      </c>
      <c r="BY10">
        <v>4312</v>
      </c>
      <c r="BZ10">
        <v>0</v>
      </c>
      <c r="CA10">
        <v>0</v>
      </c>
      <c r="CB10">
        <v>0</v>
      </c>
      <c r="CC10">
        <v>0</v>
      </c>
      <c r="CD10">
        <v>0</v>
      </c>
      <c r="CE10">
        <v>0</v>
      </c>
      <c r="CF10">
        <v>0</v>
      </c>
      <c r="CG10">
        <v>0</v>
      </c>
      <c r="CH10">
        <v>0</v>
      </c>
      <c r="CI10">
        <v>0</v>
      </c>
      <c r="CJ10">
        <v>0</v>
      </c>
      <c r="CK10">
        <v>0</v>
      </c>
      <c r="CL10">
        <v>0</v>
      </c>
      <c r="CM10">
        <v>1</v>
      </c>
    </row>
    <row r="11" spans="1:91" x14ac:dyDescent="0.25">
      <c r="A11" t="str">
        <v>Origin</v>
      </c>
      <c r="B11" t="s">
        <v>797</v>
      </c>
      <c r="C11" t="b">
        <v>1</v>
      </c>
      <c r="D11" t="s">
        <v>1693</v>
      </c>
      <c r="G11" t="s">
        <v>1695</v>
      </c>
      <c r="J11" t="str">
        <v/>
      </c>
      <c r="K11">
        <v>3</v>
      </c>
      <c r="L11" t="str">
        <v>Asia</v>
      </c>
      <c r="O11">
        <v>2</v>
      </c>
      <c r="S11" t="str">
        <v>Model Year: 77</v>
      </c>
      <c r="T11" s="14">
        <v>-2.5232970710476672E-3</v>
      </c>
      <c r="U11" s="14">
        <v>7.0926070839771281E-3</v>
      </c>
      <c r="V11" s="14">
        <v>3.3409992263810411</v>
      </c>
      <c r="W11" s="14">
        <v>9.2092362452655827</v>
      </c>
      <c r="X11" s="14">
        <v>1.7564955677455198</v>
      </c>
      <c r="Y11" s="14">
        <v>0.5693154132370003</v>
      </c>
      <c r="AD11" s="8" t="s">
        <v>869</v>
      </c>
      <c r="AE11" s="31" t="str"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n/a — requires Sequence</v>
      </c>
      <c r="AJ11" s="8" t="s">
        <v>638</v>
      </c>
      <c r="AK11" s="7">
        <v>0.95</v>
      </c>
      <c r="AL11" s="11"/>
      <c r="AN11" t="str">
        <v>pontiac catalina</v>
      </c>
      <c r="AO11" s="7">
        <v>14</v>
      </c>
      <c r="AP11" s="7">
        <v>10.632804435322701</v>
      </c>
      <c r="AQ11" s="7">
        <v>3.3671955646772993</v>
      </c>
      <c r="AR11" s="7">
        <v>5.2897375567846273E-2</v>
      </c>
      <c r="AS11" s="7">
        <v>1.128024738712412</v>
      </c>
      <c r="AT11" s="7">
        <v>4.1804729026989852E-3</v>
      </c>
      <c r="AU11" s="7">
        <v>-2.0720014483779297</v>
      </c>
      <c r="AV11" s="7">
        <v>-2.0302994659393092</v>
      </c>
      <c r="AW11" s="7">
        <v>1.0620850901469299</v>
      </c>
      <c r="AX11" s="7">
        <v>3.555259459550268</v>
      </c>
      <c r="AY11" s="7" t="e">
        <v>#N/A</v>
      </c>
      <c r="AZ11" s="7">
        <v>10.632804435322701</v>
      </c>
      <c r="BA11" s="7">
        <v>3.3671955646772993</v>
      </c>
      <c r="BU11" t="b">
        <v>1</v>
      </c>
      <c r="BW11">
        <v>1</v>
      </c>
      <c r="BX11">
        <v>225</v>
      </c>
      <c r="BY11">
        <v>4425</v>
      </c>
      <c r="BZ11">
        <v>0</v>
      </c>
      <c r="CA11">
        <v>0</v>
      </c>
      <c r="CB11">
        <v>0</v>
      </c>
      <c r="CC11">
        <v>0</v>
      </c>
      <c r="CD11">
        <v>0</v>
      </c>
      <c r="CE11">
        <v>0</v>
      </c>
      <c r="CF11">
        <v>0</v>
      </c>
      <c r="CG11">
        <v>0</v>
      </c>
      <c r="CH11">
        <v>0</v>
      </c>
      <c r="CI11">
        <v>0</v>
      </c>
      <c r="CJ11">
        <v>0</v>
      </c>
      <c r="CK11">
        <v>0</v>
      </c>
      <c r="CL11">
        <v>0</v>
      </c>
      <c r="CM11">
        <v>1</v>
      </c>
    </row>
    <row r="12" spans="1:91" x14ac:dyDescent="0.25">
      <c r="A12" t="str">
        <v>Car Name</v>
      </c>
      <c r="B12" t="s">
        <v>880</v>
      </c>
      <c r="C12" t="b">
        <v>0</v>
      </c>
      <c r="D12" t="s">
        <v>781</v>
      </c>
      <c r="G12" t="s">
        <v>1695</v>
      </c>
      <c r="J12" t="str">
        <v/>
      </c>
      <c r="K12" t="str">
        <v/>
      </c>
      <c r="L12" t="str">
        <v/>
      </c>
      <c r="O12" t="str">
        <v/>
      </c>
      <c r="S12" t="str">
        <v>Model Year: 78</v>
      </c>
      <c r="T12" s="14">
        <v>2.509682524150721E-2</v>
      </c>
      <c r="U12" s="14">
        <v>3.6232001135431187E-2</v>
      </c>
      <c r="V12" s="14">
        <v>2.837530472349679</v>
      </c>
      <c r="W12" s="14">
        <v>6.0825870963648994</v>
      </c>
      <c r="X12" s="14">
        <v>1.7564955677455198</v>
      </c>
      <c r="Y12" s="14">
        <v>0.5693154132370003</v>
      </c>
      <c r="AA12" s="3" t="s">
        <v>618</v>
      </c>
      <c r="AB12" s="16">
        <v>0.05</v>
      </c>
      <c r="AD12" s="8" t="s">
        <v>870</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requires Sequence</v>
      </c>
      <c r="AJ12" s="8" t="s">
        <v>1612</v>
      </c>
      <c r="AK12" s="16" t="str">
        <f>INDEX(_xlfn._xlws.SORT(_xlfn.UNIQUE(_xlfn._xlws.FILTER(Prediction_Group_Column(),Sample_Include()))),1,1)</f>
        <v>(all)</v>
      </c>
      <c r="AL12" s="11"/>
      <c r="AN12" t="str">
        <v>amc ambassador dpl</v>
      </c>
      <c r="AO12" s="7">
        <v>15</v>
      </c>
      <c r="AP12" s="7">
        <v>14.112482582388761</v>
      </c>
      <c r="AQ12" s="7">
        <v>0.88751741761123881</v>
      </c>
      <c r="AR12" s="7">
        <v>4.132014629964112E-2</v>
      </c>
      <c r="AS12" s="7">
        <v>0.29552136767782289</v>
      </c>
      <c r="AT12" s="7">
        <v>2.2142013145426813E-4</v>
      </c>
      <c r="AU12" s="7">
        <v>-2.0720014483779297</v>
      </c>
      <c r="AV12" s="7">
        <v>-2.0195065214468078</v>
      </c>
      <c r="AW12" s="7">
        <v>0.54361877053485086</v>
      </c>
      <c r="AX12" s="7">
        <v>0.92577038537480072</v>
      </c>
      <c r="AY12" s="7" t="e">
        <v>#N/A</v>
      </c>
      <c r="AZ12" s="7">
        <v>14.112482582388761</v>
      </c>
      <c r="BA12" s="7">
        <v>0.88751741761123881</v>
      </c>
      <c r="BU12" t="b">
        <v>1</v>
      </c>
      <c r="BW12">
        <v>1</v>
      </c>
      <c r="BX12">
        <v>190</v>
      </c>
      <c r="BY12">
        <v>3850</v>
      </c>
      <c r="BZ12">
        <v>0</v>
      </c>
      <c r="CA12">
        <v>0</v>
      </c>
      <c r="CB12">
        <v>0</v>
      </c>
      <c r="CC12">
        <v>0</v>
      </c>
      <c r="CD12">
        <v>0</v>
      </c>
      <c r="CE12">
        <v>0</v>
      </c>
      <c r="CF12">
        <v>0</v>
      </c>
      <c r="CG12">
        <v>0</v>
      </c>
      <c r="CH12">
        <v>0</v>
      </c>
      <c r="CI12">
        <v>0</v>
      </c>
      <c r="CJ12">
        <v>0</v>
      </c>
      <c r="CK12">
        <v>0</v>
      </c>
      <c r="CL12">
        <v>0</v>
      </c>
      <c r="CM12">
        <v>1</v>
      </c>
    </row>
    <row r="13" spans="1:91" x14ac:dyDescent="0.25">
      <c r="A13" t="str">
        <v>Make</v>
      </c>
      <c r="B13" t="s">
        <v>868</v>
      </c>
      <c r="C13" t="b">
        <v>0</v>
      </c>
      <c r="D13" t="s">
        <v>781</v>
      </c>
      <c r="G13" t="s">
        <v>1695</v>
      </c>
      <c r="J13" t="str">
        <v/>
      </c>
      <c r="K13" t="str">
        <v/>
      </c>
      <c r="L13" t="str">
        <v/>
      </c>
      <c r="O13" t="str">
        <v/>
      </c>
      <c r="S13" t="str">
        <v>Model Year: 79</v>
      </c>
      <c r="T13" s="14">
        <v>5.9726823421571588E-2</v>
      </c>
      <c r="U13" s="14">
        <v>7.2588561195066958E-2</v>
      </c>
      <c r="V13" s="14">
        <v>3.2678413248622649</v>
      </c>
      <c r="W13" s="14">
        <v>8.7232678762571751</v>
      </c>
      <c r="X13" s="14">
        <v>1.7564955677455198</v>
      </c>
      <c r="Y13" s="14">
        <v>0.5693154132370003</v>
      </c>
      <c r="AA13" s="42" t="s">
        <v>619</v>
      </c>
      <c r="AB13" s="43"/>
      <c r="AC13" s="43"/>
      <c r="AD13" s="43"/>
      <c r="AE13" s="43"/>
      <c r="AF13" s="44"/>
      <c r="AJ13" s="8" t="s">
        <v>1613</v>
      </c>
      <c r="AK13" s="7" cm="1">
        <f t="array" ref="AK13">Group_Mean_At(Response_Column(),Prediction_Group_Column(),$AK$12,Sample_Include())</f>
        <v>23.445918367346941</v>
      </c>
      <c r="AL13" s="11"/>
      <c r="AN13" t="str">
        <v>dodge challenger se</v>
      </c>
      <c r="AO13" s="7">
        <v>15</v>
      </c>
      <c r="AP13" s="7">
        <v>15.890381080998086</v>
      </c>
      <c r="AQ13" s="7">
        <v>-0.89038108099808611</v>
      </c>
      <c r="AR13" s="7">
        <v>3.7522532485470127E-2</v>
      </c>
      <c r="AS13" s="7">
        <v>-0.29588942339117646</v>
      </c>
      <c r="AT13" s="7">
        <v>2.0077587758419256E-4</v>
      </c>
      <c r="AU13" s="7">
        <v>-2.0720014483779297</v>
      </c>
      <c r="AV13" s="7">
        <v>-2.0157358299478298</v>
      </c>
      <c r="AW13" s="7">
        <v>0.54395718893234279</v>
      </c>
      <c r="AX13" s="7">
        <v>-0.92509290975650249</v>
      </c>
      <c r="AY13" s="7" t="e">
        <v>#N/A</v>
      </c>
      <c r="AZ13" s="7">
        <v>15.890381080998086</v>
      </c>
      <c r="BA13" s="7">
        <v>-0.89038108099808611</v>
      </c>
      <c r="BU13" t="b">
        <v>0</v>
      </c>
      <c r="BW13">
        <v>1</v>
      </c>
      <c r="BX13">
        <v>115</v>
      </c>
      <c r="BY13">
        <v>3090</v>
      </c>
      <c r="BZ13">
        <v>0</v>
      </c>
      <c r="CA13">
        <v>0</v>
      </c>
      <c r="CB13">
        <v>0</v>
      </c>
      <c r="CC13">
        <v>0</v>
      </c>
      <c r="CD13">
        <v>0</v>
      </c>
      <c r="CE13">
        <v>0</v>
      </c>
      <c r="CF13">
        <v>0</v>
      </c>
      <c r="CG13">
        <v>0</v>
      </c>
      <c r="CH13">
        <v>0</v>
      </c>
      <c r="CI13">
        <v>0</v>
      </c>
      <c r="CJ13">
        <v>0</v>
      </c>
      <c r="CK13">
        <v>0</v>
      </c>
      <c r="CL13">
        <v>1</v>
      </c>
      <c r="CM13">
        <v>0</v>
      </c>
    </row>
    <row r="14" spans="1:91" x14ac:dyDescent="0.25">
      <c r="A14" t="str">
        <v>Model?</v>
      </c>
      <c r="B14" t="s">
        <v>868</v>
      </c>
      <c r="C14" t="b">
        <v>0</v>
      </c>
      <c r="D14" t="s">
        <v>781</v>
      </c>
      <c r="G14" t="s">
        <v>1695</v>
      </c>
      <c r="J14" t="str">
        <v/>
      </c>
      <c r="K14" t="str">
        <v/>
      </c>
      <c r="L14" t="str">
        <v/>
      </c>
      <c r="O14" t="str">
        <v/>
      </c>
      <c r="S14" t="str">
        <v>Model Year: 80</v>
      </c>
      <c r="T14" s="14">
        <v>0.36139628740230562</v>
      </c>
      <c r="U14" s="14">
        <v>0.31558473573743556</v>
      </c>
      <c r="V14" s="14">
        <v>3.4178672534749865</v>
      </c>
      <c r="W14" s="14">
        <v>9.7314413233530814</v>
      </c>
      <c r="X14" s="14">
        <v>1.7564955677455198</v>
      </c>
      <c r="Y14" s="14">
        <v>0.5693154132370003</v>
      </c>
      <c r="AA14" s="20"/>
      <c r="AB14" s="3" t="s">
        <v>620</v>
      </c>
      <c r="AC14" s="3" t="s">
        <v>621</v>
      </c>
      <c r="AD14" s="3" t="s">
        <v>622</v>
      </c>
      <c r="AE14" s="3" t="s">
        <v>623</v>
      </c>
      <c r="AF14" s="22" t="s">
        <v>563</v>
      </c>
      <c r="AJ14" s="9" t="s">
        <v>1614</v>
      </c>
      <c r="AK14" s="10" cm="1">
        <f t="array" ref="AK14">Group_Count_At(Prediction_Group_Column(),$AK$12,Sample_Include())</f>
        <v>392</v>
      </c>
      <c r="AL14" s="36"/>
      <c r="AN14" t="str">
        <v>plymouth 'cuda 340</v>
      </c>
      <c r="AO14" s="7">
        <v>14</v>
      </c>
      <c r="AP14" s="7">
        <v>15.819833158238129</v>
      </c>
      <c r="AQ14" s="7">
        <v>-1.8198331582381293</v>
      </c>
      <c r="AR14" s="7">
        <v>3.5380032445534768E-2</v>
      </c>
      <c r="AS14" s="7">
        <v>-0.60409084446562589</v>
      </c>
      <c r="AT14" s="7">
        <v>7.8733138753291087E-4</v>
      </c>
      <c r="AU14" s="7">
        <v>-2.0720014483779297</v>
      </c>
      <c r="AV14" s="7">
        <v>-1.9076726580567798</v>
      </c>
      <c r="AW14" s="7">
        <v>0.77723281226774377</v>
      </c>
      <c r="AX14" s="7">
        <v>-1.8865804352483262</v>
      </c>
      <c r="AY14" s="7" t="e">
        <v>#N/A</v>
      </c>
      <c r="AZ14" s="7">
        <v>15.819833158238129</v>
      </c>
      <c r="BA14" s="7">
        <v>-1.8198331582381293</v>
      </c>
      <c r="BU14" t="b">
        <v>0</v>
      </c>
      <c r="BW14">
        <v>1</v>
      </c>
      <c r="BX14">
        <v>165</v>
      </c>
      <c r="BY14">
        <v>4142</v>
      </c>
      <c r="BZ14">
        <v>0</v>
      </c>
      <c r="CA14">
        <v>0</v>
      </c>
      <c r="CB14">
        <v>0</v>
      </c>
      <c r="CC14">
        <v>0</v>
      </c>
      <c r="CD14">
        <v>0</v>
      </c>
      <c r="CE14">
        <v>0</v>
      </c>
      <c r="CF14">
        <v>0</v>
      </c>
      <c r="CG14">
        <v>0</v>
      </c>
      <c r="CH14">
        <v>0</v>
      </c>
      <c r="CI14">
        <v>0</v>
      </c>
      <c r="CJ14">
        <v>0</v>
      </c>
      <c r="CK14">
        <v>0</v>
      </c>
      <c r="CL14">
        <v>0</v>
      </c>
      <c r="CM14">
        <v>1</v>
      </c>
    </row>
    <row r="15" spans="1:91" x14ac:dyDescent="0.25">
      <c r="A15" t="str">
        <v>Full_Data</v>
      </c>
      <c r="B15" t="s">
        <v>868</v>
      </c>
      <c r="C15" t="b">
        <v>0</v>
      </c>
      <c r="D15" t="s">
        <v>781</v>
      </c>
      <c r="G15" t="s">
        <v>1695</v>
      </c>
      <c r="J15" t="str">
        <v/>
      </c>
      <c r="K15" t="str">
        <v/>
      </c>
      <c r="L15" t="str">
        <v/>
      </c>
      <c r="O15" t="str">
        <v/>
      </c>
      <c r="S15" t="str">
        <v>Model Year: 81</v>
      </c>
      <c r="T15" s="14">
        <v>0.23980398783122645</v>
      </c>
      <c r="U15" s="14">
        <v>0.24784721421231187</v>
      </c>
      <c r="V15" s="14">
        <v>3.3409992263809842</v>
      </c>
      <c r="W15" s="14">
        <v>9.2092362452655472</v>
      </c>
      <c r="X15" s="14">
        <v>1.7564955677455198</v>
      </c>
      <c r="Y15" s="14">
        <v>0.5693154132370003</v>
      </c>
      <c r="AA15" s="8" t="s">
        <v>624</v>
      </c>
      <c r="AB15" s="40" cm="1">
        <f t="array" ref="AB15">Regression_Degrees_Of_Freedom(Design_Columns(),Fit_Context())</f>
        <v>16</v>
      </c>
      <c r="AC15" s="41" cm="1">
        <f t="array" ref="AC15">SS_Regression(Design_Columns(),Design_Response(),Sample_Include(),Fit_Context())</f>
        <v>20290.952168750009</v>
      </c>
      <c r="AD15" s="41" cm="1">
        <f t="array" ref="AD15">MS_Regression(Design_Columns(),Design_Response(),Sample_Include(),Fit_Context())</f>
        <v>1268.1845105468756</v>
      </c>
      <c r="AE15" s="41" cm="1">
        <f t="array" ref="AE15">F_Statistic(Design_Columns(),Design_Response(),Sample_Include(),Fit_Context())</f>
        <v>134.79694565058398</v>
      </c>
      <c r="AF15" s="23" cm="1">
        <f t="array" ref="AF15">F_Statistic_P_Value(Design_Columns(),Design_Response(),Sample_Include(),Fit_Context())</f>
        <v>1.894399831305108E-144</v>
      </c>
      <c r="AN15" t="str">
        <v>chevrolet monte carlo</v>
      </c>
      <c r="AO15" s="7">
        <v>15</v>
      </c>
      <c r="AP15" s="7">
        <v>15.212574416275793</v>
      </c>
      <c r="AQ15" s="7">
        <v>-0.21257441627579254</v>
      </c>
      <c r="AR15" s="7">
        <v>3.6838396596956549E-2</v>
      </c>
      <c r="AS15" s="7">
        <v>-7.0617155228765965E-2</v>
      </c>
      <c r="AT15" s="7">
        <v>1.1219488900917721E-5</v>
      </c>
      <c r="AU15" s="7">
        <v>-2.0720014483779297</v>
      </c>
      <c r="AV15" s="7">
        <v>-1.8200175308828732</v>
      </c>
      <c r="AW15" s="7">
        <v>0.26573888542847085</v>
      </c>
      <c r="AX15" s="7">
        <v>-0.22070482827048382</v>
      </c>
      <c r="AY15" s="7" t="e">
        <v>#N/A</v>
      </c>
      <c r="AZ15" s="7">
        <v>15.212574416275793</v>
      </c>
      <c r="BA15" s="7">
        <v>-0.21257441627579254</v>
      </c>
      <c r="BU15" t="b">
        <v>0</v>
      </c>
      <c r="BW15">
        <v>1</v>
      </c>
      <c r="BX15">
        <v>153</v>
      </c>
      <c r="BY15">
        <v>4034</v>
      </c>
      <c r="BZ15">
        <v>0</v>
      </c>
      <c r="CA15">
        <v>0</v>
      </c>
      <c r="CB15">
        <v>0</v>
      </c>
      <c r="CC15">
        <v>0</v>
      </c>
      <c r="CD15">
        <v>0</v>
      </c>
      <c r="CE15">
        <v>0</v>
      </c>
      <c r="CF15">
        <v>0</v>
      </c>
      <c r="CG15">
        <v>0</v>
      </c>
      <c r="CH15">
        <v>0</v>
      </c>
      <c r="CI15">
        <v>0</v>
      </c>
      <c r="CJ15">
        <v>0</v>
      </c>
      <c r="CK15">
        <v>0</v>
      </c>
      <c r="CL15">
        <v>0</v>
      </c>
      <c r="CM15">
        <v>1</v>
      </c>
    </row>
    <row r="16" spans="1:91" x14ac:dyDescent="0.25">
      <c r="S16" t="str">
        <v>Model Year: 82</v>
      </c>
      <c r="T16" s="14">
        <v>0.31590831958849236</v>
      </c>
      <c r="U16" s="14">
        <v>0.30945001432271285</v>
      </c>
      <c r="V16" s="14">
        <v>3.1980848073673731</v>
      </c>
      <c r="W16" s="14">
        <v>8.2699143284056937</v>
      </c>
      <c r="X16" s="14">
        <v>1.7564955677455198</v>
      </c>
      <c r="Y16" s="14">
        <v>0.5693154132370003</v>
      </c>
      <c r="AA16" s="8" t="s">
        <v>625</v>
      </c>
      <c r="AB16" s="40" cm="1">
        <f t="array" ref="AB16">Residual_Degrees_Of_Freedom(Design_Columns(),Design_Response(),Sample_Include(),Fit_Context())</f>
        <v>375</v>
      </c>
      <c r="AC16" s="41" cm="1">
        <f t="array" ref="AC16">SS_Residual(Design_Columns(),Design_Response(),Sample_Include())</f>
        <v>3528.0413006377198</v>
      </c>
      <c r="AD16" s="41" cm="1">
        <f t="array" ref="AD16">MS_Residual(Design_Columns(),Design_Response(),Sample_Include(),Fit_Context())</f>
        <v>9.4081101350339189</v>
      </c>
      <c r="AF16" s="24"/>
      <c r="AJ16" s="4" t="s">
        <v>639</v>
      </c>
      <c r="AN16" t="str">
        <v>buick estate wagon (sw)</v>
      </c>
      <c r="AO16" s="7">
        <v>14</v>
      </c>
      <c r="AP16" s="7">
        <v>17.41257600996402</v>
      </c>
      <c r="AQ16" s="7">
        <v>-3.4125760099640203</v>
      </c>
      <c r="AR16" s="7">
        <v>0.11212017961465819</v>
      </c>
      <c r="AS16" s="7">
        <v>-1.1807393696594861</v>
      </c>
      <c r="AT16" s="7">
        <v>1.0355921898592794E-2</v>
      </c>
      <c r="AU16" s="7">
        <v>-1.8192221095957348</v>
      </c>
      <c r="AV16" s="7">
        <v>-1.7231986194513158</v>
      </c>
      <c r="AW16" s="7">
        <v>1.0866183182974076</v>
      </c>
      <c r="AX16" s="7">
        <v>-3.8435111730357319</v>
      </c>
      <c r="AY16" s="7">
        <v>1.0355921898592794E-2</v>
      </c>
      <c r="AZ16" s="7">
        <v>17.41257600996402</v>
      </c>
      <c r="BA16" s="7">
        <v>-3.4125760099640203</v>
      </c>
      <c r="BU16" t="b">
        <v>0</v>
      </c>
      <c r="BW16">
        <v>1</v>
      </c>
      <c r="BX16">
        <v>175</v>
      </c>
      <c r="BY16">
        <v>4166</v>
      </c>
      <c r="BZ16">
        <v>0</v>
      </c>
      <c r="CA16">
        <v>0</v>
      </c>
      <c r="CB16">
        <v>0</v>
      </c>
      <c r="CC16">
        <v>0</v>
      </c>
      <c r="CD16">
        <v>0</v>
      </c>
      <c r="CE16">
        <v>0</v>
      </c>
      <c r="CF16">
        <v>0</v>
      </c>
      <c r="CG16">
        <v>0</v>
      </c>
      <c r="CH16">
        <v>0</v>
      </c>
      <c r="CI16">
        <v>0</v>
      </c>
      <c r="CJ16">
        <v>0</v>
      </c>
      <c r="CK16">
        <v>0</v>
      </c>
      <c r="CL16">
        <v>0</v>
      </c>
      <c r="CM16">
        <v>1</v>
      </c>
    </row>
    <row r="17" spans="19:91" x14ac:dyDescent="0.25">
      <c r="S17" t="str">
        <v>Origin: Europe</v>
      </c>
      <c r="T17" s="14">
        <v>0.24431250098438828</v>
      </c>
      <c r="U17" s="14">
        <v>0.25335011992922324</v>
      </c>
      <c r="V17" s="14">
        <v>1.7313298190542106</v>
      </c>
      <c r="W17" s="14">
        <v>1.0025921775707793</v>
      </c>
      <c r="X17" s="14">
        <v>1.8119606956111629</v>
      </c>
      <c r="Y17" s="14">
        <v>0.55188835079157517</v>
      </c>
      <c r="AA17" s="9" t="s">
        <v>626</v>
      </c>
      <c r="AB17" s="10" cm="1">
        <f t="array" ref="AB17">Total_Degrees_Of_Freedom(Design_Response(),Sample_Include(),Fit_Context())</f>
        <v>391</v>
      </c>
      <c r="AC17" s="21" cm="1">
        <f t="array" ref="AC17">SS_Total(Design_Columns(),Design_Response(),Sample_Include(),Fit_Context())</f>
        <v>23818.993469387729</v>
      </c>
      <c r="AD17" s="15"/>
      <c r="AE17" s="15"/>
      <c r="AF17" s="25"/>
      <c r="AJ17" s="3" t="s">
        <v>640</v>
      </c>
      <c r="AK17" s="3" t="s">
        <v>641</v>
      </c>
      <c r="AL17" s="30" t="s">
        <v>802</v>
      </c>
      <c r="AN17" t="str">
        <v>toyota corona mark ii</v>
      </c>
      <c r="AO17" s="7">
        <v>24</v>
      </c>
      <c r="AP17" s="7">
        <v>25.198456840216696</v>
      </c>
      <c r="AQ17" s="7">
        <v>-1.1984568402166964</v>
      </c>
      <c r="AR17" s="7">
        <v>5.4985468923604633E-2</v>
      </c>
      <c r="AS17" s="7">
        <v>-0.40193142131392123</v>
      </c>
      <c r="AT17" s="7">
        <v>5.5292272908018377E-4</v>
      </c>
      <c r="AU17" s="7">
        <v>-1.8192221095957348</v>
      </c>
      <c r="AV17" s="7">
        <v>-1.6897180627740633</v>
      </c>
      <c r="AW17" s="7">
        <v>0.63398061588184318</v>
      </c>
      <c r="AX17" s="7">
        <v>-1.2681887958395983</v>
      </c>
      <c r="AY17" s="7" t="e">
        <v>#N/A</v>
      </c>
      <c r="AZ17" s="7">
        <v>25.198456840216696</v>
      </c>
      <c r="BA17" s="7">
        <v>-1.1984568402166964</v>
      </c>
      <c r="BU17" t="b">
        <v>0</v>
      </c>
      <c r="BW17">
        <v>1</v>
      </c>
      <c r="BX17">
        <v>175</v>
      </c>
      <c r="BY17">
        <v>3850</v>
      </c>
      <c r="BZ17">
        <v>0</v>
      </c>
      <c r="CA17">
        <v>0</v>
      </c>
      <c r="CB17">
        <v>0</v>
      </c>
      <c r="CC17">
        <v>0</v>
      </c>
      <c r="CD17">
        <v>0</v>
      </c>
      <c r="CE17">
        <v>0</v>
      </c>
      <c r="CF17">
        <v>0</v>
      </c>
      <c r="CG17">
        <v>0</v>
      </c>
      <c r="CH17">
        <v>0</v>
      </c>
      <c r="CI17">
        <v>0</v>
      </c>
      <c r="CJ17">
        <v>0</v>
      </c>
      <c r="CK17">
        <v>0</v>
      </c>
      <c r="CL17">
        <v>0</v>
      </c>
      <c r="CM17">
        <v>1</v>
      </c>
    </row>
    <row r="18" spans="19:91" x14ac:dyDescent="0.25">
      <c r="S18" t="str">
        <v>Origin: US</v>
      </c>
      <c r="T18" s="14">
        <v>-0.56516059345508451</v>
      </c>
      <c r="U18" s="14">
        <v>-0.57164212784882285</v>
      </c>
      <c r="V18" s="14">
        <v>-0.51838350203589245</v>
      </c>
      <c r="W18" s="14">
        <v>-1.7401832443477745</v>
      </c>
      <c r="X18" s="14">
        <v>1.8119606956111629</v>
      </c>
      <c r="Y18" s="14">
        <v>0.55188835079157517</v>
      </c>
      <c r="AN18" t="str">
        <v>plymouth duster</v>
      </c>
      <c r="AO18" s="7">
        <v>22</v>
      </c>
      <c r="AP18" s="7">
        <v>20.804329496548888</v>
      </c>
      <c r="AQ18" s="7">
        <v>1.1956705034511117</v>
      </c>
      <c r="AR18" s="7">
        <v>4.8771107501306768E-2</v>
      </c>
      <c r="AS18" s="7">
        <v>0.39968495672632448</v>
      </c>
      <c r="AT18" s="7">
        <v>4.8179719659592206E-4</v>
      </c>
      <c r="AU18" s="7">
        <v>-1.8192221095957348</v>
      </c>
      <c r="AV18" s="7">
        <v>-1.6852434476538738</v>
      </c>
      <c r="AW18" s="7">
        <v>0.63220641939664335</v>
      </c>
      <c r="AX18" s="7">
        <v>1.2569745440661688</v>
      </c>
      <c r="AY18" s="7" t="e">
        <v>#N/A</v>
      </c>
      <c r="AZ18" s="7">
        <v>20.804329496548888</v>
      </c>
      <c r="BA18" s="7">
        <v>1.1956705034511117</v>
      </c>
      <c r="BU18" t="b">
        <v>1</v>
      </c>
      <c r="BW18">
        <v>1</v>
      </c>
      <c r="BX18">
        <v>170</v>
      </c>
      <c r="BY18">
        <v>3563</v>
      </c>
      <c r="BZ18">
        <v>0</v>
      </c>
      <c r="CA18">
        <v>0</v>
      </c>
      <c r="CB18">
        <v>0</v>
      </c>
      <c r="CC18">
        <v>0</v>
      </c>
      <c r="CD18">
        <v>0</v>
      </c>
      <c r="CE18">
        <v>0</v>
      </c>
      <c r="CF18">
        <v>0</v>
      </c>
      <c r="CG18">
        <v>0</v>
      </c>
      <c r="CH18">
        <v>0</v>
      </c>
      <c r="CI18">
        <v>0</v>
      </c>
      <c r="CJ18">
        <v>0</v>
      </c>
      <c r="CK18">
        <v>0</v>
      </c>
      <c r="CL18">
        <v>0</v>
      </c>
      <c r="CM18">
        <v>1</v>
      </c>
    </row>
    <row r="19" spans="19:91" x14ac:dyDescent="0.25">
      <c r="T19" s="14"/>
      <c r="U19" s="14"/>
      <c r="V19" s="14"/>
      <c r="W19" s="14"/>
      <c r="X19" s="14"/>
      <c r="Y19" s="14"/>
      <c r="AA19" s="4" t="s">
        <v>627</v>
      </c>
      <c r="AJ19" t="str" cm="1">
        <f t="array" ref="AJ19:AJ34">TRANSPOSE(Constructed_Column_Names())</f>
        <v>Horsepower</v>
      </c>
      <c r="AK19" s="17" cm="1">
        <f t="array" ref="AK19">IF(ROW()-18&lt;=IFERROR(ROWS(_xlfn.ANCHORARRAY($AL$19)),0),INDEX(_xlfn.ANCHORARRAY($AL$19),ROW()-18),"")</f>
        <v>104.46938775510205</v>
      </c>
      <c r="AL19" s="7" cm="1">
        <f t="array" ref="AL19:AL34">IFERROR(TRANSPOSE(_xlfn.LET(_xlpm.m,_xlfn.BYCOL(_xlfn._xlws.FILTER(Predictor_Columns(),Sample_Include()),_xlfn.LAMBDA(_xlpm.c,AVERAGE(_xlpm.c))),_xlpm.t,Constructed_Column_Transforms(),IF(_xlpm.t="Log",EXP(_xlpm.m),_xlpm.m))),"")</f>
        <v>104.46938775510205</v>
      </c>
      <c r="AN19" t="str">
        <v>amc hornet</v>
      </c>
      <c r="AO19" s="7">
        <v>18</v>
      </c>
      <c r="AP19" s="7">
        <v>21.070591899933689</v>
      </c>
      <c r="AQ19" s="7">
        <v>-3.0705918999336888</v>
      </c>
      <c r="AR19" s="7">
        <v>4.695010427724941E-2</v>
      </c>
      <c r="AS19" s="7">
        <v>-1.0254466826344708</v>
      </c>
      <c r="AT19" s="7">
        <v>3.0471804305154848E-3</v>
      </c>
      <c r="AU19" s="7">
        <v>-1.8192221095957348</v>
      </c>
      <c r="AV19" s="7">
        <v>-1.6746439809266791</v>
      </c>
      <c r="AW19" s="7">
        <v>1.0126434133664579</v>
      </c>
      <c r="AX19" s="7">
        <v>-3.2218584921045386</v>
      </c>
      <c r="AY19" s="7" t="e">
        <v>#N/A</v>
      </c>
      <c r="AZ19" s="7">
        <v>21.070591899933689</v>
      </c>
      <c r="BA19" s="7">
        <v>-3.0705918999336888</v>
      </c>
      <c r="BU19" t="b">
        <v>1</v>
      </c>
      <c r="BW19">
        <v>1</v>
      </c>
      <c r="BX19">
        <v>160</v>
      </c>
      <c r="BY19">
        <v>3609</v>
      </c>
      <c r="BZ19">
        <v>0</v>
      </c>
      <c r="CA19">
        <v>0</v>
      </c>
      <c r="CB19">
        <v>0</v>
      </c>
      <c r="CC19">
        <v>0</v>
      </c>
      <c r="CD19">
        <v>0</v>
      </c>
      <c r="CE19">
        <v>0</v>
      </c>
      <c r="CF19">
        <v>0</v>
      </c>
      <c r="CG19">
        <v>0</v>
      </c>
      <c r="CH19">
        <v>0</v>
      </c>
      <c r="CI19">
        <v>0</v>
      </c>
      <c r="CJ19">
        <v>0</v>
      </c>
      <c r="CK19">
        <v>0</v>
      </c>
      <c r="CL19">
        <v>0</v>
      </c>
      <c r="CM19">
        <v>1</v>
      </c>
    </row>
    <row r="20" spans="19:91" x14ac:dyDescent="0.25">
      <c r="T20" s="14"/>
      <c r="U20" s="14"/>
      <c r="V20" s="14"/>
      <c r="W20" s="14"/>
      <c r="X20" s="14"/>
      <c r="Y20" s="14"/>
      <c r="AA20" s="3"/>
      <c r="AB20" s="3" t="s">
        <v>61</v>
      </c>
      <c r="AC20" s="3" t="s">
        <v>628</v>
      </c>
      <c r="AD20" s="3" t="s">
        <v>629</v>
      </c>
      <c r="AE20" s="3" t="s">
        <v>630</v>
      </c>
      <c r="AF20" s="3" t="s">
        <v>631</v>
      </c>
      <c r="AG20" s="3" t="s">
        <v>632</v>
      </c>
      <c r="AH20" s="3" t="s">
        <v>633</v>
      </c>
      <c r="AJ20" t="str">
        <v>Weight</v>
      </c>
      <c r="AK20" s="17" cm="1">
        <f t="array" ref="AK20">IF(ROW()-18&lt;=IFERROR(ROWS(_xlfn.ANCHORARRAY($AL$19)),0),INDEX(_xlfn.ANCHORARRAY($AL$19),ROW()-18),"")</f>
        <v>2977.5841836734694</v>
      </c>
      <c r="AL20" s="7">
        <v>2977.5841836734694</v>
      </c>
      <c r="AN20" t="str">
        <v>ford maverick</v>
      </c>
      <c r="AO20" s="7">
        <v>21</v>
      </c>
      <c r="AP20" s="7">
        <v>22.212267981403013</v>
      </c>
      <c r="AQ20" s="7">
        <v>-1.2122679814030128</v>
      </c>
      <c r="AR20" s="7">
        <v>5.1942024882097544E-2</v>
      </c>
      <c r="AS20" s="7">
        <v>-0.405910223941163</v>
      </c>
      <c r="AT20" s="7">
        <v>5.3100063365983695E-4</v>
      </c>
      <c r="AU20" s="7">
        <v>-1.8192221095957348</v>
      </c>
      <c r="AV20" s="7">
        <v>-1.6319415081566548</v>
      </c>
      <c r="AW20" s="7">
        <v>0.63711084117378114</v>
      </c>
      <c r="AX20" s="7">
        <v>-1.2786854952116748</v>
      </c>
      <c r="AY20" s="7" t="e">
        <v>#N/A</v>
      </c>
      <c r="AZ20" s="7">
        <v>22.212267981403013</v>
      </c>
      <c r="BA20" s="7">
        <v>-1.2122679814030128</v>
      </c>
      <c r="BU20" t="b">
        <v>0</v>
      </c>
      <c r="BW20">
        <v>1</v>
      </c>
      <c r="BX20">
        <v>140</v>
      </c>
      <c r="BY20">
        <v>3353</v>
      </c>
      <c r="BZ20">
        <v>0</v>
      </c>
      <c r="CA20">
        <v>0</v>
      </c>
      <c r="CB20">
        <v>0</v>
      </c>
      <c r="CC20">
        <v>0</v>
      </c>
      <c r="CD20">
        <v>0</v>
      </c>
      <c r="CE20">
        <v>0</v>
      </c>
      <c r="CF20">
        <v>0</v>
      </c>
      <c r="CG20">
        <v>0</v>
      </c>
      <c r="CH20">
        <v>0</v>
      </c>
      <c r="CI20">
        <v>0</v>
      </c>
      <c r="CJ20">
        <v>0</v>
      </c>
      <c r="CK20">
        <v>0</v>
      </c>
      <c r="CL20">
        <v>0</v>
      </c>
      <c r="CM20">
        <v>1</v>
      </c>
    </row>
    <row r="21" spans="19:91" x14ac:dyDescent="0.25">
      <c r="T21" s="14"/>
      <c r="U21" s="14"/>
      <c r="V21" s="14"/>
      <c r="W21" s="14"/>
      <c r="X21" s="14"/>
      <c r="Y21" s="14"/>
      <c r="AA21" t="str" cm="1">
        <f t="array" ref="AA21:AA37">IF(Zero_Predictors_Selected(),IF(AND(Allow_Intercept,Intercept_Only_N()&gt;=1),"Intercept",NA()),IF(Allow_Intercept,_xlfn.VSTACK("Intercept",TRANSPOSE(Constructed_Column_Names())),_xlfn.VSTACK("",TRANSPOSE(Constructed_Column_Names()))))</f>
        <v>Intercept</v>
      </c>
      <c r="AB21" s="7" cm="1">
        <f t="array" ref="AB21:AB37">IF(Zero_Predictors_Selected(),IF(AND(Allow_Intercept,Intercept_Only_N()&gt;=1),Intercept_Only_Point(),NA()),IF(Allow_Intercept,Coefficients(Design_Columns(),Design_Response(),Sample_Include()),_xlfn.VSTACK("",Coefficients(Design_Columns(),Design_Response(),Sample_Include()))))</f>
        <v>38.751088282860003</v>
      </c>
      <c r="AC21" s="7" cm="1">
        <f t="array" ref="AC21:AC37">IF(Zero_Predictors_Selected(),IF(AND(Allow_Intercept,Intercept_Only_N()&gt;=2),Intercept_Only_SE(),NA()),IF(Allow_Intercept,SE_Coefficients(Design_Columns(),Design_Response(),Sample_Include(),Fit_Context()),_xlfn.VSTACK("",SE_Coefficients(Design_Columns(),Design_Response(),Sample_Include(),Fit_Context()))))</f>
        <v>0.96262804339133368</v>
      </c>
      <c r="AD21" s="7" cm="1">
        <f t="array" ref="AD21:AD37">IF(Zero_Predictors_Selected(),IF(AND(Allow_Intercept,Intercept_Only_N()&gt;=2),Intercept_Only_Point()/Intercept_Only_SE(),NA()),IF(Allow_Intercept,T_Statistics(Design_Columns(),Design_Response(),Sample_Include(),Fit_Context()),_xlfn.VSTACK("",T_Statistics(Design_Columns(),Design_Response(),Sample_Include(),Fit_Context()))))</f>
        <v>40.25551566765094</v>
      </c>
      <c r="AE21" s="19" cm="1">
        <f t="array" ref="AE21:AE37">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3.3920784770539608E-138</v>
      </c>
      <c r="AF21" s="7" cm="1">
        <f t="array" ref="AF21:AF37">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36.858262980066279</v>
      </c>
      <c r="AG21" s="7" cm="1">
        <f t="array" ref="AG21:AG37">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40.643913585653728</v>
      </c>
      <c r="AH21" s="7" t="str" cm="1">
        <f t="array" ref="AH21:AH37">IF(Zero_Predictors_Selected(),IF(Allow_Intercept,"",NA()),_xlfn.VSTACK("",Beta_Weights(Design_Columns(),Design_Response(),Sample_Include(),Fit_Context())))</f>
        <v/>
      </c>
      <c r="AJ21" t="str">
        <v>Model Year: 71</v>
      </c>
      <c r="AK21" s="17" cm="1">
        <f t="array" ref="AK21">IF(ROW()-18&lt;=IFERROR(ROWS(_xlfn.ANCHORARRAY($AL$19)),0),INDEX(_xlfn.ANCHORARRAY($AL$19),ROW()-18),"")</f>
        <v>6.8877551020408156E-2</v>
      </c>
      <c r="AL21" s="7">
        <v>6.8877551020408156E-2</v>
      </c>
      <c r="AN21" t="str">
        <v>datsun pl510</v>
      </c>
      <c r="AO21" s="7">
        <v>27</v>
      </c>
      <c r="AP21" s="7">
        <v>26.53743279074973</v>
      </c>
      <c r="AQ21" s="7">
        <v>0.46256720925027039</v>
      </c>
      <c r="AR21" s="7">
        <v>5.5009922789087756E-2</v>
      </c>
      <c r="AS21" s="7">
        <v>0.15513508303134854</v>
      </c>
      <c r="AT21" s="7">
        <v>8.2410948129205415E-5</v>
      </c>
      <c r="AU21" s="7">
        <v>-1.8192221095957348</v>
      </c>
      <c r="AV21" s="7">
        <v>-1.6266867098316871</v>
      </c>
      <c r="AW21" s="7">
        <v>0.39387191196040944</v>
      </c>
      <c r="AX21" s="7">
        <v>0.48949425015711573</v>
      </c>
      <c r="AY21" s="7" t="e">
        <v>#N/A</v>
      </c>
      <c r="AZ21" s="7">
        <v>26.53743279074973</v>
      </c>
      <c r="BA21" s="7">
        <v>0.46256720925027039</v>
      </c>
      <c r="BU21" t="b">
        <v>1</v>
      </c>
      <c r="BW21">
        <v>1</v>
      </c>
      <c r="BX21">
        <v>150</v>
      </c>
      <c r="BY21">
        <v>3761</v>
      </c>
      <c r="BZ21">
        <v>0</v>
      </c>
      <c r="CA21">
        <v>0</v>
      </c>
      <c r="CB21">
        <v>0</v>
      </c>
      <c r="CC21">
        <v>0</v>
      </c>
      <c r="CD21">
        <v>0</v>
      </c>
      <c r="CE21">
        <v>0</v>
      </c>
      <c r="CF21">
        <v>0</v>
      </c>
      <c r="CG21">
        <v>0</v>
      </c>
      <c r="CH21">
        <v>0</v>
      </c>
      <c r="CI21">
        <v>0</v>
      </c>
      <c r="CJ21">
        <v>0</v>
      </c>
      <c r="CK21">
        <v>0</v>
      </c>
      <c r="CL21">
        <v>0</v>
      </c>
      <c r="CM21">
        <v>1</v>
      </c>
    </row>
    <row r="22" spans="19:91" x14ac:dyDescent="0.25">
      <c r="T22" s="14"/>
      <c r="U22" s="14"/>
      <c r="V22" s="14"/>
      <c r="W22" s="14"/>
      <c r="X22" s="14"/>
      <c r="Y22" s="14"/>
      <c r="AA22" t="str">
        <v>Horsepower</v>
      </c>
      <c r="AB22" s="7">
        <v>-1.6236431953541006E-2</v>
      </c>
      <c r="AC22" s="7">
        <v>9.4977391629896529E-3</v>
      </c>
      <c r="AD22" s="7">
        <v>-1.7095049332171994</v>
      </c>
      <c r="AE22" s="19">
        <v>8.8184727145770081E-2</v>
      </c>
      <c r="AF22" s="7">
        <v>-3.4911932974378557E-2</v>
      </c>
      <c r="AG22" s="7">
        <v>2.4390690672965419E-3</v>
      </c>
      <c r="AH22" s="7">
        <v>-8.0071556643276892E-2</v>
      </c>
      <c r="AJ22" t="str">
        <v>Model Year: 72</v>
      </c>
      <c r="AK22" s="17" cm="1">
        <f t="array" ref="AK22">IF(ROW()-18&lt;=IFERROR(ROWS(_xlfn.ANCHORARRAY($AL$19)),0),INDEX(_xlfn.ANCHORARRAY($AL$19),ROW()-18),"")</f>
        <v>7.1428571428571425E-2</v>
      </c>
      <c r="AL22" s="7">
        <v>7.1428571428571425E-2</v>
      </c>
      <c r="AN22" t="str">
        <v>volkswagen 1131 deluxe sedan</v>
      </c>
      <c r="AO22" s="7">
        <v>26</v>
      </c>
      <c r="AP22" s="7">
        <v>28.591062427308046</v>
      </c>
      <c r="AQ22" s="7">
        <v>-2.5910624273080458</v>
      </c>
      <c r="AR22" s="7">
        <v>6.8142656866106793E-2</v>
      </c>
      <c r="AS22" s="7">
        <v>-0.87508847543409352</v>
      </c>
      <c r="AT22" s="7">
        <v>3.2940079133686553E-3</v>
      </c>
      <c r="AU22" s="7">
        <v>-1.8192221095957348</v>
      </c>
      <c r="AV22" s="7">
        <v>-1.6263684665199458</v>
      </c>
      <c r="AW22" s="7">
        <v>0.93546163760685208</v>
      </c>
      <c r="AX22" s="7">
        <v>-2.7805355040656163</v>
      </c>
      <c r="AY22" s="7" t="e">
        <v>#N/A</v>
      </c>
      <c r="AZ22" s="7">
        <v>28.591062427308046</v>
      </c>
      <c r="BA22" s="7">
        <v>-2.5910624273080458</v>
      </c>
      <c r="BU22" t="b">
        <v>1</v>
      </c>
      <c r="BW22">
        <v>1</v>
      </c>
      <c r="BX22">
        <v>225</v>
      </c>
      <c r="BY22">
        <v>3086</v>
      </c>
      <c r="BZ22">
        <v>0</v>
      </c>
      <c r="CA22">
        <v>0</v>
      </c>
      <c r="CB22">
        <v>0</v>
      </c>
      <c r="CC22">
        <v>0</v>
      </c>
      <c r="CD22">
        <v>0</v>
      </c>
      <c r="CE22">
        <v>0</v>
      </c>
      <c r="CF22">
        <v>0</v>
      </c>
      <c r="CG22">
        <v>0</v>
      </c>
      <c r="CH22">
        <v>0</v>
      </c>
      <c r="CI22">
        <v>0</v>
      </c>
      <c r="CJ22">
        <v>0</v>
      </c>
      <c r="CK22">
        <v>0</v>
      </c>
      <c r="CL22">
        <v>0</v>
      </c>
      <c r="CM22">
        <v>1</v>
      </c>
    </row>
    <row r="23" spans="19:91" x14ac:dyDescent="0.25">
      <c r="T23" s="14"/>
      <c r="U23" s="14"/>
      <c r="V23" s="14"/>
      <c r="W23" s="14"/>
      <c r="X23" s="14"/>
      <c r="Y23" s="14"/>
      <c r="AA23" t="str">
        <v>Weight</v>
      </c>
      <c r="AB23" s="7">
        <v>-5.0633096151167433E-3</v>
      </c>
      <c r="AC23" s="7">
        <v>4.3671065291282237E-4</v>
      </c>
      <c r="AD23" s="7">
        <v>-11.594197625693134</v>
      </c>
      <c r="AE23" s="19">
        <v>8.9955160626724949E-27</v>
      </c>
      <c r="AF23" s="7">
        <v>-5.9220182092698812E-3</v>
      </c>
      <c r="AG23" s="7">
        <v>-4.2046010209636055E-3</v>
      </c>
      <c r="AH23" s="7">
        <v>-0.55102934324785413</v>
      </c>
      <c r="AJ23" t="str">
        <v>Model Year: 73</v>
      </c>
      <c r="AK23" s="17" cm="1">
        <f t="array" ref="AK23">IF(ROW()-18&lt;=IFERROR(ROWS(_xlfn.ANCHORARRAY($AL$19)),0),INDEX(_xlfn.ANCHORARRAY($AL$19),ROW()-18),"")</f>
        <v>0.10204081632653061</v>
      </c>
      <c r="AL23" s="7">
        <v>0.10204081632653061</v>
      </c>
      <c r="AN23" t="str">
        <v>peugeot 504</v>
      </c>
      <c r="AO23" s="7">
        <v>25</v>
      </c>
      <c r="AP23" s="7">
        <v>23.687378569360146</v>
      </c>
      <c r="AQ23" s="7">
        <v>1.3126214306398545</v>
      </c>
      <c r="AR23" s="7">
        <v>5.7444350257130856E-2</v>
      </c>
      <c r="AS23" s="7">
        <v>0.44079310612391331</v>
      </c>
      <c r="AT23" s="7">
        <v>6.965639377163323E-4</v>
      </c>
      <c r="AU23" s="7">
        <v>-1.8192221095957348</v>
      </c>
      <c r="AV23" s="7">
        <v>-1.52686927997236</v>
      </c>
      <c r="AW23" s="7">
        <v>0.66392251515061107</v>
      </c>
      <c r="AX23" s="7">
        <v>1.3926195562012067</v>
      </c>
      <c r="AY23" s="7" t="e">
        <v>#N/A</v>
      </c>
      <c r="AZ23" s="7">
        <v>23.687378569360146</v>
      </c>
      <c r="BA23" s="7">
        <v>1.3126214306398545</v>
      </c>
      <c r="BU23" t="b">
        <v>1</v>
      </c>
      <c r="BW23">
        <v>1</v>
      </c>
      <c r="BX23">
        <v>95</v>
      </c>
      <c r="BY23">
        <v>2372</v>
      </c>
      <c r="BZ23">
        <v>0</v>
      </c>
      <c r="CA23">
        <v>0</v>
      </c>
      <c r="CB23">
        <v>0</v>
      </c>
      <c r="CC23">
        <v>0</v>
      </c>
      <c r="CD23">
        <v>0</v>
      </c>
      <c r="CE23">
        <v>0</v>
      </c>
      <c r="CF23">
        <v>0</v>
      </c>
      <c r="CG23">
        <v>0</v>
      </c>
      <c r="CH23">
        <v>0</v>
      </c>
      <c r="CI23">
        <v>0</v>
      </c>
      <c r="CJ23">
        <v>0</v>
      </c>
      <c r="CK23">
        <v>0</v>
      </c>
      <c r="CL23">
        <v>0</v>
      </c>
      <c r="CM23">
        <v>0</v>
      </c>
    </row>
    <row r="24" spans="19:91" x14ac:dyDescent="0.25">
      <c r="T24" s="14"/>
      <c r="U24" s="14"/>
      <c r="V24" s="14"/>
      <c r="W24" s="14"/>
      <c r="X24" s="14"/>
      <c r="Y24" s="14"/>
      <c r="AA24" t="str">
        <v>Model Year: 71</v>
      </c>
      <c r="AB24" s="7">
        <v>0.91041019458284311</v>
      </c>
      <c r="AC24" s="7">
        <v>0.86700620491109759</v>
      </c>
      <c r="AD24" s="7">
        <v>1.0500619135432787</v>
      </c>
      <c r="AE24" s="19">
        <v>0.2943658787707521</v>
      </c>
      <c r="AF24" s="7">
        <v>-0.79439291561258596</v>
      </c>
      <c r="AG24" s="7">
        <v>2.6152133047782722</v>
      </c>
      <c r="AH24" s="7">
        <v>2.9577447376242554E-2</v>
      </c>
      <c r="AJ24" t="str">
        <v>Model Year: 74</v>
      </c>
      <c r="AK24" s="17" cm="1">
        <f t="array" ref="AK24">IF(ROW()-18&lt;=IFERROR(ROWS(_xlfn.ANCHORARRAY($AL$19)),0),INDEX(_xlfn.ANCHORARRAY($AL$19),ROW()-18),"")</f>
        <v>6.6326530612244902E-2</v>
      </c>
      <c r="AL24" s="7">
        <v>6.6326530612244902E-2</v>
      </c>
      <c r="AN24" t="str">
        <v>audi 100 ls</v>
      </c>
      <c r="AO24" s="7">
        <v>24</v>
      </c>
      <c r="AP24" s="7">
        <v>24.863990200357772</v>
      </c>
      <c r="AQ24" s="7">
        <v>-0.86399020035777241</v>
      </c>
      <c r="AR24" s="7">
        <v>5.1568524658183831E-2</v>
      </c>
      <c r="AS24" s="7">
        <v>-0.28923752793395507</v>
      </c>
      <c r="AT24" s="7">
        <v>2.6757104145412716E-4</v>
      </c>
      <c r="AU24" s="7">
        <v>-1.8192221095957348</v>
      </c>
      <c r="AV24" s="7">
        <v>-1.5175419689962215</v>
      </c>
      <c r="AW24" s="7">
        <v>0.53780807723011659</v>
      </c>
      <c r="AX24" s="7">
        <v>-0.91096744764442683</v>
      </c>
      <c r="AY24" s="7" t="e">
        <v>#N/A</v>
      </c>
      <c r="AZ24" s="7">
        <v>24.863990200357772</v>
      </c>
      <c r="BA24" s="7">
        <v>-0.86399020035777241</v>
      </c>
      <c r="BU24" t="b">
        <v>1</v>
      </c>
      <c r="BW24">
        <v>1</v>
      </c>
      <c r="BX24">
        <v>95</v>
      </c>
      <c r="BY24">
        <v>2833</v>
      </c>
      <c r="BZ24">
        <v>0</v>
      </c>
      <c r="CA24">
        <v>0</v>
      </c>
      <c r="CB24">
        <v>0</v>
      </c>
      <c r="CC24">
        <v>0</v>
      </c>
      <c r="CD24">
        <v>0</v>
      </c>
      <c r="CE24">
        <v>0</v>
      </c>
      <c r="CF24">
        <v>0</v>
      </c>
      <c r="CG24">
        <v>0</v>
      </c>
      <c r="CH24">
        <v>0</v>
      </c>
      <c r="CI24">
        <v>0</v>
      </c>
      <c r="CJ24">
        <v>0</v>
      </c>
      <c r="CK24">
        <v>0</v>
      </c>
      <c r="CL24">
        <v>0</v>
      </c>
      <c r="CM24">
        <v>1</v>
      </c>
    </row>
    <row r="25" spans="19:91" x14ac:dyDescent="0.25">
      <c r="T25" s="14"/>
      <c r="U25" s="14"/>
      <c r="V25" s="14"/>
      <c r="W25" s="14"/>
      <c r="X25" s="14"/>
      <c r="Y25" s="14"/>
      <c r="AA25" t="str">
        <v>Model Year: 72</v>
      </c>
      <c r="AB25" s="7">
        <v>-0.3459517399592682</v>
      </c>
      <c r="AC25" s="7">
        <v>0.84392497453951787</v>
      </c>
      <c r="AD25" s="7">
        <v>-0.40993186645298002</v>
      </c>
      <c r="AE25" s="19">
        <v>0.68209000766578209</v>
      </c>
      <c r="AF25" s="7">
        <v>-2.0053699923512389</v>
      </c>
      <c r="AG25" s="7">
        <v>1.3134665124327025</v>
      </c>
      <c r="AH25" s="7">
        <v>-1.1429848936236074E-2</v>
      </c>
      <c r="AJ25" t="str">
        <v>Model Year: 75</v>
      </c>
      <c r="AK25" s="17" cm="1">
        <f t="array" ref="AK25">IF(ROW()-18&lt;=IFERROR(ROWS(_xlfn.ANCHORARRAY($AL$19)),0),INDEX(_xlfn.ANCHORARRAY($AL$19),ROW()-18),"")</f>
        <v>7.6530612244897961E-2</v>
      </c>
      <c r="AL25" s="7">
        <v>7.6530612244897961E-2</v>
      </c>
      <c r="AN25" t="str">
        <v>saab 99e</v>
      </c>
      <c r="AO25" s="7">
        <v>25</v>
      </c>
      <c r="AP25" s="7">
        <v>25.061290069421496</v>
      </c>
      <c r="AQ25" s="7">
        <v>-6.129006942149573E-2</v>
      </c>
      <c r="AR25" s="7">
        <v>4.9464537797579741E-2</v>
      </c>
      <c r="AS25" s="7">
        <v>-2.049532242537162E-2</v>
      </c>
      <c r="AT25" s="7">
        <v>1.2858378920081555E-6</v>
      </c>
      <c r="AU25" s="7">
        <v>-1.8192221095957348</v>
      </c>
      <c r="AV25" s="7">
        <v>-1.4769363323181779</v>
      </c>
      <c r="AW25" s="7">
        <v>0.14316187490170565</v>
      </c>
      <c r="AX25" s="7">
        <v>-6.4479519027606541E-2</v>
      </c>
      <c r="AY25" s="7" t="e">
        <v>#N/A</v>
      </c>
      <c r="AZ25" s="7">
        <v>25.061290069421496</v>
      </c>
      <c r="BA25" s="7">
        <v>-6.129006942149573E-2</v>
      </c>
      <c r="BU25" t="b">
        <v>1</v>
      </c>
      <c r="BW25">
        <v>1</v>
      </c>
      <c r="BX25">
        <v>97</v>
      </c>
      <c r="BY25">
        <v>2774</v>
      </c>
      <c r="BZ25">
        <v>0</v>
      </c>
      <c r="CA25">
        <v>0</v>
      </c>
      <c r="CB25">
        <v>0</v>
      </c>
      <c r="CC25">
        <v>0</v>
      </c>
      <c r="CD25">
        <v>0</v>
      </c>
      <c r="CE25">
        <v>0</v>
      </c>
      <c r="CF25">
        <v>0</v>
      </c>
      <c r="CG25">
        <v>0</v>
      </c>
      <c r="CH25">
        <v>0</v>
      </c>
      <c r="CI25">
        <v>0</v>
      </c>
      <c r="CJ25">
        <v>0</v>
      </c>
      <c r="CK25">
        <v>0</v>
      </c>
      <c r="CL25">
        <v>0</v>
      </c>
      <c r="CM25">
        <v>1</v>
      </c>
    </row>
    <row r="26" spans="19:91" x14ac:dyDescent="0.25">
      <c r="T26" s="14"/>
      <c r="U26" s="14"/>
      <c r="V26" s="14"/>
      <c r="W26" s="14"/>
      <c r="X26" s="14"/>
      <c r="Y26" s="14"/>
      <c r="AA26" t="str">
        <v>Model Year: 73</v>
      </c>
      <c r="AB26" s="7">
        <v>-0.70625405150921283</v>
      </c>
      <c r="AC26" s="7">
        <v>0.77077168235926907</v>
      </c>
      <c r="AD26" s="7">
        <v>-0.91629475715483855</v>
      </c>
      <c r="AE26" s="19">
        <v>0.36010118595545881</v>
      </c>
      <c r="AF26" s="7">
        <v>-2.2218302421910128</v>
      </c>
      <c r="AG26" s="7">
        <v>0.80932213917258711</v>
      </c>
      <c r="AH26" s="7">
        <v>-2.742568878018142E-2</v>
      </c>
      <c r="AJ26" t="str">
        <v>Model Year: 76</v>
      </c>
      <c r="AK26" s="17" cm="1">
        <f t="array" ref="AK26">IF(ROW()-18&lt;=IFERROR(ROWS(_xlfn.ANCHORARRAY($AL$19)),0),INDEX(_xlfn.ANCHORARRAY($AL$19),ROW()-18),"")</f>
        <v>8.673469387755102E-2</v>
      </c>
      <c r="AL26" s="7">
        <v>8.673469387755102E-2</v>
      </c>
      <c r="AN26" t="str">
        <v>bmw 2002</v>
      </c>
      <c r="AO26" s="7">
        <v>26</v>
      </c>
      <c r="AP26" s="7">
        <v>25.482960949989216</v>
      </c>
      <c r="AQ26" s="7">
        <v>0.51703905001078354</v>
      </c>
      <c r="AR26" s="7">
        <v>4.9413009365655451E-2</v>
      </c>
      <c r="AS26" s="7">
        <v>0.172892524355413</v>
      </c>
      <c r="AT26" s="7">
        <v>9.1401420889618149E-5</v>
      </c>
      <c r="AU26" s="7">
        <v>-1.8192221095957348</v>
      </c>
      <c r="AV26" s="7">
        <v>-1.4375278289347984</v>
      </c>
      <c r="AW26" s="7">
        <v>0.41580346842638649</v>
      </c>
      <c r="AX26" s="7">
        <v>0.54391555439418926</v>
      </c>
      <c r="AY26" s="7" t="e">
        <v>#N/A</v>
      </c>
      <c r="AZ26" s="7">
        <v>25.482960949989216</v>
      </c>
      <c r="BA26" s="7">
        <v>0.51703905001078354</v>
      </c>
      <c r="BU26" t="b">
        <v>1</v>
      </c>
      <c r="BW26">
        <v>1</v>
      </c>
      <c r="BX26">
        <v>85</v>
      </c>
      <c r="BY26">
        <v>2587</v>
      </c>
      <c r="BZ26">
        <v>0</v>
      </c>
      <c r="CA26">
        <v>0</v>
      </c>
      <c r="CB26">
        <v>0</v>
      </c>
      <c r="CC26">
        <v>0</v>
      </c>
      <c r="CD26">
        <v>0</v>
      </c>
      <c r="CE26">
        <v>0</v>
      </c>
      <c r="CF26">
        <v>0</v>
      </c>
      <c r="CG26">
        <v>0</v>
      </c>
      <c r="CH26">
        <v>0</v>
      </c>
      <c r="CI26">
        <v>0</v>
      </c>
      <c r="CJ26">
        <v>0</v>
      </c>
      <c r="CK26">
        <v>0</v>
      </c>
      <c r="CL26">
        <v>0</v>
      </c>
      <c r="CM26">
        <v>1</v>
      </c>
    </row>
    <row r="27" spans="19:91" x14ac:dyDescent="0.25">
      <c r="T27" s="14"/>
      <c r="U27" s="14"/>
      <c r="V27" s="14"/>
      <c r="W27" s="14"/>
      <c r="X27" s="14"/>
      <c r="Y27" s="14"/>
      <c r="AA27" t="str">
        <v>Model Year: 74</v>
      </c>
      <c r="AB27" s="7">
        <v>1.2578616049412115</v>
      </c>
      <c r="AC27" s="7">
        <v>0.90223457377328653</v>
      </c>
      <c r="AD27" s="7">
        <v>1.3941624955477343</v>
      </c>
      <c r="AE27" s="19">
        <v>0.16409401980106739</v>
      </c>
      <c r="AF27" s="7">
        <v>-0.51621140489643502</v>
      </c>
      <c r="AG27" s="7">
        <v>3.0319346147788577</v>
      </c>
      <c r="AH27" s="7">
        <v>4.0156452683688504E-2</v>
      </c>
      <c r="AJ27" t="str">
        <v>Model Year: 77</v>
      </c>
      <c r="AK27" s="17" cm="1">
        <f t="array" ref="AK27">IF(ROW()-18&lt;=IFERROR(ROWS(_xlfn.ANCHORARRAY($AL$19)),0),INDEX(_xlfn.ANCHORARRAY($AL$19),ROW()-18),"")</f>
        <v>7.1428571428571425E-2</v>
      </c>
      <c r="AL27" s="7">
        <v>7.1428571428571425E-2</v>
      </c>
      <c r="AN27" t="str">
        <v>amc gremlin</v>
      </c>
      <c r="AO27" s="7">
        <v>21</v>
      </c>
      <c r="AP27" s="7">
        <v>21.822223935113186</v>
      </c>
      <c r="AQ27" s="7">
        <v>-0.82222393511318614</v>
      </c>
      <c r="AR27" s="7">
        <v>4.9584288806374846E-2</v>
      </c>
      <c r="AS27" s="7">
        <v>-0.2749679749002365</v>
      </c>
      <c r="AT27" s="7">
        <v>2.3203088177439613E-4</v>
      </c>
      <c r="AU27" s="7">
        <v>-1.8192221095957348</v>
      </c>
      <c r="AV27" s="7">
        <v>-1.4339281629923653</v>
      </c>
      <c r="AW27" s="7">
        <v>0.52437388846150268</v>
      </c>
      <c r="AX27" s="7">
        <v>-0.86512031043821536</v>
      </c>
      <c r="AY27" s="7" t="e">
        <v>#N/A</v>
      </c>
      <c r="AZ27" s="7">
        <v>21.822223935113186</v>
      </c>
      <c r="BA27" s="7">
        <v>-0.82222393511318614</v>
      </c>
      <c r="BU27" t="b">
        <v>1</v>
      </c>
      <c r="BW27">
        <v>1</v>
      </c>
      <c r="BX27">
        <v>88</v>
      </c>
      <c r="BY27">
        <v>2130</v>
      </c>
      <c r="BZ27">
        <v>0</v>
      </c>
      <c r="CA27">
        <v>0</v>
      </c>
      <c r="CB27">
        <v>0</v>
      </c>
      <c r="CC27">
        <v>0</v>
      </c>
      <c r="CD27">
        <v>0</v>
      </c>
      <c r="CE27">
        <v>0</v>
      </c>
      <c r="CF27">
        <v>0</v>
      </c>
      <c r="CG27">
        <v>0</v>
      </c>
      <c r="CH27">
        <v>0</v>
      </c>
      <c r="CI27">
        <v>0</v>
      </c>
      <c r="CJ27">
        <v>0</v>
      </c>
      <c r="CK27">
        <v>0</v>
      </c>
      <c r="CL27">
        <v>0</v>
      </c>
      <c r="CM27">
        <v>0</v>
      </c>
    </row>
    <row r="28" spans="19:91" x14ac:dyDescent="0.25">
      <c r="T28" s="14"/>
      <c r="U28" s="14"/>
      <c r="V28" s="14"/>
      <c r="W28" s="14"/>
      <c r="X28" s="14"/>
      <c r="Y28" s="14"/>
      <c r="AA28" t="str">
        <v>Model Year: 75</v>
      </c>
      <c r="AB28" s="7">
        <v>0.63935220100338241</v>
      </c>
      <c r="AC28" s="7">
        <v>0.88468943032157044</v>
      </c>
      <c r="AD28" s="7">
        <v>0.72268547480101364</v>
      </c>
      <c r="AE28" s="19">
        <v>0.47032360057382883</v>
      </c>
      <c r="AF28" s="7">
        <v>-1.1002216149924187</v>
      </c>
      <c r="AG28" s="7">
        <v>2.3789260169991837</v>
      </c>
      <c r="AH28" s="7">
        <v>2.1804711308241128E-2</v>
      </c>
      <c r="AJ28" t="str">
        <v>Model Year: 78</v>
      </c>
      <c r="AK28" s="17" cm="1">
        <f t="array" ref="AK28">IF(ROW()-18&lt;=IFERROR(ROWS(_xlfn.ANCHORARRAY($AL$19)),0),INDEX(_xlfn.ANCHORARRAY($AL$19),ROW()-18),"")</f>
        <v>9.1836734693877556E-2</v>
      </c>
      <c r="AL28" s="7">
        <v>9.1836734693877556E-2</v>
      </c>
      <c r="AN28" t="str">
        <v>ford f250</v>
      </c>
      <c r="AO28" s="7">
        <v>10</v>
      </c>
      <c r="AP28" s="7">
        <v>9.8331399279859255</v>
      </c>
      <c r="AQ28" s="7">
        <v>0.16686007201407449</v>
      </c>
      <c r="AR28" s="7">
        <v>4.5553437442162031E-2</v>
      </c>
      <c r="AS28" s="7">
        <v>5.5683358456545526E-2</v>
      </c>
      <c r="AT28" s="7">
        <v>8.7050537501608338E-6</v>
      </c>
      <c r="AU28" s="7">
        <v>-1.8192221095957348</v>
      </c>
      <c r="AV28" s="7">
        <v>-1.3818722583783192</v>
      </c>
      <c r="AW28" s="7">
        <v>0.2359732155490227</v>
      </c>
      <c r="AX28" s="7">
        <v>0.17482390168277548</v>
      </c>
      <c r="AY28" s="7" t="e">
        <v>#N/A</v>
      </c>
      <c r="AZ28" s="7">
        <v>9.8331399279859255</v>
      </c>
      <c r="BA28" s="7">
        <v>0.16686007201407449</v>
      </c>
      <c r="BU28" t="b">
        <v>1</v>
      </c>
      <c r="BW28">
        <v>1</v>
      </c>
      <c r="BX28">
        <v>46</v>
      </c>
      <c r="BY28">
        <v>1835</v>
      </c>
      <c r="BZ28">
        <v>0</v>
      </c>
      <c r="CA28">
        <v>0</v>
      </c>
      <c r="CB28">
        <v>0</v>
      </c>
      <c r="CC28">
        <v>0</v>
      </c>
      <c r="CD28">
        <v>0</v>
      </c>
      <c r="CE28">
        <v>0</v>
      </c>
      <c r="CF28">
        <v>0</v>
      </c>
      <c r="CG28">
        <v>0</v>
      </c>
      <c r="CH28">
        <v>0</v>
      </c>
      <c r="CI28">
        <v>0</v>
      </c>
      <c r="CJ28">
        <v>0</v>
      </c>
      <c r="CK28">
        <v>0</v>
      </c>
      <c r="CL28">
        <v>1</v>
      </c>
      <c r="CM28">
        <v>0</v>
      </c>
    </row>
    <row r="29" spans="19:91" x14ac:dyDescent="0.25">
      <c r="T29" s="14"/>
      <c r="U29" s="14"/>
      <c r="V29" s="14"/>
      <c r="W29" s="14"/>
      <c r="X29" s="14"/>
      <c r="Y29" s="14"/>
      <c r="AA29" t="str">
        <v>Model Year: 76</v>
      </c>
      <c r="AB29" s="7">
        <v>1.4144247705995923</v>
      </c>
      <c r="AC29" s="7">
        <v>0.84878476923281898</v>
      </c>
      <c r="AD29" s="7">
        <v>1.6664115826183257</v>
      </c>
      <c r="AE29" s="19">
        <v>9.6466455919160282E-2</v>
      </c>
      <c r="AF29" s="7">
        <v>-0.25454934547723007</v>
      </c>
      <c r="AG29" s="7">
        <v>3.0833988866764148</v>
      </c>
      <c r="AH29" s="7">
        <v>5.1068851278668323E-2</v>
      </c>
      <c r="AJ29" t="str">
        <v>Model Year: 79</v>
      </c>
      <c r="AK29" s="17" cm="1">
        <f t="array" ref="AK29">IF(ROW()-18&lt;=IFERROR(ROWS(_xlfn.ANCHORARRAY($AL$19)),0),INDEX(_xlfn.ANCHORARRAY($AL$19),ROW()-18),"")</f>
        <v>7.3979591836734693E-2</v>
      </c>
      <c r="AL29" s="7">
        <v>7.3979591836734693E-2</v>
      </c>
      <c r="AN29" t="str">
        <v>chevy c20</v>
      </c>
      <c r="AO29" s="7">
        <v>10</v>
      </c>
      <c r="AP29" s="7">
        <v>11.286817405301942</v>
      </c>
      <c r="AQ29" s="7">
        <v>-1.2868174053019423</v>
      </c>
      <c r="AR29" s="7">
        <v>4.0933470674793776E-2</v>
      </c>
      <c r="AS29" s="7">
        <v>-0.42839201056708598</v>
      </c>
      <c r="AT29" s="7">
        <v>4.6074819083101714E-4</v>
      </c>
      <c r="AU29" s="7">
        <v>-1.8192221095957348</v>
      </c>
      <c r="AV29" s="7">
        <v>-1.3375231715810678</v>
      </c>
      <c r="AW29" s="7">
        <v>0.6545166235987333</v>
      </c>
      <c r="AX29" s="7">
        <v>-1.3417394580617257</v>
      </c>
      <c r="AY29" s="7" t="e">
        <v>#N/A</v>
      </c>
      <c r="AZ29" s="7">
        <v>11.286817405301942</v>
      </c>
      <c r="BA29" s="7">
        <v>-1.2868174053019423</v>
      </c>
      <c r="BU29" t="b">
        <v>1</v>
      </c>
      <c r="BW29">
        <v>1</v>
      </c>
      <c r="BX29">
        <v>87</v>
      </c>
      <c r="BY29">
        <v>2672</v>
      </c>
      <c r="BZ29">
        <v>0</v>
      </c>
      <c r="CA29">
        <v>0</v>
      </c>
      <c r="CB29">
        <v>0</v>
      </c>
      <c r="CC29">
        <v>0</v>
      </c>
      <c r="CD29">
        <v>0</v>
      </c>
      <c r="CE29">
        <v>0</v>
      </c>
      <c r="CF29">
        <v>0</v>
      </c>
      <c r="CG29">
        <v>0</v>
      </c>
      <c r="CH29">
        <v>0</v>
      </c>
      <c r="CI29">
        <v>0</v>
      </c>
      <c r="CJ29">
        <v>0</v>
      </c>
      <c r="CK29">
        <v>0</v>
      </c>
      <c r="CL29">
        <v>1</v>
      </c>
      <c r="CM29">
        <v>0</v>
      </c>
    </row>
    <row r="30" spans="19:91" x14ac:dyDescent="0.25">
      <c r="T30" s="14"/>
      <c r="U30" s="14"/>
      <c r="V30" s="14"/>
      <c r="W30" s="14"/>
      <c r="X30" s="14"/>
      <c r="Y30" s="14"/>
      <c r="AA30" t="str">
        <v>Model Year: 77</v>
      </c>
      <c r="AB30" s="7">
        <v>2.8481175004681027</v>
      </c>
      <c r="AC30" s="7">
        <v>0.86455882212615165</v>
      </c>
      <c r="AD30" s="7">
        <v>3.2943015877900801</v>
      </c>
      <c r="AE30" s="19">
        <v>1.0805831577801646E-3</v>
      </c>
      <c r="AF30" s="7">
        <v>1.1481267039100858</v>
      </c>
      <c r="AG30" s="7">
        <v>4.5481082970261202</v>
      </c>
      <c r="AH30" s="7">
        <v>9.4098537520966058E-2</v>
      </c>
      <c r="AJ30" t="str">
        <v>Model Year: 80</v>
      </c>
      <c r="AK30" s="17" cm="1">
        <f t="array" ref="AK30">IF(ROW()-18&lt;=IFERROR(ROWS(_xlfn.ANCHORARRAY($AL$19)),0),INDEX(_xlfn.ANCHORARRAY($AL$19),ROW()-18),"")</f>
        <v>6.8877551020408156E-2</v>
      </c>
      <c r="AL30" s="7">
        <v>6.8877551020408156E-2</v>
      </c>
      <c r="AN30" t="str">
        <v>dodge d200</v>
      </c>
      <c r="AO30" s="7">
        <v>11</v>
      </c>
      <c r="AP30" s="7">
        <v>11.094073228075835</v>
      </c>
      <c r="AQ30" s="7">
        <v>-9.4073228075835402E-2</v>
      </c>
      <c r="AR30" s="7">
        <v>4.4587292508687454E-2</v>
      </c>
      <c r="AS30" s="7">
        <v>-3.1377572652108353E-2</v>
      </c>
      <c r="AT30" s="7">
        <v>2.7027747579034004E-6</v>
      </c>
      <c r="AU30" s="7">
        <v>-1.8192221095957348</v>
      </c>
      <c r="AV30" s="7">
        <v>-1.3070680932321548</v>
      </c>
      <c r="AW30" s="7">
        <v>0.17713715773972538</v>
      </c>
      <c r="AX30" s="7">
        <v>-9.846344656944056E-2</v>
      </c>
      <c r="AY30" s="7" t="e">
        <v>#N/A</v>
      </c>
      <c r="AZ30" s="7">
        <v>11.094073228075835</v>
      </c>
      <c r="BA30" s="7">
        <v>-9.4073228075835402E-2</v>
      </c>
      <c r="BU30" t="b">
        <v>1</v>
      </c>
      <c r="BW30">
        <v>1</v>
      </c>
      <c r="BX30">
        <v>90</v>
      </c>
      <c r="BY30">
        <v>2430</v>
      </c>
      <c r="BZ30">
        <v>0</v>
      </c>
      <c r="CA30">
        <v>0</v>
      </c>
      <c r="CB30">
        <v>0</v>
      </c>
      <c r="CC30">
        <v>0</v>
      </c>
      <c r="CD30">
        <v>0</v>
      </c>
      <c r="CE30">
        <v>0</v>
      </c>
      <c r="CF30">
        <v>0</v>
      </c>
      <c r="CG30">
        <v>0</v>
      </c>
      <c r="CH30">
        <v>0</v>
      </c>
      <c r="CI30">
        <v>0</v>
      </c>
      <c r="CJ30">
        <v>0</v>
      </c>
      <c r="CK30">
        <v>0</v>
      </c>
      <c r="CL30">
        <v>1</v>
      </c>
      <c r="CM30">
        <v>0</v>
      </c>
    </row>
    <row r="31" spans="19:91" x14ac:dyDescent="0.25">
      <c r="T31" s="14"/>
      <c r="U31" s="14"/>
      <c r="V31" s="14"/>
      <c r="W31" s="14"/>
      <c r="X31" s="14"/>
      <c r="Y31" s="14"/>
      <c r="AA31" t="str">
        <v>Model Year: 78</v>
      </c>
      <c r="AB31" s="7">
        <v>2.6980951580993948</v>
      </c>
      <c r="AC31" s="7">
        <v>0.82369335401903676</v>
      </c>
      <c r="AD31" s="7">
        <v>3.2756063223463108</v>
      </c>
      <c r="AE31" s="19">
        <v>1.1525516881494863E-3</v>
      </c>
      <c r="AF31" s="7">
        <v>1.0784585467063448</v>
      </c>
      <c r="AG31" s="7">
        <v>4.3177317694924451</v>
      </c>
      <c r="AH31" s="7">
        <v>9.9960581933080508E-2</v>
      </c>
      <c r="AJ31" t="str">
        <v>Model Year: 81</v>
      </c>
      <c r="AK31" s="17" cm="1">
        <f t="array" ref="AK31">IF(ROW()-18&lt;=IFERROR(ROWS(_xlfn.ANCHORARRAY($AL$19)),0),INDEX(_xlfn.ANCHORARRAY($AL$19),ROW()-18),"")</f>
        <v>7.1428571428571425E-2</v>
      </c>
      <c r="AL31" s="7">
        <v>7.1428571428571425E-2</v>
      </c>
      <c r="AN31" t="str">
        <v>hi 1200d</v>
      </c>
      <c r="AO31" s="7">
        <v>9</v>
      </c>
      <c r="AP31" s="7">
        <v>9.5979342059951698</v>
      </c>
      <c r="AQ31" s="7">
        <v>-0.59793420599516978</v>
      </c>
      <c r="AR31" s="7">
        <v>4.3597810529259505E-2</v>
      </c>
      <c r="AS31" s="7">
        <v>-0.1993342477661991</v>
      </c>
      <c r="AT31" s="7">
        <v>1.06546463649807E-4</v>
      </c>
      <c r="AU31" s="7">
        <v>-1.8192221095957348</v>
      </c>
      <c r="AV31" s="7">
        <v>-1.2992210520172562</v>
      </c>
      <c r="AW31" s="7">
        <v>0.44646864141415249</v>
      </c>
      <c r="AX31" s="7">
        <v>-0.62519117226828824</v>
      </c>
      <c r="AY31" s="7" t="e">
        <v>#N/A</v>
      </c>
      <c r="AZ31" s="7">
        <v>9.5979342059951698</v>
      </c>
      <c r="BA31" s="7">
        <v>-0.59793420599516978</v>
      </c>
      <c r="BU31" t="b">
        <v>1</v>
      </c>
      <c r="BW31">
        <v>1</v>
      </c>
      <c r="BX31">
        <v>95</v>
      </c>
      <c r="BY31">
        <v>2375</v>
      </c>
      <c r="BZ31">
        <v>0</v>
      </c>
      <c r="CA31">
        <v>0</v>
      </c>
      <c r="CB31">
        <v>0</v>
      </c>
      <c r="CC31">
        <v>0</v>
      </c>
      <c r="CD31">
        <v>0</v>
      </c>
      <c r="CE31">
        <v>0</v>
      </c>
      <c r="CF31">
        <v>0</v>
      </c>
      <c r="CG31">
        <v>0</v>
      </c>
      <c r="CH31">
        <v>0</v>
      </c>
      <c r="CI31">
        <v>0</v>
      </c>
      <c r="CJ31">
        <v>0</v>
      </c>
      <c r="CK31">
        <v>0</v>
      </c>
      <c r="CL31">
        <v>1</v>
      </c>
      <c r="CM31">
        <v>0</v>
      </c>
    </row>
    <row r="32" spans="19:91" x14ac:dyDescent="0.25">
      <c r="T32" s="14"/>
      <c r="U32" s="14"/>
      <c r="V32" s="14"/>
      <c r="W32" s="14"/>
      <c r="X32" s="14"/>
      <c r="Y32" s="14"/>
      <c r="AA32" t="str">
        <v>Model Year: 79</v>
      </c>
      <c r="AB32" s="7">
        <v>5.1059820845240829</v>
      </c>
      <c r="AC32" s="7">
        <v>0.87407693909722783</v>
      </c>
      <c r="AD32" s="7">
        <v>5.8415705255851851</v>
      </c>
      <c r="AE32" s="19">
        <v>1.1226645573078159E-8</v>
      </c>
      <c r="AF32" s="7">
        <v>3.3872757178541328</v>
      </c>
      <c r="AG32" s="7">
        <v>6.8246884511940333</v>
      </c>
      <c r="AH32" s="7">
        <v>0.17144580454032216</v>
      </c>
      <c r="AJ32" t="str">
        <v>Model Year: 82</v>
      </c>
      <c r="AK32" s="17" cm="1">
        <f t="array" ref="AK32">IF(ROW()-18&lt;=IFERROR(ROWS(_xlfn.ANCHORARRAY($AL$19)),0),INDEX(_xlfn.ANCHORARRAY($AL$19),ROW()-18),"")</f>
        <v>7.6530612244897961E-2</v>
      </c>
      <c r="AL32" s="7">
        <v>7.6530612244897961E-2</v>
      </c>
      <c r="AN32" t="str">
        <v>datsun pl510</v>
      </c>
      <c r="AO32" s="7">
        <v>27</v>
      </c>
      <c r="AP32" s="7">
        <v>27.447842985332574</v>
      </c>
      <c r="AQ32" s="7">
        <v>-0.44784298533257427</v>
      </c>
      <c r="AR32" s="7">
        <v>5.0482475252271251E-2</v>
      </c>
      <c r="AS32" s="7">
        <v>-0.14983838636844124</v>
      </c>
      <c r="AT32" s="7">
        <v>7.0215809939313362E-5</v>
      </c>
      <c r="AU32" s="7">
        <v>-1.8192221095957348</v>
      </c>
      <c r="AV32" s="7">
        <v>-1.2647682754399081</v>
      </c>
      <c r="AW32" s="7">
        <v>0.38708963609019714</v>
      </c>
      <c r="AX32" s="7">
        <v>-0.47165320666573141</v>
      </c>
      <c r="AY32" s="7" t="e">
        <v>#N/A</v>
      </c>
      <c r="AZ32" s="7">
        <v>27.447842985332574</v>
      </c>
      <c r="BA32" s="7">
        <v>-0.44784298533257427</v>
      </c>
      <c r="BU32" t="b">
        <v>1</v>
      </c>
      <c r="BW32">
        <v>1</v>
      </c>
      <c r="BX32">
        <v>113</v>
      </c>
      <c r="BY32">
        <v>2234</v>
      </c>
      <c r="BZ32">
        <v>0</v>
      </c>
      <c r="CA32">
        <v>0</v>
      </c>
      <c r="CB32">
        <v>0</v>
      </c>
      <c r="CC32">
        <v>0</v>
      </c>
      <c r="CD32">
        <v>0</v>
      </c>
      <c r="CE32">
        <v>0</v>
      </c>
      <c r="CF32">
        <v>0</v>
      </c>
      <c r="CG32">
        <v>0</v>
      </c>
      <c r="CH32">
        <v>0</v>
      </c>
      <c r="CI32">
        <v>0</v>
      </c>
      <c r="CJ32">
        <v>0</v>
      </c>
      <c r="CK32">
        <v>0</v>
      </c>
      <c r="CL32">
        <v>1</v>
      </c>
      <c r="CM32">
        <v>0</v>
      </c>
    </row>
    <row r="33" spans="20:91" x14ac:dyDescent="0.25">
      <c r="T33" s="14"/>
      <c r="U33" s="14"/>
      <c r="V33" s="14"/>
      <c r="W33" s="14"/>
      <c r="X33" s="14"/>
      <c r="Y33" s="14"/>
      <c r="AA33" t="str">
        <v>Model Year: 80</v>
      </c>
      <c r="AB33" s="7">
        <v>9.167083561819334</v>
      </c>
      <c r="AC33" s="7">
        <v>0.92246059063758057</v>
      </c>
      <c r="AD33" s="7">
        <v>9.9376424910285728</v>
      </c>
      <c r="AE33" s="19">
        <v>8.2240275742069864E-21</v>
      </c>
      <c r="AF33" s="7">
        <v>7.3532399295088648</v>
      </c>
      <c r="AG33" s="7">
        <v>10.980927194129803</v>
      </c>
      <c r="AH33" s="7">
        <v>0.297820623337338</v>
      </c>
      <c r="AJ33" t="str">
        <v>Origin: Europe</v>
      </c>
      <c r="AK33" s="17" cm="1">
        <f t="array" ref="AK33">IF(ROW()-18&lt;=IFERROR(ROWS(_xlfn.ANCHORARRAY($AL$19)),0),INDEX(_xlfn.ANCHORARRAY($AL$19),ROW()-18),"")</f>
        <v>0.17346938775510204</v>
      </c>
      <c r="AL33" s="7">
        <v>0.17346938775510204</v>
      </c>
      <c r="AN33" t="str">
        <v>chevrolet vega 2300</v>
      </c>
      <c r="AO33" s="7">
        <v>28</v>
      </c>
      <c r="AP33" s="7">
        <v>24.67694502190086</v>
      </c>
      <c r="AQ33" s="7">
        <v>3.3230549780991403</v>
      </c>
      <c r="AR33" s="7">
        <v>4.6906901296231408E-2</v>
      </c>
      <c r="AS33" s="7">
        <v>1.1097334264431626</v>
      </c>
      <c r="AT33" s="7">
        <v>3.5652487247722314E-3</v>
      </c>
      <c r="AU33" s="7">
        <v>-1.8192221095957348</v>
      </c>
      <c r="AV33" s="7">
        <v>-1.2628813097867118</v>
      </c>
      <c r="AW33" s="7">
        <v>1.0534388574773397</v>
      </c>
      <c r="AX33" s="7">
        <v>3.4866006087113437</v>
      </c>
      <c r="AY33" s="7" t="e">
        <v>#N/A</v>
      </c>
      <c r="AZ33" s="7">
        <v>24.67694502190086</v>
      </c>
      <c r="BA33" s="7">
        <v>3.3230549780991403</v>
      </c>
      <c r="BU33" t="b">
        <v>1</v>
      </c>
      <c r="BW33">
        <v>1</v>
      </c>
      <c r="BX33">
        <v>90</v>
      </c>
      <c r="BY33">
        <v>2648</v>
      </c>
      <c r="BZ33">
        <v>0</v>
      </c>
      <c r="CA33">
        <v>0</v>
      </c>
      <c r="CB33">
        <v>0</v>
      </c>
      <c r="CC33">
        <v>0</v>
      </c>
      <c r="CD33">
        <v>0</v>
      </c>
      <c r="CE33">
        <v>0</v>
      </c>
      <c r="CF33">
        <v>0</v>
      </c>
      <c r="CG33">
        <v>0</v>
      </c>
      <c r="CH33">
        <v>0</v>
      </c>
      <c r="CI33">
        <v>0</v>
      </c>
      <c r="CJ33">
        <v>0</v>
      </c>
      <c r="CK33">
        <v>0</v>
      </c>
      <c r="CL33">
        <v>0</v>
      </c>
      <c r="CM33">
        <v>1</v>
      </c>
    </row>
    <row r="34" spans="20:91" x14ac:dyDescent="0.25">
      <c r="T34" s="14"/>
      <c r="U34" s="14"/>
      <c r="V34" s="14"/>
      <c r="W34" s="14"/>
      <c r="X34" s="14"/>
      <c r="Y34" s="14"/>
      <c r="AA34" t="str">
        <v>Model Year: 81</v>
      </c>
      <c r="AB34" s="7">
        <v>6.5309047619852363</v>
      </c>
      <c r="AC34" s="7">
        <v>0.90984395584765987</v>
      </c>
      <c r="AD34" s="7">
        <v>7.1780492907717255</v>
      </c>
      <c r="AE34" s="19">
        <v>3.8191920779229324E-12</v>
      </c>
      <c r="AF34" s="7">
        <v>4.7418693468573219</v>
      </c>
      <c r="AG34" s="7">
        <v>8.3199401771131516</v>
      </c>
      <c r="AH34" s="7">
        <v>0.21577360719511027</v>
      </c>
      <c r="AJ34" t="str">
        <v>Origin: US</v>
      </c>
      <c r="AK34" s="17" cm="1">
        <f t="array" ref="AK34">IF(ROW()-18&lt;=IFERROR(ROWS(_xlfn.ANCHORARRAY($AL$19)),0),INDEX(_xlfn.ANCHORARRAY($AL$19),ROW()-18),"")</f>
        <v>0.625</v>
      </c>
      <c r="AL34" s="7">
        <v>0.625</v>
      </c>
      <c r="AN34" t="str">
        <v>toyota corona</v>
      </c>
      <c r="AO34" s="7">
        <v>25</v>
      </c>
      <c r="AP34" s="7">
        <v>26.837983619376352</v>
      </c>
      <c r="AQ34" s="7">
        <v>-1.8379836193763524</v>
      </c>
      <c r="AR34" s="7">
        <v>5.0935386039696162E-2</v>
      </c>
      <c r="AS34" s="7">
        <v>-0.61509549983121925</v>
      </c>
      <c r="AT34" s="7">
        <v>1.1944280641904739E-3</v>
      </c>
      <c r="AU34" s="7">
        <v>-1.8192221095957348</v>
      </c>
      <c r="AV34" s="7">
        <v>-1.2605695043801399</v>
      </c>
      <c r="AW34" s="7">
        <v>0.78428024317282097</v>
      </c>
      <c r="AX34" s="7">
        <v>-1.9366264344286563</v>
      </c>
      <c r="AY34" s="7" t="e">
        <v>#N/A</v>
      </c>
      <c r="AZ34" s="7">
        <v>26.837983619376352</v>
      </c>
      <c r="BA34" s="7">
        <v>-1.8379836193763524</v>
      </c>
      <c r="BU34" t="b">
        <v>1</v>
      </c>
      <c r="BW34">
        <v>1</v>
      </c>
      <c r="BX34">
        <v>215</v>
      </c>
      <c r="BY34">
        <v>4615</v>
      </c>
      <c r="BZ34">
        <v>0</v>
      </c>
      <c r="CA34">
        <v>0</v>
      </c>
      <c r="CB34">
        <v>0</v>
      </c>
      <c r="CC34">
        <v>0</v>
      </c>
      <c r="CD34">
        <v>0</v>
      </c>
      <c r="CE34">
        <v>0</v>
      </c>
      <c r="CF34">
        <v>0</v>
      </c>
      <c r="CG34">
        <v>0</v>
      </c>
      <c r="CH34">
        <v>0</v>
      </c>
      <c r="CI34">
        <v>0</v>
      </c>
      <c r="CJ34">
        <v>0</v>
      </c>
      <c r="CK34">
        <v>0</v>
      </c>
      <c r="CL34">
        <v>0</v>
      </c>
      <c r="CM34">
        <v>1</v>
      </c>
    </row>
    <row r="35" spans="20:91" x14ac:dyDescent="0.25">
      <c r="T35" s="14"/>
      <c r="U35" s="14"/>
      <c r="V35" s="14"/>
      <c r="W35" s="14"/>
      <c r="X35" s="14"/>
      <c r="Y35" s="14"/>
      <c r="AA35" t="str">
        <v>Model Year: 82</v>
      </c>
      <c r="AB35" s="7">
        <v>8.2093406715778379</v>
      </c>
      <c r="AC35" s="7">
        <v>0.88405378716381444</v>
      </c>
      <c r="AD35" s="7">
        <v>9.2860194603257256</v>
      </c>
      <c r="AE35" s="19">
        <v>1.3188191200490055E-18</v>
      </c>
      <c r="AF35" s="7">
        <v>6.4710167271817767</v>
      </c>
      <c r="AG35" s="7">
        <v>9.9476646159738991</v>
      </c>
      <c r="AH35" s="7">
        <v>0.27997448525841562</v>
      </c>
      <c r="AK35" s="17" t="str" cm="1">
        <f t="array" ref="AK35">IF(ROW()-18&lt;=IFERROR(ROWS(_xlfn.ANCHORARRAY($AL$19)),0),INDEX(_xlfn.ANCHORARRAY($AL$19),ROW()-18),"")</f>
        <v/>
      </c>
      <c r="AN35" t="str">
        <v>amc gremlin</v>
      </c>
      <c r="AO35" s="7">
        <v>19</v>
      </c>
      <c r="AP35" s="7">
        <v>22.641156144772257</v>
      </c>
      <c r="AQ35" s="7">
        <v>-3.6411561447722569</v>
      </c>
      <c r="AR35" s="7">
        <v>4.1917364463458243E-2</v>
      </c>
      <c r="AS35" s="7">
        <v>-1.2127928346337942</v>
      </c>
      <c r="AT35" s="7">
        <v>3.7854309026787822E-3</v>
      </c>
      <c r="AU35" s="7">
        <v>-1.8192221095957348</v>
      </c>
      <c r="AV35" s="7">
        <v>-1.2377760380844094</v>
      </c>
      <c r="AW35" s="7">
        <v>1.1012687386073365</v>
      </c>
      <c r="AX35" s="7">
        <v>-3.8004614734856883</v>
      </c>
      <c r="AY35" s="7" t="e">
        <v>#N/A</v>
      </c>
      <c r="AZ35" s="7">
        <v>22.641156144772257</v>
      </c>
      <c r="BA35" s="7">
        <v>-3.6411561447722569</v>
      </c>
      <c r="BU35" t="b">
        <v>1</v>
      </c>
      <c r="BW35">
        <v>1</v>
      </c>
      <c r="BX35">
        <v>200</v>
      </c>
      <c r="BY35">
        <v>4376</v>
      </c>
      <c r="BZ35">
        <v>0</v>
      </c>
      <c r="CA35">
        <v>0</v>
      </c>
      <c r="CB35">
        <v>0</v>
      </c>
      <c r="CC35">
        <v>0</v>
      </c>
      <c r="CD35">
        <v>0</v>
      </c>
      <c r="CE35">
        <v>0</v>
      </c>
      <c r="CF35">
        <v>0</v>
      </c>
      <c r="CG35">
        <v>0</v>
      </c>
      <c r="CH35">
        <v>0</v>
      </c>
      <c r="CI35">
        <v>0</v>
      </c>
      <c r="CJ35">
        <v>0</v>
      </c>
      <c r="CK35">
        <v>0</v>
      </c>
      <c r="CL35">
        <v>0</v>
      </c>
      <c r="CM35">
        <v>1</v>
      </c>
    </row>
    <row r="36" spans="20:91" x14ac:dyDescent="0.25">
      <c r="T36" s="14"/>
      <c r="U36" s="14"/>
      <c r="V36" s="14"/>
      <c r="W36" s="14"/>
      <c r="X36" s="14"/>
      <c r="Y36" s="14"/>
      <c r="AA36" t="str">
        <v>Origin: Europe</v>
      </c>
      <c r="AB36" s="7">
        <v>-0.12197684194985378</v>
      </c>
      <c r="AC36" s="7">
        <v>0.52750851256250864</v>
      </c>
      <c r="AD36" s="7">
        <v>-0.23123198781630996</v>
      </c>
      <c r="AE36" s="19">
        <v>0.81726069267470836</v>
      </c>
      <c r="AF36" s="7">
        <v>-1.1592221901112811</v>
      </c>
      <c r="AG36" s="7">
        <v>0.91526850621157363</v>
      </c>
      <c r="AH36" s="7">
        <v>-5.9251535604408203E-3</v>
      </c>
      <c r="AK36" s="17" t="str" cm="1">
        <f t="array" ref="AK36">IF(ROW()-18&lt;=IFERROR(ROWS(_xlfn.ANCHORARRAY($AL$19)),0),INDEX(_xlfn.ANCHORARRAY($AL$19),ROW()-18),"")</f>
        <v/>
      </c>
      <c r="AN36" t="str">
        <v>plymouth satellite custom</v>
      </c>
      <c r="AO36" s="7">
        <v>16</v>
      </c>
      <c r="AP36" s="7">
        <v>18.484009744835575</v>
      </c>
      <c r="AQ36" s="7">
        <v>-2.4840097448355749</v>
      </c>
      <c r="AR36" s="7">
        <v>4.0762584893143786E-2</v>
      </c>
      <c r="AS36" s="7">
        <v>-0.82687344310872324</v>
      </c>
      <c r="AT36" s="7">
        <v>1.7090893677473816E-3</v>
      </c>
      <c r="AU36" s="7">
        <v>-1.3692588778592949</v>
      </c>
      <c r="AV36" s="7">
        <v>-1.2151675973963261</v>
      </c>
      <c r="AW36" s="7">
        <v>0.90932581790506928</v>
      </c>
      <c r="AX36" s="7">
        <v>-2.5895671975627259</v>
      </c>
      <c r="AY36" s="7" t="e">
        <v>#N/A</v>
      </c>
      <c r="AZ36" s="7">
        <v>18.484009744835575</v>
      </c>
      <c r="BA36" s="7">
        <v>-2.4840097448355749</v>
      </c>
      <c r="BU36" t="b">
        <v>1</v>
      </c>
      <c r="BW36">
        <v>1</v>
      </c>
      <c r="BX36">
        <v>210</v>
      </c>
      <c r="BY36">
        <v>4382</v>
      </c>
      <c r="BZ36">
        <v>0</v>
      </c>
      <c r="CA36">
        <v>0</v>
      </c>
      <c r="CB36">
        <v>0</v>
      </c>
      <c r="CC36">
        <v>0</v>
      </c>
      <c r="CD36">
        <v>0</v>
      </c>
      <c r="CE36">
        <v>0</v>
      </c>
      <c r="CF36">
        <v>0</v>
      </c>
      <c r="CG36">
        <v>0</v>
      </c>
      <c r="CH36">
        <v>0</v>
      </c>
      <c r="CI36">
        <v>0</v>
      </c>
      <c r="CJ36">
        <v>0</v>
      </c>
      <c r="CK36">
        <v>0</v>
      </c>
      <c r="CL36">
        <v>0</v>
      </c>
      <c r="CM36">
        <v>1</v>
      </c>
    </row>
    <row r="37" spans="20:91" x14ac:dyDescent="0.25">
      <c r="T37" s="14"/>
      <c r="U37" s="14"/>
      <c r="V37" s="14"/>
      <c r="W37" s="14"/>
      <c r="X37" s="14"/>
      <c r="Y37" s="14"/>
      <c r="AA37" t="str">
        <v>Origin: US</v>
      </c>
      <c r="AB37" s="7">
        <v>-2.0599416110989885</v>
      </c>
      <c r="AC37" s="7">
        <v>0.496464589278451</v>
      </c>
      <c r="AD37" s="7">
        <v>-4.1492216274535414</v>
      </c>
      <c r="AE37" s="19">
        <v>4.1310663778077767E-5</v>
      </c>
      <c r="AF37" s="7">
        <v>-3.0361449774758027</v>
      </c>
      <c r="AG37" s="7">
        <v>-1.0837382447221742</v>
      </c>
      <c r="AH37" s="7">
        <v>-0.12793573952028467</v>
      </c>
      <c r="AK37" s="17" t="str" cm="1">
        <f t="array" ref="AK37">IF(ROW()-18&lt;=IFERROR(ROWS(_xlfn.ANCHORARRAY($AL$19)),0),INDEX(_xlfn.ANCHORARRAY($AL$19),ROW()-18),"")</f>
        <v/>
      </c>
      <c r="AN37" t="str">
        <v>chevrolet chevelle malibu</v>
      </c>
      <c r="AO37" s="7">
        <v>17</v>
      </c>
      <c r="AP37" s="7">
        <v>19.12215596226612</v>
      </c>
      <c r="AQ37" s="7">
        <v>-2.1221559622661204</v>
      </c>
      <c r="AR37" s="7">
        <v>4.0942536286414317E-2</v>
      </c>
      <c r="AS37" s="7">
        <v>-0.70648636894146044</v>
      </c>
      <c r="AT37" s="7">
        <v>1.2533973309379882E-3</v>
      </c>
      <c r="AU37" s="7">
        <v>-1.3692588778592949</v>
      </c>
      <c r="AV37" s="7">
        <v>-1.2127928346337942</v>
      </c>
      <c r="AW37" s="7">
        <v>0.84052743497250604</v>
      </c>
      <c r="AX37" s="7">
        <v>-2.2127516260067228</v>
      </c>
      <c r="AY37" s="7" t="e">
        <v>#N/A</v>
      </c>
      <c r="AZ37" s="7">
        <v>19.12215596226612</v>
      </c>
      <c r="BA37" s="7">
        <v>-2.1221559622661204</v>
      </c>
      <c r="BU37" t="b">
        <v>1</v>
      </c>
      <c r="BW37">
        <v>1</v>
      </c>
      <c r="BX37">
        <v>193</v>
      </c>
      <c r="BY37">
        <v>4732</v>
      </c>
      <c r="BZ37">
        <v>0</v>
      </c>
      <c r="CA37">
        <v>0</v>
      </c>
      <c r="CB37">
        <v>0</v>
      </c>
      <c r="CC37">
        <v>0</v>
      </c>
      <c r="CD37">
        <v>0</v>
      </c>
      <c r="CE37">
        <v>0</v>
      </c>
      <c r="CF37">
        <v>0</v>
      </c>
      <c r="CG37">
        <v>0</v>
      </c>
      <c r="CH37">
        <v>0</v>
      </c>
      <c r="CI37">
        <v>0</v>
      </c>
      <c r="CJ37">
        <v>0</v>
      </c>
      <c r="CK37">
        <v>0</v>
      </c>
      <c r="CL37">
        <v>0</v>
      </c>
      <c r="CM37">
        <v>1</v>
      </c>
    </row>
    <row r="38" spans="20:91"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ford torino 500</v>
      </c>
      <c r="AO38" s="7">
        <v>19</v>
      </c>
      <c r="AP38" s="7">
        <v>19.453702505316762</v>
      </c>
      <c r="AQ38" s="7">
        <v>-0.45370250531676248</v>
      </c>
      <c r="AR38" s="7">
        <v>4.5737615254886607E-2</v>
      </c>
      <c r="AS38" s="7">
        <v>-0.15142098901853809</v>
      </c>
      <c r="AT38" s="7">
        <v>6.4644108034659519E-5</v>
      </c>
      <c r="AU38" s="7">
        <v>-1.3692588778592949</v>
      </c>
      <c r="AV38" s="7">
        <v>-1.2081383307454219</v>
      </c>
      <c r="AW38" s="7">
        <v>0.38912849936561844</v>
      </c>
      <c r="AX38" s="7">
        <v>-0.47544838041368248</v>
      </c>
      <c r="AY38" s="7" t="e">
        <v>#N/A</v>
      </c>
      <c r="AZ38" s="7">
        <v>19.453702505316762</v>
      </c>
      <c r="BA38" s="7">
        <v>-0.45370250531676248</v>
      </c>
      <c r="BU38" t="b">
        <v>1</v>
      </c>
      <c r="BW38">
        <v>1</v>
      </c>
      <c r="BX38">
        <v>88</v>
      </c>
      <c r="BY38">
        <v>2130</v>
      </c>
      <c r="BZ38">
        <v>1</v>
      </c>
      <c r="CA38">
        <v>0</v>
      </c>
      <c r="CB38">
        <v>0</v>
      </c>
      <c r="CC38">
        <v>0</v>
      </c>
      <c r="CD38">
        <v>0</v>
      </c>
      <c r="CE38">
        <v>0</v>
      </c>
      <c r="CF38">
        <v>0</v>
      </c>
      <c r="CG38">
        <v>0</v>
      </c>
      <c r="CH38">
        <v>0</v>
      </c>
      <c r="CI38">
        <v>0</v>
      </c>
      <c r="CJ38">
        <v>0</v>
      </c>
      <c r="CK38">
        <v>0</v>
      </c>
      <c r="CL38">
        <v>0</v>
      </c>
      <c r="CM38">
        <v>0</v>
      </c>
    </row>
    <row r="39" spans="20:91"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amc matador</v>
      </c>
      <c r="AO39" s="7">
        <v>18</v>
      </c>
      <c r="AP39" s="7">
        <v>19.329751656485907</v>
      </c>
      <c r="AQ39" s="7">
        <v>-1.3297516564859073</v>
      </c>
      <c r="AR39" s="7">
        <v>4.045648501890594E-2</v>
      </c>
      <c r="AS39" s="7">
        <v>-0.44257513070662569</v>
      </c>
      <c r="AT39" s="7">
        <v>4.8578999244010582E-4</v>
      </c>
      <c r="AU39" s="7">
        <v>-1.3692588778592949</v>
      </c>
      <c r="AV39" s="7">
        <v>-1.1982691301329926</v>
      </c>
      <c r="AW39" s="7">
        <v>0.66526320408288453</v>
      </c>
      <c r="AX39" s="7">
        <v>-1.3858169387055965</v>
      </c>
      <c r="AY39" s="7" t="e">
        <v>#N/A</v>
      </c>
      <c r="AZ39" s="7">
        <v>19.329751656485907</v>
      </c>
      <c r="BA39" s="7">
        <v>-1.3297516564859073</v>
      </c>
      <c r="BU39" t="b">
        <v>1</v>
      </c>
      <c r="BW39">
        <v>1</v>
      </c>
      <c r="BX39">
        <v>90</v>
      </c>
      <c r="BY39">
        <v>2264</v>
      </c>
      <c r="BZ39">
        <v>1</v>
      </c>
      <c r="CA39">
        <v>0</v>
      </c>
      <c r="CB39">
        <v>0</v>
      </c>
      <c r="CC39">
        <v>0</v>
      </c>
      <c r="CD39">
        <v>0</v>
      </c>
      <c r="CE39">
        <v>0</v>
      </c>
      <c r="CF39">
        <v>0</v>
      </c>
      <c r="CG39">
        <v>0</v>
      </c>
      <c r="CH39">
        <v>0</v>
      </c>
      <c r="CI39">
        <v>0</v>
      </c>
      <c r="CJ39">
        <v>0</v>
      </c>
      <c r="CK39">
        <v>0</v>
      </c>
      <c r="CL39">
        <v>0</v>
      </c>
      <c r="CM39">
        <v>1</v>
      </c>
    </row>
    <row r="40" spans="20:91"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chevrolet impala</v>
      </c>
      <c r="AO40" s="7">
        <v>14</v>
      </c>
      <c r="AP40" s="7">
        <v>13.611075423983221</v>
      </c>
      <c r="AQ40" s="7">
        <v>0.38892457601677854</v>
      </c>
      <c r="AR40" s="7">
        <v>4.490969346053824E-2</v>
      </c>
      <c r="AS40" s="7">
        <v>0.12974540077510244</v>
      </c>
      <c r="AT40" s="7">
        <v>4.6561898072061958E-5</v>
      </c>
      <c r="AU40" s="7">
        <v>-1.3692588778592949</v>
      </c>
      <c r="AV40" s="7">
        <v>-1.1807393696594861</v>
      </c>
      <c r="AW40" s="7">
        <v>0.36020188891106947</v>
      </c>
      <c r="AX40" s="7">
        <v>0.4072123581967369</v>
      </c>
      <c r="AY40" s="7" t="e">
        <v>#N/A</v>
      </c>
      <c r="AZ40" s="7">
        <v>13.611075423983221</v>
      </c>
      <c r="BA40" s="7">
        <v>0.38892457601677854</v>
      </c>
      <c r="BU40" t="b">
        <v>1</v>
      </c>
      <c r="BW40">
        <v>1</v>
      </c>
      <c r="BX40">
        <v>95</v>
      </c>
      <c r="BY40">
        <v>2228</v>
      </c>
      <c r="BZ40">
        <v>1</v>
      </c>
      <c r="CA40">
        <v>0</v>
      </c>
      <c r="CB40">
        <v>0</v>
      </c>
      <c r="CC40">
        <v>0</v>
      </c>
      <c r="CD40">
        <v>0</v>
      </c>
      <c r="CE40">
        <v>0</v>
      </c>
      <c r="CF40">
        <v>0</v>
      </c>
      <c r="CG40">
        <v>0</v>
      </c>
      <c r="CH40">
        <v>0</v>
      </c>
      <c r="CI40">
        <v>0</v>
      </c>
      <c r="CJ40">
        <v>0</v>
      </c>
      <c r="CK40">
        <v>0</v>
      </c>
      <c r="CL40">
        <v>0</v>
      </c>
      <c r="CM40">
        <v>0</v>
      </c>
    </row>
    <row r="41" spans="20:91"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pontiac catalina brougham</v>
      </c>
      <c r="AO41" s="7">
        <v>14</v>
      </c>
      <c r="AP41" s="7">
        <v>12.157567152593037</v>
      </c>
      <c r="AQ41" s="7">
        <v>1.8424328474069629</v>
      </c>
      <c r="AR41" s="7">
        <v>4.8236454390409113E-2</v>
      </c>
      <c r="AS41" s="7">
        <v>0.61570961852166328</v>
      </c>
      <c r="AT41" s="7">
        <v>1.1301842896384872E-3</v>
      </c>
      <c r="AU41" s="7">
        <v>-1.3692588778592949</v>
      </c>
      <c r="AV41" s="7">
        <v>-1.1692507528849245</v>
      </c>
      <c r="AW41" s="7">
        <v>0.78467166287668577</v>
      </c>
      <c r="AX41" s="7">
        <v>1.935809430720433</v>
      </c>
      <c r="AY41" s="7" t="e">
        <v>#N/A</v>
      </c>
      <c r="AZ41" s="7">
        <v>12.157567152593037</v>
      </c>
      <c r="BA41" s="7">
        <v>1.8424328474069629</v>
      </c>
      <c r="BU41" t="b">
        <v>0</v>
      </c>
      <c r="BW41">
        <v>1</v>
      </c>
      <c r="BX41">
        <v>0</v>
      </c>
      <c r="BY41">
        <v>2046</v>
      </c>
      <c r="BZ41">
        <v>1</v>
      </c>
      <c r="CA41">
        <v>0</v>
      </c>
      <c r="CB41">
        <v>0</v>
      </c>
      <c r="CC41">
        <v>0</v>
      </c>
      <c r="CD41">
        <v>0</v>
      </c>
      <c r="CE41">
        <v>0</v>
      </c>
      <c r="CF41">
        <v>0</v>
      </c>
      <c r="CG41">
        <v>0</v>
      </c>
      <c r="CH41">
        <v>0</v>
      </c>
      <c r="CI41">
        <v>0</v>
      </c>
      <c r="CJ41">
        <v>0</v>
      </c>
      <c r="CK41">
        <v>0</v>
      </c>
      <c r="CL41">
        <v>0</v>
      </c>
      <c r="CM41">
        <v>1</v>
      </c>
    </row>
    <row r="42" spans="20:91"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ford galaxie 500</v>
      </c>
      <c r="AO42" s="7">
        <v>14</v>
      </c>
      <c r="AP42" s="7">
        <v>14.08439463625713</v>
      </c>
      <c r="AQ42" s="7">
        <v>-8.4394636257130173E-2</v>
      </c>
      <c r="AR42" s="7">
        <v>4.2572422246359647E-2</v>
      </c>
      <c r="AS42" s="7">
        <v>-2.8119699994232576E-2</v>
      </c>
      <c r="AT42" s="7">
        <v>2.0682111384474675E-6</v>
      </c>
      <c r="AU42" s="7">
        <v>-1.3692588778592949</v>
      </c>
      <c r="AV42" s="7">
        <v>-1.1670319415810113</v>
      </c>
      <c r="AW42" s="7">
        <v>0.16768929600374788</v>
      </c>
      <c r="AX42" s="7">
        <v>-8.8147279458087743E-2</v>
      </c>
      <c r="AY42" s="7" t="e">
        <v>#N/A</v>
      </c>
      <c r="AZ42" s="7">
        <v>14.08439463625713</v>
      </c>
      <c r="BA42" s="7">
        <v>-8.4394636257130173E-2</v>
      </c>
      <c r="BU42" t="b">
        <v>0</v>
      </c>
      <c r="BW42">
        <v>1</v>
      </c>
      <c r="BX42">
        <v>48</v>
      </c>
      <c r="BY42">
        <v>1978</v>
      </c>
      <c r="BZ42">
        <v>1</v>
      </c>
      <c r="CA42">
        <v>0</v>
      </c>
      <c r="CB42">
        <v>0</v>
      </c>
      <c r="CC42">
        <v>0</v>
      </c>
      <c r="CD42">
        <v>0</v>
      </c>
      <c r="CE42">
        <v>0</v>
      </c>
      <c r="CF42">
        <v>0</v>
      </c>
      <c r="CG42">
        <v>0</v>
      </c>
      <c r="CH42">
        <v>0</v>
      </c>
      <c r="CI42">
        <v>0</v>
      </c>
      <c r="CJ42">
        <v>0</v>
      </c>
      <c r="CK42">
        <v>0</v>
      </c>
      <c r="CL42">
        <v>1</v>
      </c>
      <c r="CM42">
        <v>0</v>
      </c>
    </row>
    <row r="43" spans="20:91"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plymouth fury iii</v>
      </c>
      <c r="AO43" s="7">
        <v>14</v>
      </c>
      <c r="AP43" s="7">
        <v>14.426775889794527</v>
      </c>
      <c r="AQ43" s="7">
        <v>-0.42677588979452707</v>
      </c>
      <c r="AR43" s="7">
        <v>4.1929569462095764E-2</v>
      </c>
      <c r="AS43" s="7">
        <v>-0.14215101395796509</v>
      </c>
      <c r="AT43" s="7">
        <v>5.2020433725506404E-5</v>
      </c>
      <c r="AU43" s="7">
        <v>-1.3692588778592949</v>
      </c>
      <c r="AV43" s="7">
        <v>-1.1524014899843384</v>
      </c>
      <c r="AW43" s="7">
        <v>0.3770291951002801</v>
      </c>
      <c r="AX43" s="7">
        <v>-0.44545356603367431</v>
      </c>
      <c r="AY43" s="7" t="e">
        <v>#N/A</v>
      </c>
      <c r="AZ43" s="7">
        <v>14.426775889794527</v>
      </c>
      <c r="BA43" s="7">
        <v>-0.42677588979452707</v>
      </c>
      <c r="BU43" t="b">
        <v>1</v>
      </c>
      <c r="BW43">
        <v>1</v>
      </c>
      <c r="BX43">
        <v>100</v>
      </c>
      <c r="BY43">
        <v>2634</v>
      </c>
      <c r="BZ43">
        <v>1</v>
      </c>
      <c r="CA43">
        <v>0</v>
      </c>
      <c r="CB43">
        <v>0</v>
      </c>
      <c r="CC43">
        <v>0</v>
      </c>
      <c r="CD43">
        <v>0</v>
      </c>
      <c r="CE43">
        <v>0</v>
      </c>
      <c r="CF43">
        <v>0</v>
      </c>
      <c r="CG43">
        <v>0</v>
      </c>
      <c r="CH43">
        <v>0</v>
      </c>
      <c r="CI43">
        <v>0</v>
      </c>
      <c r="CJ43">
        <v>0</v>
      </c>
      <c r="CK43">
        <v>0</v>
      </c>
      <c r="CL43">
        <v>0</v>
      </c>
      <c r="CM43">
        <v>1</v>
      </c>
    </row>
    <row r="44" spans="20:91"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dodge monaco (sw)</v>
      </c>
      <c r="AO44" s="7">
        <v>12</v>
      </c>
      <c r="AP44" s="7">
        <v>9.5902999718030184</v>
      </c>
      <c r="AQ44" s="7">
        <v>2.4097000281969816</v>
      </c>
      <c r="AR44" s="7">
        <v>5.4827297260499556E-2</v>
      </c>
      <c r="AS44" s="7">
        <v>0.80808342930665766</v>
      </c>
      <c r="AT44" s="7">
        <v>2.2281742354486539E-3</v>
      </c>
      <c r="AU44" s="7">
        <v>-1.3692588778592949</v>
      </c>
      <c r="AV44" s="7">
        <v>-1.1408976899843088</v>
      </c>
      <c r="AW44" s="7">
        <v>0.89893460791464563</v>
      </c>
      <c r="AX44" s="7">
        <v>2.5494811913343209</v>
      </c>
      <c r="AY44" s="7" t="e">
        <v>#N/A</v>
      </c>
      <c r="AZ44" s="7">
        <v>9.5902999718030184</v>
      </c>
      <c r="BA44" s="7">
        <v>2.4097000281969816</v>
      </c>
      <c r="BU44" t="b">
        <v>1</v>
      </c>
      <c r="BW44">
        <v>1</v>
      </c>
      <c r="BX44">
        <v>105</v>
      </c>
      <c r="BY44">
        <v>3439</v>
      </c>
      <c r="BZ44">
        <v>1</v>
      </c>
      <c r="CA44">
        <v>0</v>
      </c>
      <c r="CB44">
        <v>0</v>
      </c>
      <c r="CC44">
        <v>0</v>
      </c>
      <c r="CD44">
        <v>0</v>
      </c>
      <c r="CE44">
        <v>0</v>
      </c>
      <c r="CF44">
        <v>0</v>
      </c>
      <c r="CG44">
        <v>0</v>
      </c>
      <c r="CH44">
        <v>0</v>
      </c>
      <c r="CI44">
        <v>0</v>
      </c>
      <c r="CJ44">
        <v>0</v>
      </c>
      <c r="CK44">
        <v>0</v>
      </c>
      <c r="CL44">
        <v>0</v>
      </c>
      <c r="CM44">
        <v>1</v>
      </c>
    </row>
    <row r="45" spans="20:91"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ford country squire (sw)</v>
      </c>
      <c r="AO45" s="7">
        <v>13</v>
      </c>
      <c r="AP45" s="7">
        <v>10.810896000897822</v>
      </c>
      <c r="AQ45" s="7">
        <v>2.1891039991021781</v>
      </c>
      <c r="AR45" s="7">
        <v>5.0818250261889436E-2</v>
      </c>
      <c r="AS45" s="7">
        <v>0.73255545774191388</v>
      </c>
      <c r="AT45" s="7">
        <v>1.690061169542141E-3</v>
      </c>
      <c r="AU45" s="7">
        <v>-1.3692588778592949</v>
      </c>
      <c r="AV45" s="7">
        <v>-1.1267405125615257</v>
      </c>
      <c r="AW45" s="7">
        <v>0.85589453657674075</v>
      </c>
      <c r="AX45" s="7">
        <v>2.3063064578582293</v>
      </c>
      <c r="AY45" s="7" t="e">
        <v>#N/A</v>
      </c>
      <c r="AZ45" s="7">
        <v>10.810896000897822</v>
      </c>
      <c r="BA45" s="7">
        <v>2.1891039991021781</v>
      </c>
      <c r="BU45" t="b">
        <v>1</v>
      </c>
      <c r="BW45">
        <v>1</v>
      </c>
      <c r="BX45">
        <v>100</v>
      </c>
      <c r="BY45">
        <v>3329</v>
      </c>
      <c r="BZ45">
        <v>1</v>
      </c>
      <c r="CA45">
        <v>0</v>
      </c>
      <c r="CB45">
        <v>0</v>
      </c>
      <c r="CC45">
        <v>0</v>
      </c>
      <c r="CD45">
        <v>0</v>
      </c>
      <c r="CE45">
        <v>0</v>
      </c>
      <c r="CF45">
        <v>0</v>
      </c>
      <c r="CG45">
        <v>0</v>
      </c>
      <c r="CH45">
        <v>0</v>
      </c>
      <c r="CI45">
        <v>0</v>
      </c>
      <c r="CJ45">
        <v>0</v>
      </c>
      <c r="CK45">
        <v>0</v>
      </c>
      <c r="CL45">
        <v>0</v>
      </c>
      <c r="CM45">
        <v>1</v>
      </c>
    </row>
    <row r="46" spans="20:91"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pontiac safari (sw)</v>
      </c>
      <c r="AO46" s="7">
        <v>13</v>
      </c>
      <c r="AP46" s="7">
        <v>8.7347698527741198</v>
      </c>
      <c r="AQ46" s="7">
        <v>4.2652301472258802</v>
      </c>
      <c r="AR46" s="7">
        <v>6.0087439699154588E-2</v>
      </c>
      <c r="AS46" s="7">
        <v>1.4343249307838877</v>
      </c>
      <c r="AT46" s="7">
        <v>7.7364623983456433E-3</v>
      </c>
      <c r="AU46" s="7">
        <v>-1.3692588778592949</v>
      </c>
      <c r="AV46" s="7">
        <v>-1.1208436092324729</v>
      </c>
      <c r="AW46" s="7">
        <v>1.1976330534783548</v>
      </c>
      <c r="AX46" s="7">
        <v>4.5379009999192625</v>
      </c>
      <c r="AY46" s="7" t="e">
        <v>#N/A</v>
      </c>
      <c r="AZ46" s="7">
        <v>8.7347698527741198</v>
      </c>
      <c r="BA46" s="7">
        <v>4.2652301472258802</v>
      </c>
      <c r="BU46" t="b">
        <v>1</v>
      </c>
      <c r="BW46">
        <v>1</v>
      </c>
      <c r="BX46">
        <v>88</v>
      </c>
      <c r="BY46">
        <v>3302</v>
      </c>
      <c r="BZ46">
        <v>1</v>
      </c>
      <c r="CA46">
        <v>0</v>
      </c>
      <c r="CB46">
        <v>0</v>
      </c>
      <c r="CC46">
        <v>0</v>
      </c>
      <c r="CD46">
        <v>0</v>
      </c>
      <c r="CE46">
        <v>0</v>
      </c>
      <c r="CF46">
        <v>0</v>
      </c>
      <c r="CG46">
        <v>0</v>
      </c>
      <c r="CH46">
        <v>0</v>
      </c>
      <c r="CI46">
        <v>0</v>
      </c>
      <c r="CJ46">
        <v>0</v>
      </c>
      <c r="CK46">
        <v>0</v>
      </c>
      <c r="CL46">
        <v>0</v>
      </c>
      <c r="CM46">
        <v>1</v>
      </c>
    </row>
    <row r="47" spans="20:91"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amc hornet sportabout (sw)</v>
      </c>
      <c r="AO47" s="7">
        <v>18</v>
      </c>
      <c r="AP47" s="7">
        <v>20.818026271478555</v>
      </c>
      <c r="AQ47" s="7">
        <v>-2.8180262714785549</v>
      </c>
      <c r="AR47" s="7">
        <v>3.9345147076828242E-2</v>
      </c>
      <c r="AS47" s="7">
        <v>-0.93736805879047547</v>
      </c>
      <c r="AT47" s="7">
        <v>2.1168747955341814E-3</v>
      </c>
      <c r="AU47" s="7">
        <v>-1.3692588778592949</v>
      </c>
      <c r="AV47" s="7">
        <v>-1.1079659887017947</v>
      </c>
      <c r="AW47" s="7">
        <v>0.96817770000680947</v>
      </c>
      <c r="AX47" s="7">
        <v>-2.9334430184822335</v>
      </c>
      <c r="AY47" s="7" t="e">
        <v>#N/A</v>
      </c>
      <c r="AZ47" s="7">
        <v>20.818026271478555</v>
      </c>
      <c r="BA47" s="7">
        <v>-2.8180262714785549</v>
      </c>
      <c r="BU47" t="b">
        <v>1</v>
      </c>
      <c r="BW47">
        <v>1</v>
      </c>
      <c r="BX47">
        <v>100</v>
      </c>
      <c r="BY47">
        <v>3288</v>
      </c>
      <c r="BZ47">
        <v>1</v>
      </c>
      <c r="CA47">
        <v>0</v>
      </c>
      <c r="CB47">
        <v>0</v>
      </c>
      <c r="CC47">
        <v>0</v>
      </c>
      <c r="CD47">
        <v>0</v>
      </c>
      <c r="CE47">
        <v>0</v>
      </c>
      <c r="CF47">
        <v>0</v>
      </c>
      <c r="CG47">
        <v>0</v>
      </c>
      <c r="CH47">
        <v>0</v>
      </c>
      <c r="CI47">
        <v>0</v>
      </c>
      <c r="CJ47">
        <v>0</v>
      </c>
      <c r="CK47">
        <v>0</v>
      </c>
      <c r="CL47">
        <v>0</v>
      </c>
      <c r="CM47">
        <v>1</v>
      </c>
    </row>
    <row r="48" spans="20:91"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chevrolet vega (sw)</v>
      </c>
      <c r="AO48" s="7">
        <v>22</v>
      </c>
      <c r="AP48" s="7">
        <v>24.240084212487787</v>
      </c>
      <c r="AQ48" s="7">
        <v>-2.2400842124877869</v>
      </c>
      <c r="AR48" s="7">
        <v>4.4387571078158897E-2</v>
      </c>
      <c r="AS48" s="7">
        <v>-0.74708884873176529</v>
      </c>
      <c r="AT48" s="7">
        <v>1.5250187306289908E-3</v>
      </c>
      <c r="AU48" s="7">
        <v>-1.3692588778592949</v>
      </c>
      <c r="AV48" s="7">
        <v>-1.0776013794312624</v>
      </c>
      <c r="AW48" s="7">
        <v>0.86434301566667693</v>
      </c>
      <c r="AX48" s="7">
        <v>-2.3441346561546261</v>
      </c>
      <c r="AY48" s="7" t="e">
        <v>#N/A</v>
      </c>
      <c r="AZ48" s="7">
        <v>24.240084212487787</v>
      </c>
      <c r="BA48" s="7">
        <v>-2.2400842124877869</v>
      </c>
      <c r="BU48" t="b">
        <v>1</v>
      </c>
      <c r="BW48">
        <v>1</v>
      </c>
      <c r="BX48">
        <v>165</v>
      </c>
      <c r="BY48">
        <v>4209</v>
      </c>
      <c r="BZ48">
        <v>1</v>
      </c>
      <c r="CA48">
        <v>0</v>
      </c>
      <c r="CB48">
        <v>0</v>
      </c>
      <c r="CC48">
        <v>0</v>
      </c>
      <c r="CD48">
        <v>0</v>
      </c>
      <c r="CE48">
        <v>0</v>
      </c>
      <c r="CF48">
        <v>0</v>
      </c>
      <c r="CG48">
        <v>0</v>
      </c>
      <c r="CH48">
        <v>0</v>
      </c>
      <c r="CI48">
        <v>0</v>
      </c>
      <c r="CJ48">
        <v>0</v>
      </c>
      <c r="CK48">
        <v>0</v>
      </c>
      <c r="CL48">
        <v>0</v>
      </c>
      <c r="CM48">
        <v>1</v>
      </c>
    </row>
    <row r="49" spans="20:91"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pontiac firebird</v>
      </c>
      <c r="AO49" s="7">
        <v>19</v>
      </c>
      <c r="AP49" s="7">
        <v>19.360131514176608</v>
      </c>
      <c r="AQ49" s="7">
        <v>-0.36013151417660794</v>
      </c>
      <c r="AR49" s="7">
        <v>4.0391072118825221E-2</v>
      </c>
      <c r="AS49" s="7">
        <v>-0.11985683096866286</v>
      </c>
      <c r="AT49" s="7">
        <v>3.5568681059560801E-5</v>
      </c>
      <c r="AU49" s="7">
        <v>-1.3692588778592949</v>
      </c>
      <c r="AV49" s="7">
        <v>-1.0767196379396351</v>
      </c>
      <c r="AW49" s="7">
        <v>0.34620345314375889</v>
      </c>
      <c r="AX49" s="7">
        <v>-0.37528987456565416</v>
      </c>
      <c r="AY49" s="7" t="e">
        <v>#N/A</v>
      </c>
      <c r="AZ49" s="7">
        <v>19.360131514176608</v>
      </c>
      <c r="BA49" s="7">
        <v>-0.36013151417660794</v>
      </c>
      <c r="BU49" t="b">
        <v>1</v>
      </c>
      <c r="BW49">
        <v>1</v>
      </c>
      <c r="BX49">
        <v>175</v>
      </c>
      <c r="BY49">
        <v>4464</v>
      </c>
      <c r="BZ49">
        <v>1</v>
      </c>
      <c r="CA49">
        <v>0</v>
      </c>
      <c r="CB49">
        <v>0</v>
      </c>
      <c r="CC49">
        <v>0</v>
      </c>
      <c r="CD49">
        <v>0</v>
      </c>
      <c r="CE49">
        <v>0</v>
      </c>
      <c r="CF49">
        <v>0</v>
      </c>
      <c r="CG49">
        <v>0</v>
      </c>
      <c r="CH49">
        <v>0</v>
      </c>
      <c r="CI49">
        <v>0</v>
      </c>
      <c r="CJ49">
        <v>0</v>
      </c>
      <c r="CK49">
        <v>0</v>
      </c>
      <c r="CL49">
        <v>0</v>
      </c>
      <c r="CM49">
        <v>1</v>
      </c>
    </row>
    <row r="50" spans="20:91"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ford mustang</v>
      </c>
      <c r="AO50" s="7">
        <v>18</v>
      </c>
      <c r="AP50" s="7">
        <v>20.279021972580789</v>
      </c>
      <c r="AQ50" s="7">
        <v>-2.2790219725807894</v>
      </c>
      <c r="AR50" s="7">
        <v>4.2955679782943249E-2</v>
      </c>
      <c r="AS50" s="7">
        <v>-0.75950614299185049</v>
      </c>
      <c r="AT50" s="7">
        <v>1.5230080763382334E-3</v>
      </c>
      <c r="AU50" s="7">
        <v>-1.3692588778592949</v>
      </c>
      <c r="AV50" s="7">
        <v>-1.0639613519924889</v>
      </c>
      <c r="AW50" s="7">
        <v>0.87149649625907877</v>
      </c>
      <c r="AX50" s="7">
        <v>-2.3813128863916244</v>
      </c>
      <c r="AY50" s="7" t="e">
        <v>#N/A</v>
      </c>
      <c r="AZ50" s="7">
        <v>20.279021972580789</v>
      </c>
      <c r="BA50" s="7">
        <v>-2.2790219725807894</v>
      </c>
      <c r="BU50" t="b">
        <v>1</v>
      </c>
      <c r="BW50">
        <v>1</v>
      </c>
      <c r="BX50">
        <v>153</v>
      </c>
      <c r="BY50">
        <v>4154</v>
      </c>
      <c r="BZ50">
        <v>1</v>
      </c>
      <c r="CA50">
        <v>0</v>
      </c>
      <c r="CB50">
        <v>0</v>
      </c>
      <c r="CC50">
        <v>0</v>
      </c>
      <c r="CD50">
        <v>0</v>
      </c>
      <c r="CE50">
        <v>0</v>
      </c>
      <c r="CF50">
        <v>0</v>
      </c>
      <c r="CG50">
        <v>0</v>
      </c>
      <c r="CH50">
        <v>0</v>
      </c>
      <c r="CI50">
        <v>0</v>
      </c>
      <c r="CJ50">
        <v>0</v>
      </c>
      <c r="CK50">
        <v>0</v>
      </c>
      <c r="CL50">
        <v>0</v>
      </c>
      <c r="CM50">
        <v>1</v>
      </c>
    </row>
    <row r="51" spans="20:91"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mercury capri 2000</v>
      </c>
      <c r="AO51" s="7">
        <v>23</v>
      </c>
      <c r="AP51" s="7">
        <v>24.964676372780158</v>
      </c>
      <c r="AQ51" s="7">
        <v>-1.9646763727801577</v>
      </c>
      <c r="AR51" s="7">
        <v>4.6967075740257901E-2</v>
      </c>
      <c r="AS51" s="7">
        <v>-0.65612392430107758</v>
      </c>
      <c r="AT51" s="7">
        <v>1.2479823486709783E-3</v>
      </c>
      <c r="AU51" s="7">
        <v>-1.3692588778592949</v>
      </c>
      <c r="AV51" s="7">
        <v>-1.0306011185079675</v>
      </c>
      <c r="AW51" s="7">
        <v>0.81001476795245997</v>
      </c>
      <c r="AX51" s="7">
        <v>-2.0614989501083594</v>
      </c>
      <c r="AY51" s="7" t="e">
        <v>#N/A</v>
      </c>
      <c r="AZ51" s="7">
        <v>24.964676372780158</v>
      </c>
      <c r="BA51" s="7">
        <v>-1.9646763727801577</v>
      </c>
      <c r="BU51" t="b">
        <v>1</v>
      </c>
      <c r="BW51">
        <v>1</v>
      </c>
      <c r="BX51">
        <v>150</v>
      </c>
      <c r="BY51">
        <v>4096</v>
      </c>
      <c r="BZ51">
        <v>1</v>
      </c>
      <c r="CA51">
        <v>0</v>
      </c>
      <c r="CB51">
        <v>0</v>
      </c>
      <c r="CC51">
        <v>0</v>
      </c>
      <c r="CD51">
        <v>0</v>
      </c>
      <c r="CE51">
        <v>0</v>
      </c>
      <c r="CF51">
        <v>0</v>
      </c>
      <c r="CG51">
        <v>0</v>
      </c>
      <c r="CH51">
        <v>0</v>
      </c>
      <c r="CI51">
        <v>0</v>
      </c>
      <c r="CJ51">
        <v>0</v>
      </c>
      <c r="CK51">
        <v>0</v>
      </c>
      <c r="CL51">
        <v>0</v>
      </c>
      <c r="CM51">
        <v>1</v>
      </c>
    </row>
    <row r="52" spans="20:91"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opel 1900</v>
      </c>
      <c r="AO52" s="7">
        <v>28</v>
      </c>
      <c r="AP52" s="7">
        <v>27.328836446781459</v>
      </c>
      <c r="AQ52" s="7">
        <v>0.67116355321854115</v>
      </c>
      <c r="AR52" s="7">
        <v>5.4491719512995432E-2</v>
      </c>
      <c r="AS52" s="7">
        <v>0.22503211391070585</v>
      </c>
      <c r="AT52" s="7">
        <v>1.7167428775596009E-4</v>
      </c>
      <c r="AU52" s="7">
        <v>-1.3692588778592949</v>
      </c>
      <c r="AV52" s="7">
        <v>-1.0254466826344708</v>
      </c>
      <c r="AW52" s="7">
        <v>0.47437549885160157</v>
      </c>
      <c r="AX52" s="7">
        <v>0.70984418335590227</v>
      </c>
      <c r="AY52" s="7" t="e">
        <v>#N/A</v>
      </c>
      <c r="AZ52" s="7">
        <v>27.328836446781459</v>
      </c>
      <c r="BA52" s="7">
        <v>0.67116355321854115</v>
      </c>
      <c r="BU52" t="b">
        <v>1</v>
      </c>
      <c r="BW52">
        <v>1</v>
      </c>
      <c r="BX52">
        <v>180</v>
      </c>
      <c r="BY52">
        <v>4955</v>
      </c>
      <c r="BZ52">
        <v>1</v>
      </c>
      <c r="CA52">
        <v>0</v>
      </c>
      <c r="CB52">
        <v>0</v>
      </c>
      <c r="CC52">
        <v>0</v>
      </c>
      <c r="CD52">
        <v>0</v>
      </c>
      <c r="CE52">
        <v>0</v>
      </c>
      <c r="CF52">
        <v>0</v>
      </c>
      <c r="CG52">
        <v>0</v>
      </c>
      <c r="CH52">
        <v>0</v>
      </c>
      <c r="CI52">
        <v>0</v>
      </c>
      <c r="CJ52">
        <v>0</v>
      </c>
      <c r="CK52">
        <v>0</v>
      </c>
      <c r="CL52">
        <v>0</v>
      </c>
      <c r="CM52">
        <v>1</v>
      </c>
    </row>
    <row r="53" spans="20:91"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peugeot 304</v>
      </c>
      <c r="AO53" s="7">
        <v>30</v>
      </c>
      <c r="AP53" s="7">
        <v>27.901667256992997</v>
      </c>
      <c r="AQ53" s="7">
        <v>2.0983327430070027</v>
      </c>
      <c r="AR53" s="7">
        <v>5.0904856771056842E-2</v>
      </c>
      <c r="AS53" s="7">
        <v>0.70221206283556192</v>
      </c>
      <c r="AT53" s="7">
        <v>1.5557403605267626E-3</v>
      </c>
      <c r="AU53" s="7">
        <v>-1.3692588778592949</v>
      </c>
      <c r="AV53" s="7">
        <v>-1.0214074988536559</v>
      </c>
      <c r="AW53" s="7">
        <v>0.83798094419596558</v>
      </c>
      <c r="AX53" s="7">
        <v>2.2108771264682758</v>
      </c>
      <c r="AY53" s="7" t="e">
        <v>#N/A</v>
      </c>
      <c r="AZ53" s="7">
        <v>27.901667256992997</v>
      </c>
      <c r="BA53" s="7">
        <v>2.0983327430070027</v>
      </c>
      <c r="BU53" t="b">
        <v>1</v>
      </c>
      <c r="BW53">
        <v>1</v>
      </c>
      <c r="BX53">
        <v>170</v>
      </c>
      <c r="BY53">
        <v>4746</v>
      </c>
      <c r="BZ53">
        <v>1</v>
      </c>
      <c r="CA53">
        <v>0</v>
      </c>
      <c r="CB53">
        <v>0</v>
      </c>
      <c r="CC53">
        <v>0</v>
      </c>
      <c r="CD53">
        <v>0</v>
      </c>
      <c r="CE53">
        <v>0</v>
      </c>
      <c r="CF53">
        <v>0</v>
      </c>
      <c r="CG53">
        <v>0</v>
      </c>
      <c r="CH53">
        <v>0</v>
      </c>
      <c r="CI53">
        <v>0</v>
      </c>
      <c r="CJ53">
        <v>0</v>
      </c>
      <c r="CK53">
        <v>0</v>
      </c>
      <c r="CL53">
        <v>0</v>
      </c>
      <c r="CM53">
        <v>1</v>
      </c>
    </row>
    <row r="54" spans="20:91"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fiat 124b</v>
      </c>
      <c r="AO54" s="7">
        <v>30</v>
      </c>
      <c r="AP54" s="7">
        <v>27.849818451807806</v>
      </c>
      <c r="AQ54" s="7">
        <v>2.1501815481921938</v>
      </c>
      <c r="AR54" s="7">
        <v>5.1536941571397543E-2</v>
      </c>
      <c r="AS54" s="7">
        <v>0.7198031188897932</v>
      </c>
      <c r="AT54" s="7">
        <v>1.6560625973104474E-3</v>
      </c>
      <c r="AU54" s="7">
        <v>-1.3692588778592949</v>
      </c>
      <c r="AV54" s="7">
        <v>-1.0101337973139497</v>
      </c>
      <c r="AW54" s="7">
        <v>0.84841211618516699</v>
      </c>
      <c r="AX54" s="7">
        <v>2.2670166529781119</v>
      </c>
      <c r="AY54" s="7" t="e">
        <v>#N/A</v>
      </c>
      <c r="AZ54" s="7">
        <v>27.849818451807806</v>
      </c>
      <c r="BA54" s="7">
        <v>2.1501815481921938</v>
      </c>
      <c r="BU54" t="b">
        <v>1</v>
      </c>
      <c r="BW54">
        <v>1</v>
      </c>
      <c r="BX54">
        <v>175</v>
      </c>
      <c r="BY54">
        <v>5140</v>
      </c>
      <c r="BZ54">
        <v>1</v>
      </c>
      <c r="CA54">
        <v>0</v>
      </c>
      <c r="CB54">
        <v>0</v>
      </c>
      <c r="CC54">
        <v>0</v>
      </c>
      <c r="CD54">
        <v>0</v>
      </c>
      <c r="CE54">
        <v>0</v>
      </c>
      <c r="CF54">
        <v>0</v>
      </c>
      <c r="CG54">
        <v>0</v>
      </c>
      <c r="CH54">
        <v>0</v>
      </c>
      <c r="CI54">
        <v>0</v>
      </c>
      <c r="CJ54">
        <v>0</v>
      </c>
      <c r="CK54">
        <v>0</v>
      </c>
      <c r="CL54">
        <v>0</v>
      </c>
      <c r="CM54">
        <v>1</v>
      </c>
    </row>
    <row r="55" spans="20:91"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toyota corolla 1200</v>
      </c>
      <c r="AO55" s="7">
        <v>31</v>
      </c>
      <c r="AP55" s="7">
        <v>29.628882452860694</v>
      </c>
      <c r="AQ55" s="7">
        <v>1.3711175471393062</v>
      </c>
      <c r="AR55" s="7">
        <v>5.1440861703403784E-2</v>
      </c>
      <c r="AS55" s="7">
        <v>0.45897738397456883</v>
      </c>
      <c r="AT55" s="7">
        <v>6.720126895193272E-4</v>
      </c>
      <c r="AU55" s="7">
        <v>-1.1080108204698569</v>
      </c>
      <c r="AV55" s="7">
        <v>-1.007631554042864</v>
      </c>
      <c r="AW55" s="7">
        <v>0.67747869632525626</v>
      </c>
      <c r="AX55" s="7">
        <v>1.4454739739280063</v>
      </c>
      <c r="AY55" s="7" t="e">
        <v>#N/A</v>
      </c>
      <c r="AZ55" s="7">
        <v>29.628882452860694</v>
      </c>
      <c r="BA55" s="7">
        <v>1.3711175471393062</v>
      </c>
      <c r="BU55" t="b">
        <v>1</v>
      </c>
      <c r="BW55">
        <v>1</v>
      </c>
      <c r="BX55">
        <v>110</v>
      </c>
      <c r="BY55">
        <v>2962</v>
      </c>
      <c r="BZ55">
        <v>1</v>
      </c>
      <c r="CA55">
        <v>0</v>
      </c>
      <c r="CB55">
        <v>0</v>
      </c>
      <c r="CC55">
        <v>0</v>
      </c>
      <c r="CD55">
        <v>0</v>
      </c>
      <c r="CE55">
        <v>0</v>
      </c>
      <c r="CF55">
        <v>0</v>
      </c>
      <c r="CG55">
        <v>0</v>
      </c>
      <c r="CH55">
        <v>0</v>
      </c>
      <c r="CI55">
        <v>0</v>
      </c>
      <c r="CJ55">
        <v>0</v>
      </c>
      <c r="CK55">
        <v>0</v>
      </c>
      <c r="CL55">
        <v>0</v>
      </c>
      <c r="CM55">
        <v>1</v>
      </c>
    </row>
    <row r="56" spans="20:91"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datsun 1200</v>
      </c>
      <c r="AO56" s="7">
        <v>35</v>
      </c>
      <c r="AP56" s="7">
        <v>30.374066263465213</v>
      </c>
      <c r="AQ56" s="7">
        <v>4.6259337365347868</v>
      </c>
      <c r="AR56" s="7">
        <v>5.3281992204502804E-2</v>
      </c>
      <c r="AS56" s="7">
        <v>1.5500221062846515</v>
      </c>
      <c r="AT56" s="7">
        <v>7.954020013824236E-3</v>
      </c>
      <c r="AU56" s="7">
        <v>-1.0962733150227</v>
      </c>
      <c r="AV56" s="7">
        <v>-1.0042751043337617</v>
      </c>
      <c r="AW56" s="7">
        <v>1.2449988378647796</v>
      </c>
      <c r="AX56" s="7">
        <v>4.8862847209451683</v>
      </c>
      <c r="AY56" s="7" t="e">
        <v>#N/A</v>
      </c>
      <c r="AZ56" s="7">
        <v>30.374066263465213</v>
      </c>
      <c r="BA56" s="7">
        <v>4.6259337365347868</v>
      </c>
      <c r="BU56" t="b">
        <v>1</v>
      </c>
      <c r="BW56">
        <v>1</v>
      </c>
      <c r="BX56">
        <v>72</v>
      </c>
      <c r="BY56">
        <v>2408</v>
      </c>
      <c r="BZ56">
        <v>1</v>
      </c>
      <c r="CA56">
        <v>0</v>
      </c>
      <c r="CB56">
        <v>0</v>
      </c>
      <c r="CC56">
        <v>0</v>
      </c>
      <c r="CD56">
        <v>0</v>
      </c>
      <c r="CE56">
        <v>0</v>
      </c>
      <c r="CF56">
        <v>0</v>
      </c>
      <c r="CG56">
        <v>0</v>
      </c>
      <c r="CH56">
        <v>0</v>
      </c>
      <c r="CI56">
        <v>0</v>
      </c>
      <c r="CJ56">
        <v>0</v>
      </c>
      <c r="CK56">
        <v>0</v>
      </c>
      <c r="CL56">
        <v>0</v>
      </c>
      <c r="CM56">
        <v>1</v>
      </c>
    </row>
    <row r="57" spans="20:91"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volkswagen model 111</v>
      </c>
      <c r="AO57" s="7">
        <v>27</v>
      </c>
      <c r="AP57" s="7">
        <v>29.279225884156428</v>
      </c>
      <c r="AQ57" s="7">
        <v>-2.2792258841564284</v>
      </c>
      <c r="AR57" s="7">
        <v>5.2154473018058457E-2</v>
      </c>
      <c r="AS57" s="7">
        <v>-0.76325101320992839</v>
      </c>
      <c r="AT57" s="7">
        <v>1.8855578190512424E-3</v>
      </c>
      <c r="AU57" s="7">
        <v>-1.0962733150227</v>
      </c>
      <c r="AV57" s="7">
        <v>-0.97713360215343592</v>
      </c>
      <c r="AW57" s="7">
        <v>0.8736423829061456</v>
      </c>
      <c r="AX57" s="7">
        <v>-2.4046385400095391</v>
      </c>
      <c r="AY57" s="7" t="e">
        <v>#N/A</v>
      </c>
      <c r="AZ57" s="7">
        <v>29.279225884156428</v>
      </c>
      <c r="BA57" s="7">
        <v>-2.2792258841564284</v>
      </c>
      <c r="BU57" t="b">
        <v>1</v>
      </c>
      <c r="BW57">
        <v>1</v>
      </c>
      <c r="BX57">
        <v>100</v>
      </c>
      <c r="BY57">
        <v>3282</v>
      </c>
      <c r="BZ57">
        <v>1</v>
      </c>
      <c r="CA57">
        <v>0</v>
      </c>
      <c r="CB57">
        <v>0</v>
      </c>
      <c r="CC57">
        <v>0</v>
      </c>
      <c r="CD57">
        <v>0</v>
      </c>
      <c r="CE57">
        <v>0</v>
      </c>
      <c r="CF57">
        <v>0</v>
      </c>
      <c r="CG57">
        <v>0</v>
      </c>
      <c r="CH57">
        <v>0</v>
      </c>
      <c r="CI57">
        <v>0</v>
      </c>
      <c r="CJ57">
        <v>0</v>
      </c>
      <c r="CK57">
        <v>0</v>
      </c>
      <c r="CL57">
        <v>0</v>
      </c>
      <c r="CM57">
        <v>1</v>
      </c>
    </row>
    <row r="58" spans="20:91"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plymouth cricket</v>
      </c>
      <c r="AO58" s="7">
        <v>26</v>
      </c>
      <c r="AP58" s="7">
        <v>26.566236332042752</v>
      </c>
      <c r="AQ58" s="7">
        <v>-0.56623633204275237</v>
      </c>
      <c r="AR58" s="7">
        <v>5.0200126232252701E-2</v>
      </c>
      <c r="AS58" s="7">
        <v>-0.18942202796256211</v>
      </c>
      <c r="AT58" s="7">
        <v>1.1155389639298963E-4</v>
      </c>
      <c r="AU58" s="7">
        <v>-1.0962733150227</v>
      </c>
      <c r="AV58" s="7">
        <v>-0.97305252208919768</v>
      </c>
      <c r="AW58" s="7">
        <v>0.43522641000123385</v>
      </c>
      <c r="AX58" s="7">
        <v>-0.59616383164651066</v>
      </c>
      <c r="AY58" s="7" t="e">
        <v>#N/A</v>
      </c>
      <c r="AZ58" s="7">
        <v>26.566236332042752</v>
      </c>
      <c r="BA58" s="7">
        <v>-0.56623633204275237</v>
      </c>
      <c r="BU58" t="b">
        <v>1</v>
      </c>
      <c r="BW58">
        <v>1</v>
      </c>
      <c r="BX58">
        <v>88</v>
      </c>
      <c r="BY58">
        <v>3139</v>
      </c>
      <c r="BZ58">
        <v>1</v>
      </c>
      <c r="CA58">
        <v>0</v>
      </c>
      <c r="CB58">
        <v>0</v>
      </c>
      <c r="CC58">
        <v>0</v>
      </c>
      <c r="CD58">
        <v>0</v>
      </c>
      <c r="CE58">
        <v>0</v>
      </c>
      <c r="CF58">
        <v>0</v>
      </c>
      <c r="CG58">
        <v>0</v>
      </c>
      <c r="CH58">
        <v>0</v>
      </c>
      <c r="CI58">
        <v>0</v>
      </c>
      <c r="CJ58">
        <v>0</v>
      </c>
      <c r="CK58">
        <v>0</v>
      </c>
      <c r="CL58">
        <v>0</v>
      </c>
      <c r="CM58">
        <v>1</v>
      </c>
    </row>
    <row r="59" spans="20:91"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toyota corona hardtop</v>
      </c>
      <c r="AO59" s="7">
        <v>24</v>
      </c>
      <c r="AP59" s="7">
        <v>25.3284562040784</v>
      </c>
      <c r="AQ59" s="7">
        <v>-1.3284562040783996</v>
      </c>
      <c r="AR59" s="7">
        <v>4.812672986947801E-2</v>
      </c>
      <c r="AS59" s="7">
        <v>-0.4439218066323502</v>
      </c>
      <c r="AT59" s="7">
        <v>5.8609937575262018E-4</v>
      </c>
      <c r="AU59" s="7">
        <v>-1.0962733150227</v>
      </c>
      <c r="AV59" s="7">
        <v>-0.95975295748031364</v>
      </c>
      <c r="AW59" s="7">
        <v>0.66627457300451609</v>
      </c>
      <c r="AX59" s="7">
        <v>-1.3956229739450925</v>
      </c>
      <c r="AY59" s="7" t="e">
        <v>#N/A</v>
      </c>
      <c r="AZ59" s="7">
        <v>25.3284562040784</v>
      </c>
      <c r="BA59" s="7">
        <v>-1.3284562040783996</v>
      </c>
      <c r="BU59" t="b">
        <v>1</v>
      </c>
      <c r="BW59">
        <v>1</v>
      </c>
      <c r="BX59">
        <v>86</v>
      </c>
      <c r="BY59">
        <v>2220</v>
      </c>
      <c r="BZ59">
        <v>1</v>
      </c>
      <c r="CA59">
        <v>0</v>
      </c>
      <c r="CB59">
        <v>0</v>
      </c>
      <c r="CC59">
        <v>0</v>
      </c>
      <c r="CD59">
        <v>0</v>
      </c>
      <c r="CE59">
        <v>0</v>
      </c>
      <c r="CF59">
        <v>0</v>
      </c>
      <c r="CG59">
        <v>0</v>
      </c>
      <c r="CH59">
        <v>0</v>
      </c>
      <c r="CI59">
        <v>0</v>
      </c>
      <c r="CJ59">
        <v>0</v>
      </c>
      <c r="CK59">
        <v>0</v>
      </c>
      <c r="CL59">
        <v>0</v>
      </c>
      <c r="CM59">
        <v>1</v>
      </c>
    </row>
    <row r="60" spans="20:91"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dodge colt hardtop</v>
      </c>
      <c r="AO60" s="7">
        <v>25</v>
      </c>
      <c r="AP60" s="7">
        <v>24.281684133780271</v>
      </c>
      <c r="AQ60" s="7">
        <v>0.71831586621972932</v>
      </c>
      <c r="AR60" s="7">
        <v>5.0955596766720554E-2</v>
      </c>
      <c r="AS60" s="7">
        <v>0.24039254577345812</v>
      </c>
      <c r="AT60" s="7">
        <v>1.825149449760913E-4</v>
      </c>
      <c r="AU60" s="7">
        <v>-1.0962733150227</v>
      </c>
      <c r="AV60" s="7">
        <v>-0.95733088971303826</v>
      </c>
      <c r="AW60" s="7">
        <v>0.49029842522025108</v>
      </c>
      <c r="AX60" s="7">
        <v>0.75688330680051863</v>
      </c>
      <c r="AY60" s="7" t="e">
        <v>#N/A</v>
      </c>
      <c r="AZ60" s="7">
        <v>24.281684133780271</v>
      </c>
      <c r="BA60" s="7">
        <v>0.71831586621972932</v>
      </c>
      <c r="BU60" t="b">
        <v>1</v>
      </c>
      <c r="BW60">
        <v>1</v>
      </c>
      <c r="BX60">
        <v>90</v>
      </c>
      <c r="BY60">
        <v>2123</v>
      </c>
      <c r="BZ60">
        <v>1</v>
      </c>
      <c r="CA60">
        <v>0</v>
      </c>
      <c r="CB60">
        <v>0</v>
      </c>
      <c r="CC60">
        <v>0</v>
      </c>
      <c r="CD60">
        <v>0</v>
      </c>
      <c r="CE60">
        <v>0</v>
      </c>
      <c r="CF60">
        <v>0</v>
      </c>
      <c r="CG60">
        <v>0</v>
      </c>
      <c r="CH60">
        <v>0</v>
      </c>
      <c r="CI60">
        <v>0</v>
      </c>
      <c r="CJ60">
        <v>0</v>
      </c>
      <c r="CK60">
        <v>0</v>
      </c>
      <c r="CL60">
        <v>1</v>
      </c>
      <c r="CM60">
        <v>0</v>
      </c>
    </row>
    <row r="61" spans="20:91"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volkswagen type 3</v>
      </c>
      <c r="AO61" s="7">
        <v>23</v>
      </c>
      <c r="AP61" s="7">
        <v>25.993692502986526</v>
      </c>
      <c r="AQ61" s="7">
        <v>-2.9936925029865264</v>
      </c>
      <c r="AR61" s="7">
        <v>5.5489928772256662E-2</v>
      </c>
      <c r="AS61" s="7">
        <v>-1.0042751043337617</v>
      </c>
      <c r="AT61" s="7">
        <v>3.4854916482902495E-3</v>
      </c>
      <c r="AU61" s="7">
        <v>-1.0962733150227</v>
      </c>
      <c r="AV61" s="7">
        <v>-0.94749992351060164</v>
      </c>
      <c r="AW61" s="7">
        <v>1.0021352724726147</v>
      </c>
      <c r="AX61" s="7">
        <v>-3.1695718173709952</v>
      </c>
      <c r="AY61" s="7" t="e">
        <v>#N/A</v>
      </c>
      <c r="AZ61" s="7">
        <v>25.993692502986526</v>
      </c>
      <c r="BA61" s="7">
        <v>-2.9936925029865264</v>
      </c>
      <c r="BU61" t="b">
        <v>1</v>
      </c>
      <c r="BW61">
        <v>1</v>
      </c>
      <c r="BX61">
        <v>70</v>
      </c>
      <c r="BY61">
        <v>2074</v>
      </c>
      <c r="BZ61">
        <v>1</v>
      </c>
      <c r="CA61">
        <v>0</v>
      </c>
      <c r="CB61">
        <v>0</v>
      </c>
      <c r="CC61">
        <v>0</v>
      </c>
      <c r="CD61">
        <v>0</v>
      </c>
      <c r="CE61">
        <v>0</v>
      </c>
      <c r="CF61">
        <v>0</v>
      </c>
      <c r="CG61">
        <v>0</v>
      </c>
      <c r="CH61">
        <v>0</v>
      </c>
      <c r="CI61">
        <v>0</v>
      </c>
      <c r="CJ61">
        <v>0</v>
      </c>
      <c r="CK61">
        <v>0</v>
      </c>
      <c r="CL61">
        <v>1</v>
      </c>
      <c r="CM61">
        <v>0</v>
      </c>
    </row>
    <row r="62" spans="20:91"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chevrolet vega</v>
      </c>
      <c r="AO62" s="7">
        <v>20</v>
      </c>
      <c r="AP62" s="7">
        <v>22.691466502781935</v>
      </c>
      <c r="AQ62" s="7">
        <v>-2.6914665027819353</v>
      </c>
      <c r="AR62" s="7">
        <v>4.618302958520222E-2</v>
      </c>
      <c r="AS62" s="7">
        <v>-0.89847347465828531</v>
      </c>
      <c r="AT62" s="7">
        <v>2.2992117628888612E-3</v>
      </c>
      <c r="AU62" s="7">
        <v>-1.0962733150227</v>
      </c>
      <c r="AV62" s="7">
        <v>-0.93736805879047547</v>
      </c>
      <c r="AW62" s="7">
        <v>0.94787840710625182</v>
      </c>
      <c r="AX62" s="7">
        <v>-2.8217850869349341</v>
      </c>
      <c r="AY62" s="7" t="e">
        <v>#N/A</v>
      </c>
      <c r="AZ62" s="7">
        <v>22.691466502781935</v>
      </c>
      <c r="BA62" s="7">
        <v>-2.6914665027819353</v>
      </c>
      <c r="BU62" t="b">
        <v>1</v>
      </c>
      <c r="BW62">
        <v>1</v>
      </c>
      <c r="BX62">
        <v>76</v>
      </c>
      <c r="BY62">
        <v>2065</v>
      </c>
      <c r="BZ62">
        <v>1</v>
      </c>
      <c r="CA62">
        <v>0</v>
      </c>
      <c r="CB62">
        <v>0</v>
      </c>
      <c r="CC62">
        <v>0</v>
      </c>
      <c r="CD62">
        <v>0</v>
      </c>
      <c r="CE62">
        <v>0</v>
      </c>
      <c r="CF62">
        <v>0</v>
      </c>
      <c r="CG62">
        <v>0</v>
      </c>
      <c r="CH62">
        <v>0</v>
      </c>
      <c r="CI62">
        <v>0</v>
      </c>
      <c r="CJ62">
        <v>0</v>
      </c>
      <c r="CK62">
        <v>0</v>
      </c>
      <c r="CL62">
        <v>1</v>
      </c>
      <c r="CM62">
        <v>0</v>
      </c>
    </row>
    <row r="63" spans="20:91" x14ac:dyDescent="0.25">
      <c r="AN63" t="str">
        <v>ford pinto runabout</v>
      </c>
      <c r="AO63" s="7">
        <v>21</v>
      </c>
      <c r="AP63" s="7">
        <v>23.677934580547348</v>
      </c>
      <c r="AQ63" s="7">
        <v>-2.6779345805473476</v>
      </c>
      <c r="AR63" s="7">
        <v>4.93615349739061E-2</v>
      </c>
      <c r="AS63" s="7">
        <v>-0.89544945314468616</v>
      </c>
      <c r="AT63" s="7">
        <v>2.4490999147277954E-3</v>
      </c>
      <c r="AU63" s="7">
        <v>-1.0962733150227</v>
      </c>
      <c r="AV63" s="7">
        <v>-0.93176894037652602</v>
      </c>
      <c r="AW63" s="7">
        <v>0.9462819099743407</v>
      </c>
      <c r="AX63" s="7">
        <v>-2.816985298899978</v>
      </c>
      <c r="AY63" s="7" t="e">
        <v>#N/A</v>
      </c>
      <c r="AZ63" s="7">
        <v>23.677934580547348</v>
      </c>
      <c r="BA63" s="7">
        <v>-2.6779345805473476</v>
      </c>
      <c r="BU63" t="b">
        <v>1</v>
      </c>
      <c r="BW63">
        <v>1</v>
      </c>
      <c r="BX63">
        <v>65</v>
      </c>
      <c r="BY63">
        <v>1773</v>
      </c>
      <c r="BZ63">
        <v>1</v>
      </c>
      <c r="CA63">
        <v>0</v>
      </c>
      <c r="CB63">
        <v>0</v>
      </c>
      <c r="CC63">
        <v>0</v>
      </c>
      <c r="CD63">
        <v>0</v>
      </c>
      <c r="CE63">
        <v>0</v>
      </c>
      <c r="CF63">
        <v>0</v>
      </c>
      <c r="CG63">
        <v>0</v>
      </c>
      <c r="CH63">
        <v>0</v>
      </c>
      <c r="CI63">
        <v>0</v>
      </c>
      <c r="CJ63">
        <v>0</v>
      </c>
      <c r="CK63">
        <v>0</v>
      </c>
      <c r="CL63">
        <v>0</v>
      </c>
      <c r="CM63">
        <v>0</v>
      </c>
    </row>
    <row r="64" spans="20:91" x14ac:dyDescent="0.25">
      <c r="AN64" t="str">
        <v>chevrolet impala</v>
      </c>
      <c r="AO64" s="7">
        <v>13</v>
      </c>
      <c r="AP64" s="7">
        <v>12.025598364458521</v>
      </c>
      <c r="AQ64" s="7">
        <v>0.97440163554147929</v>
      </c>
      <c r="AR64" s="7">
        <v>4.0564604334394488E-2</v>
      </c>
      <c r="AS64" s="7">
        <v>0.32432388942400503</v>
      </c>
      <c r="AT64" s="7">
        <v>2.6160164199700729E-4</v>
      </c>
      <c r="AU64" s="7">
        <v>-1.0962733150227</v>
      </c>
      <c r="AV64" s="7">
        <v>-0.927047522634598</v>
      </c>
      <c r="AW64" s="7">
        <v>0.56949441562143965</v>
      </c>
      <c r="AX64" s="7">
        <v>1.0155990074407157</v>
      </c>
      <c r="AY64" s="7" t="e">
        <v>#N/A</v>
      </c>
      <c r="AZ64" s="7">
        <v>12.025598364458521</v>
      </c>
      <c r="BA64" s="7">
        <v>0.97440163554147929</v>
      </c>
      <c r="BU64" t="b">
        <v>1</v>
      </c>
      <c r="BW64">
        <v>1</v>
      </c>
      <c r="BX64">
        <v>69</v>
      </c>
      <c r="BY64">
        <v>1613</v>
      </c>
      <c r="BZ64">
        <v>1</v>
      </c>
      <c r="CA64">
        <v>0</v>
      </c>
      <c r="CB64">
        <v>0</v>
      </c>
      <c r="CC64">
        <v>0</v>
      </c>
      <c r="CD64">
        <v>0</v>
      </c>
      <c r="CE64">
        <v>0</v>
      </c>
      <c r="CF64">
        <v>0</v>
      </c>
      <c r="CG64">
        <v>0</v>
      </c>
      <c r="CH64">
        <v>0</v>
      </c>
      <c r="CI64">
        <v>0</v>
      </c>
      <c r="CJ64">
        <v>0</v>
      </c>
      <c r="CK64">
        <v>0</v>
      </c>
      <c r="CL64">
        <v>0</v>
      </c>
      <c r="CM64">
        <v>0</v>
      </c>
    </row>
    <row r="65" spans="40:91" x14ac:dyDescent="0.25">
      <c r="AN65" t="str">
        <v>pontiac catalina</v>
      </c>
      <c r="AO65" s="7">
        <v>14</v>
      </c>
      <c r="AP65" s="7">
        <v>11.301206677645148</v>
      </c>
      <c r="AQ65" s="7">
        <v>2.6987933223548524</v>
      </c>
      <c r="AR65" s="7">
        <v>4.2648578571305377E-2</v>
      </c>
      <c r="AS65" s="7">
        <v>0.89925474334882116</v>
      </c>
      <c r="AT65" s="7">
        <v>2.1190915902930089E-3</v>
      </c>
      <c r="AU65" s="7">
        <v>-1.0962733150227</v>
      </c>
      <c r="AV65" s="7">
        <v>-0.91766871471415257</v>
      </c>
      <c r="AW65" s="7">
        <v>0.9482904319610217</v>
      </c>
      <c r="AX65" s="7">
        <v>2.8190205414092691</v>
      </c>
      <c r="AY65" s="7" t="e">
        <v>#N/A</v>
      </c>
      <c r="AZ65" s="7">
        <v>11.301206677645148</v>
      </c>
      <c r="BA65" s="7">
        <v>2.6987933223548524</v>
      </c>
      <c r="BU65" t="b">
        <v>1</v>
      </c>
      <c r="BW65">
        <v>1</v>
      </c>
      <c r="BX65">
        <v>60</v>
      </c>
      <c r="BY65">
        <v>1834</v>
      </c>
      <c r="BZ65">
        <v>1</v>
      </c>
      <c r="CA65">
        <v>0</v>
      </c>
      <c r="CB65">
        <v>0</v>
      </c>
      <c r="CC65">
        <v>0</v>
      </c>
      <c r="CD65">
        <v>0</v>
      </c>
      <c r="CE65">
        <v>0</v>
      </c>
      <c r="CF65">
        <v>0</v>
      </c>
      <c r="CG65">
        <v>0</v>
      </c>
      <c r="CH65">
        <v>0</v>
      </c>
      <c r="CI65">
        <v>0</v>
      </c>
      <c r="CJ65">
        <v>0</v>
      </c>
      <c r="CK65">
        <v>0</v>
      </c>
      <c r="CL65">
        <v>1</v>
      </c>
      <c r="CM65">
        <v>0</v>
      </c>
    </row>
    <row r="66" spans="40:91" x14ac:dyDescent="0.25">
      <c r="AN66" t="str">
        <v>plymouth fury iii</v>
      </c>
      <c r="AO66" s="7">
        <v>15</v>
      </c>
      <c r="AP66" s="7">
        <v>12.972944880262862</v>
      </c>
      <c r="AQ66" s="7">
        <v>2.0270551197371383</v>
      </c>
      <c r="AR66" s="7">
        <v>3.9159162685000928E-2</v>
      </c>
      <c r="AS66" s="7">
        <v>0.67419982475816331</v>
      </c>
      <c r="AT66" s="7">
        <v>1.0897083862934844E-3</v>
      </c>
      <c r="AU66" s="7">
        <v>-1.0962733150227</v>
      </c>
      <c r="AV66" s="7">
        <v>-0.90311709621560088</v>
      </c>
      <c r="AW66" s="7">
        <v>0.82109672070844575</v>
      </c>
      <c r="AX66" s="7">
        <v>2.1096679502107745</v>
      </c>
      <c r="AY66" s="7" t="e">
        <v>#N/A</v>
      </c>
      <c r="AZ66" s="7">
        <v>12.972944880262862</v>
      </c>
      <c r="BA66" s="7">
        <v>2.0270551197371383</v>
      </c>
      <c r="BU66" t="b">
        <v>1</v>
      </c>
      <c r="BW66">
        <v>1</v>
      </c>
      <c r="BX66">
        <v>70</v>
      </c>
      <c r="BY66">
        <v>1955</v>
      </c>
      <c r="BZ66">
        <v>1</v>
      </c>
      <c r="CA66">
        <v>0</v>
      </c>
      <c r="CB66">
        <v>0</v>
      </c>
      <c r="CC66">
        <v>0</v>
      </c>
      <c r="CD66">
        <v>0</v>
      </c>
      <c r="CE66">
        <v>0</v>
      </c>
      <c r="CF66">
        <v>0</v>
      </c>
      <c r="CG66">
        <v>0</v>
      </c>
      <c r="CH66">
        <v>0</v>
      </c>
      <c r="CI66">
        <v>0</v>
      </c>
      <c r="CJ66">
        <v>0</v>
      </c>
      <c r="CK66">
        <v>0</v>
      </c>
      <c r="CL66">
        <v>0</v>
      </c>
      <c r="CM66">
        <v>1</v>
      </c>
    </row>
    <row r="67" spans="40:91" x14ac:dyDescent="0.25">
      <c r="AN67" t="str">
        <v>ford galaxie 500</v>
      </c>
      <c r="AO67" s="7">
        <v>14</v>
      </c>
      <c r="AP67" s="7">
        <v>12.954615442092937</v>
      </c>
      <c r="AQ67" s="7">
        <v>1.0453845579070631</v>
      </c>
      <c r="AR67" s="7">
        <v>3.9029459660414413E-2</v>
      </c>
      <c r="AS67" s="7">
        <v>0.34767210505293183</v>
      </c>
      <c r="AT67" s="7">
        <v>2.8878407312034809E-4</v>
      </c>
      <c r="AU67" s="7">
        <v>-1.0962733150227</v>
      </c>
      <c r="AV67" s="7">
        <v>-0.89847347465828531</v>
      </c>
      <c r="AW67" s="7">
        <v>0.58963726565824504</v>
      </c>
      <c r="AX67" s="7">
        <v>1.0878424613699889</v>
      </c>
      <c r="AY67" s="7" t="e">
        <v>#N/A</v>
      </c>
      <c r="AZ67" s="7">
        <v>12.954615442092937</v>
      </c>
      <c r="BA67" s="7">
        <v>1.0453845579070631</v>
      </c>
      <c r="BU67" t="b">
        <v>1</v>
      </c>
      <c r="BW67">
        <v>1</v>
      </c>
      <c r="BX67">
        <v>95</v>
      </c>
      <c r="BY67">
        <v>2278</v>
      </c>
      <c r="BZ67">
        <v>0</v>
      </c>
      <c r="CA67">
        <v>1</v>
      </c>
      <c r="CB67">
        <v>0</v>
      </c>
      <c r="CC67">
        <v>0</v>
      </c>
      <c r="CD67">
        <v>0</v>
      </c>
      <c r="CE67">
        <v>0</v>
      </c>
      <c r="CF67">
        <v>0</v>
      </c>
      <c r="CG67">
        <v>0</v>
      </c>
      <c r="CH67">
        <v>0</v>
      </c>
      <c r="CI67">
        <v>0</v>
      </c>
      <c r="CJ67">
        <v>0</v>
      </c>
      <c r="CK67">
        <v>0</v>
      </c>
      <c r="CL67">
        <v>0</v>
      </c>
      <c r="CM67">
        <v>0</v>
      </c>
    </row>
    <row r="68" spans="40:91" x14ac:dyDescent="0.25">
      <c r="AN68" t="str">
        <v>amc ambassador sst</v>
      </c>
      <c r="AO68" s="7">
        <v>17</v>
      </c>
      <c r="AP68" s="7">
        <v>15.317257232061912</v>
      </c>
      <c r="AQ68" s="7">
        <v>1.6827427679380875</v>
      </c>
      <c r="AR68" s="7">
        <v>3.9309167670658646E-2</v>
      </c>
      <c r="AS68" s="7">
        <v>0.55972501051095702</v>
      </c>
      <c r="AT68" s="7">
        <v>7.5406833956955465E-4</v>
      </c>
      <c r="AU68" s="7">
        <v>-1.0962733150227</v>
      </c>
      <c r="AV68" s="7">
        <v>-0.89544945314468616</v>
      </c>
      <c r="AW68" s="7">
        <v>0.7481477197124623</v>
      </c>
      <c r="AX68" s="7">
        <v>1.7515965712486514</v>
      </c>
      <c r="AY68" s="7" t="e">
        <v>#N/A</v>
      </c>
      <c r="AZ68" s="7">
        <v>15.317257232061912</v>
      </c>
      <c r="BA68" s="7">
        <v>1.6827427679380875</v>
      </c>
      <c r="BU68" t="b">
        <v>1</v>
      </c>
      <c r="BW68">
        <v>1</v>
      </c>
      <c r="BX68">
        <v>80</v>
      </c>
      <c r="BY68">
        <v>2126</v>
      </c>
      <c r="BZ68">
        <v>0</v>
      </c>
      <c r="CA68">
        <v>1</v>
      </c>
      <c r="CB68">
        <v>0</v>
      </c>
      <c r="CC68">
        <v>0</v>
      </c>
      <c r="CD68">
        <v>0</v>
      </c>
      <c r="CE68">
        <v>0</v>
      </c>
      <c r="CF68">
        <v>0</v>
      </c>
      <c r="CG68">
        <v>0</v>
      </c>
      <c r="CH68">
        <v>0</v>
      </c>
      <c r="CI68">
        <v>0</v>
      </c>
      <c r="CJ68">
        <v>0</v>
      </c>
      <c r="CK68">
        <v>0</v>
      </c>
      <c r="CL68">
        <v>0</v>
      </c>
      <c r="CM68">
        <v>1</v>
      </c>
    </row>
    <row r="69" spans="40:91" x14ac:dyDescent="0.25">
      <c r="AN69" t="str">
        <v>mercury marquis</v>
      </c>
      <c r="AO69" s="7">
        <v>11</v>
      </c>
      <c r="AP69" s="7">
        <v>9.5097036386293432</v>
      </c>
      <c r="AQ69" s="7">
        <v>1.4902963613706568</v>
      </c>
      <c r="AR69" s="7">
        <v>5.6427203997578376E-2</v>
      </c>
      <c r="AS69" s="7">
        <v>0.50018854209737185</v>
      </c>
      <c r="AT69" s="7">
        <v>8.8009930219647798E-4</v>
      </c>
      <c r="AU69" s="7">
        <v>-1.0962733150227</v>
      </c>
      <c r="AV69" s="7">
        <v>-0.88698134092906566</v>
      </c>
      <c r="AW69" s="7">
        <v>0.70724008801634808</v>
      </c>
      <c r="AX69" s="7">
        <v>1.5794185331375663</v>
      </c>
      <c r="AY69" s="7" t="e">
        <v>#N/A</v>
      </c>
      <c r="AZ69" s="7">
        <v>9.5097036386293432</v>
      </c>
      <c r="BA69" s="7">
        <v>1.4902963613706568</v>
      </c>
      <c r="BU69" t="b">
        <v>1</v>
      </c>
      <c r="BW69">
        <v>1</v>
      </c>
      <c r="BX69">
        <v>54</v>
      </c>
      <c r="BY69">
        <v>2254</v>
      </c>
      <c r="BZ69">
        <v>0</v>
      </c>
      <c r="CA69">
        <v>1</v>
      </c>
      <c r="CB69">
        <v>0</v>
      </c>
      <c r="CC69">
        <v>0</v>
      </c>
      <c r="CD69">
        <v>0</v>
      </c>
      <c r="CE69">
        <v>0</v>
      </c>
      <c r="CF69">
        <v>0</v>
      </c>
      <c r="CG69">
        <v>0</v>
      </c>
      <c r="CH69">
        <v>0</v>
      </c>
      <c r="CI69">
        <v>0</v>
      </c>
      <c r="CJ69">
        <v>0</v>
      </c>
      <c r="CK69">
        <v>0</v>
      </c>
      <c r="CL69">
        <v>1</v>
      </c>
      <c r="CM69">
        <v>0</v>
      </c>
    </row>
    <row r="70" spans="40:91" x14ac:dyDescent="0.25">
      <c r="AN70" t="str">
        <v>buick lesabre custom</v>
      </c>
      <c r="AO70" s="7">
        <v>13</v>
      </c>
      <c r="AP70" s="7">
        <v>11.033528091747311</v>
      </c>
      <c r="AQ70" s="7">
        <v>1.9664719082526894</v>
      </c>
      <c r="AR70" s="7">
        <v>4.3819711275624673E-2</v>
      </c>
      <c r="AS70" s="7">
        <v>0.65564183486321792</v>
      </c>
      <c r="AT70" s="7">
        <v>1.1588150254695077E-3</v>
      </c>
      <c r="AU70" s="7">
        <v>-1.0962733150227</v>
      </c>
      <c r="AV70" s="7">
        <v>-0.87909939485507804</v>
      </c>
      <c r="AW70" s="7">
        <v>0.80971713262300304</v>
      </c>
      <c r="AX70" s="7">
        <v>2.0565911381379003</v>
      </c>
      <c r="AY70" s="7" t="e">
        <v>#N/A</v>
      </c>
      <c r="AZ70" s="7">
        <v>11.033528091747311</v>
      </c>
      <c r="BA70" s="7">
        <v>1.9664719082526894</v>
      </c>
      <c r="BU70" t="b">
        <v>1</v>
      </c>
      <c r="BW70">
        <v>1</v>
      </c>
      <c r="BX70">
        <v>90</v>
      </c>
      <c r="BY70">
        <v>2408</v>
      </c>
      <c r="BZ70">
        <v>0</v>
      </c>
      <c r="CA70">
        <v>1</v>
      </c>
      <c r="CB70">
        <v>0</v>
      </c>
      <c r="CC70">
        <v>0</v>
      </c>
      <c r="CD70">
        <v>0</v>
      </c>
      <c r="CE70">
        <v>0</v>
      </c>
      <c r="CF70">
        <v>0</v>
      </c>
      <c r="CG70">
        <v>0</v>
      </c>
      <c r="CH70">
        <v>0</v>
      </c>
      <c r="CI70">
        <v>0</v>
      </c>
      <c r="CJ70">
        <v>0</v>
      </c>
      <c r="CK70">
        <v>0</v>
      </c>
      <c r="CL70">
        <v>0</v>
      </c>
      <c r="CM70">
        <v>1</v>
      </c>
    </row>
    <row r="71" spans="40:91" x14ac:dyDescent="0.25">
      <c r="AN71" t="str">
        <v>oldsmobile delta 88 royale</v>
      </c>
      <c r="AO71" s="7">
        <v>12</v>
      </c>
      <c r="AP71" s="7">
        <v>11.185258174274981</v>
      </c>
      <c r="AQ71" s="7">
        <v>0.81474182572501874</v>
      </c>
      <c r="AR71" s="7">
        <v>4.2181857106601633E-2</v>
      </c>
      <c r="AS71" s="7">
        <v>0.27141090048236372</v>
      </c>
      <c r="AT71" s="7">
        <v>1.9083071939233432E-4</v>
      </c>
      <c r="AU71" s="7">
        <v>-1.0962733150227</v>
      </c>
      <c r="AV71" s="7">
        <v>-0.87855079557957172</v>
      </c>
      <c r="AW71" s="7">
        <v>0.52097111290585363</v>
      </c>
      <c r="AX71" s="7">
        <v>0.85062266962685473</v>
      </c>
      <c r="AY71" s="7" t="e">
        <v>#N/A</v>
      </c>
      <c r="AZ71" s="7">
        <v>11.185258174274981</v>
      </c>
      <c r="BA71" s="7">
        <v>0.81474182572501874</v>
      </c>
      <c r="BU71" t="b">
        <v>1</v>
      </c>
      <c r="BW71">
        <v>1</v>
      </c>
      <c r="BX71">
        <v>86</v>
      </c>
      <c r="BY71">
        <v>2226</v>
      </c>
      <c r="BZ71">
        <v>0</v>
      </c>
      <c r="CA71">
        <v>1</v>
      </c>
      <c r="CB71">
        <v>0</v>
      </c>
      <c r="CC71">
        <v>0</v>
      </c>
      <c r="CD71">
        <v>0</v>
      </c>
      <c r="CE71">
        <v>0</v>
      </c>
      <c r="CF71">
        <v>0</v>
      </c>
      <c r="CG71">
        <v>0</v>
      </c>
      <c r="CH71">
        <v>0</v>
      </c>
      <c r="CI71">
        <v>0</v>
      </c>
      <c r="CJ71">
        <v>0</v>
      </c>
      <c r="CK71">
        <v>0</v>
      </c>
      <c r="CL71">
        <v>0</v>
      </c>
      <c r="CM71">
        <v>1</v>
      </c>
    </row>
    <row r="72" spans="40:91" x14ac:dyDescent="0.25">
      <c r="AN72" t="str">
        <v>chrysler newport royal</v>
      </c>
      <c r="AO72" s="7">
        <v>13</v>
      </c>
      <c r="AP72" s="7">
        <v>10.870317742582717</v>
      </c>
      <c r="AQ72" s="7">
        <v>2.1296822574172829</v>
      </c>
      <c r="AR72" s="7">
        <v>4.8030921024309239E-2</v>
      </c>
      <c r="AS72" s="7">
        <v>0.71162663600436038</v>
      </c>
      <c r="AT72" s="7">
        <v>1.5029811765241243E-3</v>
      </c>
      <c r="AU72" s="7">
        <v>-0.92571937406474636</v>
      </c>
      <c r="AV72" s="7">
        <v>-0.87508847543409352</v>
      </c>
      <c r="AW72" s="7">
        <v>0.84357965599246187</v>
      </c>
      <c r="AX72" s="7">
        <v>2.237133857024852</v>
      </c>
      <c r="AY72" s="7" t="e">
        <v>#N/A</v>
      </c>
      <c r="AZ72" s="7">
        <v>10.870317742582717</v>
      </c>
      <c r="BA72" s="7">
        <v>2.1296822574172829</v>
      </c>
      <c r="BU72" t="b">
        <v>1</v>
      </c>
      <c r="BW72">
        <v>1</v>
      </c>
      <c r="BX72">
        <v>165</v>
      </c>
      <c r="BY72">
        <v>4274</v>
      </c>
      <c r="BZ72">
        <v>0</v>
      </c>
      <c r="CA72">
        <v>1</v>
      </c>
      <c r="CB72">
        <v>0</v>
      </c>
      <c r="CC72">
        <v>0</v>
      </c>
      <c r="CD72">
        <v>0</v>
      </c>
      <c r="CE72">
        <v>0</v>
      </c>
      <c r="CF72">
        <v>0</v>
      </c>
      <c r="CG72">
        <v>0</v>
      </c>
      <c r="CH72">
        <v>0</v>
      </c>
      <c r="CI72">
        <v>0</v>
      </c>
      <c r="CJ72">
        <v>0</v>
      </c>
      <c r="CK72">
        <v>0</v>
      </c>
      <c r="CL72">
        <v>0</v>
      </c>
      <c r="CM72">
        <v>1</v>
      </c>
    </row>
    <row r="73" spans="40:91" x14ac:dyDescent="0.25">
      <c r="AN73" t="str">
        <v>mazda rx2 coupe</v>
      </c>
      <c r="AO73" s="7">
        <v>19</v>
      </c>
      <c r="AP73" s="7">
        <v>25.032691240185244</v>
      </c>
      <c r="AQ73" s="7">
        <v>-6.0326912401852439</v>
      </c>
      <c r="AR73" s="7">
        <v>4.7965750122984138E-2</v>
      </c>
      <c r="AS73" s="7">
        <v>-2.0157358299478298</v>
      </c>
      <c r="AT73" s="7">
        <v>1.2041954383458014E-2</v>
      </c>
      <c r="AU73" s="7">
        <v>-0.92571937406474636</v>
      </c>
      <c r="AV73" s="7">
        <v>-0.86006936817939583</v>
      </c>
      <c r="AW73" s="7">
        <v>1.4197661180447398</v>
      </c>
      <c r="AX73" s="7">
        <v>-6.3366325748937591</v>
      </c>
      <c r="AY73" s="7">
        <v>1.2041954383458014E-2</v>
      </c>
      <c r="AZ73" s="7">
        <v>25.032691240185244</v>
      </c>
      <c r="BA73" s="7">
        <v>-6.0326912401852439</v>
      </c>
      <c r="BU73" t="b">
        <v>1</v>
      </c>
      <c r="BW73">
        <v>1</v>
      </c>
      <c r="BX73">
        <v>175</v>
      </c>
      <c r="BY73">
        <v>4385</v>
      </c>
      <c r="BZ73">
        <v>0</v>
      </c>
      <c r="CA73">
        <v>1</v>
      </c>
      <c r="CB73">
        <v>0</v>
      </c>
      <c r="CC73">
        <v>0</v>
      </c>
      <c r="CD73">
        <v>0</v>
      </c>
      <c r="CE73">
        <v>0</v>
      </c>
      <c r="CF73">
        <v>0</v>
      </c>
      <c r="CG73">
        <v>0</v>
      </c>
      <c r="CH73">
        <v>0</v>
      </c>
      <c r="CI73">
        <v>0</v>
      </c>
      <c r="CJ73">
        <v>0</v>
      </c>
      <c r="CK73">
        <v>0</v>
      </c>
      <c r="CL73">
        <v>0</v>
      </c>
      <c r="CM73">
        <v>1</v>
      </c>
    </row>
    <row r="74" spans="40:91" x14ac:dyDescent="0.25">
      <c r="AN74" t="str">
        <v>amc matador (sw)</v>
      </c>
      <c r="AO74" s="7">
        <v>15</v>
      </c>
      <c r="AP74" s="7">
        <v>14.203329116736228</v>
      </c>
      <c r="AQ74" s="7">
        <v>0.79667088326377211</v>
      </c>
      <c r="AR74" s="7">
        <v>3.8154178376464405E-2</v>
      </c>
      <c r="AS74" s="7">
        <v>0.26483477874394057</v>
      </c>
      <c r="AT74" s="7">
        <v>1.6365819459319042E-4</v>
      </c>
      <c r="AU74" s="7">
        <v>-0.92571937406474636</v>
      </c>
      <c r="AV74" s="7">
        <v>-0.85847137129504225</v>
      </c>
      <c r="AW74" s="7">
        <v>0.51462100495795993</v>
      </c>
      <c r="AX74" s="7">
        <v>0.82827295742579765</v>
      </c>
      <c r="AY74" s="7" t="e">
        <v>#N/A</v>
      </c>
      <c r="AZ74" s="7">
        <v>14.203329116736228</v>
      </c>
      <c r="BA74" s="7">
        <v>0.79667088326377211</v>
      </c>
      <c r="BU74" t="b">
        <v>1</v>
      </c>
      <c r="BW74">
        <v>1</v>
      </c>
      <c r="BX74">
        <v>150</v>
      </c>
      <c r="BY74">
        <v>4135</v>
      </c>
      <c r="BZ74">
        <v>0</v>
      </c>
      <c r="CA74">
        <v>1</v>
      </c>
      <c r="CB74">
        <v>0</v>
      </c>
      <c r="CC74">
        <v>0</v>
      </c>
      <c r="CD74">
        <v>0</v>
      </c>
      <c r="CE74">
        <v>0</v>
      </c>
      <c r="CF74">
        <v>0</v>
      </c>
      <c r="CG74">
        <v>0</v>
      </c>
      <c r="CH74">
        <v>0</v>
      </c>
      <c r="CI74">
        <v>0</v>
      </c>
      <c r="CJ74">
        <v>0</v>
      </c>
      <c r="CK74">
        <v>0</v>
      </c>
      <c r="CL74">
        <v>0</v>
      </c>
      <c r="CM74">
        <v>1</v>
      </c>
    </row>
    <row r="75" spans="40:91" x14ac:dyDescent="0.25">
      <c r="AN75" t="str">
        <v>chevrolet chevelle concours (sw)</v>
      </c>
      <c r="AO75" s="7">
        <v>13</v>
      </c>
      <c r="AP75" s="7">
        <v>13.485015975092999</v>
      </c>
      <c r="AQ75" s="7">
        <v>-0.48501597509299899</v>
      </c>
      <c r="AR75" s="7">
        <v>4.3315666055294896E-2</v>
      </c>
      <c r="AS75" s="7">
        <v>-0.16166667853581648</v>
      </c>
      <c r="AT75" s="7">
        <v>6.9609488850083681E-5</v>
      </c>
      <c r="AU75" s="7">
        <v>-0.92571937406474636</v>
      </c>
      <c r="AV75" s="7">
        <v>-0.84358082508023313</v>
      </c>
      <c r="AW75" s="7">
        <v>0.40207795082025632</v>
      </c>
      <c r="AX75" s="7">
        <v>-0.50697597722033172</v>
      </c>
      <c r="AY75" s="7" t="e">
        <v>#N/A</v>
      </c>
      <c r="AZ75" s="7">
        <v>13.485015975092999</v>
      </c>
      <c r="BA75" s="7">
        <v>-0.48501597509299899</v>
      </c>
      <c r="BU75" t="b">
        <v>1</v>
      </c>
      <c r="BW75">
        <v>1</v>
      </c>
      <c r="BX75">
        <v>153</v>
      </c>
      <c r="BY75">
        <v>4129</v>
      </c>
      <c r="BZ75">
        <v>0</v>
      </c>
      <c r="CA75">
        <v>1</v>
      </c>
      <c r="CB75">
        <v>0</v>
      </c>
      <c r="CC75">
        <v>0</v>
      </c>
      <c r="CD75">
        <v>0</v>
      </c>
      <c r="CE75">
        <v>0</v>
      </c>
      <c r="CF75">
        <v>0</v>
      </c>
      <c r="CG75">
        <v>0</v>
      </c>
      <c r="CH75">
        <v>0</v>
      </c>
      <c r="CI75">
        <v>0</v>
      </c>
      <c r="CJ75">
        <v>0</v>
      </c>
      <c r="CK75">
        <v>0</v>
      </c>
      <c r="CL75">
        <v>0</v>
      </c>
      <c r="CM75">
        <v>1</v>
      </c>
    </row>
    <row r="76" spans="40:91" x14ac:dyDescent="0.25">
      <c r="AN76" t="str">
        <v>ford gran torino (sw)</v>
      </c>
      <c r="AO76" s="7">
        <v>13</v>
      </c>
      <c r="AP76" s="7">
        <v>12.330242970994711</v>
      </c>
      <c r="AQ76" s="7">
        <v>0.66975702900528944</v>
      </c>
      <c r="AR76" s="7">
        <v>4.3819711639490791E-2</v>
      </c>
      <c r="AS76" s="7">
        <v>0.22330383955664967</v>
      </c>
      <c r="AT76" s="7">
        <v>1.3442287771774764E-4</v>
      </c>
      <c r="AU76" s="7">
        <v>-0.92571937406474636</v>
      </c>
      <c r="AV76" s="7">
        <v>-0.82893417664067504</v>
      </c>
      <c r="AW76" s="7">
        <v>0.4725503566358295</v>
      </c>
      <c r="AX76" s="7">
        <v>0.70045057104625297</v>
      </c>
      <c r="AY76" s="7" t="e">
        <v>#N/A</v>
      </c>
      <c r="AZ76" s="7">
        <v>12.330242970994711</v>
      </c>
      <c r="BA76" s="7">
        <v>0.66975702900528944</v>
      </c>
      <c r="BU76" t="b">
        <v>1</v>
      </c>
      <c r="BW76">
        <v>1</v>
      </c>
      <c r="BX76">
        <v>150</v>
      </c>
      <c r="BY76">
        <v>3672</v>
      </c>
      <c r="BZ76">
        <v>0</v>
      </c>
      <c r="CA76">
        <v>1</v>
      </c>
      <c r="CB76">
        <v>0</v>
      </c>
      <c r="CC76">
        <v>0</v>
      </c>
      <c r="CD76">
        <v>0</v>
      </c>
      <c r="CE76">
        <v>0</v>
      </c>
      <c r="CF76">
        <v>0</v>
      </c>
      <c r="CG76">
        <v>0</v>
      </c>
      <c r="CH76">
        <v>0</v>
      </c>
      <c r="CI76">
        <v>0</v>
      </c>
      <c r="CJ76">
        <v>0</v>
      </c>
      <c r="CK76">
        <v>0</v>
      </c>
      <c r="CL76">
        <v>0</v>
      </c>
      <c r="CM76">
        <v>1</v>
      </c>
    </row>
    <row r="77" spans="40:91" x14ac:dyDescent="0.25">
      <c r="AN77" t="str">
        <v>plymouth satellite custom (sw)</v>
      </c>
      <c r="AO77" s="7">
        <v>14</v>
      </c>
      <c r="AP77" s="7">
        <v>13.266616837939633</v>
      </c>
      <c r="AQ77" s="7">
        <v>0.7333831620603668</v>
      </c>
      <c r="AR77" s="7">
        <v>3.8701777045903059E-2</v>
      </c>
      <c r="AS77" s="7">
        <v>0.24386567077228108</v>
      </c>
      <c r="AT77" s="7">
        <v>1.4083972970041565E-4</v>
      </c>
      <c r="AU77" s="7">
        <v>-0.87770829679608253</v>
      </c>
      <c r="AV77" s="7">
        <v>-0.82687344310872324</v>
      </c>
      <c r="AW77" s="7">
        <v>0.49382757190367682</v>
      </c>
      <c r="AX77" s="7">
        <v>0.7629090999530399</v>
      </c>
      <c r="AY77" s="7" t="e">
        <v>#N/A</v>
      </c>
      <c r="AZ77" s="7">
        <v>13.266616837939633</v>
      </c>
      <c r="BA77" s="7">
        <v>0.7333831620603668</v>
      </c>
      <c r="BU77" t="b">
        <v>1</v>
      </c>
      <c r="BW77">
        <v>1</v>
      </c>
      <c r="BX77">
        <v>208</v>
      </c>
      <c r="BY77">
        <v>4633</v>
      </c>
      <c r="BZ77">
        <v>0</v>
      </c>
      <c r="CA77">
        <v>1</v>
      </c>
      <c r="CB77">
        <v>0</v>
      </c>
      <c r="CC77">
        <v>0</v>
      </c>
      <c r="CD77">
        <v>0</v>
      </c>
      <c r="CE77">
        <v>0</v>
      </c>
      <c r="CF77">
        <v>0</v>
      </c>
      <c r="CG77">
        <v>0</v>
      </c>
      <c r="CH77">
        <v>0</v>
      </c>
      <c r="CI77">
        <v>0</v>
      </c>
      <c r="CJ77">
        <v>0</v>
      </c>
      <c r="CK77">
        <v>0</v>
      </c>
      <c r="CL77">
        <v>0</v>
      </c>
      <c r="CM77">
        <v>1</v>
      </c>
    </row>
    <row r="78" spans="40:91" x14ac:dyDescent="0.25">
      <c r="AN78" t="str">
        <v>volvo 145e (sw)</v>
      </c>
      <c r="AO78" s="7">
        <v>18</v>
      </c>
      <c r="AP78" s="7">
        <v>21.613992221016879</v>
      </c>
      <c r="AQ78" s="7">
        <v>-3.6139922210168791</v>
      </c>
      <c r="AR78" s="7">
        <v>4.8872568958417593E-2</v>
      </c>
      <c r="AS78" s="7">
        <v>-1.2081383307454219</v>
      </c>
      <c r="AT78" s="7">
        <v>4.4117497165024454E-3</v>
      </c>
      <c r="AU78" s="7">
        <v>-0.87770829679608253</v>
      </c>
      <c r="AV78" s="7">
        <v>-0.82281965858508532</v>
      </c>
      <c r="AW78" s="7">
        <v>1.0991534609623088</v>
      </c>
      <c r="AX78" s="7">
        <v>-3.7996929781103947</v>
      </c>
      <c r="AY78" s="7" t="e">
        <v>#N/A</v>
      </c>
      <c r="AZ78" s="7">
        <v>21.613992221016879</v>
      </c>
      <c r="BA78" s="7">
        <v>-3.6139922210168791</v>
      </c>
      <c r="BU78" t="b">
        <v>1</v>
      </c>
      <c r="BW78">
        <v>1</v>
      </c>
      <c r="BX78">
        <v>155</v>
      </c>
      <c r="BY78">
        <v>4502</v>
      </c>
      <c r="BZ78">
        <v>0</v>
      </c>
      <c r="CA78">
        <v>1</v>
      </c>
      <c r="CB78">
        <v>0</v>
      </c>
      <c r="CC78">
        <v>0</v>
      </c>
      <c r="CD78">
        <v>0</v>
      </c>
      <c r="CE78">
        <v>0</v>
      </c>
      <c r="CF78">
        <v>0</v>
      </c>
      <c r="CG78">
        <v>0</v>
      </c>
      <c r="CH78">
        <v>0</v>
      </c>
      <c r="CI78">
        <v>0</v>
      </c>
      <c r="CJ78">
        <v>0</v>
      </c>
      <c r="CK78">
        <v>0</v>
      </c>
      <c r="CL78">
        <v>0</v>
      </c>
      <c r="CM78">
        <v>1</v>
      </c>
    </row>
    <row r="79" spans="40:91" x14ac:dyDescent="0.25">
      <c r="AN79" t="str">
        <v>volkswagen 411 (sw)</v>
      </c>
      <c r="AO79" s="7">
        <v>22</v>
      </c>
      <c r="AP79" s="7">
        <v>24.335220428923623</v>
      </c>
      <c r="AQ79" s="7">
        <v>-2.3352204289236234</v>
      </c>
      <c r="AR79" s="7">
        <v>4.996481696967215E-2</v>
      </c>
      <c r="AS79" s="7">
        <v>-0.78110036437010055</v>
      </c>
      <c r="AT79" s="7">
        <v>1.887510478444114E-3</v>
      </c>
      <c r="AU79" s="7">
        <v>-0.87770829679608253</v>
      </c>
      <c r="AV79" s="7">
        <v>-0.81252205315323311</v>
      </c>
      <c r="AW79" s="7">
        <v>0.88379882573473734</v>
      </c>
      <c r="AX79" s="7">
        <v>-2.4580357345029782</v>
      </c>
      <c r="AY79" s="7" t="e">
        <v>#N/A</v>
      </c>
      <c r="AZ79" s="7">
        <v>24.335220428923623</v>
      </c>
      <c r="BA79" s="7">
        <v>-2.3352204289236234</v>
      </c>
      <c r="BU79" t="b">
        <v>1</v>
      </c>
      <c r="BW79">
        <v>1</v>
      </c>
      <c r="BX79">
        <v>160</v>
      </c>
      <c r="BY79">
        <v>4456</v>
      </c>
      <c r="BZ79">
        <v>0</v>
      </c>
      <c r="CA79">
        <v>1</v>
      </c>
      <c r="CB79">
        <v>0</v>
      </c>
      <c r="CC79">
        <v>0</v>
      </c>
      <c r="CD79">
        <v>0</v>
      </c>
      <c r="CE79">
        <v>0</v>
      </c>
      <c r="CF79">
        <v>0</v>
      </c>
      <c r="CG79">
        <v>0</v>
      </c>
      <c r="CH79">
        <v>0</v>
      </c>
      <c r="CI79">
        <v>0</v>
      </c>
      <c r="CJ79">
        <v>0</v>
      </c>
      <c r="CK79">
        <v>0</v>
      </c>
      <c r="CL79">
        <v>0</v>
      </c>
      <c r="CM79">
        <v>1</v>
      </c>
    </row>
    <row r="80" spans="40:91" x14ac:dyDescent="0.25">
      <c r="AN80" t="str">
        <v>peugeot 504 (sw)</v>
      </c>
      <c r="AO80" s="7">
        <v>21</v>
      </c>
      <c r="AP80" s="7">
        <v>21.786990777560035</v>
      </c>
      <c r="AQ80" s="7">
        <v>-0.78699077756003533</v>
      </c>
      <c r="AR80" s="7">
        <v>5.286145261151471E-2</v>
      </c>
      <c r="AS80" s="7">
        <v>-0.26364023528520586</v>
      </c>
      <c r="AT80" s="7">
        <v>2.2819180345162862E-4</v>
      </c>
      <c r="AU80" s="7">
        <v>-0.87770829679608253</v>
      </c>
      <c r="AV80" s="7">
        <v>-0.80833512211099312</v>
      </c>
      <c r="AW80" s="7">
        <v>0.51345908822924335</v>
      </c>
      <c r="AX80" s="7">
        <v>-0.83091410409805389</v>
      </c>
      <c r="AY80" s="7" t="e">
        <v>#N/A</v>
      </c>
      <c r="AZ80" s="7">
        <v>21.786990777560035</v>
      </c>
      <c r="BA80" s="7">
        <v>-0.78699077756003533</v>
      </c>
      <c r="BU80" t="b">
        <v>1</v>
      </c>
      <c r="BW80">
        <v>1</v>
      </c>
      <c r="BX80">
        <v>190</v>
      </c>
      <c r="BY80">
        <v>4422</v>
      </c>
      <c r="BZ80">
        <v>0</v>
      </c>
      <c r="CA80">
        <v>1</v>
      </c>
      <c r="CB80">
        <v>0</v>
      </c>
      <c r="CC80">
        <v>0</v>
      </c>
      <c r="CD80">
        <v>0</v>
      </c>
      <c r="CE80">
        <v>0</v>
      </c>
      <c r="CF80">
        <v>0</v>
      </c>
      <c r="CG80">
        <v>0</v>
      </c>
      <c r="CH80">
        <v>0</v>
      </c>
      <c r="CI80">
        <v>0</v>
      </c>
      <c r="CJ80">
        <v>0</v>
      </c>
      <c r="CK80">
        <v>0</v>
      </c>
      <c r="CL80">
        <v>0</v>
      </c>
      <c r="CM80">
        <v>1</v>
      </c>
    </row>
    <row r="81" spans="40:91" x14ac:dyDescent="0.25">
      <c r="AN81" t="str">
        <v>renault 12 (sw)</v>
      </c>
      <c r="AO81" s="7">
        <v>26</v>
      </c>
      <c r="AP81" s="7">
        <v>26.079261148666003</v>
      </c>
      <c r="AQ81" s="7">
        <v>-7.9261148666002867E-2</v>
      </c>
      <c r="AR81" s="7">
        <v>5.0003897923478341E-2</v>
      </c>
      <c r="AS81" s="7">
        <v>-2.6512351797496374E-2</v>
      </c>
      <c r="AT81" s="7">
        <v>2.1763544257768552E-6</v>
      </c>
      <c r="AU81" s="7">
        <v>-0.87770829679608253</v>
      </c>
      <c r="AV81" s="7">
        <v>-0.79604972147694208</v>
      </c>
      <c r="AW81" s="7">
        <v>0.16282613978565105</v>
      </c>
      <c r="AX81" s="7">
        <v>-8.3433130402063932E-2</v>
      </c>
      <c r="AY81" s="7" t="e">
        <v>#N/A</v>
      </c>
      <c r="AZ81" s="7">
        <v>26.079261148666003</v>
      </c>
      <c r="BA81" s="7">
        <v>-7.9261148666002867E-2</v>
      </c>
      <c r="BU81" t="b">
        <v>1</v>
      </c>
      <c r="BW81">
        <v>1</v>
      </c>
      <c r="BX81">
        <v>97</v>
      </c>
      <c r="BY81">
        <v>2330</v>
      </c>
      <c r="BZ81">
        <v>0</v>
      </c>
      <c r="CA81">
        <v>1</v>
      </c>
      <c r="CB81">
        <v>0</v>
      </c>
      <c r="CC81">
        <v>0</v>
      </c>
      <c r="CD81">
        <v>0</v>
      </c>
      <c r="CE81">
        <v>0</v>
      </c>
      <c r="CF81">
        <v>0</v>
      </c>
      <c r="CG81">
        <v>0</v>
      </c>
      <c r="CH81">
        <v>0</v>
      </c>
      <c r="CI81">
        <v>0</v>
      </c>
      <c r="CJ81">
        <v>0</v>
      </c>
      <c r="CK81">
        <v>0</v>
      </c>
      <c r="CL81">
        <v>0</v>
      </c>
      <c r="CM81">
        <v>0</v>
      </c>
    </row>
    <row r="82" spans="40:91" x14ac:dyDescent="0.25">
      <c r="AN82" t="str">
        <v>ford pinto (sw)</v>
      </c>
      <c r="AO82" s="7">
        <v>22</v>
      </c>
      <c r="AP82" s="7">
        <v>22.822235255592616</v>
      </c>
      <c r="AQ82" s="7">
        <v>-0.82223525559261645</v>
      </c>
      <c r="AR82" s="7">
        <v>4.6305603284802668E-2</v>
      </c>
      <c r="AS82" s="7">
        <v>-0.2744986939956604</v>
      </c>
      <c r="AT82" s="7">
        <v>2.1520678488999895E-4</v>
      </c>
      <c r="AU82" s="7">
        <v>-0.87770829679608253</v>
      </c>
      <c r="AV82" s="7">
        <v>-0.78933938116930624</v>
      </c>
      <c r="AW82" s="7">
        <v>0.52392622953585788</v>
      </c>
      <c r="AX82" s="7">
        <v>-0.86215800200214598</v>
      </c>
      <c r="AY82" s="7" t="e">
        <v>#N/A</v>
      </c>
      <c r="AZ82" s="7">
        <v>22.822235255592616</v>
      </c>
      <c r="BA82" s="7">
        <v>-0.82223525559261645</v>
      </c>
      <c r="BU82" t="b">
        <v>1</v>
      </c>
      <c r="BW82">
        <v>1</v>
      </c>
      <c r="BX82">
        <v>150</v>
      </c>
      <c r="BY82">
        <v>3892</v>
      </c>
      <c r="BZ82">
        <v>0</v>
      </c>
      <c r="CA82">
        <v>1</v>
      </c>
      <c r="CB82">
        <v>0</v>
      </c>
      <c r="CC82">
        <v>0</v>
      </c>
      <c r="CD82">
        <v>0</v>
      </c>
      <c r="CE82">
        <v>0</v>
      </c>
      <c r="CF82">
        <v>0</v>
      </c>
      <c r="CG82">
        <v>0</v>
      </c>
      <c r="CH82">
        <v>0</v>
      </c>
      <c r="CI82">
        <v>0</v>
      </c>
      <c r="CJ82">
        <v>0</v>
      </c>
      <c r="CK82">
        <v>0</v>
      </c>
      <c r="CL82">
        <v>0</v>
      </c>
      <c r="CM82">
        <v>1</v>
      </c>
    </row>
    <row r="83" spans="40:91" x14ac:dyDescent="0.25">
      <c r="AN83" t="str">
        <v>datsun 510 (sw)</v>
      </c>
      <c r="AO83" s="7">
        <v>28</v>
      </c>
      <c r="AP83" s="7">
        <v>25.326532403787851</v>
      </c>
      <c r="AQ83" s="7">
        <v>2.6734675962121486</v>
      </c>
      <c r="AR83" s="7">
        <v>4.794178277891481E-2</v>
      </c>
      <c r="AS83" s="7">
        <v>0.89328897781380101</v>
      </c>
      <c r="AT83" s="7">
        <v>2.363663796411754E-3</v>
      </c>
      <c r="AU83" s="7">
        <v>-0.87770829679608253</v>
      </c>
      <c r="AV83" s="7">
        <v>-0.78110036437010055</v>
      </c>
      <c r="AW83" s="7">
        <v>0.94513966048082065</v>
      </c>
      <c r="AX83" s="7">
        <v>2.808092559734003</v>
      </c>
      <c r="AY83" s="7" t="e">
        <v>#N/A</v>
      </c>
      <c r="AZ83" s="7">
        <v>25.326532403787851</v>
      </c>
      <c r="BA83" s="7">
        <v>2.6734675962121486</v>
      </c>
      <c r="BU83" t="b">
        <v>1</v>
      </c>
      <c r="BW83">
        <v>1</v>
      </c>
      <c r="BX83">
        <v>130</v>
      </c>
      <c r="BY83">
        <v>4098</v>
      </c>
      <c r="BZ83">
        <v>0</v>
      </c>
      <c r="CA83">
        <v>1</v>
      </c>
      <c r="CB83">
        <v>0</v>
      </c>
      <c r="CC83">
        <v>0</v>
      </c>
      <c r="CD83">
        <v>0</v>
      </c>
      <c r="CE83">
        <v>0</v>
      </c>
      <c r="CF83">
        <v>0</v>
      </c>
      <c r="CG83">
        <v>0</v>
      </c>
      <c r="CH83">
        <v>0</v>
      </c>
      <c r="CI83">
        <v>0</v>
      </c>
      <c r="CJ83">
        <v>0</v>
      </c>
      <c r="CK83">
        <v>0</v>
      </c>
      <c r="CL83">
        <v>0</v>
      </c>
      <c r="CM83">
        <v>1</v>
      </c>
    </row>
    <row r="84" spans="40:91" x14ac:dyDescent="0.25">
      <c r="AN84" t="str">
        <v>toyouta corona mark ii (sw)</v>
      </c>
      <c r="AO84" s="7">
        <v>23</v>
      </c>
      <c r="AP84" s="7">
        <v>24.141548747924695</v>
      </c>
      <c r="AQ84" s="7">
        <v>-1.1415487479246949</v>
      </c>
      <c r="AR84" s="7">
        <v>4.7582585184613516E-2</v>
      </c>
      <c r="AS84" s="7">
        <v>-0.38135513775663893</v>
      </c>
      <c r="AT84" s="7">
        <v>4.2739652627327992E-4</v>
      </c>
      <c r="AU84" s="7">
        <v>-0.87770829679608253</v>
      </c>
      <c r="AV84" s="7">
        <v>-0.77256397256164433</v>
      </c>
      <c r="AW84" s="7">
        <v>0.61753958395931097</v>
      </c>
      <c r="AX84" s="7">
        <v>-1.1985802970076613</v>
      </c>
      <c r="AY84" s="7" t="e">
        <v>#N/A</v>
      </c>
      <c r="AZ84" s="7">
        <v>24.141548747924695</v>
      </c>
      <c r="BA84" s="7">
        <v>-1.1415487479246949</v>
      </c>
      <c r="BU84" t="b">
        <v>1</v>
      </c>
      <c r="BW84">
        <v>1</v>
      </c>
      <c r="BX84">
        <v>140</v>
      </c>
      <c r="BY84">
        <v>4294</v>
      </c>
      <c r="BZ84">
        <v>0</v>
      </c>
      <c r="CA84">
        <v>1</v>
      </c>
      <c r="CB84">
        <v>0</v>
      </c>
      <c r="CC84">
        <v>0</v>
      </c>
      <c r="CD84">
        <v>0</v>
      </c>
      <c r="CE84">
        <v>0</v>
      </c>
      <c r="CF84">
        <v>0</v>
      </c>
      <c r="CG84">
        <v>0</v>
      </c>
      <c r="CH84">
        <v>0</v>
      </c>
      <c r="CI84">
        <v>0</v>
      </c>
      <c r="CJ84">
        <v>0</v>
      </c>
      <c r="CK84">
        <v>0</v>
      </c>
      <c r="CL84">
        <v>0</v>
      </c>
      <c r="CM84">
        <v>1</v>
      </c>
    </row>
    <row r="85" spans="40:91" x14ac:dyDescent="0.25">
      <c r="AN85" t="str">
        <v>dodge colt (sw)</v>
      </c>
      <c r="AO85" s="7">
        <v>28</v>
      </c>
      <c r="AP85" s="7">
        <v>24.089278368405832</v>
      </c>
      <c r="AQ85" s="7">
        <v>3.9107216315941677</v>
      </c>
      <c r="AR85" s="7">
        <v>5.0180308887671402E-2</v>
      </c>
      <c r="AS85" s="7">
        <v>1.3082330687569474</v>
      </c>
      <c r="AT85" s="7">
        <v>5.3187978632043345E-3</v>
      </c>
      <c r="AU85" s="7">
        <v>-0.87770829679608253</v>
      </c>
      <c r="AV85" s="7">
        <v>-0.76844520954536732</v>
      </c>
      <c r="AW85" s="7">
        <v>1.1437801662718878</v>
      </c>
      <c r="AX85" s="7">
        <v>4.117330550406197</v>
      </c>
      <c r="AY85" s="7" t="e">
        <v>#N/A</v>
      </c>
      <c r="AZ85" s="7">
        <v>24.089278368405832</v>
      </c>
      <c r="BA85" s="7">
        <v>3.9107216315941677</v>
      </c>
      <c r="BU85" t="b">
        <v>1</v>
      </c>
      <c r="BW85">
        <v>1</v>
      </c>
      <c r="BX85">
        <v>150</v>
      </c>
      <c r="BY85">
        <v>4077</v>
      </c>
      <c r="BZ85">
        <v>0</v>
      </c>
      <c r="CA85">
        <v>1</v>
      </c>
      <c r="CB85">
        <v>0</v>
      </c>
      <c r="CC85">
        <v>0</v>
      </c>
      <c r="CD85">
        <v>0</v>
      </c>
      <c r="CE85">
        <v>0</v>
      </c>
      <c r="CF85">
        <v>0</v>
      </c>
      <c r="CG85">
        <v>0</v>
      </c>
      <c r="CH85">
        <v>0</v>
      </c>
      <c r="CI85">
        <v>0</v>
      </c>
      <c r="CJ85">
        <v>0</v>
      </c>
      <c r="CK85">
        <v>0</v>
      </c>
      <c r="CL85">
        <v>0</v>
      </c>
      <c r="CM85">
        <v>1</v>
      </c>
    </row>
    <row r="86" spans="40:91" x14ac:dyDescent="0.25">
      <c r="AN86" t="str">
        <v>toyota corolla 1600 (sw)</v>
      </c>
      <c r="AO86" s="7">
        <v>27</v>
      </c>
      <c r="AP86" s="7">
        <v>26.343380339243964</v>
      </c>
      <c r="AQ86" s="7">
        <v>0.65661966075603573</v>
      </c>
      <c r="AR86" s="7">
        <v>4.8924810565100008E-2</v>
      </c>
      <c r="AS86" s="7">
        <v>0.21951048018534444</v>
      </c>
      <c r="AT86" s="7">
        <v>1.458061687709333E-4</v>
      </c>
      <c r="AU86" s="7">
        <v>-0.87770829679608253</v>
      </c>
      <c r="AV86" s="7">
        <v>-0.76325101320992839</v>
      </c>
      <c r="AW86" s="7">
        <v>0.46851945550355156</v>
      </c>
      <c r="AX86" s="7">
        <v>0.69039721364845952</v>
      </c>
      <c r="AY86" s="7" t="e">
        <v>#N/A</v>
      </c>
      <c r="AZ86" s="7">
        <v>26.343380339243964</v>
      </c>
      <c r="BA86" s="7">
        <v>0.65661966075603573</v>
      </c>
      <c r="BU86" t="b">
        <v>1</v>
      </c>
      <c r="BW86">
        <v>1</v>
      </c>
      <c r="BX86">
        <v>112</v>
      </c>
      <c r="BY86">
        <v>2933</v>
      </c>
      <c r="BZ86">
        <v>0</v>
      </c>
      <c r="CA86">
        <v>1</v>
      </c>
      <c r="CB86">
        <v>0</v>
      </c>
      <c r="CC86">
        <v>0</v>
      </c>
      <c r="CD86">
        <v>0</v>
      </c>
      <c r="CE86">
        <v>0</v>
      </c>
      <c r="CF86">
        <v>0</v>
      </c>
      <c r="CG86">
        <v>0</v>
      </c>
      <c r="CH86">
        <v>0</v>
      </c>
      <c r="CI86">
        <v>0</v>
      </c>
      <c r="CJ86">
        <v>0</v>
      </c>
      <c r="CK86">
        <v>0</v>
      </c>
      <c r="CL86">
        <v>1</v>
      </c>
      <c r="CM86">
        <v>0</v>
      </c>
    </row>
    <row r="87" spans="40:91" x14ac:dyDescent="0.25">
      <c r="AN87" t="str">
        <v>buick century 350</v>
      </c>
      <c r="AO87" s="7">
        <v>13</v>
      </c>
      <c r="AP87" s="7">
        <v>12.383947606403478</v>
      </c>
      <c r="AQ87" s="7">
        <v>0.61605239359652231</v>
      </c>
      <c r="AR87" s="7">
        <v>3.0545392578793636E-2</v>
      </c>
      <c r="AS87" s="7">
        <v>0.20398710450776986</v>
      </c>
      <c r="AT87" s="7">
        <v>7.7121370315230583E-5</v>
      </c>
      <c r="AU87" s="7">
        <v>-0.87770829679608253</v>
      </c>
      <c r="AV87" s="7">
        <v>-0.75950614299185049</v>
      </c>
      <c r="AW87" s="7">
        <v>0.45164931584999646</v>
      </c>
      <c r="AX87" s="7">
        <v>0.63546285600235564</v>
      </c>
      <c r="AY87" s="7" t="e">
        <v>#N/A</v>
      </c>
      <c r="AZ87" s="7">
        <v>12.383947606403478</v>
      </c>
      <c r="BA87" s="7">
        <v>0.61605239359652231</v>
      </c>
      <c r="BU87" t="b">
        <v>1</v>
      </c>
      <c r="BW87">
        <v>1</v>
      </c>
      <c r="BX87">
        <v>76</v>
      </c>
      <c r="BY87">
        <v>2511</v>
      </c>
      <c r="BZ87">
        <v>0</v>
      </c>
      <c r="CA87">
        <v>1</v>
      </c>
      <c r="CB87">
        <v>0</v>
      </c>
      <c r="CC87">
        <v>0</v>
      </c>
      <c r="CD87">
        <v>0</v>
      </c>
      <c r="CE87">
        <v>0</v>
      </c>
      <c r="CF87">
        <v>0</v>
      </c>
      <c r="CG87">
        <v>0</v>
      </c>
      <c r="CH87">
        <v>0</v>
      </c>
      <c r="CI87">
        <v>0</v>
      </c>
      <c r="CJ87">
        <v>0</v>
      </c>
      <c r="CK87">
        <v>0</v>
      </c>
      <c r="CL87">
        <v>1</v>
      </c>
      <c r="CM87">
        <v>0</v>
      </c>
    </row>
    <row r="88" spans="40:91" x14ac:dyDescent="0.25">
      <c r="AN88" t="str">
        <v>amc matador</v>
      </c>
      <c r="AO88" s="7">
        <v>14</v>
      </c>
      <c r="AP88" s="7">
        <v>14.956954920511969</v>
      </c>
      <c r="AQ88" s="7">
        <v>-0.95695492051196851</v>
      </c>
      <c r="AR88" s="7">
        <v>2.7011897802173251E-2</v>
      </c>
      <c r="AS88" s="7">
        <v>-0.31629077006854361</v>
      </c>
      <c r="AT88" s="7">
        <v>1.633697648983581E-4</v>
      </c>
      <c r="AU88" s="7">
        <v>-0.87770829679608253</v>
      </c>
      <c r="AV88" s="7">
        <v>-0.75751706682775932</v>
      </c>
      <c r="AW88" s="7">
        <v>0.5623973418043009</v>
      </c>
      <c r="AX88" s="7">
        <v>-0.98352170838508535</v>
      </c>
      <c r="AY88" s="7" t="e">
        <v>#N/A</v>
      </c>
      <c r="AZ88" s="7">
        <v>14.956954920511969</v>
      </c>
      <c r="BA88" s="7">
        <v>-0.95695492051196851</v>
      </c>
      <c r="BU88" t="b">
        <v>1</v>
      </c>
      <c r="BW88">
        <v>1</v>
      </c>
      <c r="BX88">
        <v>87</v>
      </c>
      <c r="BY88">
        <v>2979</v>
      </c>
      <c r="BZ88">
        <v>0</v>
      </c>
      <c r="CA88">
        <v>1</v>
      </c>
      <c r="CB88">
        <v>0</v>
      </c>
      <c r="CC88">
        <v>0</v>
      </c>
      <c r="CD88">
        <v>0</v>
      </c>
      <c r="CE88">
        <v>0</v>
      </c>
      <c r="CF88">
        <v>0</v>
      </c>
      <c r="CG88">
        <v>0</v>
      </c>
      <c r="CH88">
        <v>0</v>
      </c>
      <c r="CI88">
        <v>0</v>
      </c>
      <c r="CJ88">
        <v>0</v>
      </c>
      <c r="CK88">
        <v>0</v>
      </c>
      <c r="CL88">
        <v>1</v>
      </c>
      <c r="CM88">
        <v>0</v>
      </c>
    </row>
    <row r="89" spans="40:91" x14ac:dyDescent="0.25">
      <c r="AN89" t="str">
        <v>chevrolet malibu</v>
      </c>
      <c r="AO89" s="7">
        <v>13</v>
      </c>
      <c r="AP89" s="7">
        <v>13.438131241902784</v>
      </c>
      <c r="AQ89" s="7">
        <v>-0.4381312419027843</v>
      </c>
      <c r="AR89" s="7">
        <v>2.6908924211681815E-2</v>
      </c>
      <c r="AS89" s="7">
        <v>-0.14480257381873682</v>
      </c>
      <c r="AT89" s="7">
        <v>3.4107232934283933E-5</v>
      </c>
      <c r="AU89" s="7">
        <v>-0.87770829679608253</v>
      </c>
      <c r="AV89" s="7">
        <v>-0.75457189916223411</v>
      </c>
      <c r="AW89" s="7">
        <v>0.38052933371651759</v>
      </c>
      <c r="AX89" s="7">
        <v>-0.45024690165598985</v>
      </c>
      <c r="AY89" s="7" t="e">
        <v>#N/A</v>
      </c>
      <c r="AZ89" s="7">
        <v>13.438131241902784</v>
      </c>
      <c r="BA89" s="7">
        <v>-0.4381312419027843</v>
      </c>
      <c r="BU89" t="b">
        <v>1</v>
      </c>
      <c r="BW89">
        <v>1</v>
      </c>
      <c r="BX89">
        <v>69</v>
      </c>
      <c r="BY89">
        <v>2189</v>
      </c>
      <c r="BZ89">
        <v>0</v>
      </c>
      <c r="CA89">
        <v>1</v>
      </c>
      <c r="CB89">
        <v>0</v>
      </c>
      <c r="CC89">
        <v>0</v>
      </c>
      <c r="CD89">
        <v>0</v>
      </c>
      <c r="CE89">
        <v>0</v>
      </c>
      <c r="CF89">
        <v>0</v>
      </c>
      <c r="CG89">
        <v>0</v>
      </c>
      <c r="CH89">
        <v>0</v>
      </c>
      <c r="CI89">
        <v>0</v>
      </c>
      <c r="CJ89">
        <v>0</v>
      </c>
      <c r="CK89">
        <v>0</v>
      </c>
      <c r="CL89">
        <v>1</v>
      </c>
      <c r="CM89">
        <v>0</v>
      </c>
    </row>
    <row r="90" spans="40:91" x14ac:dyDescent="0.25">
      <c r="AN90" t="str">
        <v>ford gran torino</v>
      </c>
      <c r="AO90" s="7">
        <v>14</v>
      </c>
      <c r="AP90" s="7">
        <v>13.294603978314807</v>
      </c>
      <c r="AQ90" s="7">
        <v>0.70539602168519266</v>
      </c>
      <c r="AR90" s="7">
        <v>2.9356198266036856E-2</v>
      </c>
      <c r="AS90" s="7">
        <v>0.23342741831090721</v>
      </c>
      <c r="AT90" s="7">
        <v>9.6938152578105491E-5</v>
      </c>
      <c r="AU90" s="7">
        <v>-0.76138260968642557</v>
      </c>
      <c r="AV90" s="7">
        <v>-0.7545211564143921</v>
      </c>
      <c r="AW90" s="7">
        <v>0.48314326892849002</v>
      </c>
      <c r="AX90" s="7">
        <v>0.72673005321320705</v>
      </c>
      <c r="AY90" s="7" t="e">
        <v>#N/A</v>
      </c>
      <c r="AZ90" s="7">
        <v>13.294603978314807</v>
      </c>
      <c r="BA90" s="7">
        <v>0.70539602168519266</v>
      </c>
      <c r="BU90" t="b">
        <v>1</v>
      </c>
      <c r="BW90">
        <v>1</v>
      </c>
      <c r="BX90">
        <v>86</v>
      </c>
      <c r="BY90">
        <v>2395</v>
      </c>
      <c r="BZ90">
        <v>0</v>
      </c>
      <c r="CA90">
        <v>1</v>
      </c>
      <c r="CB90">
        <v>0</v>
      </c>
      <c r="CC90">
        <v>0</v>
      </c>
      <c r="CD90">
        <v>0</v>
      </c>
      <c r="CE90">
        <v>0</v>
      </c>
      <c r="CF90">
        <v>0</v>
      </c>
      <c r="CG90">
        <v>0</v>
      </c>
      <c r="CH90">
        <v>0</v>
      </c>
      <c r="CI90">
        <v>0</v>
      </c>
      <c r="CJ90">
        <v>0</v>
      </c>
      <c r="CK90">
        <v>0</v>
      </c>
      <c r="CL90">
        <v>0</v>
      </c>
      <c r="CM90">
        <v>1</v>
      </c>
    </row>
    <row r="91" spans="40:91" x14ac:dyDescent="0.25">
      <c r="AN91" t="str">
        <v>dodge coronet custom</v>
      </c>
      <c r="AO91" s="7">
        <v>15</v>
      </c>
      <c r="AP91" s="7">
        <v>14.425307410924709</v>
      </c>
      <c r="AQ91" s="7">
        <v>0.57469258907529053</v>
      </c>
      <c r="AR91" s="7">
        <v>2.6400911104933582E-2</v>
      </c>
      <c r="AS91" s="7">
        <v>0.18988660114211489</v>
      </c>
      <c r="AT91" s="7">
        <v>5.7514649367664931E-5</v>
      </c>
      <c r="AU91" s="7">
        <v>-0.75286571534072255</v>
      </c>
      <c r="AV91" s="7">
        <v>-0.74708884873176529</v>
      </c>
      <c r="AW91" s="7">
        <v>0.43575979752854083</v>
      </c>
      <c r="AX91" s="7">
        <v>0.59027642448546946</v>
      </c>
      <c r="AY91" s="7" t="e">
        <v>#N/A</v>
      </c>
      <c r="AZ91" s="7">
        <v>14.425307410924709</v>
      </c>
      <c r="BA91" s="7">
        <v>0.57469258907529053</v>
      </c>
      <c r="BU91" t="b">
        <v>1</v>
      </c>
      <c r="BW91">
        <v>1</v>
      </c>
      <c r="BX91">
        <v>92</v>
      </c>
      <c r="BY91">
        <v>2288</v>
      </c>
      <c r="BZ91">
        <v>0</v>
      </c>
      <c r="CA91">
        <v>1</v>
      </c>
      <c r="CB91">
        <v>0</v>
      </c>
      <c r="CC91">
        <v>0</v>
      </c>
      <c r="CD91">
        <v>0</v>
      </c>
      <c r="CE91">
        <v>0</v>
      </c>
      <c r="CF91">
        <v>0</v>
      </c>
      <c r="CG91">
        <v>0</v>
      </c>
      <c r="CH91">
        <v>0</v>
      </c>
      <c r="CI91">
        <v>0</v>
      </c>
      <c r="CJ91">
        <v>0</v>
      </c>
      <c r="CK91">
        <v>0</v>
      </c>
      <c r="CL91">
        <v>0</v>
      </c>
      <c r="CM91">
        <v>0</v>
      </c>
    </row>
    <row r="92" spans="40:91" x14ac:dyDescent="0.25">
      <c r="AN92" t="str">
        <v>mercury marquis brougham</v>
      </c>
      <c r="AO92" s="7">
        <v>12</v>
      </c>
      <c r="AP92" s="7">
        <v>7.6965698793925732</v>
      </c>
      <c r="AQ92" s="7">
        <v>4.3034301206074268</v>
      </c>
      <c r="AR92" s="7">
        <v>3.6900707411663757E-2</v>
      </c>
      <c r="AS92" s="7">
        <v>1.4296443982960332</v>
      </c>
      <c r="AT92" s="7">
        <v>4.6064966597044246E-3</v>
      </c>
      <c r="AU92" s="7">
        <v>-0.75286571534072255</v>
      </c>
      <c r="AV92" s="7">
        <v>-0.7419240168698068</v>
      </c>
      <c r="AW92" s="7">
        <v>1.1956773805237069</v>
      </c>
      <c r="AX92" s="7">
        <v>4.4683140707558069</v>
      </c>
      <c r="AY92" s="7" t="e">
        <v>#N/A</v>
      </c>
      <c r="AZ92" s="7">
        <v>7.6965698793925732</v>
      </c>
      <c r="BA92" s="7">
        <v>4.3034301206074268</v>
      </c>
      <c r="BU92" t="b">
        <v>1</v>
      </c>
      <c r="BW92">
        <v>1</v>
      </c>
      <c r="BX92">
        <v>97</v>
      </c>
      <c r="BY92">
        <v>2506</v>
      </c>
      <c r="BZ92">
        <v>0</v>
      </c>
      <c r="CA92">
        <v>1</v>
      </c>
      <c r="CB92">
        <v>0</v>
      </c>
      <c r="CC92">
        <v>0</v>
      </c>
      <c r="CD92">
        <v>0</v>
      </c>
      <c r="CE92">
        <v>0</v>
      </c>
      <c r="CF92">
        <v>0</v>
      </c>
      <c r="CG92">
        <v>0</v>
      </c>
      <c r="CH92">
        <v>0</v>
      </c>
      <c r="CI92">
        <v>0</v>
      </c>
      <c r="CJ92">
        <v>0</v>
      </c>
      <c r="CK92">
        <v>0</v>
      </c>
      <c r="CL92">
        <v>0</v>
      </c>
      <c r="CM92">
        <v>0</v>
      </c>
    </row>
    <row r="93" spans="40:91" x14ac:dyDescent="0.25">
      <c r="AN93" t="str">
        <v>chevrolet caprice classic</v>
      </c>
      <c r="AO93" s="7">
        <v>13</v>
      </c>
      <c r="AP93" s="7">
        <v>10.946813705339508</v>
      </c>
      <c r="AQ93" s="7">
        <v>2.0531862946604917</v>
      </c>
      <c r="AR93" s="7">
        <v>3.3433098722742423E-2</v>
      </c>
      <c r="AS93" s="7">
        <v>0.68086529918535865</v>
      </c>
      <c r="AT93" s="7">
        <v>9.4323127268054275E-4</v>
      </c>
      <c r="AU93" s="7">
        <v>-0.75286571534072255</v>
      </c>
      <c r="AV93" s="7">
        <v>-0.73626542374562576</v>
      </c>
      <c r="AW93" s="7">
        <v>0.82514562301775474</v>
      </c>
      <c r="AX93" s="7">
        <v>2.1242050518669062</v>
      </c>
      <c r="AY93" s="7" t="e">
        <v>#N/A</v>
      </c>
      <c r="AZ93" s="7">
        <v>10.946813705339508</v>
      </c>
      <c r="BA93" s="7">
        <v>2.0531862946604917</v>
      </c>
      <c r="BU93" t="b">
        <v>1</v>
      </c>
      <c r="BW93">
        <v>1</v>
      </c>
      <c r="BX93">
        <v>80</v>
      </c>
      <c r="BY93">
        <v>2164</v>
      </c>
      <c r="BZ93">
        <v>0</v>
      </c>
      <c r="CA93">
        <v>1</v>
      </c>
      <c r="CB93">
        <v>0</v>
      </c>
      <c r="CC93">
        <v>0</v>
      </c>
      <c r="CD93">
        <v>0</v>
      </c>
      <c r="CE93">
        <v>0</v>
      </c>
      <c r="CF93">
        <v>0</v>
      </c>
      <c r="CG93">
        <v>0</v>
      </c>
      <c r="CH93">
        <v>0</v>
      </c>
      <c r="CI93">
        <v>0</v>
      </c>
      <c r="CJ93">
        <v>0</v>
      </c>
      <c r="CK93">
        <v>0</v>
      </c>
      <c r="CL93">
        <v>0</v>
      </c>
      <c r="CM93">
        <v>1</v>
      </c>
    </row>
    <row r="94" spans="40:91" x14ac:dyDescent="0.25">
      <c r="AN94" t="str">
        <v>ford ltd</v>
      </c>
      <c r="AO94" s="7">
        <v>13</v>
      </c>
      <c r="AP94" s="7">
        <v>11.328316520837973</v>
      </c>
      <c r="AQ94" s="7">
        <v>1.6716834791620272</v>
      </c>
      <c r="AR94" s="7">
        <v>2.9386956950390161E-2</v>
      </c>
      <c r="AS94" s="7">
        <v>0.55319696979359612</v>
      </c>
      <c r="AT94" s="7">
        <v>5.4502843087952826E-4</v>
      </c>
      <c r="AU94" s="7">
        <v>-0.72763551415159011</v>
      </c>
      <c r="AV94" s="7">
        <v>-0.72283127398567504</v>
      </c>
      <c r="AW94" s="7">
        <v>0.74377212222131328</v>
      </c>
      <c r="AX94" s="7">
        <v>1.7222965332401621</v>
      </c>
      <c r="AY94" s="7" t="e">
        <v>#N/A</v>
      </c>
      <c r="AZ94" s="7">
        <v>11.328316520837973</v>
      </c>
      <c r="BA94" s="7">
        <v>1.6716834791620272</v>
      </c>
      <c r="BU94" t="b">
        <v>1</v>
      </c>
      <c r="BW94">
        <v>1</v>
      </c>
      <c r="BX94">
        <v>88</v>
      </c>
      <c r="BY94">
        <v>2100</v>
      </c>
      <c r="BZ94">
        <v>0</v>
      </c>
      <c r="CA94">
        <v>1</v>
      </c>
      <c r="CB94">
        <v>0</v>
      </c>
      <c r="CC94">
        <v>0</v>
      </c>
      <c r="CD94">
        <v>0</v>
      </c>
      <c r="CE94">
        <v>0</v>
      </c>
      <c r="CF94">
        <v>0</v>
      </c>
      <c r="CG94">
        <v>0</v>
      </c>
      <c r="CH94">
        <v>0</v>
      </c>
      <c r="CI94">
        <v>0</v>
      </c>
      <c r="CJ94">
        <v>0</v>
      </c>
      <c r="CK94">
        <v>0</v>
      </c>
      <c r="CL94">
        <v>0</v>
      </c>
      <c r="CM94">
        <v>0</v>
      </c>
    </row>
    <row r="95" spans="40:91" x14ac:dyDescent="0.25">
      <c r="AN95" t="str">
        <v>plymouth fury gran sedan</v>
      </c>
      <c r="AO95" s="7">
        <v>14</v>
      </c>
      <c r="AP95" s="7">
        <v>12.096184987971011</v>
      </c>
      <c r="AQ95" s="7">
        <v>1.9038150120289892</v>
      </c>
      <c r="AR95" s="7">
        <v>2.8992761758663603E-2</v>
      </c>
      <c r="AS95" s="7">
        <v>0.62988652393519196</v>
      </c>
      <c r="AT95" s="7">
        <v>6.9685566042902985E-4</v>
      </c>
      <c r="AU95" s="7">
        <v>-0.71932811724388146</v>
      </c>
      <c r="AV95" s="7">
        <v>-0.70648636894146044</v>
      </c>
      <c r="AW95" s="7">
        <v>0.7936539068984616</v>
      </c>
      <c r="AX95" s="7">
        <v>1.9606599591133125</v>
      </c>
      <c r="AY95" s="7" t="e">
        <v>#N/A</v>
      </c>
      <c r="AZ95" s="7">
        <v>12.096184987971011</v>
      </c>
      <c r="BA95" s="7">
        <v>1.9038150120289892</v>
      </c>
      <c r="BC95" t="s">
        <v>524</v>
      </c>
      <c r="BD95" t="str">
        <f>"Residuals vs. Fitted — "&amp;$AF$2</f>
        <v>Residuals vs. Fitted — MPG</v>
      </c>
      <c r="BE95" t="str">
        <f>"Fitted Values"</f>
        <v>Fitted Values</v>
      </c>
      <c r="BF95" t="str">
        <f>"Residuals"</f>
        <v>Residuals</v>
      </c>
      <c r="BU95" t="b">
        <v>1</v>
      </c>
      <c r="BW95">
        <v>1</v>
      </c>
      <c r="BX95">
        <v>175</v>
      </c>
      <c r="BY95">
        <v>4100</v>
      </c>
      <c r="BZ95">
        <v>0</v>
      </c>
      <c r="CA95">
        <v>0</v>
      </c>
      <c r="CB95">
        <v>1</v>
      </c>
      <c r="CC95">
        <v>0</v>
      </c>
      <c r="CD95">
        <v>0</v>
      </c>
      <c r="CE95">
        <v>0</v>
      </c>
      <c r="CF95">
        <v>0</v>
      </c>
      <c r="CG95">
        <v>0</v>
      </c>
      <c r="CH95">
        <v>0</v>
      </c>
      <c r="CI95">
        <v>0</v>
      </c>
      <c r="CJ95">
        <v>0</v>
      </c>
      <c r="CK95">
        <v>0</v>
      </c>
      <c r="CL95">
        <v>0</v>
      </c>
      <c r="CM95">
        <v>1</v>
      </c>
    </row>
    <row r="96" spans="40:91" x14ac:dyDescent="0.25">
      <c r="AN96" t="str">
        <v>chrysler new yorker brougham</v>
      </c>
      <c r="AO96" s="7">
        <v>13</v>
      </c>
      <c r="AP96" s="7">
        <v>8.5192887226627043</v>
      </c>
      <c r="AQ96" s="7">
        <v>4.4807112773372957</v>
      </c>
      <c r="AR96" s="7">
        <v>4.457601353687983E-2</v>
      </c>
      <c r="AS96" s="7">
        <v>1.4945061059531588</v>
      </c>
      <c r="AT96" s="7">
        <v>6.1298740672773187E-3</v>
      </c>
      <c r="AU96" s="7">
        <v>-0.71932811724388146</v>
      </c>
      <c r="AV96" s="7">
        <v>-0.6939217973604519</v>
      </c>
      <c r="AW96" s="7">
        <v>1.2224999410851352</v>
      </c>
      <c r="AX96" s="7">
        <v>4.6897621797464186</v>
      </c>
      <c r="AY96" s="7" t="e">
        <v>#N/A</v>
      </c>
      <c r="AZ96" s="7">
        <v>8.5192887226627043</v>
      </c>
      <c r="BA96" s="7">
        <v>4.4807112773372957</v>
      </c>
      <c r="BC96" t="s">
        <v>527</v>
      </c>
      <c r="BD96" t="str">
        <f>"Normal Q-Q  (r = "&amp;TEXT($AE$10,"0.000")&amp;")"&amp;IF($AE$10&lt;0.95,"  — check normality","")</f>
        <v>Normal Q-Q  (r = 0.991)</v>
      </c>
      <c r="BE96" t="str">
        <f>"Theoretical Quantiles"</f>
        <v>Theoretical Quantiles</v>
      </c>
      <c r="BF96" t="str">
        <f>"Studentized Residuals"</f>
        <v>Studentized Residuals</v>
      </c>
      <c r="BU96" t="b">
        <v>1</v>
      </c>
      <c r="BW96">
        <v>1</v>
      </c>
      <c r="BX96">
        <v>150</v>
      </c>
      <c r="BY96">
        <v>3672</v>
      </c>
      <c r="BZ96">
        <v>0</v>
      </c>
      <c r="CA96">
        <v>0</v>
      </c>
      <c r="CB96">
        <v>1</v>
      </c>
      <c r="CC96">
        <v>0</v>
      </c>
      <c r="CD96">
        <v>0</v>
      </c>
      <c r="CE96">
        <v>0</v>
      </c>
      <c r="CF96">
        <v>0</v>
      </c>
      <c r="CG96">
        <v>0</v>
      </c>
      <c r="CH96">
        <v>0</v>
      </c>
      <c r="CI96">
        <v>0</v>
      </c>
      <c r="CJ96">
        <v>0</v>
      </c>
      <c r="CK96">
        <v>0</v>
      </c>
      <c r="CL96">
        <v>0</v>
      </c>
      <c r="CM96">
        <v>1</v>
      </c>
    </row>
    <row r="97" spans="40:91" x14ac:dyDescent="0.25">
      <c r="AN97" t="str">
        <v>buick electra 225 custom</v>
      </c>
      <c r="AO97" s="7">
        <v>12</v>
      </c>
      <c r="AP97" s="7">
        <v>7.2632495262620829</v>
      </c>
      <c r="AQ97" s="7">
        <v>4.7367504737379171</v>
      </c>
      <c r="AR97" s="7">
        <v>4.893022194556227E-2</v>
      </c>
      <c r="AS97" s="7">
        <v>1.5835184219573464</v>
      </c>
      <c r="AT97" s="7">
        <v>7.5886080672864309E-3</v>
      </c>
      <c r="AU97" s="7">
        <v>-0.71932811724388146</v>
      </c>
      <c r="AV97" s="7">
        <v>-0.6867864968921471</v>
      </c>
      <c r="AW97" s="7">
        <v>1.2583792838239773</v>
      </c>
      <c r="AX97" s="7">
        <v>4.9804447402667789</v>
      </c>
      <c r="AY97" s="7" t="e">
        <v>#N/A</v>
      </c>
      <c r="AZ97" s="7">
        <v>7.2632495262620829</v>
      </c>
      <c r="BA97" s="7">
        <v>4.7367504737379171</v>
      </c>
      <c r="BC97" t="s">
        <v>531</v>
      </c>
      <c r="BD97" t="str">
        <f>"Actual vs. Predicted — "&amp;$AF$2&amp;"  (Adj. R² = "&amp;TEXT($AB$6,"0.000")&amp;")"</f>
        <v>Actual vs. Predicted — MPG  (Adj. R² = 0.846)</v>
      </c>
      <c r="BE97" t="str">
        <f>"Predicted "&amp;$AF$2</f>
        <v>Predicted MPG</v>
      </c>
      <c r="BF97" t="str">
        <f>"Actual "&amp;$AF$2</f>
        <v>Actual MPG</v>
      </c>
      <c r="BU97" t="b">
        <v>1</v>
      </c>
      <c r="BW97">
        <v>1</v>
      </c>
      <c r="BX97">
        <v>145</v>
      </c>
      <c r="BY97">
        <v>3988</v>
      </c>
      <c r="BZ97">
        <v>0</v>
      </c>
      <c r="CA97">
        <v>0</v>
      </c>
      <c r="CB97">
        <v>1</v>
      </c>
      <c r="CC97">
        <v>0</v>
      </c>
      <c r="CD97">
        <v>0</v>
      </c>
      <c r="CE97">
        <v>0</v>
      </c>
      <c r="CF97">
        <v>0</v>
      </c>
      <c r="CG97">
        <v>0</v>
      </c>
      <c r="CH97">
        <v>0</v>
      </c>
      <c r="CI97">
        <v>0</v>
      </c>
      <c r="CJ97">
        <v>0</v>
      </c>
      <c r="CK97">
        <v>0</v>
      </c>
      <c r="CL97">
        <v>0</v>
      </c>
      <c r="CM97">
        <v>1</v>
      </c>
    </row>
    <row r="98" spans="40:91" x14ac:dyDescent="0.25">
      <c r="AN98" t="str">
        <v>amc ambassador brougham</v>
      </c>
      <c r="AO98" s="7">
        <v>13</v>
      </c>
      <c r="AP98" s="7">
        <v>13.796610989021048</v>
      </c>
      <c r="AQ98" s="7">
        <v>-0.79661098902104754</v>
      </c>
      <c r="AR98" s="7">
        <v>3.4602713165386309E-2</v>
      </c>
      <c r="AS98" s="7">
        <v>-0.26432732427602168</v>
      </c>
      <c r="AT98" s="7">
        <v>1.4731239043870204E-4</v>
      </c>
      <c r="AU98" s="7">
        <v>-0.71932811724388146</v>
      </c>
      <c r="AV98" s="7">
        <v>-0.68324182750021945</v>
      </c>
      <c r="AW98" s="7">
        <v>0.51412773147927127</v>
      </c>
      <c r="AX98" s="7">
        <v>-0.82516389872299112</v>
      </c>
      <c r="AY98" s="7" t="e">
        <v>#N/A</v>
      </c>
      <c r="AZ98" s="7">
        <v>13.796610989021048</v>
      </c>
      <c r="BA98" s="7">
        <v>-0.79661098902104754</v>
      </c>
      <c r="BC98" t="s">
        <v>535</v>
      </c>
      <c r="BD98" t="str">
        <f>"Scale-Location"</f>
        <v>Scale-Location</v>
      </c>
      <c r="BE98" t="str">
        <f>"Fitted Values"</f>
        <v>Fitted Values</v>
      </c>
      <c r="BF98" t="str">
        <f>"√|Studentized Residual|"</f>
        <v>√|Studentized Residual|</v>
      </c>
      <c r="BU98" t="b">
        <v>1</v>
      </c>
      <c r="BW98">
        <v>1</v>
      </c>
      <c r="BX98">
        <v>137</v>
      </c>
      <c r="BY98">
        <v>4042</v>
      </c>
      <c r="BZ98">
        <v>0</v>
      </c>
      <c r="CA98">
        <v>0</v>
      </c>
      <c r="CB98">
        <v>1</v>
      </c>
      <c r="CC98">
        <v>0</v>
      </c>
      <c r="CD98">
        <v>0</v>
      </c>
      <c r="CE98">
        <v>0</v>
      </c>
      <c r="CF98">
        <v>0</v>
      </c>
      <c r="CG98">
        <v>0</v>
      </c>
      <c r="CH98">
        <v>0</v>
      </c>
      <c r="CI98">
        <v>0</v>
      </c>
      <c r="CJ98">
        <v>0</v>
      </c>
      <c r="CK98">
        <v>0</v>
      </c>
      <c r="CL98">
        <v>0</v>
      </c>
      <c r="CM98">
        <v>1</v>
      </c>
    </row>
    <row r="99" spans="40:91" x14ac:dyDescent="0.25">
      <c r="AN99" t="str">
        <v>plymouth valiant</v>
      </c>
      <c r="AO99" s="7">
        <v>18</v>
      </c>
      <c r="AP99" s="7">
        <v>18.477477956350643</v>
      </c>
      <c r="AQ99" s="7">
        <v>-0.4774779563506435</v>
      </c>
      <c r="AR99" s="7">
        <v>2.9715993614829274E-2</v>
      </c>
      <c r="AS99" s="7">
        <v>-0.15803478633347209</v>
      </c>
      <c r="AT99" s="7">
        <v>4.4993300213987189E-5</v>
      </c>
      <c r="AU99" s="7">
        <v>-0.71932811724388146</v>
      </c>
      <c r="AV99" s="7">
        <v>-0.6687898832660335</v>
      </c>
      <c r="AW99" s="7">
        <v>0.39753589313855936</v>
      </c>
      <c r="AX99" s="7">
        <v>-0.49210123346205142</v>
      </c>
      <c r="AY99" s="7" t="e">
        <v>#N/A</v>
      </c>
      <c r="AZ99" s="7">
        <v>18.477477956350643</v>
      </c>
      <c r="BA99" s="7">
        <v>-0.4774779563506435</v>
      </c>
      <c r="BC99" t="s">
        <v>538</v>
      </c>
      <c r="BD99" t="str">
        <f>"Cook's Distance  (flag: D &gt; "&amp;TEXT(MIN(4/$AB$8,0.9),"0.000")&amp;")"</f>
        <v>Cook's Distance  (flag: D &gt; 0.010)</v>
      </c>
      <c r="BE99" t="str">
        <f>"Observation"</f>
        <v>Observation</v>
      </c>
      <c r="BF99" t="str">
        <f>"Cook's Distance"</f>
        <v>Cook's Distance</v>
      </c>
      <c r="BU99" t="b">
        <v>1</v>
      </c>
      <c r="BW99">
        <v>1</v>
      </c>
      <c r="BX99">
        <v>150</v>
      </c>
      <c r="BY99">
        <v>3777</v>
      </c>
      <c r="BZ99">
        <v>0</v>
      </c>
      <c r="CA99">
        <v>0</v>
      </c>
      <c r="CB99">
        <v>1</v>
      </c>
      <c r="CC99">
        <v>0</v>
      </c>
      <c r="CD99">
        <v>0</v>
      </c>
      <c r="CE99">
        <v>0</v>
      </c>
      <c r="CF99">
        <v>0</v>
      </c>
      <c r="CG99">
        <v>0</v>
      </c>
      <c r="CH99">
        <v>0</v>
      </c>
      <c r="CI99">
        <v>0</v>
      </c>
      <c r="CJ99">
        <v>0</v>
      </c>
      <c r="CK99">
        <v>0</v>
      </c>
      <c r="CL99">
        <v>0</v>
      </c>
      <c r="CM99">
        <v>1</v>
      </c>
    </row>
    <row r="100" spans="40:91" x14ac:dyDescent="0.25">
      <c r="AN100" t="str">
        <v>chevrolet nova custom</v>
      </c>
      <c r="AO100" s="7">
        <v>16</v>
      </c>
      <c r="AP100" s="7">
        <v>17.76372050654502</v>
      </c>
      <c r="AQ100" s="7">
        <v>-1.7637205065450203</v>
      </c>
      <c r="AR100" s="7">
        <v>3.273135274350103E-2</v>
      </c>
      <c r="AS100" s="7">
        <v>-0.58466219481199633</v>
      </c>
      <c r="AT100" s="7">
        <v>6.8042137360537218E-4</v>
      </c>
      <c r="AU100" s="7">
        <v>-0.71932811724388146</v>
      </c>
      <c r="AV100" s="7">
        <v>-0.66377208981313374</v>
      </c>
      <c r="AW100" s="7">
        <v>0.76463206499073544</v>
      </c>
      <c r="AX100" s="7">
        <v>-1.823402951752368</v>
      </c>
      <c r="AY100" s="7" t="e">
        <v>#N/A</v>
      </c>
      <c r="AZ100" s="7">
        <v>17.76372050654502</v>
      </c>
      <c r="BA100" s="7">
        <v>-1.7637205065450203</v>
      </c>
      <c r="BC100" t="s">
        <v>541</v>
      </c>
      <c r="BD100" t="str">
        <f>"Studentized Residuals vs. Leverage  (mean leverage = "&amp;TEXT($AE$6,"0.000")&amp;")"</f>
        <v>Studentized Residuals vs. Leverage  (mean leverage = 0.043)</v>
      </c>
      <c r="BE100" t="str">
        <f>"Leverage (Hat Diagonal)"</f>
        <v>Leverage (Hat Diagonal)</v>
      </c>
      <c r="BF100" t="str">
        <f>"Studentized Residuals"</f>
        <v>Studentized Residuals</v>
      </c>
      <c r="BU100" t="b">
        <v>1</v>
      </c>
      <c r="BW100">
        <v>1</v>
      </c>
      <c r="BX100">
        <v>198</v>
      </c>
      <c r="BY100">
        <v>4952</v>
      </c>
      <c r="BZ100">
        <v>0</v>
      </c>
      <c r="CA100">
        <v>0</v>
      </c>
      <c r="CB100">
        <v>1</v>
      </c>
      <c r="CC100">
        <v>0</v>
      </c>
      <c r="CD100">
        <v>0</v>
      </c>
      <c r="CE100">
        <v>0</v>
      </c>
      <c r="CF100">
        <v>0</v>
      </c>
      <c r="CG100">
        <v>0</v>
      </c>
      <c r="CH100">
        <v>0</v>
      </c>
      <c r="CI100">
        <v>0</v>
      </c>
      <c r="CJ100">
        <v>0</v>
      </c>
      <c r="CK100">
        <v>0</v>
      </c>
      <c r="CL100">
        <v>0</v>
      </c>
      <c r="CM100">
        <v>1</v>
      </c>
    </row>
    <row r="101" spans="40:91" x14ac:dyDescent="0.25">
      <c r="AN101" t="str">
        <v>amc hornet</v>
      </c>
      <c r="AO101" s="7">
        <v>18</v>
      </c>
      <c r="AP101" s="7">
        <v>19.449802608378892</v>
      </c>
      <c r="AQ101" s="7">
        <v>-1.4498026083788922</v>
      </c>
      <c r="AR101" s="7">
        <v>3.0762850246968242E-2</v>
      </c>
      <c r="AS101" s="7">
        <v>-0.48011210341267613</v>
      </c>
      <c r="AT101" s="7">
        <v>4.3036099915624301E-4</v>
      </c>
      <c r="AU101" s="7">
        <v>-0.71932811724388146</v>
      </c>
      <c r="AV101" s="7">
        <v>-0.65612392430107758</v>
      </c>
      <c r="AW101" s="7">
        <v>0.69290122197372128</v>
      </c>
      <c r="AX101" s="7">
        <v>-1.4958182409210292</v>
      </c>
      <c r="AY101" s="7" t="e">
        <v>#N/A</v>
      </c>
      <c r="AZ101" s="7">
        <v>19.449802608378892</v>
      </c>
      <c r="BA101" s="7">
        <v>-1.4498026083788922</v>
      </c>
      <c r="BC101" t="s">
        <v>545</v>
      </c>
      <c r="BD101" t="str">
        <f>"PRESS Residuals  (PRESS = "&amp;TEXT($AE$4,"#,##0.0000")&amp;")"</f>
        <v>PRESS Residuals  (PRESS = 3,865.0234)</v>
      </c>
      <c r="BE101" t="str">
        <f>"Observation"</f>
        <v>Observation</v>
      </c>
      <c r="BF101" t="str">
        <f>"PRESS Residual"</f>
        <v>PRESS Residual</v>
      </c>
      <c r="BU101" t="b">
        <v>1</v>
      </c>
      <c r="BW101">
        <v>1</v>
      </c>
      <c r="BX101">
        <v>150</v>
      </c>
      <c r="BY101">
        <v>4464</v>
      </c>
      <c r="BZ101">
        <v>0</v>
      </c>
      <c r="CA101">
        <v>0</v>
      </c>
      <c r="CB101">
        <v>1</v>
      </c>
      <c r="CC101">
        <v>0</v>
      </c>
      <c r="CD101">
        <v>0</v>
      </c>
      <c r="CE101">
        <v>0</v>
      </c>
      <c r="CF101">
        <v>0</v>
      </c>
      <c r="CG101">
        <v>0</v>
      </c>
      <c r="CH101">
        <v>0</v>
      </c>
      <c r="CI101">
        <v>0</v>
      </c>
      <c r="CJ101">
        <v>0</v>
      </c>
      <c r="CK101">
        <v>0</v>
      </c>
      <c r="CL101">
        <v>0</v>
      </c>
      <c r="CM101">
        <v>1</v>
      </c>
    </row>
    <row r="102" spans="40:91" x14ac:dyDescent="0.25">
      <c r="AN102" t="str">
        <v>ford maverick</v>
      </c>
      <c r="AO102" s="7">
        <v>18</v>
      </c>
      <c r="AP102" s="7">
        <v>19.25982826107251</v>
      </c>
      <c r="AQ102" s="7">
        <v>-1.25982826107251</v>
      </c>
      <c r="AR102" s="7">
        <v>3.555927772974711E-2</v>
      </c>
      <c r="AS102" s="7">
        <v>-0.41823693209923679</v>
      </c>
      <c r="AT102" s="7">
        <v>3.7937895031363978E-4</v>
      </c>
      <c r="AU102" s="7">
        <v>-0.66249652488531496</v>
      </c>
      <c r="AV102" s="7">
        <v>-0.63802821850481473</v>
      </c>
      <c r="AW102" s="7">
        <v>0.64671240292670806</v>
      </c>
      <c r="AX102" s="7">
        <v>-1.3062785840346178</v>
      </c>
      <c r="AY102" s="7" t="e">
        <v>#N/A</v>
      </c>
      <c r="AZ102" s="7">
        <v>19.25982826107251</v>
      </c>
      <c r="BA102" s="7">
        <v>-1.25982826107251</v>
      </c>
      <c r="BU102" t="b">
        <v>1</v>
      </c>
      <c r="BW102">
        <v>1</v>
      </c>
      <c r="BX102">
        <v>158</v>
      </c>
      <c r="BY102">
        <v>4363</v>
      </c>
      <c r="BZ102">
        <v>0</v>
      </c>
      <c r="CA102">
        <v>0</v>
      </c>
      <c r="CB102">
        <v>1</v>
      </c>
      <c r="CC102">
        <v>0</v>
      </c>
      <c r="CD102">
        <v>0</v>
      </c>
      <c r="CE102">
        <v>0</v>
      </c>
      <c r="CF102">
        <v>0</v>
      </c>
      <c r="CG102">
        <v>0</v>
      </c>
      <c r="CH102">
        <v>0</v>
      </c>
      <c r="CI102">
        <v>0</v>
      </c>
      <c r="CJ102">
        <v>0</v>
      </c>
      <c r="CK102">
        <v>0</v>
      </c>
      <c r="CL102">
        <v>0</v>
      </c>
      <c r="CM102">
        <v>1</v>
      </c>
    </row>
    <row r="103" spans="40:91" x14ac:dyDescent="0.25">
      <c r="AN103" t="str">
        <v>plymouth duster</v>
      </c>
      <c r="AO103" s="7">
        <v>23</v>
      </c>
      <c r="AP103" s="7">
        <v>19.738580462366389</v>
      </c>
      <c r="AQ103" s="7">
        <v>3.2614195376336106</v>
      </c>
      <c r="AR103" s="7">
        <v>3.2044006496218955E-2</v>
      </c>
      <c r="AS103" s="7">
        <v>1.0807560254323878</v>
      </c>
      <c r="AT103" s="7">
        <v>2.274561099706664E-3</v>
      </c>
      <c r="AU103" s="7">
        <v>-0.66249652488531496</v>
      </c>
      <c r="AV103" s="7">
        <v>-0.63228553332444448</v>
      </c>
      <c r="AW103" s="7">
        <v>1.0395941638122002</v>
      </c>
      <c r="AX103" s="7">
        <v>3.369388236161452</v>
      </c>
      <c r="AY103" s="7" t="e">
        <v>#N/A</v>
      </c>
      <c r="AZ103" s="7">
        <v>19.738580462366389</v>
      </c>
      <c r="BA103" s="7">
        <v>3.2614195376336106</v>
      </c>
      <c r="BU103" t="b">
        <v>1</v>
      </c>
      <c r="BW103">
        <v>1</v>
      </c>
      <c r="BX103">
        <v>150</v>
      </c>
      <c r="BY103">
        <v>4237</v>
      </c>
      <c r="BZ103">
        <v>0</v>
      </c>
      <c r="CA103">
        <v>0</v>
      </c>
      <c r="CB103">
        <v>1</v>
      </c>
      <c r="CC103">
        <v>0</v>
      </c>
      <c r="CD103">
        <v>0</v>
      </c>
      <c r="CE103">
        <v>0</v>
      </c>
      <c r="CF103">
        <v>0</v>
      </c>
      <c r="CG103">
        <v>0</v>
      </c>
      <c r="CH103">
        <v>0</v>
      </c>
      <c r="CI103">
        <v>0</v>
      </c>
      <c r="CJ103">
        <v>0</v>
      </c>
      <c r="CK103">
        <v>0</v>
      </c>
      <c r="CL103">
        <v>0</v>
      </c>
      <c r="CM103">
        <v>1</v>
      </c>
    </row>
    <row r="104" spans="40:91" x14ac:dyDescent="0.25">
      <c r="AN104" t="str">
        <v>volkswagen super beetle</v>
      </c>
      <c r="AO104" s="7">
        <v>26</v>
      </c>
      <c r="AP104" s="7">
        <v>27.302527770060408</v>
      </c>
      <c r="AQ104" s="7">
        <v>-1.3025277700604079</v>
      </c>
      <c r="AR104" s="7">
        <v>4.8284679576095293E-2</v>
      </c>
      <c r="AS104" s="7">
        <v>-0.43529358270499213</v>
      </c>
      <c r="AT104" s="7">
        <v>5.6548084865628689E-4</v>
      </c>
      <c r="AU104" s="7">
        <v>-0.66249652488531496</v>
      </c>
      <c r="AV104" s="7">
        <v>-0.62096861122347591</v>
      </c>
      <c r="AW104" s="7">
        <v>0.65976782484825081</v>
      </c>
      <c r="AX104" s="7">
        <v>-1.3686106991324332</v>
      </c>
      <c r="AY104" s="7" t="e">
        <v>#N/A</v>
      </c>
      <c r="AZ104" s="7">
        <v>27.302527770060408</v>
      </c>
      <c r="BA104" s="7">
        <v>-1.3025277700604079</v>
      </c>
      <c r="BU104" t="b">
        <v>1</v>
      </c>
      <c r="BW104">
        <v>1</v>
      </c>
      <c r="BX104">
        <v>215</v>
      </c>
      <c r="BY104">
        <v>4735</v>
      </c>
      <c r="BZ104">
        <v>0</v>
      </c>
      <c r="CA104">
        <v>0</v>
      </c>
      <c r="CB104">
        <v>1</v>
      </c>
      <c r="CC104">
        <v>0</v>
      </c>
      <c r="CD104">
        <v>0</v>
      </c>
      <c r="CE104">
        <v>0</v>
      </c>
      <c r="CF104">
        <v>0</v>
      </c>
      <c r="CG104">
        <v>0</v>
      </c>
      <c r="CH104">
        <v>0</v>
      </c>
      <c r="CI104">
        <v>0</v>
      </c>
      <c r="CJ104">
        <v>0</v>
      </c>
      <c r="CK104">
        <v>0</v>
      </c>
      <c r="CL104">
        <v>0</v>
      </c>
      <c r="CM104">
        <v>1</v>
      </c>
    </row>
    <row r="105" spans="40:91" x14ac:dyDescent="0.25">
      <c r="AN105" t="str">
        <v>chevrolet impala</v>
      </c>
      <c r="AO105" s="7">
        <v>11</v>
      </c>
      <c r="AP105" s="7">
        <v>8.2480696804822848</v>
      </c>
      <c r="AQ105" s="7">
        <v>2.7519303195177152</v>
      </c>
      <c r="AR105" s="7">
        <v>5.207065402060785E-2</v>
      </c>
      <c r="AS105" s="7">
        <v>0.92150618089198921</v>
      </c>
      <c r="AT105" s="7">
        <v>2.7438770542934296E-3</v>
      </c>
      <c r="AU105" s="7">
        <v>-0.66249652488531496</v>
      </c>
      <c r="AV105" s="7">
        <v>-0.61593470926202709</v>
      </c>
      <c r="AW105" s="7">
        <v>0.95995113463758619</v>
      </c>
      <c r="AX105" s="7">
        <v>2.9030964503735723</v>
      </c>
      <c r="AY105" s="7" t="e">
        <v>#N/A</v>
      </c>
      <c r="AZ105" s="7">
        <v>8.2480696804822848</v>
      </c>
      <c r="BA105" s="7">
        <v>2.7519303195177152</v>
      </c>
      <c r="BU105" t="b">
        <v>1</v>
      </c>
      <c r="BW105">
        <v>1</v>
      </c>
      <c r="BX105">
        <v>225</v>
      </c>
      <c r="BY105">
        <v>4951</v>
      </c>
      <c r="BZ105">
        <v>0</v>
      </c>
      <c r="CA105">
        <v>0</v>
      </c>
      <c r="CB105">
        <v>1</v>
      </c>
      <c r="CC105">
        <v>0</v>
      </c>
      <c r="CD105">
        <v>0</v>
      </c>
      <c r="CE105">
        <v>0</v>
      </c>
      <c r="CF105">
        <v>0</v>
      </c>
      <c r="CG105">
        <v>0</v>
      </c>
      <c r="CH105">
        <v>0</v>
      </c>
      <c r="CI105">
        <v>0</v>
      </c>
      <c r="CJ105">
        <v>0</v>
      </c>
      <c r="CK105">
        <v>0</v>
      </c>
      <c r="CL105">
        <v>0</v>
      </c>
      <c r="CM105">
        <v>1</v>
      </c>
    </row>
    <row r="106" spans="40:91" x14ac:dyDescent="0.25">
      <c r="AN106" t="str">
        <v>ford country</v>
      </c>
      <c r="AO106" s="7">
        <v>12</v>
      </c>
      <c r="AP106" s="7">
        <v>8.4328115122477136</v>
      </c>
      <c r="AQ106" s="7">
        <v>3.5671884877522864</v>
      </c>
      <c r="AR106" s="7">
        <v>3.8934703793749144E-2</v>
      </c>
      <c r="AS106" s="7">
        <v>1.1863106075737948</v>
      </c>
      <c r="AT106" s="7">
        <v>3.3537592678973558E-3</v>
      </c>
      <c r="AU106" s="7">
        <v>-0.66249652488531496</v>
      </c>
      <c r="AV106" s="7">
        <v>-0.61509549983121925</v>
      </c>
      <c r="AW106" s="7">
        <v>1.0891788684939654</v>
      </c>
      <c r="AX106" s="7">
        <v>3.7117025261795997</v>
      </c>
      <c r="AY106" s="7" t="e">
        <v>#N/A</v>
      </c>
      <c r="AZ106" s="7">
        <v>8.4328115122477136</v>
      </c>
      <c r="BA106" s="7">
        <v>3.5671884877522864</v>
      </c>
      <c r="BU106" t="b">
        <v>1</v>
      </c>
      <c r="BW106">
        <v>1</v>
      </c>
      <c r="BX106">
        <v>175</v>
      </c>
      <c r="BY106">
        <v>3821</v>
      </c>
      <c r="BZ106">
        <v>0</v>
      </c>
      <c r="CA106">
        <v>0</v>
      </c>
      <c r="CB106">
        <v>1</v>
      </c>
      <c r="CC106">
        <v>0</v>
      </c>
      <c r="CD106">
        <v>0</v>
      </c>
      <c r="CE106">
        <v>0</v>
      </c>
      <c r="CF106">
        <v>0</v>
      </c>
      <c r="CG106">
        <v>0</v>
      </c>
      <c r="CH106">
        <v>0</v>
      </c>
      <c r="CI106">
        <v>0</v>
      </c>
      <c r="CJ106">
        <v>0</v>
      </c>
      <c r="CK106">
        <v>0</v>
      </c>
      <c r="CL106">
        <v>0</v>
      </c>
      <c r="CM106">
        <v>1</v>
      </c>
    </row>
    <row r="107" spans="40:91" x14ac:dyDescent="0.25">
      <c r="AN107" t="str">
        <v>plymouth custom suburb</v>
      </c>
      <c r="AO107" s="7">
        <v>13</v>
      </c>
      <c r="AP107" s="7">
        <v>9.660056239396507</v>
      </c>
      <c r="AQ107" s="7">
        <v>3.339943760603493</v>
      </c>
      <c r="AR107" s="7">
        <v>3.2267405941791109E-2</v>
      </c>
      <c r="AS107" s="7">
        <v>1.1069048065287921</v>
      </c>
      <c r="AT107" s="7">
        <v>2.4031468448560407E-3</v>
      </c>
      <c r="AU107" s="7">
        <v>-0.62318453179067923</v>
      </c>
      <c r="AV107" s="7">
        <v>-0.61264897901118454</v>
      </c>
      <c r="AW107" s="7">
        <v>1.0520954360364805</v>
      </c>
      <c r="AX107" s="7">
        <v>3.4513085341037879</v>
      </c>
      <c r="AY107" s="7" t="e">
        <v>#N/A</v>
      </c>
      <c r="AZ107" s="7">
        <v>9.660056239396507</v>
      </c>
      <c r="BA107" s="7">
        <v>3.339943760603493</v>
      </c>
      <c r="BU107" t="b">
        <v>1</v>
      </c>
      <c r="BW107">
        <v>1</v>
      </c>
      <c r="BX107">
        <v>105</v>
      </c>
      <c r="BY107">
        <v>3121</v>
      </c>
      <c r="BZ107">
        <v>0</v>
      </c>
      <c r="CA107">
        <v>0</v>
      </c>
      <c r="CB107">
        <v>1</v>
      </c>
      <c r="CC107">
        <v>0</v>
      </c>
      <c r="CD107">
        <v>0</v>
      </c>
      <c r="CE107">
        <v>0</v>
      </c>
      <c r="CF107">
        <v>0</v>
      </c>
      <c r="CG107">
        <v>0</v>
      </c>
      <c r="CH107">
        <v>0</v>
      </c>
      <c r="CI107">
        <v>0</v>
      </c>
      <c r="CJ107">
        <v>0</v>
      </c>
      <c r="CK107">
        <v>0</v>
      </c>
      <c r="CL107">
        <v>0</v>
      </c>
      <c r="CM107">
        <v>1</v>
      </c>
    </row>
    <row r="108" spans="40:91" x14ac:dyDescent="0.25">
      <c r="AN108" t="str">
        <v>oldsmobile vista cruiser</v>
      </c>
      <c r="AO108" s="7">
        <v>12</v>
      </c>
      <c r="AP108" s="7">
        <v>10.282504910204196</v>
      </c>
      <c r="AQ108" s="7">
        <v>1.7174950897958041</v>
      </c>
      <c r="AR108" s="7">
        <v>3.0849747810183924E-2</v>
      </c>
      <c r="AS108" s="7">
        <v>0.56878580743135443</v>
      </c>
      <c r="AT108" s="7">
        <v>6.0577184723646681E-4</v>
      </c>
      <c r="AU108" s="7">
        <v>-0.62318453179067923</v>
      </c>
      <c r="AV108" s="7">
        <v>-0.60409084446562589</v>
      </c>
      <c r="AW108" s="7">
        <v>0.75417889617209155</v>
      </c>
      <c r="AX108" s="7">
        <v>1.7721659628268027</v>
      </c>
      <c r="AY108" s="7" t="e">
        <v>#N/A</v>
      </c>
      <c r="AZ108" s="7">
        <v>10.282504910204196</v>
      </c>
      <c r="BA108" s="7">
        <v>1.7174950897958041</v>
      </c>
      <c r="BU108" t="b">
        <v>1</v>
      </c>
      <c r="BW108">
        <v>1</v>
      </c>
      <c r="BX108">
        <v>100</v>
      </c>
      <c r="BY108">
        <v>3278</v>
      </c>
      <c r="BZ108">
        <v>0</v>
      </c>
      <c r="CA108">
        <v>0</v>
      </c>
      <c r="CB108">
        <v>1</v>
      </c>
      <c r="CC108">
        <v>0</v>
      </c>
      <c r="CD108">
        <v>0</v>
      </c>
      <c r="CE108">
        <v>0</v>
      </c>
      <c r="CF108">
        <v>0</v>
      </c>
      <c r="CG108">
        <v>0</v>
      </c>
      <c r="CH108">
        <v>0</v>
      </c>
      <c r="CI108">
        <v>0</v>
      </c>
      <c r="CJ108">
        <v>0</v>
      </c>
      <c r="CK108">
        <v>0</v>
      </c>
      <c r="CL108">
        <v>0</v>
      </c>
      <c r="CM108">
        <v>1</v>
      </c>
    </row>
    <row r="109" spans="40:91" x14ac:dyDescent="0.25">
      <c r="AN109" t="str">
        <v>amc gremlin</v>
      </c>
      <c r="AO109" s="7">
        <v>18</v>
      </c>
      <c r="AP109" s="7">
        <v>20.239678908337108</v>
      </c>
      <c r="AQ109" s="7">
        <v>-2.2396789083371083</v>
      </c>
      <c r="AR109" s="7">
        <v>3.1387057487757081E-2</v>
      </c>
      <c r="AS109" s="7">
        <v>-0.7419240168698068</v>
      </c>
      <c r="AT109" s="7">
        <v>1.0492289704715065E-3</v>
      </c>
      <c r="AU109" s="7">
        <v>-0.60772881744947449</v>
      </c>
      <c r="AV109" s="7">
        <v>-0.59179023453714641</v>
      </c>
      <c r="AW109" s="7">
        <v>0.86135011282857965</v>
      </c>
      <c r="AX109" s="7">
        <v>-2.3122537497053934</v>
      </c>
      <c r="AY109" s="7" t="e">
        <v>#N/A</v>
      </c>
      <c r="AZ109" s="7">
        <v>20.239678908337108</v>
      </c>
      <c r="BA109" s="7">
        <v>-2.2396789083371083</v>
      </c>
      <c r="BU109" t="b">
        <v>1</v>
      </c>
      <c r="BW109">
        <v>1</v>
      </c>
      <c r="BX109">
        <v>100</v>
      </c>
      <c r="BY109">
        <v>2945</v>
      </c>
      <c r="BZ109">
        <v>0</v>
      </c>
      <c r="CA109">
        <v>0</v>
      </c>
      <c r="CB109">
        <v>1</v>
      </c>
      <c r="CC109">
        <v>0</v>
      </c>
      <c r="CD109">
        <v>0</v>
      </c>
      <c r="CE109">
        <v>0</v>
      </c>
      <c r="CF109">
        <v>0</v>
      </c>
      <c r="CG109">
        <v>0</v>
      </c>
      <c r="CH109">
        <v>0</v>
      </c>
      <c r="CI109">
        <v>0</v>
      </c>
      <c r="CJ109">
        <v>0</v>
      </c>
      <c r="CK109">
        <v>0</v>
      </c>
      <c r="CL109">
        <v>0</v>
      </c>
      <c r="CM109">
        <v>1</v>
      </c>
    </row>
    <row r="110" spans="40:91" x14ac:dyDescent="0.25">
      <c r="AN110" t="str">
        <v>toyota carina</v>
      </c>
      <c r="AO110" s="7">
        <v>20</v>
      </c>
      <c r="AP110" s="7">
        <v>25.076745606588119</v>
      </c>
      <c r="AQ110" s="7">
        <v>-5.0767456065881191</v>
      </c>
      <c r="AR110" s="7">
        <v>4.0511183142984845E-2</v>
      </c>
      <c r="AS110" s="7">
        <v>-1.6897180627740633</v>
      </c>
      <c r="AT110" s="7">
        <v>7.0911158671741574E-3</v>
      </c>
      <c r="AU110" s="7">
        <v>-0.60005529056970508</v>
      </c>
      <c r="AV110" s="7">
        <v>-0.59082143000944431</v>
      </c>
      <c r="AW110" s="7">
        <v>1.2998915580824668</v>
      </c>
      <c r="AX110" s="7">
        <v>-5.2910940882228807</v>
      </c>
      <c r="AY110" s="7" t="e">
        <v>#N/A</v>
      </c>
      <c r="AZ110" s="7">
        <v>25.076745606588119</v>
      </c>
      <c r="BA110" s="7">
        <v>-5.0767456065881191</v>
      </c>
      <c r="BU110" t="b">
        <v>1</v>
      </c>
      <c r="BW110">
        <v>1</v>
      </c>
      <c r="BX110">
        <v>88</v>
      </c>
      <c r="BY110">
        <v>3021</v>
      </c>
      <c r="BZ110">
        <v>0</v>
      </c>
      <c r="CA110">
        <v>0</v>
      </c>
      <c r="CB110">
        <v>1</v>
      </c>
      <c r="CC110">
        <v>0</v>
      </c>
      <c r="CD110">
        <v>0</v>
      </c>
      <c r="CE110">
        <v>0</v>
      </c>
      <c r="CF110">
        <v>0</v>
      </c>
      <c r="CG110">
        <v>0</v>
      </c>
      <c r="CH110">
        <v>0</v>
      </c>
      <c r="CI110">
        <v>0</v>
      </c>
      <c r="CJ110">
        <v>0</v>
      </c>
      <c r="CK110">
        <v>0</v>
      </c>
      <c r="CL110">
        <v>0</v>
      </c>
      <c r="CM110">
        <v>1</v>
      </c>
    </row>
    <row r="111" spans="40:91" x14ac:dyDescent="0.25">
      <c r="AN111" t="str">
        <v>chevrolet vega</v>
      </c>
      <c r="AO111" s="7">
        <v>21</v>
      </c>
      <c r="AP111" s="7">
        <v>22.658863133701548</v>
      </c>
      <c r="AQ111" s="7">
        <v>-1.6588631337015478</v>
      </c>
      <c r="AR111" s="7">
        <v>3.987940076710407E-2</v>
      </c>
      <c r="AS111" s="7">
        <v>-0.55194584126169433</v>
      </c>
      <c r="AT111" s="7">
        <v>7.4433226647681295E-4</v>
      </c>
      <c r="AU111" s="7">
        <v>-0.60005529056970508</v>
      </c>
      <c r="AV111" s="7">
        <v>-0.58466219481199633</v>
      </c>
      <c r="AW111" s="7">
        <v>0.74293057634054493</v>
      </c>
      <c r="AX111" s="7">
        <v>-1.7277653817936243</v>
      </c>
      <c r="AY111" s="7" t="e">
        <v>#N/A</v>
      </c>
      <c r="AZ111" s="7">
        <v>22.658863133701548</v>
      </c>
      <c r="BA111" s="7">
        <v>-1.6588631337015478</v>
      </c>
      <c r="BU111" t="b">
        <v>1</v>
      </c>
      <c r="BW111">
        <v>1</v>
      </c>
      <c r="BX111">
        <v>95</v>
      </c>
      <c r="BY111">
        <v>2904</v>
      </c>
      <c r="BZ111">
        <v>0</v>
      </c>
      <c r="CA111">
        <v>0</v>
      </c>
      <c r="CB111">
        <v>1</v>
      </c>
      <c r="CC111">
        <v>0</v>
      </c>
      <c r="CD111">
        <v>0</v>
      </c>
      <c r="CE111">
        <v>0</v>
      </c>
      <c r="CF111">
        <v>0</v>
      </c>
      <c r="CG111">
        <v>0</v>
      </c>
      <c r="CH111">
        <v>0</v>
      </c>
      <c r="CI111">
        <v>0</v>
      </c>
      <c r="CJ111">
        <v>0</v>
      </c>
      <c r="CK111">
        <v>0</v>
      </c>
      <c r="CL111">
        <v>0</v>
      </c>
      <c r="CM111">
        <v>1</v>
      </c>
    </row>
    <row r="112" spans="40:91" x14ac:dyDescent="0.25">
      <c r="AN112" t="str">
        <v>datsun 610</v>
      </c>
      <c r="AO112" s="7">
        <v>22</v>
      </c>
      <c r="AP112" s="7">
        <v>24.472996053355203</v>
      </c>
      <c r="AQ112" s="7">
        <v>-2.4729960533552031</v>
      </c>
      <c r="AR112" s="7">
        <v>3.9858734662671737E-2</v>
      </c>
      <c r="AS112" s="7">
        <v>-0.82281965858508532</v>
      </c>
      <c r="AT112" s="7">
        <v>1.6532889736620543E-3</v>
      </c>
      <c r="AU112" s="7">
        <v>-0.60005529056970508</v>
      </c>
      <c r="AV112" s="7">
        <v>-0.58163018536706668</v>
      </c>
      <c r="AW112" s="7">
        <v>0.90709407372393591</v>
      </c>
      <c r="AX112" s="7">
        <v>-2.5756585438355892</v>
      </c>
      <c r="AY112" s="7" t="e">
        <v>#N/A</v>
      </c>
      <c r="AZ112" s="7">
        <v>24.472996053355203</v>
      </c>
      <c r="BA112" s="7">
        <v>-2.4729960533552031</v>
      </c>
      <c r="BU112" t="b">
        <v>1</v>
      </c>
      <c r="BW112">
        <v>1</v>
      </c>
      <c r="BX112">
        <v>46</v>
      </c>
      <c r="BY112">
        <v>1950</v>
      </c>
      <c r="BZ112">
        <v>0</v>
      </c>
      <c r="CA112">
        <v>0</v>
      </c>
      <c r="CB112">
        <v>1</v>
      </c>
      <c r="CC112">
        <v>0</v>
      </c>
      <c r="CD112">
        <v>0</v>
      </c>
      <c r="CE112">
        <v>0</v>
      </c>
      <c r="CF112">
        <v>0</v>
      </c>
      <c r="CG112">
        <v>0</v>
      </c>
      <c r="CH112">
        <v>0</v>
      </c>
      <c r="CI112">
        <v>0</v>
      </c>
      <c r="CJ112">
        <v>0</v>
      </c>
      <c r="CK112">
        <v>0</v>
      </c>
      <c r="CL112">
        <v>1</v>
      </c>
      <c r="CM112">
        <v>0</v>
      </c>
    </row>
    <row r="113" spans="40:91" x14ac:dyDescent="0.25">
      <c r="AN113" t="str">
        <v>maxda rx3</v>
      </c>
      <c r="AO113" s="7">
        <v>18</v>
      </c>
      <c r="AP113" s="7">
        <v>25.829085733024137</v>
      </c>
      <c r="AQ113" s="7">
        <v>-7.8290857330241366</v>
      </c>
      <c r="AR113" s="7">
        <v>4.0908895826768793E-2</v>
      </c>
      <c r="AS113" s="7">
        <v>-2.6063331092365791</v>
      </c>
      <c r="AT113" s="7">
        <v>1.7043893646453548E-2</v>
      </c>
      <c r="AU113" s="7">
        <v>-0.60005529056970508</v>
      </c>
      <c r="AV113" s="7">
        <v>-0.5807423868304179</v>
      </c>
      <c r="AW113" s="7">
        <v>1.6144141690522229</v>
      </c>
      <c r="AX113" s="7">
        <v>-8.1630261181215644</v>
      </c>
      <c r="AY113" s="7">
        <v>1.7043893646453548E-2</v>
      </c>
      <c r="AZ113" s="7">
        <v>25.829085733024137</v>
      </c>
      <c r="BA113" s="7">
        <v>-7.8290857330241366</v>
      </c>
      <c r="BU113" t="b">
        <v>1</v>
      </c>
      <c r="BW113">
        <v>1</v>
      </c>
      <c r="BX113">
        <v>150</v>
      </c>
      <c r="BY113">
        <v>4997</v>
      </c>
      <c r="BZ113">
        <v>0</v>
      </c>
      <c r="CA113">
        <v>0</v>
      </c>
      <c r="CB113">
        <v>1</v>
      </c>
      <c r="CC113">
        <v>0</v>
      </c>
      <c r="CD113">
        <v>0</v>
      </c>
      <c r="CE113">
        <v>0</v>
      </c>
      <c r="CF113">
        <v>0</v>
      </c>
      <c r="CG113">
        <v>0</v>
      </c>
      <c r="CH113">
        <v>0</v>
      </c>
      <c r="CI113">
        <v>0</v>
      </c>
      <c r="CJ113">
        <v>0</v>
      </c>
      <c r="CK113">
        <v>0</v>
      </c>
      <c r="CL113">
        <v>0</v>
      </c>
      <c r="CM113">
        <v>1</v>
      </c>
    </row>
    <row r="114" spans="40:91" x14ac:dyDescent="0.25">
      <c r="AN114" t="str">
        <v>ford pinto</v>
      </c>
      <c r="AO114" s="7">
        <v>19</v>
      </c>
      <c r="AP114" s="7">
        <v>22.908550693281139</v>
      </c>
      <c r="AQ114" s="7">
        <v>-3.9085506932811391</v>
      </c>
      <c r="AR114" s="7">
        <v>3.8026724320240957E-2</v>
      </c>
      <c r="AS114" s="7">
        <v>-1.2992210520172562</v>
      </c>
      <c r="AT114" s="7">
        <v>3.9250309517006128E-3</v>
      </c>
      <c r="AU114" s="7">
        <v>-0.60005529056970508</v>
      </c>
      <c r="AV114" s="7">
        <v>-0.55753264896976418</v>
      </c>
      <c r="AW114" s="7">
        <v>1.1398337826267724</v>
      </c>
      <c r="AX114" s="7">
        <v>-4.0630553801187883</v>
      </c>
      <c r="AY114" s="7" t="e">
        <v>#N/A</v>
      </c>
      <c r="AZ114" s="7">
        <v>22.908550693281139</v>
      </c>
      <c r="BA114" s="7">
        <v>-3.9085506932811391</v>
      </c>
      <c r="BU114" t="b">
        <v>1</v>
      </c>
      <c r="BW114">
        <v>1</v>
      </c>
      <c r="BX114">
        <v>167</v>
      </c>
      <c r="BY114">
        <v>4906</v>
      </c>
      <c r="BZ114">
        <v>0</v>
      </c>
      <c r="CA114">
        <v>0</v>
      </c>
      <c r="CB114">
        <v>1</v>
      </c>
      <c r="CC114">
        <v>0</v>
      </c>
      <c r="CD114">
        <v>0</v>
      </c>
      <c r="CE114">
        <v>0</v>
      </c>
      <c r="CF114">
        <v>0</v>
      </c>
      <c r="CG114">
        <v>0</v>
      </c>
      <c r="CH114">
        <v>0</v>
      </c>
      <c r="CI114">
        <v>0</v>
      </c>
      <c r="CJ114">
        <v>0</v>
      </c>
      <c r="CK114">
        <v>0</v>
      </c>
      <c r="CL114">
        <v>0</v>
      </c>
      <c r="CM114">
        <v>1</v>
      </c>
    </row>
    <row r="115" spans="40:91" x14ac:dyDescent="0.25">
      <c r="AN115" t="str">
        <v>mercury capri v6</v>
      </c>
      <c r="AO115" s="7">
        <v>21</v>
      </c>
      <c r="AP115" s="7">
        <v>21.731093032654325</v>
      </c>
      <c r="AQ115" s="7">
        <v>-0.73109303265432501</v>
      </c>
      <c r="AR115" s="7">
        <v>3.7015208274130552E-2</v>
      </c>
      <c r="AS115" s="7">
        <v>-0.24289117425341822</v>
      </c>
      <c r="AT115" s="7">
        <v>1.3339369925580079E-4</v>
      </c>
      <c r="AU115" s="7">
        <v>-0.60005529056970508</v>
      </c>
      <c r="AV115" s="7">
        <v>-0.55221926921070552</v>
      </c>
      <c r="AW115" s="7">
        <v>0.49283990732632255</v>
      </c>
      <c r="AX115" s="7">
        <v>-0.75919478577024446</v>
      </c>
      <c r="AY115" s="7" t="e">
        <v>#N/A</v>
      </c>
      <c r="AZ115" s="7">
        <v>21.731093032654325</v>
      </c>
      <c r="BA115" s="7">
        <v>-0.73109303265432501</v>
      </c>
      <c r="BU115" t="b">
        <v>1</v>
      </c>
      <c r="BW115">
        <v>1</v>
      </c>
      <c r="BX115">
        <v>170</v>
      </c>
      <c r="BY115">
        <v>4654</v>
      </c>
      <c r="BZ115">
        <v>0</v>
      </c>
      <c r="CA115">
        <v>0</v>
      </c>
      <c r="CB115">
        <v>1</v>
      </c>
      <c r="CC115">
        <v>0</v>
      </c>
      <c r="CD115">
        <v>0</v>
      </c>
      <c r="CE115">
        <v>0</v>
      </c>
      <c r="CF115">
        <v>0</v>
      </c>
      <c r="CG115">
        <v>0</v>
      </c>
      <c r="CH115">
        <v>0</v>
      </c>
      <c r="CI115">
        <v>0</v>
      </c>
      <c r="CJ115">
        <v>0</v>
      </c>
      <c r="CK115">
        <v>0</v>
      </c>
      <c r="CL115">
        <v>0</v>
      </c>
      <c r="CM115">
        <v>1</v>
      </c>
    </row>
    <row r="116" spans="40:91" x14ac:dyDescent="0.25">
      <c r="AN116" t="str">
        <v>fiat 124 sport coupe</v>
      </c>
      <c r="AO116" s="7">
        <v>26</v>
      </c>
      <c r="AP116" s="7">
        <v>24.993182235342822</v>
      </c>
      <c r="AQ116" s="7">
        <v>1.0068177646571783</v>
      </c>
      <c r="AR116" s="7">
        <v>3.9273864426025172E-2</v>
      </c>
      <c r="AS116" s="7">
        <v>0.33488821969057941</v>
      </c>
      <c r="AT116" s="7">
        <v>2.696837951602174E-4</v>
      </c>
      <c r="AU116" s="7">
        <v>-0.60005529056970508</v>
      </c>
      <c r="AV116" s="7">
        <v>-0.55194584126169433</v>
      </c>
      <c r="AW116" s="7">
        <v>0.5786952736031109</v>
      </c>
      <c r="AX116" s="7">
        <v>1.0479758251352937</v>
      </c>
      <c r="AY116" s="7" t="e">
        <v>#N/A</v>
      </c>
      <c r="AZ116" s="7">
        <v>24.993182235342822</v>
      </c>
      <c r="BA116" s="7">
        <v>1.0068177646571783</v>
      </c>
      <c r="BU116" t="b">
        <v>1</v>
      </c>
      <c r="BW116">
        <v>1</v>
      </c>
      <c r="BX116">
        <v>180</v>
      </c>
      <c r="BY116">
        <v>4499</v>
      </c>
      <c r="BZ116">
        <v>0</v>
      </c>
      <c r="CA116">
        <v>0</v>
      </c>
      <c r="CB116">
        <v>1</v>
      </c>
      <c r="CC116">
        <v>0</v>
      </c>
      <c r="CD116">
        <v>0</v>
      </c>
      <c r="CE116">
        <v>0</v>
      </c>
      <c r="CF116">
        <v>0</v>
      </c>
      <c r="CG116">
        <v>0</v>
      </c>
      <c r="CH116">
        <v>0</v>
      </c>
      <c r="CI116">
        <v>0</v>
      </c>
      <c r="CJ116">
        <v>0</v>
      </c>
      <c r="CK116">
        <v>0</v>
      </c>
      <c r="CL116">
        <v>0</v>
      </c>
      <c r="CM116">
        <v>1</v>
      </c>
    </row>
    <row r="117" spans="40:91" x14ac:dyDescent="0.25">
      <c r="AN117" t="str">
        <v>chevrolet monte carlo s</v>
      </c>
      <c r="AO117" s="7">
        <v>15</v>
      </c>
      <c r="AP117" s="7">
        <v>12.962180138081813</v>
      </c>
      <c r="AQ117" s="7">
        <v>2.0378198619181873</v>
      </c>
      <c r="AR117" s="7">
        <v>2.788915394975712E-2</v>
      </c>
      <c r="AS117" s="7">
        <v>0.67383986412757946</v>
      </c>
      <c r="AT117" s="7">
        <v>7.662738937713584E-4</v>
      </c>
      <c r="AU117" s="7">
        <v>-0.60005529056970508</v>
      </c>
      <c r="AV117" s="7">
        <v>-0.55072347548179512</v>
      </c>
      <c r="AW117" s="7">
        <v>0.82087749641927654</v>
      </c>
      <c r="AX117" s="7">
        <v>2.0962834333121556</v>
      </c>
      <c r="AY117" s="7" t="e">
        <v>#N/A</v>
      </c>
      <c r="AZ117" s="7">
        <v>12.962180138081813</v>
      </c>
      <c r="BA117" s="7">
        <v>2.0378198619181873</v>
      </c>
      <c r="BU117" t="b">
        <v>1</v>
      </c>
      <c r="BW117">
        <v>1</v>
      </c>
      <c r="BX117">
        <v>100</v>
      </c>
      <c r="BY117">
        <v>2789</v>
      </c>
      <c r="BZ117">
        <v>0</v>
      </c>
      <c r="CA117">
        <v>0</v>
      </c>
      <c r="CB117">
        <v>1</v>
      </c>
      <c r="CC117">
        <v>0</v>
      </c>
      <c r="CD117">
        <v>0</v>
      </c>
      <c r="CE117">
        <v>0</v>
      </c>
      <c r="CF117">
        <v>0</v>
      </c>
      <c r="CG117">
        <v>0</v>
      </c>
      <c r="CH117">
        <v>0</v>
      </c>
      <c r="CI117">
        <v>0</v>
      </c>
      <c r="CJ117">
        <v>0</v>
      </c>
      <c r="CK117">
        <v>0</v>
      </c>
      <c r="CL117">
        <v>0</v>
      </c>
      <c r="CM117">
        <v>1</v>
      </c>
    </row>
    <row r="118" spans="40:91" x14ac:dyDescent="0.25">
      <c r="AN118" t="str">
        <v>pontiac grand prix</v>
      </c>
      <c r="AO118" s="7">
        <v>16</v>
      </c>
      <c r="AP118" s="7">
        <v>10.589674737467945</v>
      </c>
      <c r="AQ118" s="7">
        <v>5.410325262532055</v>
      </c>
      <c r="AR118" s="7">
        <v>7.1718533906216742E-2</v>
      </c>
      <c r="AS118" s="7">
        <v>1.8307638951687928</v>
      </c>
      <c r="AT118" s="7">
        <v>1.5232369994827683E-2</v>
      </c>
      <c r="AU118" s="7">
        <v>-0.60005529056970508</v>
      </c>
      <c r="AV118" s="7">
        <v>-0.53338642732774277</v>
      </c>
      <c r="AW118" s="7">
        <v>1.3530572401671679</v>
      </c>
      <c r="AX118" s="7">
        <v>5.828324123822866</v>
      </c>
      <c r="AY118" s="7">
        <v>1.5232369994827683E-2</v>
      </c>
      <c r="AZ118" s="7">
        <v>10.589674737467945</v>
      </c>
      <c r="BA118" s="7">
        <v>5.410325262532055</v>
      </c>
      <c r="BU118" t="b">
        <v>1</v>
      </c>
      <c r="BW118">
        <v>1</v>
      </c>
      <c r="BX118">
        <v>88</v>
      </c>
      <c r="BY118">
        <v>2279</v>
      </c>
      <c r="BZ118">
        <v>0</v>
      </c>
      <c r="CA118">
        <v>0</v>
      </c>
      <c r="CB118">
        <v>1</v>
      </c>
      <c r="CC118">
        <v>0</v>
      </c>
      <c r="CD118">
        <v>0</v>
      </c>
      <c r="CE118">
        <v>0</v>
      </c>
      <c r="CF118">
        <v>0</v>
      </c>
      <c r="CG118">
        <v>0</v>
      </c>
      <c r="CH118">
        <v>0</v>
      </c>
      <c r="CI118">
        <v>0</v>
      </c>
      <c r="CJ118">
        <v>0</v>
      </c>
      <c r="CK118">
        <v>0</v>
      </c>
      <c r="CL118">
        <v>0</v>
      </c>
      <c r="CM118">
        <v>0</v>
      </c>
    </row>
    <row r="119" spans="40:91" x14ac:dyDescent="0.25">
      <c r="AN119" t="str">
        <v>fiat 128</v>
      </c>
      <c r="AO119" s="7">
        <v>29</v>
      </c>
      <c r="AP119" s="7">
        <v>27.67407317225447</v>
      </c>
      <c r="AQ119" s="7">
        <v>1.3259268277455298</v>
      </c>
      <c r="AR119" s="7">
        <v>4.6372217608839757E-2</v>
      </c>
      <c r="AS119" s="7">
        <v>0.44266880067425013</v>
      </c>
      <c r="AT119" s="7">
        <v>5.6051582264195123E-4</v>
      </c>
      <c r="AU119" s="7">
        <v>-0.60005529056970508</v>
      </c>
      <c r="AV119" s="7">
        <v>-0.52393736657058854</v>
      </c>
      <c r="AW119" s="7">
        <v>0.66533360104104933</v>
      </c>
      <c r="AX119" s="7">
        <v>1.3904028932765085</v>
      </c>
      <c r="AY119" s="7" t="e">
        <v>#N/A</v>
      </c>
      <c r="AZ119" s="7">
        <v>27.67407317225447</v>
      </c>
      <c r="BA119" s="7">
        <v>1.3259268277455298</v>
      </c>
      <c r="BU119" t="b">
        <v>1</v>
      </c>
      <c r="BW119">
        <v>1</v>
      </c>
      <c r="BX119">
        <v>72</v>
      </c>
      <c r="BY119">
        <v>2401</v>
      </c>
      <c r="BZ119">
        <v>0</v>
      </c>
      <c r="CA119">
        <v>0</v>
      </c>
      <c r="CB119">
        <v>1</v>
      </c>
      <c r="CC119">
        <v>0</v>
      </c>
      <c r="CD119">
        <v>0</v>
      </c>
      <c r="CE119">
        <v>0</v>
      </c>
      <c r="CF119">
        <v>0</v>
      </c>
      <c r="CG119">
        <v>0</v>
      </c>
      <c r="CH119">
        <v>0</v>
      </c>
      <c r="CI119">
        <v>0</v>
      </c>
      <c r="CJ119">
        <v>0</v>
      </c>
      <c r="CK119">
        <v>0</v>
      </c>
      <c r="CL119">
        <v>0</v>
      </c>
      <c r="CM119">
        <v>1</v>
      </c>
    </row>
    <row r="120" spans="40:91" x14ac:dyDescent="0.25">
      <c r="AN120" t="str">
        <v>opel manta</v>
      </c>
      <c r="AO120" s="7">
        <v>24</v>
      </c>
      <c r="AP120" s="7">
        <v>25.778502843463436</v>
      </c>
      <c r="AQ120" s="7">
        <v>-1.7785028434634356</v>
      </c>
      <c r="AR120" s="7">
        <v>4.0000191815181163E-2</v>
      </c>
      <c r="AS120" s="7">
        <v>-0.59179023453714641</v>
      </c>
      <c r="AT120" s="7">
        <v>8.5837605658505879E-4</v>
      </c>
      <c r="AU120" s="7">
        <v>-0.60005529056970508</v>
      </c>
      <c r="AV120" s="7">
        <v>-0.49892317917099871</v>
      </c>
      <c r="AW120" s="7">
        <v>0.76927903555026533</v>
      </c>
      <c r="AX120" s="7">
        <v>-1.8526074987725818</v>
      </c>
      <c r="AY120" s="7" t="e">
        <v>#N/A</v>
      </c>
      <c r="AZ120" s="7">
        <v>25.778502843463436</v>
      </c>
      <c r="BA120" s="7">
        <v>-1.7785028434634356</v>
      </c>
      <c r="BU120" t="b">
        <v>1</v>
      </c>
      <c r="BW120">
        <v>1</v>
      </c>
      <c r="BX120">
        <v>94</v>
      </c>
      <c r="BY120">
        <v>2379</v>
      </c>
      <c r="BZ120">
        <v>0</v>
      </c>
      <c r="CA120">
        <v>0</v>
      </c>
      <c r="CB120">
        <v>1</v>
      </c>
      <c r="CC120">
        <v>0</v>
      </c>
      <c r="CD120">
        <v>0</v>
      </c>
      <c r="CE120">
        <v>0</v>
      </c>
      <c r="CF120">
        <v>0</v>
      </c>
      <c r="CG120">
        <v>0</v>
      </c>
      <c r="CH120">
        <v>0</v>
      </c>
      <c r="CI120">
        <v>0</v>
      </c>
      <c r="CJ120">
        <v>0</v>
      </c>
      <c r="CK120">
        <v>0</v>
      </c>
      <c r="CL120">
        <v>0</v>
      </c>
      <c r="CM120">
        <v>0</v>
      </c>
    </row>
    <row r="121" spans="40:91" x14ac:dyDescent="0.25">
      <c r="AN121" t="str">
        <v>audi 100ls</v>
      </c>
      <c r="AO121" s="7">
        <v>20</v>
      </c>
      <c r="AP121" s="7">
        <v>23.37187665539728</v>
      </c>
      <c r="AQ121" s="7">
        <v>-3.3718766553972799</v>
      </c>
      <c r="AR121" s="7">
        <v>3.805348292346615E-2</v>
      </c>
      <c r="AS121" s="7">
        <v>-1.1208436092324729</v>
      </c>
      <c r="AT121" s="7">
        <v>2.9233755109492657E-3</v>
      </c>
      <c r="AU121" s="7">
        <v>-0.60005529056970508</v>
      </c>
      <c r="AV121" s="7">
        <v>-0.48011210341267613</v>
      </c>
      <c r="AW121" s="7">
        <v>1.0586990173002302</v>
      </c>
      <c r="AX121" s="7">
        <v>-3.5052641654598435</v>
      </c>
      <c r="AY121" s="7" t="e">
        <v>#N/A</v>
      </c>
      <c r="AZ121" s="7">
        <v>23.37187665539728</v>
      </c>
      <c r="BA121" s="7">
        <v>-3.3718766553972799</v>
      </c>
      <c r="BU121" t="b">
        <v>1</v>
      </c>
      <c r="BW121">
        <v>1</v>
      </c>
      <c r="BX121">
        <v>90</v>
      </c>
      <c r="BY121">
        <v>2124</v>
      </c>
      <c r="BZ121">
        <v>0</v>
      </c>
      <c r="CA121">
        <v>0</v>
      </c>
      <c r="CB121">
        <v>1</v>
      </c>
      <c r="CC121">
        <v>0</v>
      </c>
      <c r="CD121">
        <v>0</v>
      </c>
      <c r="CE121">
        <v>0</v>
      </c>
      <c r="CF121">
        <v>0</v>
      </c>
      <c r="CG121">
        <v>0</v>
      </c>
      <c r="CH121">
        <v>0</v>
      </c>
      <c r="CI121">
        <v>0</v>
      </c>
      <c r="CJ121">
        <v>0</v>
      </c>
      <c r="CK121">
        <v>0</v>
      </c>
      <c r="CL121">
        <v>0</v>
      </c>
      <c r="CM121">
        <v>0</v>
      </c>
    </row>
    <row r="122" spans="40:91" x14ac:dyDescent="0.25">
      <c r="AN122" t="str">
        <v>volvo 144ea</v>
      </c>
      <c r="AO122" s="7">
        <v>19</v>
      </c>
      <c r="AP122" s="7">
        <v>21.582805034449525</v>
      </c>
      <c r="AQ122" s="7">
        <v>-2.5828050344495246</v>
      </c>
      <c r="AR122" s="7">
        <v>3.7880044790532488E-2</v>
      </c>
      <c r="AS122" s="7">
        <v>-0.85847137129504225</v>
      </c>
      <c r="AT122" s="7">
        <v>1.7068052633930221E-3</v>
      </c>
      <c r="AU122" s="7">
        <v>-0.60005529056970508</v>
      </c>
      <c r="AV122" s="7">
        <v>-0.47899199098150264</v>
      </c>
      <c r="AW122" s="7">
        <v>0.92653730162095593</v>
      </c>
      <c r="AX122" s="7">
        <v>-2.6844937790394447</v>
      </c>
      <c r="AY122" s="7" t="e">
        <v>#N/A</v>
      </c>
      <c r="AZ122" s="7">
        <v>21.582805034449525</v>
      </c>
      <c r="BA122" s="7">
        <v>-2.5828050344495246</v>
      </c>
      <c r="BU122" t="b">
        <v>1</v>
      </c>
      <c r="BW122">
        <v>1</v>
      </c>
      <c r="BX122">
        <v>85</v>
      </c>
      <c r="BY122">
        <v>2310</v>
      </c>
      <c r="BZ122">
        <v>0</v>
      </c>
      <c r="CA122">
        <v>0</v>
      </c>
      <c r="CB122">
        <v>1</v>
      </c>
      <c r="CC122">
        <v>0</v>
      </c>
      <c r="CD122">
        <v>0</v>
      </c>
      <c r="CE122">
        <v>0</v>
      </c>
      <c r="CF122">
        <v>0</v>
      </c>
      <c r="CG122">
        <v>0</v>
      </c>
      <c r="CH122">
        <v>0</v>
      </c>
      <c r="CI122">
        <v>0</v>
      </c>
      <c r="CJ122">
        <v>0</v>
      </c>
      <c r="CK122">
        <v>0</v>
      </c>
      <c r="CL122">
        <v>0</v>
      </c>
      <c r="CM122">
        <v>1</v>
      </c>
    </row>
    <row r="123" spans="40:91" x14ac:dyDescent="0.25">
      <c r="AN123" t="str">
        <v>dodge dart custom</v>
      </c>
      <c r="AO123" s="7">
        <v>15</v>
      </c>
      <c r="AP123" s="7">
        <v>16.339238445438841</v>
      </c>
      <c r="AQ123" s="7">
        <v>-1.3392384454388413</v>
      </c>
      <c r="AR123" s="7">
        <v>3.0692356983148181E-2</v>
      </c>
      <c r="AS123" s="7">
        <v>-0.44348189348088168</v>
      </c>
      <c r="AT123" s="7">
        <v>3.6632914178232973E-4</v>
      </c>
      <c r="AU123" s="7">
        <v>-0.60005529056970508</v>
      </c>
      <c r="AV123" s="7">
        <v>-0.46498176646527956</v>
      </c>
      <c r="AW123" s="7">
        <v>0.66594436215113473</v>
      </c>
      <c r="AX123" s="7">
        <v>-1.3816443675927541</v>
      </c>
      <c r="AY123" s="7" t="e">
        <v>#N/A</v>
      </c>
      <c r="AZ123" s="7">
        <v>16.339238445438841</v>
      </c>
      <c r="BA123" s="7">
        <v>-1.3392384454388413</v>
      </c>
      <c r="BU123" t="b">
        <v>1</v>
      </c>
      <c r="BW123">
        <v>1</v>
      </c>
      <c r="BX123">
        <v>107</v>
      </c>
      <c r="BY123">
        <v>2472</v>
      </c>
      <c r="BZ123">
        <v>0</v>
      </c>
      <c r="CA123">
        <v>0</v>
      </c>
      <c r="CB123">
        <v>1</v>
      </c>
      <c r="CC123">
        <v>0</v>
      </c>
      <c r="CD123">
        <v>0</v>
      </c>
      <c r="CE123">
        <v>0</v>
      </c>
      <c r="CF123">
        <v>0</v>
      </c>
      <c r="CG123">
        <v>0</v>
      </c>
      <c r="CH123">
        <v>0</v>
      </c>
      <c r="CI123">
        <v>0</v>
      </c>
      <c r="CJ123">
        <v>0</v>
      </c>
      <c r="CK123">
        <v>0</v>
      </c>
      <c r="CL123">
        <v>0</v>
      </c>
      <c r="CM123">
        <v>1</v>
      </c>
    </row>
    <row r="124" spans="40:91" x14ac:dyDescent="0.25">
      <c r="AN124" t="str">
        <v>saab 99le</v>
      </c>
      <c r="AO124" s="7">
        <v>24</v>
      </c>
      <c r="AP124" s="7">
        <v>22.668446298300889</v>
      </c>
      <c r="AQ124" s="7">
        <v>1.3315537016991108</v>
      </c>
      <c r="AR124" s="7">
        <v>3.8645493093118238E-2</v>
      </c>
      <c r="AS124" s="7">
        <v>0.44275727569779671</v>
      </c>
      <c r="AT124" s="7">
        <v>4.635512730093214E-4</v>
      </c>
      <c r="AU124" s="7">
        <v>-0.60005529056970508</v>
      </c>
      <c r="AV124" s="7">
        <v>-0.45454530660835746</v>
      </c>
      <c r="AW124" s="7">
        <v>0.66540008693852504</v>
      </c>
      <c r="AX124" s="7">
        <v>1.3850808334828841</v>
      </c>
      <c r="AY124" s="7" t="e">
        <v>#N/A</v>
      </c>
      <c r="AZ124" s="7">
        <v>22.668446298300889</v>
      </c>
      <c r="BA124" s="7">
        <v>1.3315537016991108</v>
      </c>
      <c r="BU124" t="b">
        <v>1</v>
      </c>
      <c r="BW124">
        <v>1</v>
      </c>
      <c r="BX124">
        <v>90</v>
      </c>
      <c r="BY124">
        <v>2265</v>
      </c>
      <c r="BZ124">
        <v>0</v>
      </c>
      <c r="CA124">
        <v>0</v>
      </c>
      <c r="CB124">
        <v>1</v>
      </c>
      <c r="CC124">
        <v>0</v>
      </c>
      <c r="CD124">
        <v>0</v>
      </c>
      <c r="CE124">
        <v>0</v>
      </c>
      <c r="CF124">
        <v>0</v>
      </c>
      <c r="CG124">
        <v>0</v>
      </c>
      <c r="CH124">
        <v>0</v>
      </c>
      <c r="CI124">
        <v>0</v>
      </c>
      <c r="CJ124">
        <v>0</v>
      </c>
      <c r="CK124">
        <v>0</v>
      </c>
      <c r="CL124">
        <v>1</v>
      </c>
      <c r="CM124">
        <v>0</v>
      </c>
    </row>
    <row r="125" spans="40:91" x14ac:dyDescent="0.25">
      <c r="AN125" t="str">
        <v>toyota mark ii</v>
      </c>
      <c r="AO125" s="7">
        <v>20</v>
      </c>
      <c r="AP125" s="7">
        <v>21.85127944338609</v>
      </c>
      <c r="AQ125" s="7">
        <v>-1.8512794433860904</v>
      </c>
      <c r="AR125" s="7">
        <v>3.9776770121747546E-2</v>
      </c>
      <c r="AS125" s="7">
        <v>-0.61593470926202709</v>
      </c>
      <c r="AT125" s="7">
        <v>9.2443789980418479E-4</v>
      </c>
      <c r="AU125" s="7">
        <v>-0.60005529056970508</v>
      </c>
      <c r="AV125" s="7">
        <v>-0.4439218066323502</v>
      </c>
      <c r="AW125" s="7">
        <v>0.78481507966018793</v>
      </c>
      <c r="AX125" s="7">
        <v>-1.9279677743484873</v>
      </c>
      <c r="AY125" s="7" t="e">
        <v>#N/A</v>
      </c>
      <c r="AZ125" s="7">
        <v>21.85127944338609</v>
      </c>
      <c r="BA125" s="7">
        <v>-1.8512794433860904</v>
      </c>
      <c r="BU125" t="b">
        <v>1</v>
      </c>
      <c r="BW125">
        <v>1</v>
      </c>
      <c r="BX125">
        <v>145</v>
      </c>
      <c r="BY125">
        <v>4082</v>
      </c>
      <c r="BZ125">
        <v>0</v>
      </c>
      <c r="CA125">
        <v>0</v>
      </c>
      <c r="CB125">
        <v>1</v>
      </c>
      <c r="CC125">
        <v>0</v>
      </c>
      <c r="CD125">
        <v>0</v>
      </c>
      <c r="CE125">
        <v>0</v>
      </c>
      <c r="CF125">
        <v>0</v>
      </c>
      <c r="CG125">
        <v>0</v>
      </c>
      <c r="CH125">
        <v>0</v>
      </c>
      <c r="CI125">
        <v>0</v>
      </c>
      <c r="CJ125">
        <v>0</v>
      </c>
      <c r="CK125">
        <v>0</v>
      </c>
      <c r="CL125">
        <v>0</v>
      </c>
      <c r="CM125">
        <v>1</v>
      </c>
    </row>
    <row r="126" spans="40:91" x14ac:dyDescent="0.25">
      <c r="AN126" t="str">
        <v>oldsmobile omega</v>
      </c>
      <c r="AO126" s="7">
        <v>11</v>
      </c>
      <c r="AP126" s="7">
        <v>14.510368438826678</v>
      </c>
      <c r="AQ126" s="7">
        <v>-3.5103684388266778</v>
      </c>
      <c r="AR126" s="7">
        <v>4.1951063219862798E-2</v>
      </c>
      <c r="AS126" s="7">
        <v>-1.1692507528849245</v>
      </c>
      <c r="AT126" s="7">
        <v>3.5214511972826083E-3</v>
      </c>
      <c r="AU126" s="7">
        <v>-0.60005529056970508</v>
      </c>
      <c r="AV126" s="7">
        <v>-0.44348189348088168</v>
      </c>
      <c r="AW126" s="7">
        <v>1.08131898757255</v>
      </c>
      <c r="AX126" s="7">
        <v>-3.6640805120294941</v>
      </c>
      <c r="AY126" s="7" t="e">
        <v>#N/A</v>
      </c>
      <c r="AZ126" s="7">
        <v>14.510368438826678</v>
      </c>
      <c r="BA126" s="7">
        <v>-3.5103684388266778</v>
      </c>
      <c r="BU126" t="b">
        <v>1</v>
      </c>
      <c r="BW126">
        <v>1</v>
      </c>
      <c r="BX126">
        <v>230</v>
      </c>
      <c r="BY126">
        <v>4278</v>
      </c>
      <c r="BZ126">
        <v>0</v>
      </c>
      <c r="CA126">
        <v>0</v>
      </c>
      <c r="CB126">
        <v>1</v>
      </c>
      <c r="CC126">
        <v>0</v>
      </c>
      <c r="CD126">
        <v>0</v>
      </c>
      <c r="CE126">
        <v>0</v>
      </c>
      <c r="CF126">
        <v>0</v>
      </c>
      <c r="CG126">
        <v>0</v>
      </c>
      <c r="CH126">
        <v>0</v>
      </c>
      <c r="CI126">
        <v>0</v>
      </c>
      <c r="CJ126">
        <v>0</v>
      </c>
      <c r="CK126">
        <v>0</v>
      </c>
      <c r="CL126">
        <v>0</v>
      </c>
      <c r="CM126">
        <v>1</v>
      </c>
    </row>
    <row r="127" spans="40:91" x14ac:dyDescent="0.25">
      <c r="AN127" t="str">
        <v>plymouth duster</v>
      </c>
      <c r="AO127" s="7">
        <v>20</v>
      </c>
      <c r="AP127" s="7">
        <v>20.700160815023697</v>
      </c>
      <c r="AQ127" s="7">
        <v>-0.70016081502369687</v>
      </c>
      <c r="AR127" s="7">
        <v>4.1681720845725925E-2</v>
      </c>
      <c r="AS127" s="7">
        <v>-0.23318022611888406</v>
      </c>
      <c r="AT127" s="7">
        <v>1.3911385496748812E-4</v>
      </c>
      <c r="AU127" s="7">
        <v>-0.47441488350636313</v>
      </c>
      <c r="AV127" s="7">
        <v>-0.44257513070662569</v>
      </c>
      <c r="AW127" s="7">
        <v>0.48288738450997459</v>
      </c>
      <c r="AX127" s="7">
        <v>-0.73061406659340378</v>
      </c>
      <c r="AY127" s="7" t="e">
        <v>#N/A</v>
      </c>
      <c r="AZ127" s="7">
        <v>20.700160815023697</v>
      </c>
      <c r="BA127" s="7">
        <v>-0.70016081502369687</v>
      </c>
      <c r="BU127" t="b">
        <v>1</v>
      </c>
      <c r="BW127">
        <v>1</v>
      </c>
      <c r="BX127">
        <v>49</v>
      </c>
      <c r="BY127">
        <v>1867</v>
      </c>
      <c r="BZ127">
        <v>0</v>
      </c>
      <c r="CA127">
        <v>0</v>
      </c>
      <c r="CB127">
        <v>1</v>
      </c>
      <c r="CC127">
        <v>0</v>
      </c>
      <c r="CD127">
        <v>0</v>
      </c>
      <c r="CE127">
        <v>0</v>
      </c>
      <c r="CF127">
        <v>0</v>
      </c>
      <c r="CG127">
        <v>0</v>
      </c>
      <c r="CH127">
        <v>0</v>
      </c>
      <c r="CI127">
        <v>0</v>
      </c>
      <c r="CJ127">
        <v>0</v>
      </c>
      <c r="CK127">
        <v>0</v>
      </c>
      <c r="CL127">
        <v>1</v>
      </c>
      <c r="CM127">
        <v>0</v>
      </c>
    </row>
    <row r="128" spans="40:91" x14ac:dyDescent="0.25">
      <c r="AN128" t="str">
        <v>amc hornet</v>
      </c>
      <c r="AO128" s="7">
        <v>19</v>
      </c>
      <c r="AP128" s="7">
        <v>21.636703887894456</v>
      </c>
      <c r="AQ128" s="7">
        <v>-2.6367038878944555</v>
      </c>
      <c r="AR128" s="7">
        <v>4.2615099595863973E-2</v>
      </c>
      <c r="AS128" s="7">
        <v>-0.87855079557957172</v>
      </c>
      <c r="AT128" s="7">
        <v>2.0209788357389903E-3</v>
      </c>
      <c r="AU128" s="7">
        <v>-0.47441488350636313</v>
      </c>
      <c r="AV128" s="7">
        <v>-0.43529358270499213</v>
      </c>
      <c r="AW128" s="7">
        <v>0.93731040513779196</v>
      </c>
      <c r="AX128" s="7">
        <v>-2.7540688042828303</v>
      </c>
      <c r="AY128" s="7" t="e">
        <v>#N/A</v>
      </c>
      <c r="AZ128" s="7">
        <v>21.636703887894456</v>
      </c>
      <c r="BA128" s="7">
        <v>-2.6367038878944555</v>
      </c>
      <c r="BU128" t="b">
        <v>1</v>
      </c>
      <c r="BW128">
        <v>1</v>
      </c>
      <c r="BX128">
        <v>75</v>
      </c>
      <c r="BY128">
        <v>2158</v>
      </c>
      <c r="BZ128">
        <v>0</v>
      </c>
      <c r="CA128">
        <v>0</v>
      </c>
      <c r="CB128">
        <v>1</v>
      </c>
      <c r="CC128">
        <v>0</v>
      </c>
      <c r="CD128">
        <v>0</v>
      </c>
      <c r="CE128">
        <v>0</v>
      </c>
      <c r="CF128">
        <v>0</v>
      </c>
      <c r="CG128">
        <v>0</v>
      </c>
      <c r="CH128">
        <v>0</v>
      </c>
      <c r="CI128">
        <v>0</v>
      </c>
      <c r="CJ128">
        <v>0</v>
      </c>
      <c r="CK128">
        <v>0</v>
      </c>
      <c r="CL128">
        <v>1</v>
      </c>
      <c r="CM128">
        <v>0</v>
      </c>
    </row>
    <row r="129" spans="40:91" x14ac:dyDescent="0.25">
      <c r="AN129" t="str">
        <v>chevrolet nova</v>
      </c>
      <c r="AO129" s="7">
        <v>15</v>
      </c>
      <c r="AP129" s="7">
        <v>19.434164205318673</v>
      </c>
      <c r="AQ129" s="7">
        <v>-4.4341642053186732</v>
      </c>
      <c r="AR129" s="7">
        <v>4.1929203309126278E-2</v>
      </c>
      <c r="AS129" s="7">
        <v>-1.4769363323181779</v>
      </c>
      <c r="AT129" s="7">
        <v>5.6155672815875321E-3</v>
      </c>
      <c r="AU129" s="7">
        <v>-0.4601505487612142</v>
      </c>
      <c r="AV129" s="7">
        <v>-0.43384150629045037</v>
      </c>
      <c r="AW129" s="7">
        <v>1.2152926940939692</v>
      </c>
      <c r="AX129" s="7">
        <v>-4.6282218606746435</v>
      </c>
      <c r="AY129" s="7" t="e">
        <v>#N/A</v>
      </c>
      <c r="AZ129" s="7">
        <v>19.434164205318673</v>
      </c>
      <c r="BA129" s="7">
        <v>-4.4341642053186732</v>
      </c>
      <c r="BU129" t="b">
        <v>1</v>
      </c>
      <c r="BW129">
        <v>1</v>
      </c>
      <c r="BX129">
        <v>91</v>
      </c>
      <c r="BY129">
        <v>2582</v>
      </c>
      <c r="BZ129">
        <v>0</v>
      </c>
      <c r="CA129">
        <v>0</v>
      </c>
      <c r="CB129">
        <v>1</v>
      </c>
      <c r="CC129">
        <v>0</v>
      </c>
      <c r="CD129">
        <v>0</v>
      </c>
      <c r="CE129">
        <v>0</v>
      </c>
      <c r="CF129">
        <v>0</v>
      </c>
      <c r="CG129">
        <v>0</v>
      </c>
      <c r="CH129">
        <v>0</v>
      </c>
      <c r="CI129">
        <v>0</v>
      </c>
      <c r="CJ129">
        <v>0</v>
      </c>
      <c r="CK129">
        <v>0</v>
      </c>
      <c r="CL129">
        <v>1</v>
      </c>
      <c r="CM129">
        <v>0</v>
      </c>
    </row>
    <row r="130" spans="40:91" x14ac:dyDescent="0.25">
      <c r="AN130" t="str">
        <v>datsun b210</v>
      </c>
      <c r="AO130" s="7">
        <v>31</v>
      </c>
      <c r="AP130" s="7">
        <v>29.04765519743632</v>
      </c>
      <c r="AQ130" s="7">
        <v>1.9523448025636796</v>
      </c>
      <c r="AR130" s="7">
        <v>4.9596337656819603E-2</v>
      </c>
      <c r="AS130" s="7">
        <v>0.65290692305068754</v>
      </c>
      <c r="AT130" s="7">
        <v>1.3085644958385587E-3</v>
      </c>
      <c r="AU130" s="7">
        <v>-0.45305351907680225</v>
      </c>
      <c r="AV130" s="7">
        <v>-0.42839201056708598</v>
      </c>
      <c r="AW130" s="7">
        <v>0.80802656085718338</v>
      </c>
      <c r="AX130" s="7">
        <v>2.0542269352690155</v>
      </c>
      <c r="AY130" s="7" t="e">
        <v>#N/A</v>
      </c>
      <c r="AZ130" s="7">
        <v>29.04765519743632</v>
      </c>
      <c r="BA130" s="7">
        <v>1.9523448025636796</v>
      </c>
      <c r="BU130" t="b">
        <v>1</v>
      </c>
      <c r="BW130">
        <v>1</v>
      </c>
      <c r="BX130">
        <v>112</v>
      </c>
      <c r="BY130">
        <v>2868</v>
      </c>
      <c r="BZ130">
        <v>0</v>
      </c>
      <c r="CA130">
        <v>0</v>
      </c>
      <c r="CB130">
        <v>1</v>
      </c>
      <c r="CC130">
        <v>0</v>
      </c>
      <c r="CD130">
        <v>0</v>
      </c>
      <c r="CE130">
        <v>0</v>
      </c>
      <c r="CF130">
        <v>0</v>
      </c>
      <c r="CG130">
        <v>0</v>
      </c>
      <c r="CH130">
        <v>0</v>
      </c>
      <c r="CI130">
        <v>0</v>
      </c>
      <c r="CJ130">
        <v>0</v>
      </c>
      <c r="CK130">
        <v>0</v>
      </c>
      <c r="CL130">
        <v>1</v>
      </c>
      <c r="CM130">
        <v>0</v>
      </c>
    </row>
    <row r="131" spans="40:91" x14ac:dyDescent="0.25">
      <c r="AN131" t="str">
        <v>ford pinto</v>
      </c>
      <c r="AO131" s="7">
        <v>26</v>
      </c>
      <c r="AP131" s="7">
        <v>24.239921853767807</v>
      </c>
      <c r="AQ131" s="7">
        <v>1.7600781462321926</v>
      </c>
      <c r="AR131" s="7">
        <v>4.6095974662596628E-2</v>
      </c>
      <c r="AS131" s="7">
        <v>0.58752778997756339</v>
      </c>
      <c r="AT131" s="7">
        <v>9.8121962635276542E-4</v>
      </c>
      <c r="AU131" s="7">
        <v>-0.45305351907680225</v>
      </c>
      <c r="AV131" s="7">
        <v>-0.41823693209923679</v>
      </c>
      <c r="AW131" s="7">
        <v>0.76650361380593857</v>
      </c>
      <c r="AX131" s="7">
        <v>1.8451312705275975</v>
      </c>
      <c r="AY131" s="7" t="e">
        <v>#N/A</v>
      </c>
      <c r="AZ131" s="7">
        <v>24.239921853767807</v>
      </c>
      <c r="BA131" s="7">
        <v>1.7600781462321926</v>
      </c>
      <c r="BU131" t="b">
        <v>1</v>
      </c>
      <c r="BW131">
        <v>1</v>
      </c>
      <c r="BX131">
        <v>150</v>
      </c>
      <c r="BY131">
        <v>3399</v>
      </c>
      <c r="BZ131">
        <v>0</v>
      </c>
      <c r="CA131">
        <v>0</v>
      </c>
      <c r="CB131">
        <v>1</v>
      </c>
      <c r="CC131">
        <v>0</v>
      </c>
      <c r="CD131">
        <v>0</v>
      </c>
      <c r="CE131">
        <v>0</v>
      </c>
      <c r="CF131">
        <v>0</v>
      </c>
      <c r="CG131">
        <v>0</v>
      </c>
      <c r="CH131">
        <v>0</v>
      </c>
      <c r="CI131">
        <v>0</v>
      </c>
      <c r="CJ131">
        <v>0</v>
      </c>
      <c r="CK131">
        <v>0</v>
      </c>
      <c r="CL131">
        <v>0</v>
      </c>
      <c r="CM131">
        <v>1</v>
      </c>
    </row>
    <row r="132" spans="40:91" x14ac:dyDescent="0.25">
      <c r="AN132" t="str">
        <v>toyota corolla 1200</v>
      </c>
      <c r="AO132" s="7">
        <v>32</v>
      </c>
      <c r="AP132" s="7">
        <v>29.65734535746671</v>
      </c>
      <c r="AQ132" s="7">
        <v>2.3426546425332901</v>
      </c>
      <c r="AR132" s="7">
        <v>5.0280943298176672E-2</v>
      </c>
      <c r="AS132" s="7">
        <v>0.7837174132586886</v>
      </c>
      <c r="AT132" s="7">
        <v>1.9128386377731898E-3</v>
      </c>
      <c r="AU132" s="7">
        <v>-0.45305351907680225</v>
      </c>
      <c r="AV132" s="7">
        <v>-0.405910223941163</v>
      </c>
      <c r="AW132" s="7">
        <v>0.88527815586892722</v>
      </c>
      <c r="AX132" s="7">
        <v>2.4666817265611605</v>
      </c>
      <c r="AY132" s="7" t="e">
        <v>#N/A</v>
      </c>
      <c r="AZ132" s="7">
        <v>29.65734535746671</v>
      </c>
      <c r="BA132" s="7">
        <v>2.3426546425332901</v>
      </c>
      <c r="BU132" t="b">
        <v>1</v>
      </c>
      <c r="BW132">
        <v>1</v>
      </c>
      <c r="BX132">
        <v>110</v>
      </c>
      <c r="BY132">
        <v>2660</v>
      </c>
      <c r="BZ132">
        <v>0</v>
      </c>
      <c r="CA132">
        <v>0</v>
      </c>
      <c r="CB132">
        <v>1</v>
      </c>
      <c r="CC132">
        <v>0</v>
      </c>
      <c r="CD132">
        <v>0</v>
      </c>
      <c r="CE132">
        <v>0</v>
      </c>
      <c r="CF132">
        <v>0</v>
      </c>
      <c r="CG132">
        <v>0</v>
      </c>
      <c r="CH132">
        <v>0</v>
      </c>
      <c r="CI132">
        <v>0</v>
      </c>
      <c r="CJ132">
        <v>0</v>
      </c>
      <c r="CK132">
        <v>0</v>
      </c>
      <c r="CL132">
        <v>1</v>
      </c>
      <c r="CM132">
        <v>0</v>
      </c>
    </row>
    <row r="133" spans="40:91" x14ac:dyDescent="0.25">
      <c r="AN133" t="str">
        <v>chevrolet vega</v>
      </c>
      <c r="AO133" s="7">
        <v>25</v>
      </c>
      <c r="AP133" s="7">
        <v>23.860342838559891</v>
      </c>
      <c r="AQ133" s="7">
        <v>1.139657161440109</v>
      </c>
      <c r="AR133" s="7">
        <v>4.5195292486137739E-2</v>
      </c>
      <c r="AS133" s="7">
        <v>0.38024696094501742</v>
      </c>
      <c r="AT133" s="7">
        <v>4.0258837650251894E-4</v>
      </c>
      <c r="AU133" s="7">
        <v>-0.43189692948271047</v>
      </c>
      <c r="AV133" s="7">
        <v>-0.40193142131392123</v>
      </c>
      <c r="AW133" s="7">
        <v>0.61664167953927462</v>
      </c>
      <c r="AX133" s="7">
        <v>1.193602369648521</v>
      </c>
      <c r="AY133" s="7" t="e">
        <v>#N/A</v>
      </c>
      <c r="AZ133" s="7">
        <v>23.860342838559891</v>
      </c>
      <c r="BA133" s="7">
        <v>1.139657161440109</v>
      </c>
      <c r="BU133" t="b">
        <v>1</v>
      </c>
      <c r="BW133">
        <v>1</v>
      </c>
      <c r="BX133">
        <v>122</v>
      </c>
      <c r="BY133">
        <v>2807</v>
      </c>
      <c r="BZ133">
        <v>0</v>
      </c>
      <c r="CA133">
        <v>0</v>
      </c>
      <c r="CB133">
        <v>1</v>
      </c>
      <c r="CC133">
        <v>0</v>
      </c>
      <c r="CD133">
        <v>0</v>
      </c>
      <c r="CE133">
        <v>0</v>
      </c>
      <c r="CF133">
        <v>0</v>
      </c>
      <c r="CG133">
        <v>0</v>
      </c>
      <c r="CH133">
        <v>0</v>
      </c>
      <c r="CI133">
        <v>0</v>
      </c>
      <c r="CJ133">
        <v>0</v>
      </c>
      <c r="CK133">
        <v>0</v>
      </c>
      <c r="CL133">
        <v>0</v>
      </c>
      <c r="CM133">
        <v>0</v>
      </c>
    </row>
    <row r="134" spans="40:91" x14ac:dyDescent="0.25">
      <c r="AN134" t="str">
        <v>chevrolet chevelle malibu classic</v>
      </c>
      <c r="AO134" s="7">
        <v>16</v>
      </c>
      <c r="AP134" s="7">
        <v>17.180991426591721</v>
      </c>
      <c r="AQ134" s="7">
        <v>-1.1809914265917207</v>
      </c>
      <c r="AR134" s="7">
        <v>4.9165845778550502E-2</v>
      </c>
      <c r="AS134" s="7">
        <v>-0.3948600187587657</v>
      </c>
      <c r="AT134" s="7">
        <v>4.7423777402830631E-4</v>
      </c>
      <c r="AU134" s="7">
        <v>-0.42488793897993393</v>
      </c>
      <c r="AV134" s="7">
        <v>-0.3948600187587657</v>
      </c>
      <c r="AW134" s="7">
        <v>0.62837888153467225</v>
      </c>
      <c r="AX134" s="7">
        <v>-1.2420582720429578</v>
      </c>
      <c r="AY134" s="7" t="e">
        <v>#N/A</v>
      </c>
      <c r="AZ134" s="7">
        <v>17.180991426591721</v>
      </c>
      <c r="BA134" s="7">
        <v>-1.1809914265917207</v>
      </c>
      <c r="BU134" t="b">
        <v>1</v>
      </c>
      <c r="BW134">
        <v>1</v>
      </c>
      <c r="BX134">
        <v>180</v>
      </c>
      <c r="BY134">
        <v>3664</v>
      </c>
      <c r="BZ134">
        <v>0</v>
      </c>
      <c r="CA134">
        <v>0</v>
      </c>
      <c r="CB134">
        <v>1</v>
      </c>
      <c r="CC134">
        <v>0</v>
      </c>
      <c r="CD134">
        <v>0</v>
      </c>
      <c r="CE134">
        <v>0</v>
      </c>
      <c r="CF134">
        <v>0</v>
      </c>
      <c r="CG134">
        <v>0</v>
      </c>
      <c r="CH134">
        <v>0</v>
      </c>
      <c r="CI134">
        <v>0</v>
      </c>
      <c r="CJ134">
        <v>0</v>
      </c>
      <c r="CK134">
        <v>0</v>
      </c>
      <c r="CL134">
        <v>0</v>
      </c>
      <c r="CM134">
        <v>1</v>
      </c>
    </row>
    <row r="135" spans="40:91" x14ac:dyDescent="0.25">
      <c r="AN135" t="str">
        <v>amc matador</v>
      </c>
      <c r="AO135" s="7">
        <v>16</v>
      </c>
      <c r="AP135" s="7">
        <v>17.773060239708702</v>
      </c>
      <c r="AQ135" s="7">
        <v>-1.7730602397087019</v>
      </c>
      <c r="AR135" s="7">
        <v>4.2735154312296256E-2</v>
      </c>
      <c r="AS135" s="7">
        <v>-0.59082143000944431</v>
      </c>
      <c r="AT135" s="7">
        <v>9.166778209952958E-4</v>
      </c>
      <c r="AU135" s="7">
        <v>-0.42488793897993393</v>
      </c>
      <c r="AV135" s="7">
        <v>-0.38508480762604713</v>
      </c>
      <c r="AW135" s="7">
        <v>0.768649094196724</v>
      </c>
      <c r="AX135" s="7">
        <v>-1.8522149305868709</v>
      </c>
      <c r="AY135" s="7" t="e">
        <v>#N/A</v>
      </c>
      <c r="AZ135" s="7">
        <v>17.773060239708702</v>
      </c>
      <c r="BA135" s="7">
        <v>-1.7730602397087019</v>
      </c>
      <c r="BU135" t="b">
        <v>1</v>
      </c>
      <c r="BW135">
        <v>1</v>
      </c>
      <c r="BX135">
        <v>95</v>
      </c>
      <c r="BY135">
        <v>3102</v>
      </c>
      <c r="BZ135">
        <v>0</v>
      </c>
      <c r="CA135">
        <v>0</v>
      </c>
      <c r="CB135">
        <v>0</v>
      </c>
      <c r="CC135">
        <v>1</v>
      </c>
      <c r="CD135">
        <v>0</v>
      </c>
      <c r="CE135">
        <v>0</v>
      </c>
      <c r="CF135">
        <v>0</v>
      </c>
      <c r="CG135">
        <v>0</v>
      </c>
      <c r="CH135">
        <v>0</v>
      </c>
      <c r="CI135">
        <v>0</v>
      </c>
      <c r="CJ135">
        <v>0</v>
      </c>
      <c r="CK135">
        <v>0</v>
      </c>
      <c r="CL135">
        <v>0</v>
      </c>
      <c r="CM135">
        <v>1</v>
      </c>
    </row>
    <row r="136" spans="40:91" x14ac:dyDescent="0.25">
      <c r="AN136" t="str">
        <v>plymouth satellite sebring</v>
      </c>
      <c r="AO136" s="7">
        <v>18</v>
      </c>
      <c r="AP136" s="7">
        <v>17.950445282163628</v>
      </c>
      <c r="AQ136" s="7">
        <v>4.955471783637222E-2</v>
      </c>
      <c r="AR136" s="7">
        <v>4.3763467871605954E-2</v>
      </c>
      <c r="AS136" s="7">
        <v>1.6521563559608765E-2</v>
      </c>
      <c r="AT136" s="7">
        <v>7.3485180761293923E-7</v>
      </c>
      <c r="AU136" s="7">
        <v>-0.42488793897993393</v>
      </c>
      <c r="AV136" s="7">
        <v>-0.38135513775663893</v>
      </c>
      <c r="AW136" s="7">
        <v>0.12853623442286136</v>
      </c>
      <c r="AX136" s="7">
        <v>5.1822657021974659E-2</v>
      </c>
      <c r="AY136" s="7" t="e">
        <v>#N/A</v>
      </c>
      <c r="AZ136" s="7">
        <v>17.950445282163628</v>
      </c>
      <c r="BA136" s="7">
        <v>4.955471783637222E-2</v>
      </c>
      <c r="BU136" t="b">
        <v>0</v>
      </c>
      <c r="BW136">
        <v>1</v>
      </c>
      <c r="BX136">
        <v>0</v>
      </c>
      <c r="BY136">
        <v>2875</v>
      </c>
      <c r="BZ136">
        <v>0</v>
      </c>
      <c r="CA136">
        <v>0</v>
      </c>
      <c r="CB136">
        <v>0</v>
      </c>
      <c r="CC136">
        <v>1</v>
      </c>
      <c r="CD136">
        <v>0</v>
      </c>
      <c r="CE136">
        <v>0</v>
      </c>
      <c r="CF136">
        <v>0</v>
      </c>
      <c r="CG136">
        <v>0</v>
      </c>
      <c r="CH136">
        <v>0</v>
      </c>
      <c r="CI136">
        <v>0</v>
      </c>
      <c r="CJ136">
        <v>0</v>
      </c>
      <c r="CK136">
        <v>0</v>
      </c>
      <c r="CL136">
        <v>0</v>
      </c>
      <c r="CM136">
        <v>1</v>
      </c>
    </row>
    <row r="137" spans="40:91" x14ac:dyDescent="0.25">
      <c r="AN137" t="str">
        <v>ford gran torino</v>
      </c>
      <c r="AO137" s="7">
        <v>16</v>
      </c>
      <c r="AP137" s="7">
        <v>14.708742687008055</v>
      </c>
      <c r="AQ137" s="7">
        <v>1.2912573129919451</v>
      </c>
      <c r="AR137" s="7">
        <v>4.5049751282210906E-2</v>
      </c>
      <c r="AS137" s="7">
        <v>0.43079556603354252</v>
      </c>
      <c r="AT137" s="7">
        <v>5.1499756946701283E-4</v>
      </c>
      <c r="AU137" s="7">
        <v>-0.42488793897993393</v>
      </c>
      <c r="AV137" s="7">
        <v>-0.36253627723480369</v>
      </c>
      <c r="AW137" s="7">
        <v>0.65635018552106961</v>
      </c>
      <c r="AX137" s="7">
        <v>1.3521723406279178</v>
      </c>
      <c r="AY137" s="7" t="e">
        <v>#N/A</v>
      </c>
      <c r="AZ137" s="7">
        <v>14.708742687008055</v>
      </c>
      <c r="BA137" s="7">
        <v>1.2912573129919451</v>
      </c>
      <c r="BU137" t="b">
        <v>1</v>
      </c>
      <c r="BW137">
        <v>1</v>
      </c>
      <c r="BX137">
        <v>100</v>
      </c>
      <c r="BY137">
        <v>2901</v>
      </c>
      <c r="BZ137">
        <v>0</v>
      </c>
      <c r="CA137">
        <v>0</v>
      </c>
      <c r="CB137">
        <v>0</v>
      </c>
      <c r="CC137">
        <v>1</v>
      </c>
      <c r="CD137">
        <v>0</v>
      </c>
      <c r="CE137">
        <v>0</v>
      </c>
      <c r="CF137">
        <v>0</v>
      </c>
      <c r="CG137">
        <v>0</v>
      </c>
      <c r="CH137">
        <v>0</v>
      </c>
      <c r="CI137">
        <v>0</v>
      </c>
      <c r="CJ137">
        <v>0</v>
      </c>
      <c r="CK137">
        <v>0</v>
      </c>
      <c r="CL137">
        <v>0</v>
      </c>
      <c r="CM137">
        <v>1</v>
      </c>
    </row>
    <row r="138" spans="40:91" x14ac:dyDescent="0.25">
      <c r="AN138" t="str">
        <v>buick century luxus (sw)</v>
      </c>
      <c r="AO138" s="7">
        <v>13</v>
      </c>
      <c r="AP138" s="7">
        <v>11.721051602237498</v>
      </c>
      <c r="AQ138" s="7">
        <v>1.2789483977625018</v>
      </c>
      <c r="AR138" s="7">
        <v>5.4033117323552399E-2</v>
      </c>
      <c r="AS138" s="7">
        <v>0.42871024250541362</v>
      </c>
      <c r="AT138" s="7">
        <v>6.1753686570019829E-4</v>
      </c>
      <c r="AU138" s="7">
        <v>-0.42488793897993393</v>
      </c>
      <c r="AV138" s="7">
        <v>-0.3422246281983452</v>
      </c>
      <c r="AW138" s="7">
        <v>0.65475968301768062</v>
      </c>
      <c r="AX138" s="7">
        <v>1.3520012393498824</v>
      </c>
      <c r="AY138" s="7" t="e">
        <v>#N/A</v>
      </c>
      <c r="AZ138" s="7">
        <v>11.721051602237498</v>
      </c>
      <c r="BA138" s="7">
        <v>1.2789483977625018</v>
      </c>
      <c r="BU138" t="b">
        <v>1</v>
      </c>
      <c r="BW138">
        <v>1</v>
      </c>
      <c r="BX138">
        <v>100</v>
      </c>
      <c r="BY138">
        <v>3336</v>
      </c>
      <c r="BZ138">
        <v>0</v>
      </c>
      <c r="CA138">
        <v>0</v>
      </c>
      <c r="CB138">
        <v>0</v>
      </c>
      <c r="CC138">
        <v>1</v>
      </c>
      <c r="CD138">
        <v>0</v>
      </c>
      <c r="CE138">
        <v>0</v>
      </c>
      <c r="CF138">
        <v>0</v>
      </c>
      <c r="CG138">
        <v>0</v>
      </c>
      <c r="CH138">
        <v>0</v>
      </c>
      <c r="CI138">
        <v>0</v>
      </c>
      <c r="CJ138">
        <v>0</v>
      </c>
      <c r="CK138">
        <v>0</v>
      </c>
      <c r="CL138">
        <v>0</v>
      </c>
      <c r="CM138">
        <v>1</v>
      </c>
    </row>
    <row r="139" spans="40:91" x14ac:dyDescent="0.25">
      <c r="AN139" t="str">
        <v>dodge coronet custom (sw)</v>
      </c>
      <c r="AO139" s="7">
        <v>14</v>
      </c>
      <c r="AP139" s="7">
        <v>12.946372529095751</v>
      </c>
      <c r="AQ139" s="7">
        <v>1.0536274709042495</v>
      </c>
      <c r="AR139" s="7">
        <v>4.8948096978339982E-2</v>
      </c>
      <c r="AS139" s="7">
        <v>0.35223603151477784</v>
      </c>
      <c r="AT139" s="7">
        <v>3.7562131648232014E-4</v>
      </c>
      <c r="AU139" s="7">
        <v>-0.42488793897993393</v>
      </c>
      <c r="AV139" s="7">
        <v>-0.32610721496463629</v>
      </c>
      <c r="AW139" s="7">
        <v>0.59349476115192279</v>
      </c>
      <c r="AX139" s="7">
        <v>1.1078548579280361</v>
      </c>
      <c r="AY139" s="7" t="e">
        <v>#N/A</v>
      </c>
      <c r="AZ139" s="7">
        <v>12.946372529095751</v>
      </c>
      <c r="BA139" s="7">
        <v>1.0536274709042495</v>
      </c>
      <c r="BU139" t="b">
        <v>1</v>
      </c>
      <c r="BW139">
        <v>1</v>
      </c>
      <c r="BX139">
        <v>67</v>
      </c>
      <c r="BY139">
        <v>1950</v>
      </c>
      <c r="BZ139">
        <v>0</v>
      </c>
      <c r="CA139">
        <v>0</v>
      </c>
      <c r="CB139">
        <v>0</v>
      </c>
      <c r="CC139">
        <v>1</v>
      </c>
      <c r="CD139">
        <v>0</v>
      </c>
      <c r="CE139">
        <v>0</v>
      </c>
      <c r="CF139">
        <v>0</v>
      </c>
      <c r="CG139">
        <v>0</v>
      </c>
      <c r="CH139">
        <v>0</v>
      </c>
      <c r="CI139">
        <v>0</v>
      </c>
      <c r="CJ139">
        <v>0</v>
      </c>
      <c r="CK139">
        <v>0</v>
      </c>
      <c r="CL139">
        <v>0</v>
      </c>
      <c r="CM139">
        <v>0</v>
      </c>
    </row>
    <row r="140" spans="40:91" x14ac:dyDescent="0.25">
      <c r="AN140" t="str">
        <v>ford gran torino (sw)</v>
      </c>
      <c r="AO140" s="7">
        <v>14</v>
      </c>
      <c r="AP140" s="7">
        <v>12.192277808295032</v>
      </c>
      <c r="AQ140" s="7">
        <v>1.8077221917049684</v>
      </c>
      <c r="AR140" s="7">
        <v>5.5331075663274977E-2</v>
      </c>
      <c r="AS140" s="7">
        <v>0.60637414955154345</v>
      </c>
      <c r="AT140" s="7">
        <v>1.2668404438458218E-3</v>
      </c>
      <c r="AU140" s="7">
        <v>-0.42488793897993393</v>
      </c>
      <c r="AV140" s="7">
        <v>-0.31654278630410415</v>
      </c>
      <c r="AW140" s="7">
        <v>0.77870029507606031</v>
      </c>
      <c r="AX140" s="7">
        <v>1.9136039570415784</v>
      </c>
      <c r="AY140" s="7" t="e">
        <v>#N/A</v>
      </c>
      <c r="AZ140" s="7">
        <v>12.192277808295032</v>
      </c>
      <c r="BA140" s="7">
        <v>1.8077221917049684</v>
      </c>
      <c r="BU140" t="b">
        <v>1</v>
      </c>
      <c r="BW140">
        <v>1</v>
      </c>
      <c r="BX140">
        <v>80</v>
      </c>
      <c r="BY140">
        <v>2451</v>
      </c>
      <c r="BZ140">
        <v>0</v>
      </c>
      <c r="CA140">
        <v>0</v>
      </c>
      <c r="CB140">
        <v>0</v>
      </c>
      <c r="CC140">
        <v>1</v>
      </c>
      <c r="CD140">
        <v>0</v>
      </c>
      <c r="CE140">
        <v>0</v>
      </c>
      <c r="CF140">
        <v>0</v>
      </c>
      <c r="CG140">
        <v>0</v>
      </c>
      <c r="CH140">
        <v>0</v>
      </c>
      <c r="CI140">
        <v>0</v>
      </c>
      <c r="CJ140">
        <v>0</v>
      </c>
      <c r="CK140">
        <v>0</v>
      </c>
      <c r="CL140">
        <v>0</v>
      </c>
      <c r="CM140">
        <v>1</v>
      </c>
    </row>
    <row r="141" spans="40:91" x14ac:dyDescent="0.25">
      <c r="AN141" t="str">
        <v>amc matador (sw)</v>
      </c>
      <c r="AO141" s="7">
        <v>14</v>
      </c>
      <c r="AP141" s="7">
        <v>13.959034452119099</v>
      </c>
      <c r="AQ141" s="7">
        <v>4.0965547880901454E-2</v>
      </c>
      <c r="AR141" s="7">
        <v>4.653759851025966E-2</v>
      </c>
      <c r="AS141" s="7">
        <v>1.3677785391081904E-2</v>
      </c>
      <c r="AT141" s="7">
        <v>5.3713449731636109E-7</v>
      </c>
      <c r="AU141" s="7">
        <v>-0.42488793897993393</v>
      </c>
      <c r="AV141" s="7">
        <v>-0.31629077006854361</v>
      </c>
      <c r="AW141" s="7">
        <v>0.11695206450115322</v>
      </c>
      <c r="AX141" s="7">
        <v>4.2965037548302588E-2</v>
      </c>
      <c r="AY141" s="7" t="e">
        <v>#N/A</v>
      </c>
      <c r="AZ141" s="7">
        <v>13.959034452119099</v>
      </c>
      <c r="BA141" s="7">
        <v>4.0965547880901454E-2</v>
      </c>
      <c r="BU141" t="b">
        <v>1</v>
      </c>
      <c r="BW141">
        <v>1</v>
      </c>
      <c r="BX141">
        <v>65</v>
      </c>
      <c r="BY141">
        <v>1836</v>
      </c>
      <c r="BZ141">
        <v>0</v>
      </c>
      <c r="CA141">
        <v>0</v>
      </c>
      <c r="CB141">
        <v>0</v>
      </c>
      <c r="CC141">
        <v>1</v>
      </c>
      <c r="CD141">
        <v>0</v>
      </c>
      <c r="CE141">
        <v>0</v>
      </c>
      <c r="CF141">
        <v>0</v>
      </c>
      <c r="CG141">
        <v>0</v>
      </c>
      <c r="CH141">
        <v>0</v>
      </c>
      <c r="CI141">
        <v>0</v>
      </c>
      <c r="CJ141">
        <v>0</v>
      </c>
      <c r="CK141">
        <v>0</v>
      </c>
      <c r="CL141">
        <v>0</v>
      </c>
      <c r="CM141">
        <v>0</v>
      </c>
    </row>
    <row r="142" spans="40:91" x14ac:dyDescent="0.25">
      <c r="AN142" t="str">
        <v>audi fox</v>
      </c>
      <c r="AO142" s="7">
        <v>29</v>
      </c>
      <c r="AP142" s="7">
        <v>27.303865157763404</v>
      </c>
      <c r="AQ142" s="7">
        <v>1.6961348422365958</v>
      </c>
      <c r="AR142" s="7">
        <v>5.2132625039320549E-2</v>
      </c>
      <c r="AS142" s="7">
        <v>0.5679830709381003</v>
      </c>
      <c r="AT142" s="7">
        <v>1.0437196977374145E-3</v>
      </c>
      <c r="AU142" s="7">
        <v>-0.42488793897993393</v>
      </c>
      <c r="AV142" s="7">
        <v>-0.31311702677892411</v>
      </c>
      <c r="AW142" s="7">
        <v>0.75364651590656229</v>
      </c>
      <c r="AX142" s="7">
        <v>1.7894221143616815</v>
      </c>
      <c r="AY142" s="7" t="e">
        <v>#N/A</v>
      </c>
      <c r="AZ142" s="7">
        <v>27.303865157763404</v>
      </c>
      <c r="BA142" s="7">
        <v>1.6961348422365958</v>
      </c>
      <c r="BU142" t="b">
        <v>1</v>
      </c>
      <c r="BW142">
        <v>1</v>
      </c>
      <c r="BX142">
        <v>75</v>
      </c>
      <c r="BY142">
        <v>2542</v>
      </c>
      <c r="BZ142">
        <v>0</v>
      </c>
      <c r="CA142">
        <v>0</v>
      </c>
      <c r="CB142">
        <v>0</v>
      </c>
      <c r="CC142">
        <v>1</v>
      </c>
      <c r="CD142">
        <v>0</v>
      </c>
      <c r="CE142">
        <v>0</v>
      </c>
      <c r="CF142">
        <v>0</v>
      </c>
      <c r="CG142">
        <v>0</v>
      </c>
      <c r="CH142">
        <v>0</v>
      </c>
      <c r="CI142">
        <v>0</v>
      </c>
      <c r="CJ142">
        <v>0</v>
      </c>
      <c r="CK142">
        <v>0</v>
      </c>
      <c r="CL142">
        <v>0</v>
      </c>
      <c r="CM142">
        <v>1</v>
      </c>
    </row>
    <row r="143" spans="40:91" x14ac:dyDescent="0.25">
      <c r="AN143" t="str">
        <v>volkswagen dasher</v>
      </c>
      <c r="AO143" s="7">
        <v>26</v>
      </c>
      <c r="AP143" s="7">
        <v>28.85985533048995</v>
      </c>
      <c r="AQ143" s="7">
        <v>-2.8598553304899497</v>
      </c>
      <c r="AR143" s="7">
        <v>5.1447023247990456E-2</v>
      </c>
      <c r="AS143" s="7">
        <v>-0.95733088971303826</v>
      </c>
      <c r="AT143" s="7">
        <v>2.9239765362483422E-3</v>
      </c>
      <c r="AU143" s="7">
        <v>-0.42488793897993393</v>
      </c>
      <c r="AV143" s="7">
        <v>-0.31053190188587537</v>
      </c>
      <c r="AW143" s="7">
        <v>0.97843287440326654</v>
      </c>
      <c r="AX143" s="7">
        <v>-3.0149663757131751</v>
      </c>
      <c r="AY143" s="7" t="e">
        <v>#N/A</v>
      </c>
      <c r="AZ143" s="7">
        <v>28.85985533048995</v>
      </c>
      <c r="BA143" s="7">
        <v>-2.8598553304899497</v>
      </c>
      <c r="BU143" t="b">
        <v>1</v>
      </c>
      <c r="BW143">
        <v>1</v>
      </c>
      <c r="BX143">
        <v>100</v>
      </c>
      <c r="BY143">
        <v>3781</v>
      </c>
      <c r="BZ143">
        <v>0</v>
      </c>
      <c r="CA143">
        <v>0</v>
      </c>
      <c r="CB143">
        <v>0</v>
      </c>
      <c r="CC143">
        <v>1</v>
      </c>
      <c r="CD143">
        <v>0</v>
      </c>
      <c r="CE143">
        <v>0</v>
      </c>
      <c r="CF143">
        <v>0</v>
      </c>
      <c r="CG143">
        <v>0</v>
      </c>
      <c r="CH143">
        <v>0</v>
      </c>
      <c r="CI143">
        <v>0</v>
      </c>
      <c r="CJ143">
        <v>0</v>
      </c>
      <c r="CK143">
        <v>0</v>
      </c>
      <c r="CL143">
        <v>0</v>
      </c>
      <c r="CM143">
        <v>1</v>
      </c>
    </row>
    <row r="144" spans="40:91" x14ac:dyDescent="0.25">
      <c r="AN144" t="str">
        <v>opel manta</v>
      </c>
      <c r="AO144" s="7">
        <v>26</v>
      </c>
      <c r="AP144" s="7">
        <v>26.974919238706654</v>
      </c>
      <c r="AQ144" s="7">
        <v>-0.97491923870665431</v>
      </c>
      <c r="AR144" s="7">
        <v>5.0020849802743295E-2</v>
      </c>
      <c r="AS144" s="7">
        <v>-0.32610721496463629</v>
      </c>
      <c r="AT144" s="7">
        <v>3.2938884363681358E-4</v>
      </c>
      <c r="AU144" s="7">
        <v>-0.42488793897993393</v>
      </c>
      <c r="AV144" s="7">
        <v>-0.30358004022533502</v>
      </c>
      <c r="AW144" s="7">
        <v>0.57105797863670227</v>
      </c>
      <c r="AX144" s="7">
        <v>-1.0262533009321508</v>
      </c>
      <c r="AY144" s="7" t="e">
        <v>#N/A</v>
      </c>
      <c r="AZ144" s="7">
        <v>26.974919238706654</v>
      </c>
      <c r="BA144" s="7">
        <v>-0.97491923870665431</v>
      </c>
      <c r="BU144" t="b">
        <v>1</v>
      </c>
      <c r="BW144">
        <v>1</v>
      </c>
      <c r="BX144">
        <v>110</v>
      </c>
      <c r="BY144">
        <v>3632</v>
      </c>
      <c r="BZ144">
        <v>0</v>
      </c>
      <c r="CA144">
        <v>0</v>
      </c>
      <c r="CB144">
        <v>0</v>
      </c>
      <c r="CC144">
        <v>1</v>
      </c>
      <c r="CD144">
        <v>0</v>
      </c>
      <c r="CE144">
        <v>0</v>
      </c>
      <c r="CF144">
        <v>0</v>
      </c>
      <c r="CG144">
        <v>0</v>
      </c>
      <c r="CH144">
        <v>0</v>
      </c>
      <c r="CI144">
        <v>0</v>
      </c>
      <c r="CJ144">
        <v>0</v>
      </c>
      <c r="CK144">
        <v>0</v>
      </c>
      <c r="CL144">
        <v>0</v>
      </c>
      <c r="CM144">
        <v>1</v>
      </c>
    </row>
    <row r="145" spans="40:91" x14ac:dyDescent="0.25">
      <c r="AN145" t="str">
        <v>toyota corona</v>
      </c>
      <c r="AO145" s="7">
        <v>31</v>
      </c>
      <c r="AP145" s="7">
        <v>30.815257870889571</v>
      </c>
      <c r="AQ145" s="7">
        <v>0.18474212911042898</v>
      </c>
      <c r="AR145" s="7">
        <v>5.1522121063569362E-2</v>
      </c>
      <c r="AS145" s="7">
        <v>6.1844508852534556E-2</v>
      </c>
      <c r="AT145" s="7">
        <v>1.2221370089459184E-5</v>
      </c>
      <c r="AU145" s="7">
        <v>-0.42488793897993393</v>
      </c>
      <c r="AV145" s="7">
        <v>-0.29588942339117646</v>
      </c>
      <c r="AW145" s="7">
        <v>0.24868556221167035</v>
      </c>
      <c r="AX145" s="7">
        <v>0.19477747790764327</v>
      </c>
      <c r="AY145" s="7" t="e">
        <v>#N/A</v>
      </c>
      <c r="AZ145" s="7">
        <v>30.815257870889571</v>
      </c>
      <c r="BA145" s="7">
        <v>0.18474212911042898</v>
      </c>
      <c r="BU145" t="b">
        <v>1</v>
      </c>
      <c r="BW145">
        <v>1</v>
      </c>
      <c r="BX145">
        <v>105</v>
      </c>
      <c r="BY145">
        <v>3613</v>
      </c>
      <c r="BZ145">
        <v>0</v>
      </c>
      <c r="CA145">
        <v>0</v>
      </c>
      <c r="CB145">
        <v>0</v>
      </c>
      <c r="CC145">
        <v>1</v>
      </c>
      <c r="CD145">
        <v>0</v>
      </c>
      <c r="CE145">
        <v>0</v>
      </c>
      <c r="CF145">
        <v>0</v>
      </c>
      <c r="CG145">
        <v>0</v>
      </c>
      <c r="CH145">
        <v>0</v>
      </c>
      <c r="CI145">
        <v>0</v>
      </c>
      <c r="CJ145">
        <v>0</v>
      </c>
      <c r="CK145">
        <v>0</v>
      </c>
      <c r="CL145">
        <v>0</v>
      </c>
      <c r="CM145">
        <v>1</v>
      </c>
    </row>
    <row r="146" spans="40:91" x14ac:dyDescent="0.25">
      <c r="AN146" t="str">
        <v>datsun 710</v>
      </c>
      <c r="AO146" s="7">
        <v>32</v>
      </c>
      <c r="AP146" s="7">
        <v>28.876718379556372</v>
      </c>
      <c r="AQ146" s="7">
        <v>3.1232816204436276</v>
      </c>
      <c r="AR146" s="7">
        <v>4.9821646072405704E-2</v>
      </c>
      <c r="AS146" s="7">
        <v>1.0446177063052544</v>
      </c>
      <c r="AT146" s="7">
        <v>3.365726204821565E-3</v>
      </c>
      <c r="AU146" s="7">
        <v>-0.34227644932452284</v>
      </c>
      <c r="AV146" s="7">
        <v>-0.28991504577289978</v>
      </c>
      <c r="AW146" s="7">
        <v>1.0220654119503576</v>
      </c>
      <c r="AX146" s="7">
        <v>3.2870477500707498</v>
      </c>
      <c r="AY146" s="7" t="e">
        <v>#N/A</v>
      </c>
      <c r="AZ146" s="7">
        <v>28.876718379556372</v>
      </c>
      <c r="BA146" s="7">
        <v>3.1232816204436276</v>
      </c>
      <c r="BU146" t="b">
        <v>1</v>
      </c>
      <c r="BW146">
        <v>1</v>
      </c>
      <c r="BX146">
        <v>140</v>
      </c>
      <c r="BY146">
        <v>4141</v>
      </c>
      <c r="BZ146">
        <v>0</v>
      </c>
      <c r="CA146">
        <v>0</v>
      </c>
      <c r="CB146">
        <v>0</v>
      </c>
      <c r="CC146">
        <v>1</v>
      </c>
      <c r="CD146">
        <v>0</v>
      </c>
      <c r="CE146">
        <v>0</v>
      </c>
      <c r="CF146">
        <v>0</v>
      </c>
      <c r="CG146">
        <v>0</v>
      </c>
      <c r="CH146">
        <v>0</v>
      </c>
      <c r="CI146">
        <v>0</v>
      </c>
      <c r="CJ146">
        <v>0</v>
      </c>
      <c r="CK146">
        <v>0</v>
      </c>
      <c r="CL146">
        <v>0</v>
      </c>
      <c r="CM146">
        <v>1</v>
      </c>
    </row>
    <row r="147" spans="40:91" x14ac:dyDescent="0.25">
      <c r="AN147" t="str">
        <v>dodge colt</v>
      </c>
      <c r="AO147" s="7">
        <v>28</v>
      </c>
      <c r="AP147" s="7">
        <v>25.971742948063575</v>
      </c>
      <c r="AQ147" s="7">
        <v>2.0282570519364249</v>
      </c>
      <c r="AR147" s="7">
        <v>5.1496745076147758E-2</v>
      </c>
      <c r="AS147" s="7">
        <v>0.678972813885793</v>
      </c>
      <c r="AT147" s="7">
        <v>1.472301666513957E-3</v>
      </c>
      <c r="AU147" s="7">
        <v>-0.3355040396155593</v>
      </c>
      <c r="AV147" s="7">
        <v>-0.28923752793395507</v>
      </c>
      <c r="AW147" s="7">
        <v>0.82399806667600439</v>
      </c>
      <c r="AX147" s="7">
        <v>2.1383764804257392</v>
      </c>
      <c r="AY147" s="7" t="e">
        <v>#N/A</v>
      </c>
      <c r="AZ147" s="7">
        <v>25.971742948063575</v>
      </c>
      <c r="BA147" s="7">
        <v>2.0282570519364249</v>
      </c>
      <c r="BU147" t="b">
        <v>1</v>
      </c>
      <c r="BW147">
        <v>1</v>
      </c>
      <c r="BX147">
        <v>150</v>
      </c>
      <c r="BY147">
        <v>4699</v>
      </c>
      <c r="BZ147">
        <v>0</v>
      </c>
      <c r="CA147">
        <v>0</v>
      </c>
      <c r="CB147">
        <v>0</v>
      </c>
      <c r="CC147">
        <v>1</v>
      </c>
      <c r="CD147">
        <v>0</v>
      </c>
      <c r="CE147">
        <v>0</v>
      </c>
      <c r="CF147">
        <v>0</v>
      </c>
      <c r="CG147">
        <v>0</v>
      </c>
      <c r="CH147">
        <v>0</v>
      </c>
      <c r="CI147">
        <v>0</v>
      </c>
      <c r="CJ147">
        <v>0</v>
      </c>
      <c r="CK147">
        <v>0</v>
      </c>
      <c r="CL147">
        <v>0</v>
      </c>
      <c r="CM147">
        <v>1</v>
      </c>
    </row>
    <row r="148" spans="40:91" x14ac:dyDescent="0.25">
      <c r="AN148" t="str">
        <v>fiat 128</v>
      </c>
      <c r="AO148" s="7">
        <v>24</v>
      </c>
      <c r="AP148" s="7">
        <v>27.995783980669696</v>
      </c>
      <c r="AQ148" s="7">
        <v>-3.995783980669696</v>
      </c>
      <c r="AR148" s="7">
        <v>5.1365356097886748E-2</v>
      </c>
      <c r="AS148" s="7">
        <v>-1.3375231715810678</v>
      </c>
      <c r="AT148" s="7">
        <v>5.6980339185634622E-3</v>
      </c>
      <c r="AU148" s="7">
        <v>-0.3355040396155593</v>
      </c>
      <c r="AV148" s="7">
        <v>-0.27897206548306153</v>
      </c>
      <c r="AW148" s="7">
        <v>1.1565133685267404</v>
      </c>
      <c r="AX148" s="7">
        <v>-4.2121421627966695</v>
      </c>
      <c r="AY148" s="7" t="e">
        <v>#N/A</v>
      </c>
      <c r="AZ148" s="7">
        <v>27.995783980669696</v>
      </c>
      <c r="BA148" s="7">
        <v>-3.995783980669696</v>
      </c>
      <c r="BU148" t="b">
        <v>1</v>
      </c>
      <c r="BW148">
        <v>1</v>
      </c>
      <c r="BX148">
        <v>150</v>
      </c>
      <c r="BY148">
        <v>4457</v>
      </c>
      <c r="BZ148">
        <v>0</v>
      </c>
      <c r="CA148">
        <v>0</v>
      </c>
      <c r="CB148">
        <v>0</v>
      </c>
      <c r="CC148">
        <v>1</v>
      </c>
      <c r="CD148">
        <v>0</v>
      </c>
      <c r="CE148">
        <v>0</v>
      </c>
      <c r="CF148">
        <v>0</v>
      </c>
      <c r="CG148">
        <v>0</v>
      </c>
      <c r="CH148">
        <v>0</v>
      </c>
      <c r="CI148">
        <v>0</v>
      </c>
      <c r="CJ148">
        <v>0</v>
      </c>
      <c r="CK148">
        <v>0</v>
      </c>
      <c r="CL148">
        <v>0</v>
      </c>
      <c r="CM148">
        <v>1</v>
      </c>
    </row>
    <row r="149" spans="40:91" x14ac:dyDescent="0.25">
      <c r="AN149" t="str">
        <v>fiat 124 tc</v>
      </c>
      <c r="AO149" s="7">
        <v>26</v>
      </c>
      <c r="AP149" s="7">
        <v>27.297047253783585</v>
      </c>
      <c r="AQ149" s="7">
        <v>-1.2970472537835853</v>
      </c>
      <c r="AR149" s="7">
        <v>4.9948811373861986E-2</v>
      </c>
      <c r="AS149" s="7">
        <v>-0.43384150629045037</v>
      </c>
      <c r="AT149" s="7">
        <v>5.8209173033594902E-4</v>
      </c>
      <c r="AU149" s="7">
        <v>-0.3355040396155593</v>
      </c>
      <c r="AV149" s="7">
        <v>-0.2749679749002365</v>
      </c>
      <c r="AW149" s="7">
        <v>0.65866646057807621</v>
      </c>
      <c r="AX149" s="7">
        <v>-1.3652393358501407</v>
      </c>
      <c r="AY149" s="7" t="e">
        <v>#N/A</v>
      </c>
      <c r="AZ149" s="7">
        <v>27.297047253783585</v>
      </c>
      <c r="BA149" s="7">
        <v>-1.2970472537835853</v>
      </c>
      <c r="BU149" t="b">
        <v>1</v>
      </c>
      <c r="BW149">
        <v>1</v>
      </c>
      <c r="BX149">
        <v>140</v>
      </c>
      <c r="BY149">
        <v>4638</v>
      </c>
      <c r="BZ149">
        <v>0</v>
      </c>
      <c r="CA149">
        <v>0</v>
      </c>
      <c r="CB149">
        <v>0</v>
      </c>
      <c r="CC149">
        <v>1</v>
      </c>
      <c r="CD149">
        <v>0</v>
      </c>
      <c r="CE149">
        <v>0</v>
      </c>
      <c r="CF149">
        <v>0</v>
      </c>
      <c r="CG149">
        <v>0</v>
      </c>
      <c r="CH149">
        <v>0</v>
      </c>
      <c r="CI149">
        <v>0</v>
      </c>
      <c r="CJ149">
        <v>0</v>
      </c>
      <c r="CK149">
        <v>0</v>
      </c>
      <c r="CL149">
        <v>0</v>
      </c>
      <c r="CM149">
        <v>1</v>
      </c>
    </row>
    <row r="150" spans="40:91" x14ac:dyDescent="0.25">
      <c r="AN150" t="str">
        <v>honda civic</v>
      </c>
      <c r="AO150" s="7">
        <v>24</v>
      </c>
      <c r="AP150" s="7">
        <v>25.831438356282163</v>
      </c>
      <c r="AQ150" s="7">
        <v>-1.8314383562821632</v>
      </c>
      <c r="AR150" s="7">
        <v>5.0141769981706191E-2</v>
      </c>
      <c r="AS150" s="7">
        <v>-0.61264897901118454</v>
      </c>
      <c r="AT150" s="7">
        <v>1.1655083173075646E-3</v>
      </c>
      <c r="AU150" s="7">
        <v>-0.31527742954587812</v>
      </c>
      <c r="AV150" s="7">
        <v>-0.2744986939956604</v>
      </c>
      <c r="AW150" s="7">
        <v>0.782718965536919</v>
      </c>
      <c r="AX150" s="7">
        <v>-1.9281175847125003</v>
      </c>
      <c r="AY150" s="7" t="e">
        <v>#N/A</v>
      </c>
      <c r="AZ150" s="7">
        <v>25.831438356282163</v>
      </c>
      <c r="BA150" s="7">
        <v>-1.8314383562821632</v>
      </c>
      <c r="BU150" t="b">
        <v>1</v>
      </c>
      <c r="BW150">
        <v>1</v>
      </c>
      <c r="BX150">
        <v>150</v>
      </c>
      <c r="BY150">
        <v>4257</v>
      </c>
      <c r="BZ150">
        <v>0</v>
      </c>
      <c r="CA150">
        <v>0</v>
      </c>
      <c r="CB150">
        <v>0</v>
      </c>
      <c r="CC150">
        <v>1</v>
      </c>
      <c r="CD150">
        <v>0</v>
      </c>
      <c r="CE150">
        <v>0</v>
      </c>
      <c r="CF150">
        <v>0</v>
      </c>
      <c r="CG150">
        <v>0</v>
      </c>
      <c r="CH150">
        <v>0</v>
      </c>
      <c r="CI150">
        <v>0</v>
      </c>
      <c r="CJ150">
        <v>0</v>
      </c>
      <c r="CK150">
        <v>0</v>
      </c>
      <c r="CL150">
        <v>0</v>
      </c>
      <c r="CM150">
        <v>1</v>
      </c>
    </row>
    <row r="151" spans="40:91" x14ac:dyDescent="0.25">
      <c r="AN151" t="str">
        <v>subaru</v>
      </c>
      <c r="AO151" s="7">
        <v>26</v>
      </c>
      <c r="AP151" s="7">
        <v>26.39258842637777</v>
      </c>
      <c r="AQ151" s="7">
        <v>-0.39258842637777036</v>
      </c>
      <c r="AR151" s="7">
        <v>4.9910696077755404E-2</v>
      </c>
      <c r="AS151" s="7">
        <v>-0.13131189884058012</v>
      </c>
      <c r="AT151" s="7">
        <v>5.3282971853462685E-5</v>
      </c>
      <c r="AU151" s="7">
        <v>-0.31527742954587812</v>
      </c>
      <c r="AV151" s="7">
        <v>-0.26432732427602168</v>
      </c>
      <c r="AW151" s="7">
        <v>0.36236983710096526</v>
      </c>
      <c r="AX151" s="7">
        <v>-0.4132121314881152</v>
      </c>
      <c r="AY151" s="7" t="e">
        <v>#N/A</v>
      </c>
      <c r="AZ151" s="7">
        <v>26.39258842637777</v>
      </c>
      <c r="BA151" s="7">
        <v>-0.39258842637777036</v>
      </c>
      <c r="BU151" t="b">
        <v>1</v>
      </c>
      <c r="BW151">
        <v>1</v>
      </c>
      <c r="BX151">
        <v>83</v>
      </c>
      <c r="BY151">
        <v>2219</v>
      </c>
      <c r="BZ151">
        <v>0</v>
      </c>
      <c r="CA151">
        <v>0</v>
      </c>
      <c r="CB151">
        <v>0</v>
      </c>
      <c r="CC151">
        <v>1</v>
      </c>
      <c r="CD151">
        <v>0</v>
      </c>
      <c r="CE151">
        <v>0</v>
      </c>
      <c r="CF151">
        <v>0</v>
      </c>
      <c r="CG151">
        <v>0</v>
      </c>
      <c r="CH151">
        <v>0</v>
      </c>
      <c r="CI151">
        <v>0</v>
      </c>
      <c r="CJ151">
        <v>0</v>
      </c>
      <c r="CK151">
        <v>0</v>
      </c>
      <c r="CL151">
        <v>1</v>
      </c>
      <c r="CM151">
        <v>0</v>
      </c>
    </row>
    <row r="152" spans="40:91" x14ac:dyDescent="0.25">
      <c r="AN152" t="str">
        <v>fiat x1.9</v>
      </c>
      <c r="AO152" s="7">
        <v>31</v>
      </c>
      <c r="AP152" s="7">
        <v>28.672512874730629</v>
      </c>
      <c r="AQ152" s="7">
        <v>2.3274871252693714</v>
      </c>
      <c r="AR152" s="7">
        <v>5.0990530009204414E-2</v>
      </c>
      <c r="AS152" s="7">
        <v>0.77893428137700038</v>
      </c>
      <c r="AT152" s="7">
        <v>1.9176603742006664E-3</v>
      </c>
      <c r="AU152" s="7">
        <v>-0.30186483701074074</v>
      </c>
      <c r="AV152" s="7">
        <v>-0.26364023528520586</v>
      </c>
      <c r="AW152" s="7">
        <v>0.88257253604278918</v>
      </c>
      <c r="AX152" s="7">
        <v>2.4525436245561867</v>
      </c>
      <c r="AY152" s="7" t="e">
        <v>#N/A</v>
      </c>
      <c r="AZ152" s="7">
        <v>28.672512874730629</v>
      </c>
      <c r="BA152" s="7">
        <v>2.3274871252693714</v>
      </c>
      <c r="BU152" t="b">
        <v>1</v>
      </c>
      <c r="BW152">
        <v>1</v>
      </c>
      <c r="BX152">
        <v>67</v>
      </c>
      <c r="BY152">
        <v>1963</v>
      </c>
      <c r="BZ152">
        <v>0</v>
      </c>
      <c r="CA152">
        <v>0</v>
      </c>
      <c r="CB152">
        <v>0</v>
      </c>
      <c r="CC152">
        <v>1</v>
      </c>
      <c r="CD152">
        <v>0</v>
      </c>
      <c r="CE152">
        <v>0</v>
      </c>
      <c r="CF152">
        <v>0</v>
      </c>
      <c r="CG152">
        <v>0</v>
      </c>
      <c r="CH152">
        <v>0</v>
      </c>
      <c r="CI152">
        <v>0</v>
      </c>
      <c r="CJ152">
        <v>0</v>
      </c>
      <c r="CK152">
        <v>0</v>
      </c>
      <c r="CL152">
        <v>1</v>
      </c>
      <c r="CM152">
        <v>0</v>
      </c>
    </row>
    <row r="153" spans="40:91" x14ac:dyDescent="0.25">
      <c r="AN153" t="str">
        <v>plymouth valiant custom</v>
      </c>
      <c r="AO153" s="7">
        <v>19</v>
      </c>
      <c r="AP153" s="7">
        <v>19.261395253436955</v>
      </c>
      <c r="AQ153" s="7">
        <v>-0.26139525343695524</v>
      </c>
      <c r="AR153" s="7">
        <v>3.574414313936964E-2</v>
      </c>
      <c r="AS153" s="7">
        <v>-8.6786137087075457E-2</v>
      </c>
      <c r="AT153" s="7">
        <v>1.6423450272721342E-5</v>
      </c>
      <c r="AU153" s="7">
        <v>-0.29517900048864582</v>
      </c>
      <c r="AV153" s="7">
        <v>-0.25886999570707769</v>
      </c>
      <c r="AW153" s="7">
        <v>0.29459486941743479</v>
      </c>
      <c r="AX153" s="7">
        <v>-0.27108495279249961</v>
      </c>
      <c r="AY153" s="7" t="e">
        <v>#N/A</v>
      </c>
      <c r="AZ153" s="7">
        <v>19.261395253436955</v>
      </c>
      <c r="BA153" s="7">
        <v>-0.26139525343695524</v>
      </c>
      <c r="BU153" t="b">
        <v>1</v>
      </c>
      <c r="BW153">
        <v>1</v>
      </c>
      <c r="BX153">
        <v>78</v>
      </c>
      <c r="BY153">
        <v>2300</v>
      </c>
      <c r="BZ153">
        <v>0</v>
      </c>
      <c r="CA153">
        <v>0</v>
      </c>
      <c r="CB153">
        <v>0</v>
      </c>
      <c r="CC153">
        <v>1</v>
      </c>
      <c r="CD153">
        <v>0</v>
      </c>
      <c r="CE153">
        <v>0</v>
      </c>
      <c r="CF153">
        <v>0</v>
      </c>
      <c r="CG153">
        <v>0</v>
      </c>
      <c r="CH153">
        <v>0</v>
      </c>
      <c r="CI153">
        <v>0</v>
      </c>
      <c r="CJ153">
        <v>0</v>
      </c>
      <c r="CK153">
        <v>0</v>
      </c>
      <c r="CL153">
        <v>1</v>
      </c>
      <c r="CM153">
        <v>0</v>
      </c>
    </row>
    <row r="154" spans="40:91" x14ac:dyDescent="0.25">
      <c r="AN154" t="str">
        <v>chevrolet nova</v>
      </c>
      <c r="AO154" s="7">
        <v>18</v>
      </c>
      <c r="AP154" s="7">
        <v>18.111685558953777</v>
      </c>
      <c r="AQ154" s="7">
        <v>-0.11168555895377708</v>
      </c>
      <c r="AR154" s="7">
        <v>3.503510364992779E-2</v>
      </c>
      <c r="AS154" s="7">
        <v>-3.7067224491666183E-2</v>
      </c>
      <c r="AT154" s="7">
        <v>2.934425628731252E-6</v>
      </c>
      <c r="AU154" s="7">
        <v>-0.28850633275119353</v>
      </c>
      <c r="AV154" s="7">
        <v>-0.25571503432003895</v>
      </c>
      <c r="AW154" s="7">
        <v>0.19252850306296515</v>
      </c>
      <c r="AX154" s="7">
        <v>-0.11574054079710225</v>
      </c>
      <c r="AY154" s="7" t="e">
        <v>#N/A</v>
      </c>
      <c r="AZ154" s="7">
        <v>18.111685558953777</v>
      </c>
      <c r="BA154" s="7">
        <v>-0.11168555895377708</v>
      </c>
      <c r="BU154" t="b">
        <v>1</v>
      </c>
      <c r="BW154">
        <v>1</v>
      </c>
      <c r="BX154">
        <v>52</v>
      </c>
      <c r="BY154">
        <v>1649</v>
      </c>
      <c r="BZ154">
        <v>0</v>
      </c>
      <c r="CA154">
        <v>0</v>
      </c>
      <c r="CB154">
        <v>0</v>
      </c>
      <c r="CC154">
        <v>1</v>
      </c>
      <c r="CD154">
        <v>0</v>
      </c>
      <c r="CE154">
        <v>0</v>
      </c>
      <c r="CF154">
        <v>0</v>
      </c>
      <c r="CG154">
        <v>0</v>
      </c>
      <c r="CH154">
        <v>0</v>
      </c>
      <c r="CI154">
        <v>0</v>
      </c>
      <c r="CJ154">
        <v>0</v>
      </c>
      <c r="CK154">
        <v>0</v>
      </c>
      <c r="CL154">
        <v>0</v>
      </c>
      <c r="CM154">
        <v>0</v>
      </c>
    </row>
    <row r="155" spans="40:91" x14ac:dyDescent="0.25">
      <c r="AN155" t="str">
        <v>mercury monarch</v>
      </c>
      <c r="AO155" s="7">
        <v>15</v>
      </c>
      <c r="AP155" s="7">
        <v>18.78419717302878</v>
      </c>
      <c r="AQ155" s="7">
        <v>-3.7841971730287796</v>
      </c>
      <c r="AR155" s="7">
        <v>4.8468447253223503E-2</v>
      </c>
      <c r="AS155" s="7">
        <v>-1.2647682754399081</v>
      </c>
      <c r="AT155" s="7">
        <v>4.7930164375910222E-3</v>
      </c>
      <c r="AU155" s="7">
        <v>-0.28850633275119353</v>
      </c>
      <c r="AV155" s="7">
        <v>-0.2481496935310088</v>
      </c>
      <c r="AW155" s="7">
        <v>1.1246191690700937</v>
      </c>
      <c r="AX155" s="7">
        <v>-3.9769539560774163</v>
      </c>
      <c r="AY155" s="7" t="e">
        <v>#N/A</v>
      </c>
      <c r="AZ155" s="7">
        <v>18.78419717302878</v>
      </c>
      <c r="BA155" s="7">
        <v>-3.7841971730287796</v>
      </c>
      <c r="BU155" t="b">
        <v>1</v>
      </c>
      <c r="BW155">
        <v>1</v>
      </c>
      <c r="BX155">
        <v>61</v>
      </c>
      <c r="BY155">
        <v>2003</v>
      </c>
      <c r="BZ155">
        <v>0</v>
      </c>
      <c r="CA155">
        <v>0</v>
      </c>
      <c r="CB155">
        <v>0</v>
      </c>
      <c r="CC155">
        <v>1</v>
      </c>
      <c r="CD155">
        <v>0</v>
      </c>
      <c r="CE155">
        <v>0</v>
      </c>
      <c r="CF155">
        <v>0</v>
      </c>
      <c r="CG155">
        <v>0</v>
      </c>
      <c r="CH155">
        <v>0</v>
      </c>
      <c r="CI155">
        <v>0</v>
      </c>
      <c r="CJ155">
        <v>0</v>
      </c>
      <c r="CK155">
        <v>0</v>
      </c>
      <c r="CL155">
        <v>0</v>
      </c>
      <c r="CM155">
        <v>0</v>
      </c>
    </row>
    <row r="156" spans="40:91" x14ac:dyDescent="0.25">
      <c r="AN156" t="str">
        <v>ford maverick</v>
      </c>
      <c r="AO156" s="7">
        <v>15</v>
      </c>
      <c r="AP156" s="7">
        <v>20.17154400757077</v>
      </c>
      <c r="AQ156" s="7">
        <v>-5.1715440075707697</v>
      </c>
      <c r="AR156" s="7">
        <v>4.265740901741475E-2</v>
      </c>
      <c r="AS156" s="7">
        <v>-1.7231986194513158</v>
      </c>
      <c r="AT156" s="7">
        <v>7.7830325589614939E-3</v>
      </c>
      <c r="AU156" s="7">
        <v>-0.28850633275119353</v>
      </c>
      <c r="AV156" s="7">
        <v>-0.24289117425341822</v>
      </c>
      <c r="AW156" s="7">
        <v>1.3127066006733248</v>
      </c>
      <c r="AX156" s="7">
        <v>-5.4019784101142578</v>
      </c>
      <c r="AY156" s="7" t="e">
        <v>#N/A</v>
      </c>
      <c r="AZ156" s="7">
        <v>20.17154400757077</v>
      </c>
      <c r="BA156" s="7">
        <v>-5.1715440075707697</v>
      </c>
      <c r="BU156" t="b">
        <v>1</v>
      </c>
      <c r="BW156">
        <v>1</v>
      </c>
      <c r="BX156">
        <v>75</v>
      </c>
      <c r="BY156">
        <v>2125</v>
      </c>
      <c r="BZ156">
        <v>0</v>
      </c>
      <c r="CA156">
        <v>0</v>
      </c>
      <c r="CB156">
        <v>0</v>
      </c>
      <c r="CC156">
        <v>1</v>
      </c>
      <c r="CD156">
        <v>0</v>
      </c>
      <c r="CE156">
        <v>0</v>
      </c>
      <c r="CF156">
        <v>0</v>
      </c>
      <c r="CG156">
        <v>0</v>
      </c>
      <c r="CH156">
        <v>0</v>
      </c>
      <c r="CI156">
        <v>0</v>
      </c>
      <c r="CJ156">
        <v>0</v>
      </c>
      <c r="CK156">
        <v>0</v>
      </c>
      <c r="CL156">
        <v>0</v>
      </c>
      <c r="CM156">
        <v>1</v>
      </c>
    </row>
    <row r="157" spans="40:91" x14ac:dyDescent="0.25">
      <c r="AN157" t="str">
        <v>pontiac catalina</v>
      </c>
      <c r="AO157" s="7">
        <v>16</v>
      </c>
      <c r="AP157" s="7">
        <v>10.934776157297469</v>
      </c>
      <c r="AQ157" s="7">
        <v>5.0652238427025313</v>
      </c>
      <c r="AR157" s="7">
        <v>4.4820942448239413E-2</v>
      </c>
      <c r="AS157" s="7">
        <v>1.6896822821993696</v>
      </c>
      <c r="AT157" s="7">
        <v>7.8805652842903369E-3</v>
      </c>
      <c r="AU157" s="7">
        <v>-0.28850633275119353</v>
      </c>
      <c r="AV157" s="7">
        <v>-0.24068058859417421</v>
      </c>
      <c r="AW157" s="7">
        <v>1.299877795102051</v>
      </c>
      <c r="AX157" s="7">
        <v>5.3029050445110393</v>
      </c>
      <c r="AY157" s="7" t="e">
        <v>#N/A</v>
      </c>
      <c r="AZ157" s="7">
        <v>10.934776157297469</v>
      </c>
      <c r="BA157" s="7">
        <v>5.0652238427025313</v>
      </c>
      <c r="BU157" t="b">
        <v>1</v>
      </c>
      <c r="BW157">
        <v>1</v>
      </c>
      <c r="BX157">
        <v>75</v>
      </c>
      <c r="BY157">
        <v>2108</v>
      </c>
      <c r="BZ157">
        <v>0</v>
      </c>
      <c r="CA157">
        <v>0</v>
      </c>
      <c r="CB157">
        <v>0</v>
      </c>
      <c r="CC157">
        <v>1</v>
      </c>
      <c r="CD157">
        <v>0</v>
      </c>
      <c r="CE157">
        <v>0</v>
      </c>
      <c r="CF157">
        <v>0</v>
      </c>
      <c r="CG157">
        <v>0</v>
      </c>
      <c r="CH157">
        <v>0</v>
      </c>
      <c r="CI157">
        <v>0</v>
      </c>
      <c r="CJ157">
        <v>0</v>
      </c>
      <c r="CK157">
        <v>0</v>
      </c>
      <c r="CL157">
        <v>1</v>
      </c>
      <c r="CM157">
        <v>0</v>
      </c>
    </row>
    <row r="158" spans="40:91" x14ac:dyDescent="0.25">
      <c r="AN158" t="str">
        <v>chevrolet bel air</v>
      </c>
      <c r="AO158" s="7">
        <v>15</v>
      </c>
      <c r="AP158" s="7">
        <v>12.495121548382611</v>
      </c>
      <c r="AQ158" s="7">
        <v>2.5048784516173885</v>
      </c>
      <c r="AR158" s="7">
        <v>4.0295891210602973E-2</v>
      </c>
      <c r="AS158" s="7">
        <v>0.83361742346054801</v>
      </c>
      <c r="AT158" s="7">
        <v>1.7163587022956824E-3</v>
      </c>
      <c r="AU158" s="7">
        <v>-0.28850633275119353</v>
      </c>
      <c r="AV158" s="7">
        <v>-0.23318022611888406</v>
      </c>
      <c r="AW158" s="7">
        <v>0.91302651848703054</v>
      </c>
      <c r="AX158" s="7">
        <v>2.6100528576220499</v>
      </c>
      <c r="AY158" s="7" t="e">
        <v>#N/A</v>
      </c>
      <c r="AZ158" s="7">
        <v>12.495121548382611</v>
      </c>
      <c r="BA158" s="7">
        <v>2.5048784516173885</v>
      </c>
      <c r="BU158" t="b">
        <v>1</v>
      </c>
      <c r="BW158">
        <v>1</v>
      </c>
      <c r="BX158">
        <v>75</v>
      </c>
      <c r="BY158">
        <v>2246</v>
      </c>
      <c r="BZ158">
        <v>0</v>
      </c>
      <c r="CA158">
        <v>0</v>
      </c>
      <c r="CB158">
        <v>0</v>
      </c>
      <c r="CC158">
        <v>1</v>
      </c>
      <c r="CD158">
        <v>0</v>
      </c>
      <c r="CE158">
        <v>0</v>
      </c>
      <c r="CF158">
        <v>0</v>
      </c>
      <c r="CG158">
        <v>0</v>
      </c>
      <c r="CH158">
        <v>0</v>
      </c>
      <c r="CI158">
        <v>0</v>
      </c>
      <c r="CJ158">
        <v>0</v>
      </c>
      <c r="CK158">
        <v>0</v>
      </c>
      <c r="CL158">
        <v>1</v>
      </c>
      <c r="CM158">
        <v>0</v>
      </c>
    </row>
    <row r="159" spans="40:91" x14ac:dyDescent="0.25">
      <c r="AN159" t="str">
        <v>plymouth grand fury</v>
      </c>
      <c r="AO159" s="7">
        <v>16</v>
      </c>
      <c r="AP159" s="7">
        <v>12.120267430938133</v>
      </c>
      <c r="AQ159" s="7">
        <v>3.8797325690618667</v>
      </c>
      <c r="AR159" s="7">
        <v>4.0897736141287049E-2</v>
      </c>
      <c r="AS159" s="7">
        <v>1.2915705569901454</v>
      </c>
      <c r="AT159" s="7">
        <v>4.1842892969318549E-3</v>
      </c>
      <c r="AU159" s="7">
        <v>-0.28850633275119353</v>
      </c>
      <c r="AV159" s="7">
        <v>-0.2277333459968798</v>
      </c>
      <c r="AW159" s="7">
        <v>1.1364728580085603</v>
      </c>
      <c r="AX159" s="7">
        <v>4.0451709012266459</v>
      </c>
      <c r="AY159" s="7" t="e">
        <v>#N/A</v>
      </c>
      <c r="AZ159" s="7">
        <v>12.120267430938133</v>
      </c>
      <c r="BA159" s="7">
        <v>3.8797325690618667</v>
      </c>
      <c r="BU159" t="b">
        <v>1</v>
      </c>
      <c r="BW159">
        <v>1</v>
      </c>
      <c r="BX159">
        <v>97</v>
      </c>
      <c r="BY159">
        <v>2489</v>
      </c>
      <c r="BZ159">
        <v>0</v>
      </c>
      <c r="CA159">
        <v>0</v>
      </c>
      <c r="CB159">
        <v>0</v>
      </c>
      <c r="CC159">
        <v>1</v>
      </c>
      <c r="CD159">
        <v>0</v>
      </c>
      <c r="CE159">
        <v>0</v>
      </c>
      <c r="CF159">
        <v>0</v>
      </c>
      <c r="CG159">
        <v>0</v>
      </c>
      <c r="CH159">
        <v>0</v>
      </c>
      <c r="CI159">
        <v>0</v>
      </c>
      <c r="CJ159">
        <v>0</v>
      </c>
      <c r="CK159">
        <v>0</v>
      </c>
      <c r="CL159">
        <v>0</v>
      </c>
      <c r="CM159">
        <v>0</v>
      </c>
    </row>
    <row r="160" spans="40:91" x14ac:dyDescent="0.25">
      <c r="AN160" t="str">
        <v>ford ltd</v>
      </c>
      <c r="AO160" s="7">
        <v>14</v>
      </c>
      <c r="AP160" s="7">
        <v>11.347674066041654</v>
      </c>
      <c r="AQ160" s="7">
        <v>2.6523259339583465</v>
      </c>
      <c r="AR160" s="7">
        <v>4.375470825654347E-2</v>
      </c>
      <c r="AS160" s="7">
        <v>0.88428252049289813</v>
      </c>
      <c r="AT160" s="7">
        <v>2.1046924450569423E-3</v>
      </c>
      <c r="AU160" s="7">
        <v>-0.28850633275119353</v>
      </c>
      <c r="AV160" s="7">
        <v>-0.2234940046084922</v>
      </c>
      <c r="AW160" s="7">
        <v>0.94036297273600589</v>
      </c>
      <c r="AX160" s="7">
        <v>2.773687836018039</v>
      </c>
      <c r="AY160" s="7" t="e">
        <v>#N/A</v>
      </c>
      <c r="AZ160" s="7">
        <v>11.347674066041654</v>
      </c>
      <c r="BA160" s="7">
        <v>2.6523259339583465</v>
      </c>
      <c r="BU160" t="b">
        <v>1</v>
      </c>
      <c r="BW160">
        <v>1</v>
      </c>
      <c r="BX160">
        <v>93</v>
      </c>
      <c r="BY160">
        <v>2391</v>
      </c>
      <c r="BZ160">
        <v>0</v>
      </c>
      <c r="CA160">
        <v>0</v>
      </c>
      <c r="CB160">
        <v>0</v>
      </c>
      <c r="CC160">
        <v>1</v>
      </c>
      <c r="CD160">
        <v>0</v>
      </c>
      <c r="CE160">
        <v>0</v>
      </c>
      <c r="CF160">
        <v>0</v>
      </c>
      <c r="CG160">
        <v>0</v>
      </c>
      <c r="CH160">
        <v>0</v>
      </c>
      <c r="CI160">
        <v>0</v>
      </c>
      <c r="CJ160">
        <v>0</v>
      </c>
      <c r="CK160">
        <v>0</v>
      </c>
      <c r="CL160">
        <v>0</v>
      </c>
      <c r="CM160">
        <v>0</v>
      </c>
    </row>
    <row r="161" spans="40:91" x14ac:dyDescent="0.25">
      <c r="AN161" t="str">
        <v>buick century</v>
      </c>
      <c r="AO161" s="7">
        <v>17</v>
      </c>
      <c r="AP161" s="7">
        <v>15.762140691613769</v>
      </c>
      <c r="AQ161" s="7">
        <v>1.2378593083862306</v>
      </c>
      <c r="AR161" s="7">
        <v>3.8802549304697426E-2</v>
      </c>
      <c r="AS161" s="7">
        <v>0.41163641314958188</v>
      </c>
      <c r="AT161" s="7">
        <v>4.0237065341327491E-4</v>
      </c>
      <c r="AU161" s="7">
        <v>-0.28850633275119353</v>
      </c>
      <c r="AV161" s="7">
        <v>-0.22021492268660697</v>
      </c>
      <c r="AW161" s="7">
        <v>0.64158897524005343</v>
      </c>
      <c r="AX161" s="7">
        <v>1.2878304114215022</v>
      </c>
      <c r="AY161" s="7" t="e">
        <v>#N/A</v>
      </c>
      <c r="AZ161" s="7">
        <v>15.762140691613769</v>
      </c>
      <c r="BA161" s="7">
        <v>1.2378593083862306</v>
      </c>
      <c r="BU161" t="b">
        <v>1</v>
      </c>
      <c r="BW161">
        <v>1</v>
      </c>
      <c r="BX161">
        <v>67</v>
      </c>
      <c r="BY161">
        <v>2000</v>
      </c>
      <c r="BZ161">
        <v>0</v>
      </c>
      <c r="CA161">
        <v>0</v>
      </c>
      <c r="CB161">
        <v>0</v>
      </c>
      <c r="CC161">
        <v>1</v>
      </c>
      <c r="CD161">
        <v>0</v>
      </c>
      <c r="CE161">
        <v>0</v>
      </c>
      <c r="CF161">
        <v>0</v>
      </c>
      <c r="CG161">
        <v>0</v>
      </c>
      <c r="CH161">
        <v>0</v>
      </c>
      <c r="CI161">
        <v>0</v>
      </c>
      <c r="CJ161">
        <v>0</v>
      </c>
      <c r="CK161">
        <v>0</v>
      </c>
      <c r="CL161">
        <v>1</v>
      </c>
      <c r="CM161">
        <v>0</v>
      </c>
    </row>
    <row r="162" spans="40:91" x14ac:dyDescent="0.25">
      <c r="AN162" t="str">
        <v>chevroelt chevelle malibu</v>
      </c>
      <c r="AO162" s="7">
        <v>16</v>
      </c>
      <c r="AP162" s="7">
        <v>15.893955947532643</v>
      </c>
      <c r="AQ162" s="7">
        <v>0.10604405246735737</v>
      </c>
      <c r="AR162" s="7">
        <v>4.0550061485985271E-2</v>
      </c>
      <c r="AS162" s="7">
        <v>3.5295875579665917E-2</v>
      </c>
      <c r="AT162" s="7">
        <v>3.0971924792739827E-6</v>
      </c>
      <c r="AU162" s="7">
        <v>-0.28850633275119353</v>
      </c>
      <c r="AV162" s="7">
        <v>-0.20291519301262065</v>
      </c>
      <c r="AW162" s="7">
        <v>0.18787196592271535</v>
      </c>
      <c r="AX162" s="7">
        <v>0.11052588385340585</v>
      </c>
      <c r="AY162" s="7" t="e">
        <v>#N/A</v>
      </c>
      <c r="AZ162" s="7">
        <v>15.893955947532643</v>
      </c>
      <c r="BA162" s="7">
        <v>0.10604405246735737</v>
      </c>
      <c r="BU162" t="b">
        <v>1</v>
      </c>
      <c r="BW162">
        <v>1</v>
      </c>
      <c r="BX162">
        <v>95</v>
      </c>
      <c r="BY162">
        <v>3264</v>
      </c>
      <c r="BZ162">
        <v>0</v>
      </c>
      <c r="CA162">
        <v>0</v>
      </c>
      <c r="CB162">
        <v>0</v>
      </c>
      <c r="CC162">
        <v>0</v>
      </c>
      <c r="CD162">
        <v>1</v>
      </c>
      <c r="CE162">
        <v>0</v>
      </c>
      <c r="CF162">
        <v>0</v>
      </c>
      <c r="CG162">
        <v>0</v>
      </c>
      <c r="CH162">
        <v>0</v>
      </c>
      <c r="CI162">
        <v>0</v>
      </c>
      <c r="CJ162">
        <v>0</v>
      </c>
      <c r="CK162">
        <v>0</v>
      </c>
      <c r="CL162">
        <v>0</v>
      </c>
      <c r="CM162">
        <v>1</v>
      </c>
    </row>
    <row r="163" spans="40:91" x14ac:dyDescent="0.25">
      <c r="AN163" t="str">
        <v>amc matador</v>
      </c>
      <c r="AO163" s="7">
        <v>15</v>
      </c>
      <c r="AP163" s="7">
        <v>16.658346493489432</v>
      </c>
      <c r="AQ163" s="7">
        <v>-1.6583464934894323</v>
      </c>
      <c r="AR163" s="7">
        <v>3.6213181908382158E-2</v>
      </c>
      <c r="AS163" s="7">
        <v>-0.55072347548179512</v>
      </c>
      <c r="AT163" s="7">
        <v>6.703536239642525E-4</v>
      </c>
      <c r="AU163" s="7">
        <v>-0.22898889026089997</v>
      </c>
      <c r="AV163" s="7">
        <v>-0.1993342477661991</v>
      </c>
      <c r="AW163" s="7">
        <v>0.74210745548188306</v>
      </c>
      <c r="AX163" s="7">
        <v>-1.7206569568705072</v>
      </c>
      <c r="AY163" s="7" t="e">
        <v>#N/A</v>
      </c>
      <c r="AZ163" s="7">
        <v>16.658346493489432</v>
      </c>
      <c r="BA163" s="7">
        <v>-1.6583464934894323</v>
      </c>
      <c r="BU163" t="b">
        <v>1</v>
      </c>
      <c r="BW163">
        <v>1</v>
      </c>
      <c r="BX163">
        <v>105</v>
      </c>
      <c r="BY163">
        <v>3459</v>
      </c>
      <c r="BZ163">
        <v>0</v>
      </c>
      <c r="CA163">
        <v>0</v>
      </c>
      <c r="CB163">
        <v>0</v>
      </c>
      <c r="CC163">
        <v>0</v>
      </c>
      <c r="CD163">
        <v>1</v>
      </c>
      <c r="CE163">
        <v>0</v>
      </c>
      <c r="CF163">
        <v>0</v>
      </c>
      <c r="CG163">
        <v>0</v>
      </c>
      <c r="CH163">
        <v>0</v>
      </c>
      <c r="CI163">
        <v>0</v>
      </c>
      <c r="CJ163">
        <v>0</v>
      </c>
      <c r="CK163">
        <v>0</v>
      </c>
      <c r="CL163">
        <v>0</v>
      </c>
      <c r="CM163">
        <v>1</v>
      </c>
    </row>
    <row r="164" spans="40:91" x14ac:dyDescent="0.25">
      <c r="AN164" t="str">
        <v>plymouth fury</v>
      </c>
      <c r="AO164" s="7">
        <v>18</v>
      </c>
      <c r="AP164" s="7">
        <v>16.623410943961133</v>
      </c>
      <c r="AQ164" s="7">
        <v>1.3765890560388669</v>
      </c>
      <c r="AR164" s="7">
        <v>4.2873777663927769E-2</v>
      </c>
      <c r="AS164" s="7">
        <v>0.45874200542910593</v>
      </c>
      <c r="AT164" s="7">
        <v>5.5451159645288507E-4</v>
      </c>
      <c r="AU164" s="7">
        <v>-0.22898889026089997</v>
      </c>
      <c r="AV164" s="7">
        <v>-0.19789440550578294</v>
      </c>
      <c r="AW164" s="7">
        <v>0.67730495748156605</v>
      </c>
      <c r="AX164" s="7">
        <v>1.4382523683020674</v>
      </c>
      <c r="AY164" s="7" t="e">
        <v>#N/A</v>
      </c>
      <c r="AZ164" s="7">
        <v>16.623410943961133</v>
      </c>
      <c r="BA164" s="7">
        <v>1.3765890560388669</v>
      </c>
      <c r="BU164" t="b">
        <v>1</v>
      </c>
      <c r="BW164">
        <v>1</v>
      </c>
      <c r="BX164">
        <v>72</v>
      </c>
      <c r="BY164">
        <v>3432</v>
      </c>
      <c r="BZ164">
        <v>0</v>
      </c>
      <c r="CA164">
        <v>0</v>
      </c>
      <c r="CB164">
        <v>0</v>
      </c>
      <c r="CC164">
        <v>0</v>
      </c>
      <c r="CD164">
        <v>1</v>
      </c>
      <c r="CE164">
        <v>0</v>
      </c>
      <c r="CF164">
        <v>0</v>
      </c>
      <c r="CG164">
        <v>0</v>
      </c>
      <c r="CH164">
        <v>0</v>
      </c>
      <c r="CI164">
        <v>0</v>
      </c>
      <c r="CJ164">
        <v>0</v>
      </c>
      <c r="CK164">
        <v>0</v>
      </c>
      <c r="CL164">
        <v>0</v>
      </c>
      <c r="CM164">
        <v>1</v>
      </c>
    </row>
    <row r="165" spans="40:91" x14ac:dyDescent="0.25">
      <c r="AN165" t="str">
        <v>buick skyhawk</v>
      </c>
      <c r="AO165" s="7">
        <v>21</v>
      </c>
      <c r="AP165" s="7">
        <v>20.157093437535103</v>
      </c>
      <c r="AQ165" s="7">
        <v>0.84290656246489704</v>
      </c>
      <c r="AR165" s="7">
        <v>3.8262991290562078E-2</v>
      </c>
      <c r="AS165" s="7">
        <v>0.2802206101814822</v>
      </c>
      <c r="AT165" s="7">
        <v>1.8376966255360673E-4</v>
      </c>
      <c r="AU165" s="7">
        <v>-0.22898889026089997</v>
      </c>
      <c r="AV165" s="7">
        <v>-0.19419634887019976</v>
      </c>
      <c r="AW165" s="7">
        <v>0.5293586781960623</v>
      </c>
      <c r="AX165" s="7">
        <v>0.87644184931179847</v>
      </c>
      <c r="AY165" s="7" t="e">
        <v>#N/A</v>
      </c>
      <c r="AZ165" s="7">
        <v>20.157093437535103</v>
      </c>
      <c r="BA165" s="7">
        <v>0.84290656246489704</v>
      </c>
      <c r="BU165" t="b">
        <v>1</v>
      </c>
      <c r="BW165">
        <v>1</v>
      </c>
      <c r="BX165">
        <v>72</v>
      </c>
      <c r="BY165">
        <v>3158</v>
      </c>
      <c r="BZ165">
        <v>0</v>
      </c>
      <c r="CA165">
        <v>0</v>
      </c>
      <c r="CB165">
        <v>0</v>
      </c>
      <c r="CC165">
        <v>0</v>
      </c>
      <c r="CD165">
        <v>1</v>
      </c>
      <c r="CE165">
        <v>0</v>
      </c>
      <c r="CF165">
        <v>0</v>
      </c>
      <c r="CG165">
        <v>0</v>
      </c>
      <c r="CH165">
        <v>0</v>
      </c>
      <c r="CI165">
        <v>0</v>
      </c>
      <c r="CJ165">
        <v>0</v>
      </c>
      <c r="CK165">
        <v>0</v>
      </c>
      <c r="CL165">
        <v>0</v>
      </c>
      <c r="CM165">
        <v>1</v>
      </c>
    </row>
    <row r="166" spans="40:91" x14ac:dyDescent="0.25">
      <c r="AN166" t="str">
        <v>chevrolet monza 2+2</v>
      </c>
      <c r="AO166" s="7">
        <v>20</v>
      </c>
      <c r="AP166" s="7">
        <v>19.235571087583857</v>
      </c>
      <c r="AQ166" s="7">
        <v>0.76442891241614319</v>
      </c>
      <c r="AR166" s="7">
        <v>3.5845191221584291E-2</v>
      </c>
      <c r="AS166" s="7">
        <v>0.25381221692103223</v>
      </c>
      <c r="AT166" s="7">
        <v>1.4088353926933962E-4</v>
      </c>
      <c r="AU166" s="7">
        <v>-0.22898889026089997</v>
      </c>
      <c r="AV166" s="7">
        <v>-0.19410783505686771</v>
      </c>
      <c r="AW166" s="7">
        <v>0.50379779368416477</v>
      </c>
      <c r="AX166" s="7">
        <v>0.79284872663205896</v>
      </c>
      <c r="AY166" s="7" t="e">
        <v>#N/A</v>
      </c>
      <c r="AZ166" s="7">
        <v>19.235571087583857</v>
      </c>
      <c r="BA166" s="7">
        <v>0.76442891241614319</v>
      </c>
      <c r="BU166" t="b">
        <v>1</v>
      </c>
      <c r="BW166">
        <v>1</v>
      </c>
      <c r="BX166">
        <v>170</v>
      </c>
      <c r="BY166">
        <v>4668</v>
      </c>
      <c r="BZ166">
        <v>0</v>
      </c>
      <c r="CA166">
        <v>0</v>
      </c>
      <c r="CB166">
        <v>0</v>
      </c>
      <c r="CC166">
        <v>0</v>
      </c>
      <c r="CD166">
        <v>1</v>
      </c>
      <c r="CE166">
        <v>0</v>
      </c>
      <c r="CF166">
        <v>0</v>
      </c>
      <c r="CG166">
        <v>0</v>
      </c>
      <c r="CH166">
        <v>0</v>
      </c>
      <c r="CI166">
        <v>0</v>
      </c>
      <c r="CJ166">
        <v>0</v>
      </c>
      <c r="CK166">
        <v>0</v>
      </c>
      <c r="CL166">
        <v>0</v>
      </c>
      <c r="CM166">
        <v>1</v>
      </c>
    </row>
    <row r="167" spans="40:91" x14ac:dyDescent="0.25">
      <c r="AN167" t="str">
        <v>ford mustang ii</v>
      </c>
      <c r="AO167" s="7">
        <v>13</v>
      </c>
      <c r="AP167" s="7">
        <v>19.190370980452652</v>
      </c>
      <c r="AQ167" s="7">
        <v>-6.1903709804526521</v>
      </c>
      <c r="AR167" s="7">
        <v>4.3566451925430752E-2</v>
      </c>
      <c r="AS167" s="7">
        <v>-2.0636596826638174</v>
      </c>
      <c r="AT167" s="7">
        <v>1.1411024261701309E-2</v>
      </c>
      <c r="AU167" s="7">
        <v>-0.20280722023220576</v>
      </c>
      <c r="AV167" s="7">
        <v>-0.18942202796256211</v>
      </c>
      <c r="AW167" s="7">
        <v>1.4365443545758751</v>
      </c>
      <c r="AX167" s="7">
        <v>-6.4723482283894267</v>
      </c>
      <c r="AY167" s="7">
        <v>1.1411024261701309E-2</v>
      </c>
      <c r="AZ167" s="7">
        <v>19.190370980452652</v>
      </c>
      <c r="BA167" s="7">
        <v>-6.1903709804526521</v>
      </c>
      <c r="BU167" t="b">
        <v>1</v>
      </c>
      <c r="BW167">
        <v>1</v>
      </c>
      <c r="BX167">
        <v>145</v>
      </c>
      <c r="BY167">
        <v>4440</v>
      </c>
      <c r="BZ167">
        <v>0</v>
      </c>
      <c r="CA167">
        <v>0</v>
      </c>
      <c r="CB167">
        <v>0</v>
      </c>
      <c r="CC167">
        <v>0</v>
      </c>
      <c r="CD167">
        <v>1</v>
      </c>
      <c r="CE167">
        <v>0</v>
      </c>
      <c r="CF167">
        <v>0</v>
      </c>
      <c r="CG167">
        <v>0</v>
      </c>
      <c r="CH167">
        <v>0</v>
      </c>
      <c r="CI167">
        <v>0</v>
      </c>
      <c r="CJ167">
        <v>0</v>
      </c>
      <c r="CK167">
        <v>0</v>
      </c>
      <c r="CL167">
        <v>0</v>
      </c>
      <c r="CM167">
        <v>1</v>
      </c>
    </row>
    <row r="168" spans="40:91" x14ac:dyDescent="0.25">
      <c r="AN168" t="str">
        <v>toyota corolla</v>
      </c>
      <c r="AO168" s="7">
        <v>29</v>
      </c>
      <c r="AP168" s="7">
        <v>27.180262912929365</v>
      </c>
      <c r="AQ168" s="7">
        <v>1.8197370870706351</v>
      </c>
      <c r="AR168" s="7">
        <v>4.7178286413457775E-2</v>
      </c>
      <c r="AS168" s="7">
        <v>0.60778730846125162</v>
      </c>
      <c r="AT168" s="7">
        <v>1.0759320631190479E-3</v>
      </c>
      <c r="AU168" s="7">
        <v>-0.1962841646325432</v>
      </c>
      <c r="AV168" s="7">
        <v>-0.18217601115514223</v>
      </c>
      <c r="AW168" s="7">
        <v>0.77960715008345816</v>
      </c>
      <c r="AX168" s="7">
        <v>1.9098400688423787</v>
      </c>
      <c r="AY168" s="7" t="e">
        <v>#N/A</v>
      </c>
      <c r="AZ168" s="7">
        <v>27.180262912929365</v>
      </c>
      <c r="BA168" s="7">
        <v>1.8197370870706351</v>
      </c>
      <c r="BU168" t="b">
        <v>1</v>
      </c>
      <c r="BW168">
        <v>1</v>
      </c>
      <c r="BX168">
        <v>150</v>
      </c>
      <c r="BY168">
        <v>4498</v>
      </c>
      <c r="BZ168">
        <v>0</v>
      </c>
      <c r="CA168">
        <v>0</v>
      </c>
      <c r="CB168">
        <v>0</v>
      </c>
      <c r="CC168">
        <v>0</v>
      </c>
      <c r="CD168">
        <v>1</v>
      </c>
      <c r="CE168">
        <v>0</v>
      </c>
      <c r="CF168">
        <v>0</v>
      </c>
      <c r="CG168">
        <v>0</v>
      </c>
      <c r="CH168">
        <v>0</v>
      </c>
      <c r="CI168">
        <v>0</v>
      </c>
      <c r="CJ168">
        <v>0</v>
      </c>
      <c r="CK168">
        <v>0</v>
      </c>
      <c r="CL168">
        <v>0</v>
      </c>
      <c r="CM168">
        <v>1</v>
      </c>
    </row>
    <row r="169" spans="40:91" x14ac:dyDescent="0.25">
      <c r="AN169" t="str">
        <v>ford pinto</v>
      </c>
      <c r="AO169" s="7">
        <v>23</v>
      </c>
      <c r="AP169" s="7">
        <v>22.62080094632741</v>
      </c>
      <c r="AQ169" s="7">
        <v>0.37919905367258977</v>
      </c>
      <c r="AR169" s="7">
        <v>3.9549118220708876E-2</v>
      </c>
      <c r="AS169" s="7">
        <v>0.12614744788801879</v>
      </c>
      <c r="AT169" s="7">
        <v>3.854514300955223E-5</v>
      </c>
      <c r="AU169" s="7">
        <v>-0.1962841646325432</v>
      </c>
      <c r="AV169" s="7">
        <v>-0.178750838519487</v>
      </c>
      <c r="AW169" s="7">
        <v>0.3551724199427917</v>
      </c>
      <c r="AX169" s="7">
        <v>0.39481358273116629</v>
      </c>
      <c r="AY169" s="7" t="e">
        <v>#N/A</v>
      </c>
      <c r="AZ169" s="7">
        <v>22.62080094632741</v>
      </c>
      <c r="BA169" s="7">
        <v>0.37919905367258977</v>
      </c>
      <c r="BU169" t="b">
        <v>1</v>
      </c>
      <c r="BW169">
        <v>1</v>
      </c>
      <c r="BX169">
        <v>148</v>
      </c>
      <c r="BY169">
        <v>4657</v>
      </c>
      <c r="BZ169">
        <v>0</v>
      </c>
      <c r="CA169">
        <v>0</v>
      </c>
      <c r="CB169">
        <v>0</v>
      </c>
      <c r="CC169">
        <v>0</v>
      </c>
      <c r="CD169">
        <v>1</v>
      </c>
      <c r="CE169">
        <v>0</v>
      </c>
      <c r="CF169">
        <v>0</v>
      </c>
      <c r="CG169">
        <v>0</v>
      </c>
      <c r="CH169">
        <v>0</v>
      </c>
      <c r="CI169">
        <v>0</v>
      </c>
      <c r="CJ169">
        <v>0</v>
      </c>
      <c r="CK169">
        <v>0</v>
      </c>
      <c r="CL169">
        <v>0</v>
      </c>
      <c r="CM169">
        <v>1</v>
      </c>
    </row>
    <row r="170" spans="40:91" x14ac:dyDescent="0.25">
      <c r="AN170" t="str">
        <v>amc gremlin</v>
      </c>
      <c r="AO170" s="7">
        <v>20</v>
      </c>
      <c r="AP170" s="7">
        <v>20.952371458960108</v>
      </c>
      <c r="AQ170" s="7">
        <v>-0.95237145896010844</v>
      </c>
      <c r="AR170" s="7">
        <v>3.7843962917676E-2</v>
      </c>
      <c r="AS170" s="7">
        <v>-0.31654278630410415</v>
      </c>
      <c r="AT170" s="7">
        <v>2.3182860362914691E-4</v>
      </c>
      <c r="AU170" s="7">
        <v>-0.1962841646325432</v>
      </c>
      <c r="AV170" s="7">
        <v>-0.1637477879266058</v>
      </c>
      <c r="AW170" s="7">
        <v>0.56262135251348588</v>
      </c>
      <c r="AX170" s="7">
        <v>-0.98983057035957844</v>
      </c>
      <c r="AY170" s="7" t="e">
        <v>#N/A</v>
      </c>
      <c r="AZ170" s="7">
        <v>20.952371458960108</v>
      </c>
      <c r="BA170" s="7">
        <v>-0.95237145896010844</v>
      </c>
      <c r="BU170" t="b">
        <v>1</v>
      </c>
      <c r="BW170">
        <v>1</v>
      </c>
      <c r="BX170">
        <v>110</v>
      </c>
      <c r="BY170">
        <v>3907</v>
      </c>
      <c r="BZ170">
        <v>0</v>
      </c>
      <c r="CA170">
        <v>0</v>
      </c>
      <c r="CB170">
        <v>0</v>
      </c>
      <c r="CC170">
        <v>0</v>
      </c>
      <c r="CD170">
        <v>1</v>
      </c>
      <c r="CE170">
        <v>0</v>
      </c>
      <c r="CF170">
        <v>0</v>
      </c>
      <c r="CG170">
        <v>0</v>
      </c>
      <c r="CH170">
        <v>0</v>
      </c>
      <c r="CI170">
        <v>0</v>
      </c>
      <c r="CJ170">
        <v>0</v>
      </c>
      <c r="CK170">
        <v>0</v>
      </c>
      <c r="CL170">
        <v>0</v>
      </c>
      <c r="CM170">
        <v>1</v>
      </c>
    </row>
    <row r="171" spans="40:91" x14ac:dyDescent="0.25">
      <c r="AN171" t="str">
        <v>pontiac astro</v>
      </c>
      <c r="AO171" s="7">
        <v>23</v>
      </c>
      <c r="AP171" s="7">
        <v>22.939958658005601</v>
      </c>
      <c r="AQ171" s="7">
        <v>6.0041341994399033E-2</v>
      </c>
      <c r="AR171" s="7">
        <v>3.9967778821523768E-2</v>
      </c>
      <c r="AS171" s="7">
        <v>1.9978196923054001E-2</v>
      </c>
      <c r="AT171" s="7">
        <v>9.7743494523160441E-7</v>
      </c>
      <c r="AU171" s="7">
        <v>-0.17676385996282307</v>
      </c>
      <c r="AV171" s="7">
        <v>-0.16166667853581648</v>
      </c>
      <c r="AW171" s="7">
        <v>0.14134424969928561</v>
      </c>
      <c r="AX171" s="7">
        <v>6.2540965469571427E-2</v>
      </c>
      <c r="AY171" s="7" t="e">
        <v>#N/A</v>
      </c>
      <c r="AZ171" s="7">
        <v>22.939958658005601</v>
      </c>
      <c r="BA171" s="7">
        <v>6.0041341994399033E-2</v>
      </c>
      <c r="BU171" t="b">
        <v>1</v>
      </c>
      <c r="BW171">
        <v>1</v>
      </c>
      <c r="BX171">
        <v>105</v>
      </c>
      <c r="BY171">
        <v>3897</v>
      </c>
      <c r="BZ171">
        <v>0</v>
      </c>
      <c r="CA171">
        <v>0</v>
      </c>
      <c r="CB171">
        <v>0</v>
      </c>
      <c r="CC171">
        <v>0</v>
      </c>
      <c r="CD171">
        <v>1</v>
      </c>
      <c r="CE171">
        <v>0</v>
      </c>
      <c r="CF171">
        <v>0</v>
      </c>
      <c r="CG171">
        <v>0</v>
      </c>
      <c r="CH171">
        <v>0</v>
      </c>
      <c r="CI171">
        <v>0</v>
      </c>
      <c r="CJ171">
        <v>0</v>
      </c>
      <c r="CK171">
        <v>0</v>
      </c>
      <c r="CL171">
        <v>0</v>
      </c>
      <c r="CM171">
        <v>1</v>
      </c>
    </row>
    <row r="172" spans="40:91" x14ac:dyDescent="0.25">
      <c r="AN172" t="str">
        <v>toyota corona</v>
      </c>
      <c r="AO172" s="7">
        <v>24</v>
      </c>
      <c r="AP172" s="7">
        <v>24.150680436278009</v>
      </c>
      <c r="AQ172" s="7">
        <v>-0.15068043627800876</v>
      </c>
      <c r="AR172" s="7">
        <v>4.7066803238434332E-2</v>
      </c>
      <c r="AS172" s="7">
        <v>-5.0323917807237162E-2</v>
      </c>
      <c r="AT172" s="7">
        <v>7.3578717393005573E-6</v>
      </c>
      <c r="AU172" s="7">
        <v>-0.17676385996282307</v>
      </c>
      <c r="AV172" s="7">
        <v>-0.15803478633347209</v>
      </c>
      <c r="AW172" s="7">
        <v>0.22432993069859661</v>
      </c>
      <c r="AX172" s="7">
        <v>-0.15812276956042562</v>
      </c>
      <c r="AY172" s="7" t="e">
        <v>#N/A</v>
      </c>
      <c r="AZ172" s="7">
        <v>24.150680436278009</v>
      </c>
      <c r="BA172" s="7">
        <v>-0.15068043627800876</v>
      </c>
      <c r="BU172" t="b">
        <v>1</v>
      </c>
      <c r="BW172">
        <v>1</v>
      </c>
      <c r="BX172">
        <v>110</v>
      </c>
      <c r="BY172">
        <v>3730</v>
      </c>
      <c r="BZ172">
        <v>0</v>
      </c>
      <c r="CA172">
        <v>0</v>
      </c>
      <c r="CB172">
        <v>0</v>
      </c>
      <c r="CC172">
        <v>0</v>
      </c>
      <c r="CD172">
        <v>1</v>
      </c>
      <c r="CE172">
        <v>0</v>
      </c>
      <c r="CF172">
        <v>0</v>
      </c>
      <c r="CG172">
        <v>0</v>
      </c>
      <c r="CH172">
        <v>0</v>
      </c>
      <c r="CI172">
        <v>0</v>
      </c>
      <c r="CJ172">
        <v>0</v>
      </c>
      <c r="CK172">
        <v>0</v>
      </c>
      <c r="CL172">
        <v>0</v>
      </c>
      <c r="CM172">
        <v>1</v>
      </c>
    </row>
    <row r="173" spans="40:91" x14ac:dyDescent="0.25">
      <c r="AN173" t="str">
        <v>volkswagen dasher</v>
      </c>
      <c r="AO173" s="7">
        <v>25</v>
      </c>
      <c r="AP173" s="7">
        <v>26.859939698807604</v>
      </c>
      <c r="AQ173" s="7">
        <v>-1.8599396988076045</v>
      </c>
      <c r="AR173" s="7">
        <v>4.6422402489413581E-2</v>
      </c>
      <c r="AS173" s="7">
        <v>-0.62096861122347591</v>
      </c>
      <c r="AT173" s="7">
        <v>1.1042361165811219E-3</v>
      </c>
      <c r="AU173" s="7">
        <v>-0.16378810102408645</v>
      </c>
      <c r="AV173" s="7">
        <v>-0.15390694742658828</v>
      </c>
      <c r="AW173" s="7">
        <v>0.78801561610381554</v>
      </c>
      <c r="AX173" s="7">
        <v>-1.9504859422695862</v>
      </c>
      <c r="AY173" s="7" t="e">
        <v>#N/A</v>
      </c>
      <c r="AZ173" s="7">
        <v>26.859939698807604</v>
      </c>
      <c r="BA173" s="7">
        <v>-1.8599396988076045</v>
      </c>
      <c r="BU173" t="b">
        <v>1</v>
      </c>
      <c r="BW173">
        <v>1</v>
      </c>
      <c r="BX173">
        <v>95</v>
      </c>
      <c r="BY173">
        <v>3785</v>
      </c>
      <c r="BZ173">
        <v>0</v>
      </c>
      <c r="CA173">
        <v>0</v>
      </c>
      <c r="CB173">
        <v>0</v>
      </c>
      <c r="CC173">
        <v>0</v>
      </c>
      <c r="CD173">
        <v>1</v>
      </c>
      <c r="CE173">
        <v>0</v>
      </c>
      <c r="CF173">
        <v>0</v>
      </c>
      <c r="CG173">
        <v>0</v>
      </c>
      <c r="CH173">
        <v>0</v>
      </c>
      <c r="CI173">
        <v>0</v>
      </c>
      <c r="CJ173">
        <v>0</v>
      </c>
      <c r="CK173">
        <v>0</v>
      </c>
      <c r="CL173">
        <v>0</v>
      </c>
      <c r="CM173">
        <v>1</v>
      </c>
    </row>
    <row r="174" spans="40:91" x14ac:dyDescent="0.25">
      <c r="AN174" t="str">
        <v>datsun 710</v>
      </c>
      <c r="AO174" s="7">
        <v>24</v>
      </c>
      <c r="AP174" s="7">
        <v>24.929383613897794</v>
      </c>
      <c r="AQ174" s="7">
        <v>-0.92938361389779445</v>
      </c>
      <c r="AR174" s="7">
        <v>4.7916183652933104E-2</v>
      </c>
      <c r="AS174" s="7">
        <v>-0.31053190188587537</v>
      </c>
      <c r="AT174" s="7">
        <v>2.8547663095471171E-4</v>
      </c>
      <c r="AU174" s="7">
        <v>-0.1573106846101707</v>
      </c>
      <c r="AV174" s="7">
        <v>-0.15234540833319252</v>
      </c>
      <c r="AW174" s="7">
        <v>0.55725389355829125</v>
      </c>
      <c r="AX174" s="7">
        <v>-0.97615734869187465</v>
      </c>
      <c r="AY174" s="7" t="e">
        <v>#N/A</v>
      </c>
      <c r="AZ174" s="7">
        <v>24.929383613897794</v>
      </c>
      <c r="BA174" s="7">
        <v>-0.92938361389779445</v>
      </c>
      <c r="BU174" t="b">
        <v>1</v>
      </c>
      <c r="BW174">
        <v>1</v>
      </c>
      <c r="BX174">
        <v>110</v>
      </c>
      <c r="BY174">
        <v>3039</v>
      </c>
      <c r="BZ174">
        <v>0</v>
      </c>
      <c r="CA174">
        <v>0</v>
      </c>
      <c r="CB174">
        <v>0</v>
      </c>
      <c r="CC174">
        <v>0</v>
      </c>
      <c r="CD174">
        <v>1</v>
      </c>
      <c r="CE174">
        <v>0</v>
      </c>
      <c r="CF174">
        <v>0</v>
      </c>
      <c r="CG174">
        <v>0</v>
      </c>
      <c r="CH174">
        <v>0</v>
      </c>
      <c r="CI174">
        <v>0</v>
      </c>
      <c r="CJ174">
        <v>0</v>
      </c>
      <c r="CK174">
        <v>0</v>
      </c>
      <c r="CL174">
        <v>0</v>
      </c>
      <c r="CM174">
        <v>1</v>
      </c>
    </row>
    <row r="175" spans="40:91" x14ac:dyDescent="0.25">
      <c r="AN175" t="str">
        <v>ford pinto</v>
      </c>
      <c r="AO175" s="7">
        <v>18</v>
      </c>
      <c r="AP175" s="7">
        <v>20.646649081762558</v>
      </c>
      <c r="AQ175" s="7">
        <v>-2.6466490817625576</v>
      </c>
      <c r="AR175" s="7">
        <v>3.6582858116322593E-2</v>
      </c>
      <c r="AS175" s="7">
        <v>-0.87909939485507804</v>
      </c>
      <c r="AT175" s="7">
        <v>1.7261967878924667E-3</v>
      </c>
      <c r="AU175" s="7">
        <v>-0.1573106846101707</v>
      </c>
      <c r="AV175" s="7">
        <v>-0.15142098901853809</v>
      </c>
      <c r="AW175" s="7">
        <v>0.93760300493069992</v>
      </c>
      <c r="AX175" s="7">
        <v>-2.7471475923584023</v>
      </c>
      <c r="AY175" s="7" t="e">
        <v>#N/A</v>
      </c>
      <c r="AZ175" s="7">
        <v>20.646649081762558</v>
      </c>
      <c r="BA175" s="7">
        <v>-2.6466490817625576</v>
      </c>
      <c r="BU175" t="b">
        <v>1</v>
      </c>
      <c r="BW175">
        <v>1</v>
      </c>
      <c r="BX175">
        <v>110</v>
      </c>
      <c r="BY175">
        <v>3221</v>
      </c>
      <c r="BZ175">
        <v>0</v>
      </c>
      <c r="CA175">
        <v>0</v>
      </c>
      <c r="CB175">
        <v>0</v>
      </c>
      <c r="CC175">
        <v>0</v>
      </c>
      <c r="CD175">
        <v>1</v>
      </c>
      <c r="CE175">
        <v>0</v>
      </c>
      <c r="CF175">
        <v>0</v>
      </c>
      <c r="CG175">
        <v>0</v>
      </c>
      <c r="CH175">
        <v>0</v>
      </c>
      <c r="CI175">
        <v>0</v>
      </c>
      <c r="CJ175">
        <v>0</v>
      </c>
      <c r="CK175">
        <v>0</v>
      </c>
      <c r="CL175">
        <v>0</v>
      </c>
      <c r="CM175">
        <v>1</v>
      </c>
    </row>
    <row r="176" spans="40:91" x14ac:dyDescent="0.25">
      <c r="AN176" t="str">
        <v>volkswagen rabbit</v>
      </c>
      <c r="AO176" s="7">
        <v>29</v>
      </c>
      <c r="AP176" s="7">
        <v>28.324282680684529</v>
      </c>
      <c r="AQ176" s="7">
        <v>0.67571731931547063</v>
      </c>
      <c r="AR176" s="7">
        <v>5.0674058742774059E-2</v>
      </c>
      <c r="AS176" s="7">
        <v>0.2261029245486777</v>
      </c>
      <c r="AT176" s="7">
        <v>1.605217109917282E-4</v>
      </c>
      <c r="AU176" s="7">
        <v>-0.1573106846101707</v>
      </c>
      <c r="AV176" s="7">
        <v>-0.14983838636844124</v>
      </c>
      <c r="AW176" s="7">
        <v>0.47550281234570813</v>
      </c>
      <c r="AX176" s="7">
        <v>0.71178642650446722</v>
      </c>
      <c r="AY176" s="7" t="e">
        <v>#N/A</v>
      </c>
      <c r="AZ176" s="7">
        <v>28.324282680684529</v>
      </c>
      <c r="BA176" s="7">
        <v>0.67571731931547063</v>
      </c>
      <c r="BU176" t="b">
        <v>1</v>
      </c>
      <c r="BW176">
        <v>1</v>
      </c>
      <c r="BX176">
        <v>129</v>
      </c>
      <c r="BY176">
        <v>3169</v>
      </c>
      <c r="BZ176">
        <v>0</v>
      </c>
      <c r="CA176">
        <v>0</v>
      </c>
      <c r="CB176">
        <v>0</v>
      </c>
      <c r="CC176">
        <v>0</v>
      </c>
      <c r="CD176">
        <v>1</v>
      </c>
      <c r="CE176">
        <v>0</v>
      </c>
      <c r="CF176">
        <v>0</v>
      </c>
      <c r="CG176">
        <v>0</v>
      </c>
      <c r="CH176">
        <v>0</v>
      </c>
      <c r="CI176">
        <v>0</v>
      </c>
      <c r="CJ176">
        <v>0</v>
      </c>
      <c r="CK176">
        <v>0</v>
      </c>
      <c r="CL176">
        <v>0</v>
      </c>
      <c r="CM176">
        <v>1</v>
      </c>
    </row>
    <row r="177" spans="40:91" x14ac:dyDescent="0.25">
      <c r="AN177" t="str">
        <v>amc pacer</v>
      </c>
      <c r="AO177" s="7">
        <v>19</v>
      </c>
      <c r="AP177" s="7">
        <v>19.610932822805843</v>
      </c>
      <c r="AQ177" s="7">
        <v>-0.61093282280584305</v>
      </c>
      <c r="AR177" s="7">
        <v>3.649184830731441E-2</v>
      </c>
      <c r="AS177" s="7">
        <v>-0.20291519301262065</v>
      </c>
      <c r="AT177" s="7">
        <v>9.1731960876768418E-5</v>
      </c>
      <c r="AU177" s="7">
        <v>-0.1573106846101707</v>
      </c>
      <c r="AV177" s="7">
        <v>-0.14480257381873682</v>
      </c>
      <c r="AW177" s="7">
        <v>0.45046108934359763</v>
      </c>
      <c r="AX177" s="7">
        <v>-0.63407125485400384</v>
      </c>
      <c r="AY177" s="7" t="e">
        <v>#N/A</v>
      </c>
      <c r="AZ177" s="7">
        <v>19.610932822805843</v>
      </c>
      <c r="BA177" s="7">
        <v>-0.61093282280584305</v>
      </c>
      <c r="BU177" t="b">
        <v>1</v>
      </c>
      <c r="BW177">
        <v>1</v>
      </c>
      <c r="BX177">
        <v>75</v>
      </c>
      <c r="BY177">
        <v>2171</v>
      </c>
      <c r="BZ177">
        <v>0</v>
      </c>
      <c r="CA177">
        <v>0</v>
      </c>
      <c r="CB177">
        <v>0</v>
      </c>
      <c r="CC177">
        <v>0</v>
      </c>
      <c r="CD177">
        <v>1</v>
      </c>
      <c r="CE177">
        <v>0</v>
      </c>
      <c r="CF177">
        <v>0</v>
      </c>
      <c r="CG177">
        <v>0</v>
      </c>
      <c r="CH177">
        <v>0</v>
      </c>
      <c r="CI177">
        <v>0</v>
      </c>
      <c r="CJ177">
        <v>0</v>
      </c>
      <c r="CK177">
        <v>0</v>
      </c>
      <c r="CL177">
        <v>0</v>
      </c>
      <c r="CM177">
        <v>0</v>
      </c>
    </row>
    <row r="178" spans="40:91" x14ac:dyDescent="0.25">
      <c r="AN178" t="str">
        <v>audi 100ls</v>
      </c>
      <c r="AO178" s="7">
        <v>23</v>
      </c>
      <c r="AP178" s="7">
        <v>24.085446503202636</v>
      </c>
      <c r="AQ178" s="7">
        <v>-1.0854465032026361</v>
      </c>
      <c r="AR178" s="7">
        <v>4.7178576518786146E-2</v>
      </c>
      <c r="AS178" s="7">
        <v>-0.36253627723480369</v>
      </c>
      <c r="AT178" s="7">
        <v>3.8281358385705653E-4</v>
      </c>
      <c r="AU178" s="7">
        <v>-0.1573106846101707</v>
      </c>
      <c r="AV178" s="7">
        <v>-0.14215101395796509</v>
      </c>
      <c r="AW178" s="7">
        <v>0.60210985478964196</v>
      </c>
      <c r="AX178" s="7">
        <v>-1.1391919581707821</v>
      </c>
      <c r="AY178" s="7" t="e">
        <v>#N/A</v>
      </c>
      <c r="AZ178" s="7">
        <v>24.085446503202636</v>
      </c>
      <c r="BA178" s="7">
        <v>-1.0854465032026361</v>
      </c>
      <c r="BU178" t="b">
        <v>1</v>
      </c>
      <c r="BW178">
        <v>1</v>
      </c>
      <c r="BX178">
        <v>83</v>
      </c>
      <c r="BY178">
        <v>2639</v>
      </c>
      <c r="BZ178">
        <v>0</v>
      </c>
      <c r="CA178">
        <v>0</v>
      </c>
      <c r="CB178">
        <v>0</v>
      </c>
      <c r="CC178">
        <v>0</v>
      </c>
      <c r="CD178">
        <v>1</v>
      </c>
      <c r="CE178">
        <v>0</v>
      </c>
      <c r="CF178">
        <v>0</v>
      </c>
      <c r="CG178">
        <v>0</v>
      </c>
      <c r="CH178">
        <v>0</v>
      </c>
      <c r="CI178">
        <v>0</v>
      </c>
      <c r="CJ178">
        <v>0</v>
      </c>
      <c r="CK178">
        <v>0</v>
      </c>
      <c r="CL178">
        <v>0</v>
      </c>
      <c r="CM178">
        <v>1</v>
      </c>
    </row>
    <row r="179" spans="40:91" x14ac:dyDescent="0.25">
      <c r="AN179" t="str">
        <v>peugeot 504</v>
      </c>
      <c r="AO179" s="7">
        <v>23</v>
      </c>
      <c r="AP179" s="7">
        <v>22.867451098101711</v>
      </c>
      <c r="AQ179" s="7">
        <v>0.13254890189828927</v>
      </c>
      <c r="AR179" s="7">
        <v>4.6145599109593788E-2</v>
      </c>
      <c r="AS179" s="7">
        <v>4.42470064737382E-2</v>
      </c>
      <c r="AT179" s="7">
        <v>5.571434990938852E-6</v>
      </c>
      <c r="AU179" s="7">
        <v>-0.1573106846101707</v>
      </c>
      <c r="AV179" s="7">
        <v>-0.13131189884058012</v>
      </c>
      <c r="AW179" s="7">
        <v>0.2103497242064705</v>
      </c>
      <c r="AX179" s="7">
        <v>0.13896135696869169</v>
      </c>
      <c r="AY179" s="7" t="e">
        <v>#N/A</v>
      </c>
      <c r="AZ179" s="7">
        <v>22.867451098101711</v>
      </c>
      <c r="BA179" s="7">
        <v>0.13254890189828927</v>
      </c>
      <c r="BU179" t="b">
        <v>1</v>
      </c>
      <c r="BW179">
        <v>1</v>
      </c>
      <c r="BX179">
        <v>100</v>
      </c>
      <c r="BY179">
        <v>2914</v>
      </c>
      <c r="BZ179">
        <v>0</v>
      </c>
      <c r="CA179">
        <v>0</v>
      </c>
      <c r="CB179">
        <v>0</v>
      </c>
      <c r="CC179">
        <v>0</v>
      </c>
      <c r="CD179">
        <v>1</v>
      </c>
      <c r="CE179">
        <v>0</v>
      </c>
      <c r="CF179">
        <v>0</v>
      </c>
      <c r="CG179">
        <v>0</v>
      </c>
      <c r="CH179">
        <v>0</v>
      </c>
      <c r="CI179">
        <v>0</v>
      </c>
      <c r="CJ179">
        <v>0</v>
      </c>
      <c r="CK179">
        <v>0</v>
      </c>
      <c r="CL179">
        <v>0</v>
      </c>
      <c r="CM179">
        <v>1</v>
      </c>
    </row>
    <row r="180" spans="40:91" x14ac:dyDescent="0.25">
      <c r="AN180" t="str">
        <v>volvo 244dl</v>
      </c>
      <c r="AO180" s="7">
        <v>22</v>
      </c>
      <c r="AP180" s="7">
        <v>22.765846493947706</v>
      </c>
      <c r="AQ180" s="7">
        <v>-0.76584649394770565</v>
      </c>
      <c r="AR180" s="7">
        <v>4.661450658576885E-2</v>
      </c>
      <c r="AS180" s="7">
        <v>-0.25571503432003895</v>
      </c>
      <c r="AT180" s="7">
        <v>1.8806854102408383E-4</v>
      </c>
      <c r="AU180" s="7">
        <v>-0.1573106846101707</v>
      </c>
      <c r="AV180" s="7">
        <v>-0.11985683096866286</v>
      </c>
      <c r="AW180" s="7">
        <v>0.50568274077729702</v>
      </c>
      <c r="AX180" s="7">
        <v>-0.80329153237383821</v>
      </c>
      <c r="AY180" s="7" t="e">
        <v>#N/A</v>
      </c>
      <c r="AZ180" s="7">
        <v>22.765846493947706</v>
      </c>
      <c r="BA180" s="7">
        <v>-0.76584649394770565</v>
      </c>
      <c r="BU180" t="b">
        <v>1</v>
      </c>
      <c r="BW180">
        <v>1</v>
      </c>
      <c r="BX180">
        <v>78</v>
      </c>
      <c r="BY180">
        <v>2592</v>
      </c>
      <c r="BZ180">
        <v>0</v>
      </c>
      <c r="CA180">
        <v>0</v>
      </c>
      <c r="CB180">
        <v>0</v>
      </c>
      <c r="CC180">
        <v>0</v>
      </c>
      <c r="CD180">
        <v>1</v>
      </c>
      <c r="CE180">
        <v>0</v>
      </c>
      <c r="CF180">
        <v>0</v>
      </c>
      <c r="CG180">
        <v>0</v>
      </c>
      <c r="CH180">
        <v>0</v>
      </c>
      <c r="CI180">
        <v>0</v>
      </c>
      <c r="CJ180">
        <v>0</v>
      </c>
      <c r="CK180">
        <v>0</v>
      </c>
      <c r="CL180">
        <v>0</v>
      </c>
      <c r="CM180">
        <v>1</v>
      </c>
    </row>
    <row r="181" spans="40:91" x14ac:dyDescent="0.25">
      <c r="AN181" t="str">
        <v>saab 99le</v>
      </c>
      <c r="AO181" s="7">
        <v>25</v>
      </c>
      <c r="AP181" s="7">
        <v>23.877173985279494</v>
      </c>
      <c r="AQ181" s="7">
        <v>1.1228260147205056</v>
      </c>
      <c r="AR181" s="7">
        <v>5.710316922230399E-2</v>
      </c>
      <c r="AS181" s="7">
        <v>0.37698943709717092</v>
      </c>
      <c r="AT181" s="7">
        <v>5.0629714512211372E-4</v>
      </c>
      <c r="AU181" s="7">
        <v>-0.11213762424542992</v>
      </c>
      <c r="AV181" s="7">
        <v>-0.10402109723737363</v>
      </c>
      <c r="AW181" s="7">
        <v>0.61399465559332922</v>
      </c>
      <c r="AX181" s="7">
        <v>1.1908259504853833</v>
      </c>
      <c r="AY181" s="7" t="e">
        <v>#N/A</v>
      </c>
      <c r="AZ181" s="7">
        <v>23.877173985279494</v>
      </c>
      <c r="BA181" s="7">
        <v>1.1228260147205056</v>
      </c>
      <c r="BU181" t="b">
        <v>1</v>
      </c>
      <c r="BW181">
        <v>1</v>
      </c>
      <c r="BX181">
        <v>96</v>
      </c>
      <c r="BY181">
        <v>2702</v>
      </c>
      <c r="BZ181">
        <v>0</v>
      </c>
      <c r="CA181">
        <v>0</v>
      </c>
      <c r="CB181">
        <v>0</v>
      </c>
      <c r="CC181">
        <v>0</v>
      </c>
      <c r="CD181">
        <v>1</v>
      </c>
      <c r="CE181">
        <v>0</v>
      </c>
      <c r="CF181">
        <v>0</v>
      </c>
      <c r="CG181">
        <v>0</v>
      </c>
      <c r="CH181">
        <v>0</v>
      </c>
      <c r="CI181">
        <v>0</v>
      </c>
      <c r="CJ181">
        <v>0</v>
      </c>
      <c r="CK181">
        <v>0</v>
      </c>
      <c r="CL181">
        <v>0</v>
      </c>
      <c r="CM181">
        <v>0</v>
      </c>
    </row>
    <row r="182" spans="40:91" x14ac:dyDescent="0.25">
      <c r="AN182" t="str">
        <v>honda civic cvcc</v>
      </c>
      <c r="AO182" s="7">
        <v>33</v>
      </c>
      <c r="AP182" s="7">
        <v>29.441268831191159</v>
      </c>
      <c r="AQ182" s="7">
        <v>3.5587311688088406</v>
      </c>
      <c r="AR182" s="7">
        <v>4.9364660077821906E-2</v>
      </c>
      <c r="AS182" s="7">
        <v>1.1899727275032879</v>
      </c>
      <c r="AT182" s="7">
        <v>4.3254101044937383E-3</v>
      </c>
      <c r="AU182" s="7">
        <v>-0.1057051091748199</v>
      </c>
      <c r="AV182" s="7">
        <v>-0.10145734321850042</v>
      </c>
      <c r="AW182" s="7">
        <v>1.0908587110635766</v>
      </c>
      <c r="AX182" s="7">
        <v>3.7435292160505722</v>
      </c>
      <c r="AY182" s="7" t="e">
        <v>#N/A</v>
      </c>
      <c r="AZ182" s="7">
        <v>29.441268831191159</v>
      </c>
      <c r="BA182" s="7">
        <v>3.5587311688088406</v>
      </c>
      <c r="BU182" t="b">
        <v>1</v>
      </c>
      <c r="BW182">
        <v>1</v>
      </c>
      <c r="BX182">
        <v>71</v>
      </c>
      <c r="BY182">
        <v>2223</v>
      </c>
      <c r="BZ182">
        <v>0</v>
      </c>
      <c r="CA182">
        <v>0</v>
      </c>
      <c r="CB182">
        <v>0</v>
      </c>
      <c r="CC182">
        <v>0</v>
      </c>
      <c r="CD182">
        <v>1</v>
      </c>
      <c r="CE182">
        <v>0</v>
      </c>
      <c r="CF182">
        <v>0</v>
      </c>
      <c r="CG182">
        <v>0</v>
      </c>
      <c r="CH182">
        <v>0</v>
      </c>
      <c r="CI182">
        <v>0</v>
      </c>
      <c r="CJ182">
        <v>0</v>
      </c>
      <c r="CK182">
        <v>0</v>
      </c>
      <c r="CL182">
        <v>1</v>
      </c>
      <c r="CM182">
        <v>0</v>
      </c>
    </row>
    <row r="183" spans="40:91" x14ac:dyDescent="0.25">
      <c r="AN183" t="str">
        <v>fiat 131</v>
      </c>
      <c r="AO183" s="7">
        <v>28</v>
      </c>
      <c r="AP183" s="7">
        <v>26.171208171857558</v>
      </c>
      <c r="AQ183" s="7">
        <v>1.8287918281424425</v>
      </c>
      <c r="AR183" s="7">
        <v>4.1153887070672017E-2</v>
      </c>
      <c r="AS183" s="7">
        <v>0.60888968943784194</v>
      </c>
      <c r="AT183" s="7">
        <v>9.3603107765153845E-4</v>
      </c>
      <c r="AU183" s="7">
        <v>-0.1057051091748199</v>
      </c>
      <c r="AV183" s="7">
        <v>-9.8723664725633778E-2</v>
      </c>
      <c r="AW183" s="7">
        <v>0.78031384034748608</v>
      </c>
      <c r="AX183" s="7">
        <v>1.9072839775669341</v>
      </c>
      <c r="AY183" s="7" t="e">
        <v>#N/A</v>
      </c>
      <c r="AZ183" s="7">
        <v>26.171208171857558</v>
      </c>
      <c r="BA183" s="7">
        <v>1.8287918281424425</v>
      </c>
      <c r="BU183" t="b">
        <v>1</v>
      </c>
      <c r="BW183">
        <v>1</v>
      </c>
      <c r="BX183">
        <v>97</v>
      </c>
      <c r="BY183">
        <v>2545</v>
      </c>
      <c r="BZ183">
        <v>0</v>
      </c>
      <c r="CA183">
        <v>0</v>
      </c>
      <c r="CB183">
        <v>0</v>
      </c>
      <c r="CC183">
        <v>0</v>
      </c>
      <c r="CD183">
        <v>1</v>
      </c>
      <c r="CE183">
        <v>0</v>
      </c>
      <c r="CF183">
        <v>0</v>
      </c>
      <c r="CG183">
        <v>0</v>
      </c>
      <c r="CH183">
        <v>0</v>
      </c>
      <c r="CI183">
        <v>0</v>
      </c>
      <c r="CJ183">
        <v>0</v>
      </c>
      <c r="CK183">
        <v>0</v>
      </c>
      <c r="CL183">
        <v>0</v>
      </c>
      <c r="CM183">
        <v>0</v>
      </c>
    </row>
    <row r="184" spans="40:91" x14ac:dyDescent="0.25">
      <c r="AN184" t="str">
        <v>opel 1900</v>
      </c>
      <c r="AO184" s="7">
        <v>25</v>
      </c>
      <c r="AP184" s="7">
        <v>27.487837877713748</v>
      </c>
      <c r="AQ184" s="7">
        <v>-2.4878378777137478</v>
      </c>
      <c r="AR184" s="7">
        <v>4.2581826113320717E-2</v>
      </c>
      <c r="AS184" s="7">
        <v>-0.82893417664067504</v>
      </c>
      <c r="AT184" s="7">
        <v>1.7976857890474422E-3</v>
      </c>
      <c r="AU184" s="7">
        <v>-0.1057051091748199</v>
      </c>
      <c r="AV184" s="7">
        <v>-8.6786137087075457E-2</v>
      </c>
      <c r="AW184" s="7">
        <v>0.91045822344612548</v>
      </c>
      <c r="AX184" s="7">
        <v>-2.5984861636940373</v>
      </c>
      <c r="AY184" s="7" t="e">
        <v>#N/A</v>
      </c>
      <c r="AZ184" s="7">
        <v>27.487837877713748</v>
      </c>
      <c r="BA184" s="7">
        <v>-2.4878378777137478</v>
      </c>
      <c r="BU184" t="b">
        <v>1</v>
      </c>
      <c r="BW184">
        <v>1</v>
      </c>
      <c r="BX184">
        <v>97</v>
      </c>
      <c r="BY184">
        <v>2984</v>
      </c>
      <c r="BZ184">
        <v>0</v>
      </c>
      <c r="CA184">
        <v>0</v>
      </c>
      <c r="CB184">
        <v>0</v>
      </c>
      <c r="CC184">
        <v>0</v>
      </c>
      <c r="CD184">
        <v>1</v>
      </c>
      <c r="CE184">
        <v>0</v>
      </c>
      <c r="CF184">
        <v>0</v>
      </c>
      <c r="CG184">
        <v>0</v>
      </c>
      <c r="CH184">
        <v>0</v>
      </c>
      <c r="CI184">
        <v>0</v>
      </c>
      <c r="CJ184">
        <v>0</v>
      </c>
      <c r="CK184">
        <v>0</v>
      </c>
      <c r="CL184">
        <v>0</v>
      </c>
      <c r="CM184">
        <v>1</v>
      </c>
    </row>
    <row r="185" spans="40:91" x14ac:dyDescent="0.25">
      <c r="AN185" t="str">
        <v>capri ii</v>
      </c>
      <c r="AO185" s="7">
        <v>25</v>
      </c>
      <c r="AP185" s="7">
        <v>23.58898737255457</v>
      </c>
      <c r="AQ185" s="7">
        <v>1.4110126274454302</v>
      </c>
      <c r="AR185" s="7">
        <v>3.6756720464821639E-2</v>
      </c>
      <c r="AS185" s="7">
        <v>0.46871808445674717</v>
      </c>
      <c r="AT185" s="7">
        <v>4.931457182961996E-4</v>
      </c>
      <c r="AU185" s="7">
        <v>-8.6432705492186665E-2</v>
      </c>
      <c r="AV185" s="7">
        <v>-8.5231484219200196E-2</v>
      </c>
      <c r="AW185" s="7">
        <v>0.68462988866740782</v>
      </c>
      <c r="AX185" s="7">
        <v>1.4648559272859156</v>
      </c>
      <c r="AY185" s="7" t="e">
        <v>#N/A</v>
      </c>
      <c r="AZ185" s="7">
        <v>23.58898737255457</v>
      </c>
      <c r="BA185" s="7">
        <v>1.4110126274454302</v>
      </c>
      <c r="BU185" t="b">
        <v>1</v>
      </c>
      <c r="BW185">
        <v>1</v>
      </c>
      <c r="BX185">
        <v>70</v>
      </c>
      <c r="BY185">
        <v>1937</v>
      </c>
      <c r="BZ185">
        <v>0</v>
      </c>
      <c r="CA185">
        <v>0</v>
      </c>
      <c r="CB185">
        <v>0</v>
      </c>
      <c r="CC185">
        <v>0</v>
      </c>
      <c r="CD185">
        <v>1</v>
      </c>
      <c r="CE185">
        <v>0</v>
      </c>
      <c r="CF185">
        <v>0</v>
      </c>
      <c r="CG185">
        <v>0</v>
      </c>
      <c r="CH185">
        <v>0</v>
      </c>
      <c r="CI185">
        <v>0</v>
      </c>
      <c r="CJ185">
        <v>0</v>
      </c>
      <c r="CK185">
        <v>0</v>
      </c>
      <c r="CL185">
        <v>1</v>
      </c>
      <c r="CM185">
        <v>0</v>
      </c>
    </row>
    <row r="186" spans="40:91" x14ac:dyDescent="0.25">
      <c r="AN186" t="str">
        <v>dodge colt</v>
      </c>
      <c r="AO186" s="7">
        <v>26</v>
      </c>
      <c r="AP186" s="7">
        <v>25.405130135942606</v>
      </c>
      <c r="AQ186" s="7">
        <v>0.59486986405739373</v>
      </c>
      <c r="AR186" s="7">
        <v>4.0625422118048454E-2</v>
      </c>
      <c r="AS186" s="7">
        <v>0.19800523327850172</v>
      </c>
      <c r="AT186" s="7">
        <v>9.7659410116933748E-5</v>
      </c>
      <c r="AU186" s="7">
        <v>-8.0016051321401133E-2</v>
      </c>
      <c r="AV186" s="7">
        <v>-7.1999000729859874E-2</v>
      </c>
      <c r="AW186" s="7">
        <v>0.44497778964629431</v>
      </c>
      <c r="AX186" s="7">
        <v>0.62006006597622276</v>
      </c>
      <c r="AY186" s="7" t="e">
        <v>#N/A</v>
      </c>
      <c r="AZ186" s="7">
        <v>25.405130135942606</v>
      </c>
      <c r="BA186" s="7">
        <v>0.59486986405739373</v>
      </c>
      <c r="BU186" t="b">
        <v>1</v>
      </c>
      <c r="BW186">
        <v>1</v>
      </c>
      <c r="BX186">
        <v>90</v>
      </c>
      <c r="BY186">
        <v>3211</v>
      </c>
      <c r="BZ186">
        <v>0</v>
      </c>
      <c r="CA186">
        <v>0</v>
      </c>
      <c r="CB186">
        <v>0</v>
      </c>
      <c r="CC186">
        <v>0</v>
      </c>
      <c r="CD186">
        <v>1</v>
      </c>
      <c r="CE186">
        <v>0</v>
      </c>
      <c r="CF186">
        <v>0</v>
      </c>
      <c r="CG186">
        <v>0</v>
      </c>
      <c r="CH186">
        <v>0</v>
      </c>
      <c r="CI186">
        <v>0</v>
      </c>
      <c r="CJ186">
        <v>0</v>
      </c>
      <c r="CK186">
        <v>0</v>
      </c>
      <c r="CL186">
        <v>0</v>
      </c>
      <c r="CM186">
        <v>1</v>
      </c>
    </row>
    <row r="187" spans="40:91" x14ac:dyDescent="0.25">
      <c r="AN187" t="str">
        <v>renault 12tl</v>
      </c>
      <c r="AO187" s="7">
        <v>27</v>
      </c>
      <c r="AP187" s="7">
        <v>27.546504586878772</v>
      </c>
      <c r="AQ187" s="7">
        <v>-0.5465045868787719</v>
      </c>
      <c r="AR187" s="7">
        <v>4.3460623886076202E-2</v>
      </c>
      <c r="AS187" s="7">
        <v>-0.18217601115514223</v>
      </c>
      <c r="AT187" s="7">
        <v>8.8700600488573973E-5</v>
      </c>
      <c r="AU187" s="7">
        <v>-8.0016051321401133E-2</v>
      </c>
      <c r="AV187" s="7">
        <v>-7.0617155228765965E-2</v>
      </c>
      <c r="AW187" s="7">
        <v>0.42682081855872755</v>
      </c>
      <c r="AX187" s="7">
        <v>-0.57133516980662513</v>
      </c>
      <c r="AY187" s="7" t="e">
        <v>#N/A</v>
      </c>
      <c r="AZ187" s="7">
        <v>27.546504586878772</v>
      </c>
      <c r="BA187" s="7">
        <v>-0.5465045868787719</v>
      </c>
      <c r="BU187" t="b">
        <v>1</v>
      </c>
      <c r="BW187">
        <v>1</v>
      </c>
      <c r="BX187">
        <v>95</v>
      </c>
      <c r="BY187">
        <v>2694</v>
      </c>
      <c r="BZ187">
        <v>0</v>
      </c>
      <c r="CA187">
        <v>0</v>
      </c>
      <c r="CB187">
        <v>0</v>
      </c>
      <c r="CC187">
        <v>0</v>
      </c>
      <c r="CD187">
        <v>1</v>
      </c>
      <c r="CE187">
        <v>0</v>
      </c>
      <c r="CF187">
        <v>0</v>
      </c>
      <c r="CG187">
        <v>0</v>
      </c>
      <c r="CH187">
        <v>0</v>
      </c>
      <c r="CI187">
        <v>0</v>
      </c>
      <c r="CJ187">
        <v>0</v>
      </c>
      <c r="CK187">
        <v>0</v>
      </c>
      <c r="CL187">
        <v>1</v>
      </c>
      <c r="CM187">
        <v>0</v>
      </c>
    </row>
    <row r="188" spans="40:91" x14ac:dyDescent="0.25">
      <c r="AN188" t="str">
        <v>chevrolet chevelle malibu classic</v>
      </c>
      <c r="AO188" s="7">
        <v>17.5</v>
      </c>
      <c r="AP188" s="7">
        <v>14.490620941147796</v>
      </c>
      <c r="AQ188" s="7">
        <v>3.009379058852204</v>
      </c>
      <c r="AR188" s="7">
        <v>3.5065516812038573E-2</v>
      </c>
      <c r="AS188" s="7">
        <v>0.99879597785624907</v>
      </c>
      <c r="AT188" s="7">
        <v>2.1324903057254579E-3</v>
      </c>
      <c r="AU188" s="7">
        <v>-8.0016051321401133E-2</v>
      </c>
      <c r="AV188" s="7">
        <v>-6.5682072482443399E-2</v>
      </c>
      <c r="AW188" s="7">
        <v>0.9993978076102874</v>
      </c>
      <c r="AX188" s="7">
        <v>3.1187392629080719</v>
      </c>
      <c r="AY188" s="7" t="e">
        <v>#N/A</v>
      </c>
      <c r="AZ188" s="7">
        <v>14.490620941147796</v>
      </c>
      <c r="BA188" s="7">
        <v>3.009379058852204</v>
      </c>
      <c r="BU188" t="b">
        <v>1</v>
      </c>
      <c r="BW188">
        <v>1</v>
      </c>
      <c r="BX188">
        <v>88</v>
      </c>
      <c r="BY188">
        <v>2957</v>
      </c>
      <c r="BZ188">
        <v>0</v>
      </c>
      <c r="CA188">
        <v>0</v>
      </c>
      <c r="CB188">
        <v>0</v>
      </c>
      <c r="CC188">
        <v>0</v>
      </c>
      <c r="CD188">
        <v>1</v>
      </c>
      <c r="CE188">
        <v>0</v>
      </c>
      <c r="CF188">
        <v>0</v>
      </c>
      <c r="CG188">
        <v>0</v>
      </c>
      <c r="CH188">
        <v>0</v>
      </c>
      <c r="CI188">
        <v>0</v>
      </c>
      <c r="CJ188">
        <v>0</v>
      </c>
      <c r="CK188">
        <v>0</v>
      </c>
      <c r="CL188">
        <v>1</v>
      </c>
      <c r="CM188">
        <v>0</v>
      </c>
    </row>
    <row r="189" spans="40:91" x14ac:dyDescent="0.25">
      <c r="AN189" t="str">
        <v>dodge coronet brougham</v>
      </c>
      <c r="AO189" s="7">
        <v>16</v>
      </c>
      <c r="AP189" s="7">
        <v>14.454839361990299</v>
      </c>
      <c r="AQ189" s="7">
        <v>1.5451606380097012</v>
      </c>
      <c r="AR189" s="7">
        <v>3.519179467288841E-2</v>
      </c>
      <c r="AS189" s="7">
        <v>0.51286368166817686</v>
      </c>
      <c r="AT189" s="7">
        <v>5.6435892396385946E-4</v>
      </c>
      <c r="AU189" s="7">
        <v>-8.0016051321401133E-2</v>
      </c>
      <c r="AV189" s="7">
        <v>-6.355094576677528E-2</v>
      </c>
      <c r="AW189" s="7">
        <v>0.71614501441270739</v>
      </c>
      <c r="AX189" s="7">
        <v>1.6015210375266502</v>
      </c>
      <c r="AY189" s="7" t="e">
        <v>#N/A</v>
      </c>
      <c r="AZ189" s="7">
        <v>14.454839361990299</v>
      </c>
      <c r="BA189" s="7">
        <v>1.5451606380097012</v>
      </c>
      <c r="BU189" t="b">
        <v>1</v>
      </c>
      <c r="BW189">
        <v>1</v>
      </c>
      <c r="BX189">
        <v>98</v>
      </c>
      <c r="BY189">
        <v>2945</v>
      </c>
      <c r="BZ189">
        <v>0</v>
      </c>
      <c r="CA189">
        <v>0</v>
      </c>
      <c r="CB189">
        <v>0</v>
      </c>
      <c r="CC189">
        <v>0</v>
      </c>
      <c r="CD189">
        <v>1</v>
      </c>
      <c r="CE189">
        <v>0</v>
      </c>
      <c r="CF189">
        <v>0</v>
      </c>
      <c r="CG189">
        <v>0</v>
      </c>
      <c r="CH189">
        <v>0</v>
      </c>
      <c r="CI189">
        <v>0</v>
      </c>
      <c r="CJ189">
        <v>0</v>
      </c>
      <c r="CK189">
        <v>0</v>
      </c>
      <c r="CL189">
        <v>1</v>
      </c>
      <c r="CM189">
        <v>0</v>
      </c>
    </row>
    <row r="190" spans="40:91" x14ac:dyDescent="0.25">
      <c r="AN190" t="str">
        <v>amc matador</v>
      </c>
      <c r="AO190" s="7">
        <v>15.5</v>
      </c>
      <c r="AP190" s="7">
        <v>16.096366912843152</v>
      </c>
      <c r="AQ190" s="7">
        <v>-0.59636691284315191</v>
      </c>
      <c r="AR190" s="7">
        <v>3.4710340110544365E-2</v>
      </c>
      <c r="AS190" s="7">
        <v>-0.19789440550578294</v>
      </c>
      <c r="AT190" s="7">
        <v>8.2836039655799875E-5</v>
      </c>
      <c r="AU190" s="7">
        <v>-8.0016051321401133E-2</v>
      </c>
      <c r="AV190" s="7">
        <v>-5.0323917807237162E-2</v>
      </c>
      <c r="AW190" s="7">
        <v>0.44485324041281632</v>
      </c>
      <c r="AX190" s="7">
        <v>-0.61781135510293095</v>
      </c>
      <c r="AY190" s="7" t="e">
        <v>#N/A</v>
      </c>
      <c r="AZ190" s="7">
        <v>16.096366912843152</v>
      </c>
      <c r="BA190" s="7">
        <v>-0.59636691284315191</v>
      </c>
      <c r="BU190" t="b">
        <v>1</v>
      </c>
      <c r="BW190">
        <v>1</v>
      </c>
      <c r="BX190">
        <v>115</v>
      </c>
      <c r="BY190">
        <v>2671</v>
      </c>
      <c r="BZ190">
        <v>0</v>
      </c>
      <c r="CA190">
        <v>0</v>
      </c>
      <c r="CB190">
        <v>0</v>
      </c>
      <c r="CC190">
        <v>0</v>
      </c>
      <c r="CD190">
        <v>1</v>
      </c>
      <c r="CE190">
        <v>0</v>
      </c>
      <c r="CF190">
        <v>0</v>
      </c>
      <c r="CG190">
        <v>0</v>
      </c>
      <c r="CH190">
        <v>0</v>
      </c>
      <c r="CI190">
        <v>0</v>
      </c>
      <c r="CJ190">
        <v>0</v>
      </c>
      <c r="CK190">
        <v>0</v>
      </c>
      <c r="CL190">
        <v>1</v>
      </c>
      <c r="CM190">
        <v>0</v>
      </c>
    </row>
    <row r="191" spans="40:91" x14ac:dyDescent="0.25">
      <c r="AN191" t="str">
        <v>ford gran torino</v>
      </c>
      <c r="AO191" s="7">
        <v>14.5</v>
      </c>
      <c r="AP191" s="7">
        <v>14.295783757705301</v>
      </c>
      <c r="AQ191" s="7">
        <v>0.2042162422946987</v>
      </c>
      <c r="AR191" s="7">
        <v>3.5592867582380963E-2</v>
      </c>
      <c r="AS191" s="7">
        <v>6.7796750316838655E-2</v>
      </c>
      <c r="AT191" s="7">
        <v>9.9786410096200379E-6</v>
      </c>
      <c r="AU191" s="7">
        <v>-8.0016051321401133E-2</v>
      </c>
      <c r="AV191" s="7">
        <v>-5.0151452692646335E-2</v>
      </c>
      <c r="AW191" s="7">
        <v>0.26037809108455851</v>
      </c>
      <c r="AX191" s="7">
        <v>0.21175314390589406</v>
      </c>
      <c r="AY191" s="7" t="e">
        <v>#N/A</v>
      </c>
      <c r="AZ191" s="7">
        <v>14.295783757705301</v>
      </c>
      <c r="BA191" s="7">
        <v>0.2042162422946987</v>
      </c>
      <c r="BU191" t="b">
        <v>1</v>
      </c>
      <c r="BW191">
        <v>1</v>
      </c>
      <c r="BX191">
        <v>53</v>
      </c>
      <c r="BY191">
        <v>1795</v>
      </c>
      <c r="BZ191">
        <v>0</v>
      </c>
      <c r="CA191">
        <v>0</v>
      </c>
      <c r="CB191">
        <v>0</v>
      </c>
      <c r="CC191">
        <v>0</v>
      </c>
      <c r="CD191">
        <v>1</v>
      </c>
      <c r="CE191">
        <v>0</v>
      </c>
      <c r="CF191">
        <v>0</v>
      </c>
      <c r="CG191">
        <v>0</v>
      </c>
      <c r="CH191">
        <v>0</v>
      </c>
      <c r="CI191">
        <v>0</v>
      </c>
      <c r="CJ191">
        <v>0</v>
      </c>
      <c r="CK191">
        <v>0</v>
      </c>
      <c r="CL191">
        <v>0</v>
      </c>
      <c r="CM191">
        <v>0</v>
      </c>
    </row>
    <row r="192" spans="40:91" x14ac:dyDescent="0.25">
      <c r="AN192" t="str">
        <v>plymouth valiant</v>
      </c>
      <c r="AO192" s="7">
        <v>22</v>
      </c>
      <c r="AP192" s="7">
        <v>20.112248261334077</v>
      </c>
      <c r="AQ192" s="7">
        <v>1.8877517386659228</v>
      </c>
      <c r="AR192" s="7">
        <v>3.1607871987985987E-2</v>
      </c>
      <c r="AS192" s="7">
        <v>0.62541466034937021</v>
      </c>
      <c r="AT192" s="7">
        <v>7.5098489283514978E-4</v>
      </c>
      <c r="AU192" s="7">
        <v>-8.0016051321401133E-2</v>
      </c>
      <c r="AV192" s="7">
        <v>-3.7067224491666183E-2</v>
      </c>
      <c r="AW192" s="7">
        <v>0.79083162578982025</v>
      </c>
      <c r="AX192" s="7">
        <v>1.9493670839118005</v>
      </c>
      <c r="AY192" s="7" t="e">
        <v>#N/A</v>
      </c>
      <c r="AZ192" s="7">
        <v>20.112248261334077</v>
      </c>
      <c r="BA192" s="7">
        <v>1.8877517386659228</v>
      </c>
      <c r="BU192" t="b">
        <v>1</v>
      </c>
      <c r="BW192">
        <v>1</v>
      </c>
      <c r="BX192">
        <v>86</v>
      </c>
      <c r="BY192">
        <v>2464</v>
      </c>
      <c r="BZ192">
        <v>0</v>
      </c>
      <c r="CA192">
        <v>0</v>
      </c>
      <c r="CB192">
        <v>0</v>
      </c>
      <c r="CC192">
        <v>0</v>
      </c>
      <c r="CD192">
        <v>0</v>
      </c>
      <c r="CE192">
        <v>1</v>
      </c>
      <c r="CF192">
        <v>0</v>
      </c>
      <c r="CG192">
        <v>0</v>
      </c>
      <c r="CH192">
        <v>0</v>
      </c>
      <c r="CI192">
        <v>0</v>
      </c>
      <c r="CJ192">
        <v>0</v>
      </c>
      <c r="CK192">
        <v>0</v>
      </c>
      <c r="CL192">
        <v>1</v>
      </c>
      <c r="CM192">
        <v>0</v>
      </c>
    </row>
    <row r="193" spans="40:91" x14ac:dyDescent="0.25">
      <c r="AN193" t="str">
        <v>chevrolet nova</v>
      </c>
      <c r="AO193" s="7">
        <v>22</v>
      </c>
      <c r="AP193" s="7">
        <v>19.423468947752362</v>
      </c>
      <c r="AQ193" s="7">
        <v>2.5765310522476383</v>
      </c>
      <c r="AR193" s="7">
        <v>3.1358116348539258E-2</v>
      </c>
      <c r="AS193" s="7">
        <v>0.85349810780512592</v>
      </c>
      <c r="AT193" s="7">
        <v>1.3872122881645867E-3</v>
      </c>
      <c r="AU193" s="7">
        <v>-8.0016051321401133E-2</v>
      </c>
      <c r="AV193" s="7">
        <v>-3.3128045912271899E-2</v>
      </c>
      <c r="AW193" s="7">
        <v>0.92384961319747594</v>
      </c>
      <c r="AX193" s="7">
        <v>2.6599418172327685</v>
      </c>
      <c r="AY193" s="7" t="e">
        <v>#N/A</v>
      </c>
      <c r="AZ193" s="7">
        <v>19.423468947752362</v>
      </c>
      <c r="BA193" s="7">
        <v>2.5765310522476383</v>
      </c>
      <c r="BU193" t="b">
        <v>1</v>
      </c>
      <c r="BW193">
        <v>1</v>
      </c>
      <c r="BX193">
        <v>81</v>
      </c>
      <c r="BY193">
        <v>2220</v>
      </c>
      <c r="BZ193">
        <v>0</v>
      </c>
      <c r="CA193">
        <v>0</v>
      </c>
      <c r="CB193">
        <v>0</v>
      </c>
      <c r="CC193">
        <v>0</v>
      </c>
      <c r="CD193">
        <v>0</v>
      </c>
      <c r="CE193">
        <v>1</v>
      </c>
      <c r="CF193">
        <v>0</v>
      </c>
      <c r="CG193">
        <v>0</v>
      </c>
      <c r="CH193">
        <v>0</v>
      </c>
      <c r="CI193">
        <v>0</v>
      </c>
      <c r="CJ193">
        <v>0</v>
      </c>
      <c r="CK193">
        <v>0</v>
      </c>
      <c r="CL193">
        <v>1</v>
      </c>
      <c r="CM193">
        <v>0</v>
      </c>
    </row>
    <row r="194" spans="40:91" x14ac:dyDescent="0.25">
      <c r="AN194" t="str">
        <v>ford maverick</v>
      </c>
      <c r="AO194" s="7">
        <v>24</v>
      </c>
      <c r="AP194" s="7">
        <v>21.539731893392151</v>
      </c>
      <c r="AQ194" s="7">
        <v>2.4602681066078489</v>
      </c>
      <c r="AR194" s="7">
        <v>3.4789421341587426E-2</v>
      </c>
      <c r="AS194" s="7">
        <v>0.81643234827063882</v>
      </c>
      <c r="AT194" s="7">
        <v>1.4132422684014028E-3</v>
      </c>
      <c r="AU194" s="7">
        <v>-8.0016051321401133E-2</v>
      </c>
      <c r="AV194" s="7">
        <v>-3.1377572652108353E-2</v>
      </c>
      <c r="AW194" s="7">
        <v>0.90356646035067001</v>
      </c>
      <c r="AX194" s="7">
        <v>2.5489444075794121</v>
      </c>
      <c r="AY194" s="7" t="e">
        <v>#N/A</v>
      </c>
      <c r="AZ194" s="7">
        <v>21.539731893392151</v>
      </c>
      <c r="BA194" s="7">
        <v>2.4602681066078489</v>
      </c>
      <c r="BU194" t="b">
        <v>1</v>
      </c>
      <c r="BW194">
        <v>1</v>
      </c>
      <c r="BX194">
        <v>92</v>
      </c>
      <c r="BY194">
        <v>2572</v>
      </c>
      <c r="BZ194">
        <v>0</v>
      </c>
      <c r="CA194">
        <v>0</v>
      </c>
      <c r="CB194">
        <v>0</v>
      </c>
      <c r="CC194">
        <v>0</v>
      </c>
      <c r="CD194">
        <v>0</v>
      </c>
      <c r="CE194">
        <v>1</v>
      </c>
      <c r="CF194">
        <v>0</v>
      </c>
      <c r="CG194">
        <v>0</v>
      </c>
      <c r="CH194">
        <v>0</v>
      </c>
      <c r="CI194">
        <v>0</v>
      </c>
      <c r="CJ194">
        <v>0</v>
      </c>
      <c r="CK194">
        <v>0</v>
      </c>
      <c r="CL194">
        <v>0</v>
      </c>
      <c r="CM194">
        <v>1</v>
      </c>
    </row>
    <row r="195" spans="40:91" x14ac:dyDescent="0.25">
      <c r="AN195" t="str">
        <v>amc hornet</v>
      </c>
      <c r="AO195" s="7">
        <v>22.5</v>
      </c>
      <c r="AP195" s="7">
        <v>21.023982403906761</v>
      </c>
      <c r="AQ195" s="7">
        <v>1.4760175960932393</v>
      </c>
      <c r="AR195" s="7">
        <v>3.2808881221181266E-2</v>
      </c>
      <c r="AS195" s="7">
        <v>0.48931010929768898</v>
      </c>
      <c r="AT195" s="7">
        <v>4.7774766919710218E-4</v>
      </c>
      <c r="AU195" s="7">
        <v>-8.0016051321401133E-2</v>
      </c>
      <c r="AV195" s="7">
        <v>-2.8119699994232576E-2</v>
      </c>
      <c r="AW195" s="7">
        <v>0.69950704735384117</v>
      </c>
      <c r="AX195" s="7">
        <v>1.5260867965339342</v>
      </c>
      <c r="AY195" s="7" t="e">
        <v>#N/A</v>
      </c>
      <c r="AZ195" s="7">
        <v>21.023982403906761</v>
      </c>
      <c r="BA195" s="7">
        <v>1.4760175960932393</v>
      </c>
      <c r="BU195" t="b">
        <v>1</v>
      </c>
      <c r="BW195">
        <v>1</v>
      </c>
      <c r="BX195">
        <v>79</v>
      </c>
      <c r="BY195">
        <v>2255</v>
      </c>
      <c r="BZ195">
        <v>0</v>
      </c>
      <c r="CA195">
        <v>0</v>
      </c>
      <c r="CB195">
        <v>0</v>
      </c>
      <c r="CC195">
        <v>0</v>
      </c>
      <c r="CD195">
        <v>0</v>
      </c>
      <c r="CE195">
        <v>1</v>
      </c>
      <c r="CF195">
        <v>0</v>
      </c>
      <c r="CG195">
        <v>0</v>
      </c>
      <c r="CH195">
        <v>0</v>
      </c>
      <c r="CI195">
        <v>0</v>
      </c>
      <c r="CJ195">
        <v>0</v>
      </c>
      <c r="CK195">
        <v>0</v>
      </c>
      <c r="CL195">
        <v>0</v>
      </c>
      <c r="CM195">
        <v>1</v>
      </c>
    </row>
    <row r="196" spans="40:91" x14ac:dyDescent="0.25">
      <c r="AN196" t="str">
        <v>chevrolet chevette</v>
      </c>
      <c r="AO196" s="7">
        <v>29</v>
      </c>
      <c r="AP196" s="7">
        <v>26.957441914013899</v>
      </c>
      <c r="AQ196" s="7">
        <v>2.0425580859861014</v>
      </c>
      <c r="AR196" s="7">
        <v>4.3907903822605801E-2</v>
      </c>
      <c r="AS196" s="7">
        <v>0.68104115262367693</v>
      </c>
      <c r="AT196" s="7">
        <v>1.2529702681123827E-3</v>
      </c>
      <c r="AU196" s="7">
        <v>-1.5986830666930081E-2</v>
      </c>
      <c r="AV196" s="7">
        <v>-2.6512351797496374E-2</v>
      </c>
      <c r="AW196" s="7">
        <v>0.82525217517052141</v>
      </c>
      <c r="AX196" s="7">
        <v>2.1363612293758814</v>
      </c>
      <c r="AY196" s="7" t="e">
        <v>#N/A</v>
      </c>
      <c r="AZ196" s="7">
        <v>26.957441914013899</v>
      </c>
      <c r="BA196" s="7">
        <v>2.0425580859861014</v>
      </c>
      <c r="BU196" t="b">
        <v>1</v>
      </c>
      <c r="BW196">
        <v>1</v>
      </c>
      <c r="BX196">
        <v>83</v>
      </c>
      <c r="BY196">
        <v>2202</v>
      </c>
      <c r="BZ196">
        <v>0</v>
      </c>
      <c r="CA196">
        <v>0</v>
      </c>
      <c r="CB196">
        <v>0</v>
      </c>
      <c r="CC196">
        <v>0</v>
      </c>
      <c r="CD196">
        <v>0</v>
      </c>
      <c r="CE196">
        <v>1</v>
      </c>
      <c r="CF196">
        <v>0</v>
      </c>
      <c r="CG196">
        <v>0</v>
      </c>
      <c r="CH196">
        <v>0</v>
      </c>
      <c r="CI196">
        <v>0</v>
      </c>
      <c r="CJ196">
        <v>0</v>
      </c>
      <c r="CK196">
        <v>0</v>
      </c>
      <c r="CL196">
        <v>1</v>
      </c>
      <c r="CM196">
        <v>0</v>
      </c>
    </row>
    <row r="197" spans="40:91" x14ac:dyDescent="0.25">
      <c r="AN197" t="str">
        <v>chevrolet woody</v>
      </c>
      <c r="AO197" s="7">
        <v>24.5</v>
      </c>
      <c r="AP197" s="7">
        <v>26.174383518035512</v>
      </c>
      <c r="AQ197" s="7">
        <v>-1.674383518035512</v>
      </c>
      <c r="AR197" s="7">
        <v>4.1334985344032231E-2</v>
      </c>
      <c r="AS197" s="7">
        <v>-0.55753264896976418</v>
      </c>
      <c r="AT197" s="7">
        <v>7.8839270533019676E-4</v>
      </c>
      <c r="AU197" s="7">
        <v>-9.5918369045287465E-3</v>
      </c>
      <c r="AV197" s="7">
        <v>-2.049532242537162E-2</v>
      </c>
      <c r="AW197" s="7">
        <v>0.74668108920057974</v>
      </c>
      <c r="AX197" s="7">
        <v>-1.7465783067471083</v>
      </c>
      <c r="AY197" s="7" t="e">
        <v>#N/A</v>
      </c>
      <c r="AZ197" s="7">
        <v>26.174383518035512</v>
      </c>
      <c r="BA197" s="7">
        <v>-1.674383518035512</v>
      </c>
      <c r="BU197" t="b">
        <v>1</v>
      </c>
      <c r="BW197">
        <v>1</v>
      </c>
      <c r="BX197">
        <v>140</v>
      </c>
      <c r="BY197">
        <v>4215</v>
      </c>
      <c r="BZ197">
        <v>0</v>
      </c>
      <c r="CA197">
        <v>0</v>
      </c>
      <c r="CB197">
        <v>0</v>
      </c>
      <c r="CC197">
        <v>0</v>
      </c>
      <c r="CD197">
        <v>0</v>
      </c>
      <c r="CE197">
        <v>1</v>
      </c>
      <c r="CF197">
        <v>0</v>
      </c>
      <c r="CG197">
        <v>0</v>
      </c>
      <c r="CH197">
        <v>0</v>
      </c>
      <c r="CI197">
        <v>0</v>
      </c>
      <c r="CJ197">
        <v>0</v>
      </c>
      <c r="CK197">
        <v>0</v>
      </c>
      <c r="CL197">
        <v>0</v>
      </c>
      <c r="CM197">
        <v>1</v>
      </c>
    </row>
    <row r="198" spans="40:91" x14ac:dyDescent="0.25">
      <c r="AN198" t="str">
        <v>vw rabbit</v>
      </c>
      <c r="AO198" s="7">
        <v>29</v>
      </c>
      <c r="AP198" s="7">
        <v>29.099355250280738</v>
      </c>
      <c r="AQ198" s="7">
        <v>-9.935525028073755E-2</v>
      </c>
      <c r="AR198" s="7">
        <v>4.393457692484759E-2</v>
      </c>
      <c r="AS198" s="7">
        <v>-3.3128045912271899E-2</v>
      </c>
      <c r="AT198" s="7">
        <v>2.9666174993555596E-6</v>
      </c>
      <c r="AU198" s="7">
        <v>-3.1972353893137463E-3</v>
      </c>
      <c r="AV198" s="7">
        <v>-1.3087490477455169E-2</v>
      </c>
      <c r="AW198" s="7">
        <v>0.18201111480421162</v>
      </c>
      <c r="AX198" s="7">
        <v>-0.10392097432115546</v>
      </c>
      <c r="AY198" s="7" t="e">
        <v>#N/A</v>
      </c>
      <c r="AZ198" s="7">
        <v>29.099355250280738</v>
      </c>
      <c r="BA198" s="7">
        <v>-9.935525028073755E-2</v>
      </c>
      <c r="BU198" t="b">
        <v>1</v>
      </c>
      <c r="BW198">
        <v>1</v>
      </c>
      <c r="BX198">
        <v>150</v>
      </c>
      <c r="BY198">
        <v>4190</v>
      </c>
      <c r="BZ198">
        <v>0</v>
      </c>
      <c r="CA198">
        <v>0</v>
      </c>
      <c r="CB198">
        <v>0</v>
      </c>
      <c r="CC198">
        <v>0</v>
      </c>
      <c r="CD198">
        <v>0</v>
      </c>
      <c r="CE198">
        <v>1</v>
      </c>
      <c r="CF198">
        <v>0</v>
      </c>
      <c r="CG198">
        <v>0</v>
      </c>
      <c r="CH198">
        <v>0</v>
      </c>
      <c r="CI198">
        <v>0</v>
      </c>
      <c r="CJ198">
        <v>0</v>
      </c>
      <c r="CK198">
        <v>0</v>
      </c>
      <c r="CL198">
        <v>0</v>
      </c>
      <c r="CM198">
        <v>1</v>
      </c>
    </row>
    <row r="199" spans="40:91" x14ac:dyDescent="0.25">
      <c r="AN199" t="str">
        <v>honda civic</v>
      </c>
      <c r="AO199" s="7">
        <v>33</v>
      </c>
      <c r="AP199" s="7">
        <v>30.216341400787368</v>
      </c>
      <c r="AQ199" s="7">
        <v>2.7836585992126324</v>
      </c>
      <c r="AR199" s="7">
        <v>4.5682451098333909E-2</v>
      </c>
      <c r="AS199" s="7">
        <v>0.929005572099876</v>
      </c>
      <c r="AT199" s="7">
        <v>2.4302122418027369E-3</v>
      </c>
      <c r="AU199" s="7">
        <v>3.1972353893138855E-3</v>
      </c>
      <c r="AV199" s="7">
        <v>-1.2115968549615531E-2</v>
      </c>
      <c r="AW199" s="7">
        <v>0.96384935135106875</v>
      </c>
      <c r="AX199" s="7">
        <v>2.9169102071070303</v>
      </c>
      <c r="AY199" s="7" t="e">
        <v>#N/A</v>
      </c>
      <c r="AZ199" s="7">
        <v>30.216341400787368</v>
      </c>
      <c r="BA199" s="7">
        <v>2.7836585992126324</v>
      </c>
      <c r="BU199" t="b">
        <v>1</v>
      </c>
      <c r="BW199">
        <v>1</v>
      </c>
      <c r="BX199">
        <v>120</v>
      </c>
      <c r="BY199">
        <v>3962</v>
      </c>
      <c r="BZ199">
        <v>0</v>
      </c>
      <c r="CA199">
        <v>0</v>
      </c>
      <c r="CB199">
        <v>0</v>
      </c>
      <c r="CC199">
        <v>0</v>
      </c>
      <c r="CD199">
        <v>0</v>
      </c>
      <c r="CE199">
        <v>1</v>
      </c>
      <c r="CF199">
        <v>0</v>
      </c>
      <c r="CG199">
        <v>0</v>
      </c>
      <c r="CH199">
        <v>0</v>
      </c>
      <c r="CI199">
        <v>0</v>
      </c>
      <c r="CJ199">
        <v>0</v>
      </c>
      <c r="CK199">
        <v>0</v>
      </c>
      <c r="CL199">
        <v>0</v>
      </c>
      <c r="CM199">
        <v>1</v>
      </c>
    </row>
    <row r="200" spans="40:91" x14ac:dyDescent="0.25">
      <c r="AN200" t="str">
        <v>dodge aspen se</v>
      </c>
      <c r="AO200" s="7">
        <v>20</v>
      </c>
      <c r="AP200" s="7">
        <v>17.995784842215279</v>
      </c>
      <c r="AQ200" s="7">
        <v>2.0042151577847207</v>
      </c>
      <c r="AR200" s="7">
        <v>3.6041566214087523E-2</v>
      </c>
      <c r="AS200" s="7">
        <v>0.6655244148822943</v>
      </c>
      <c r="AT200" s="7">
        <v>9.74146806430747E-4</v>
      </c>
      <c r="AU200" s="7">
        <v>3.1972353893138855E-3</v>
      </c>
      <c r="AV200" s="7">
        <v>-1.1623375752353253E-2</v>
      </c>
      <c r="AW200" s="7">
        <v>0.81579679754353918</v>
      </c>
      <c r="AX200" s="7">
        <v>2.0791510168267702</v>
      </c>
      <c r="AY200" s="7" t="e">
        <v>#N/A</v>
      </c>
      <c r="AZ200" s="7">
        <v>17.995784842215279</v>
      </c>
      <c r="BA200" s="7">
        <v>2.0042151577847207</v>
      </c>
      <c r="BU200" t="b">
        <v>1</v>
      </c>
      <c r="BW200">
        <v>1</v>
      </c>
      <c r="BX200">
        <v>152</v>
      </c>
      <c r="BY200">
        <v>4215</v>
      </c>
      <c r="BZ200">
        <v>0</v>
      </c>
      <c r="CA200">
        <v>0</v>
      </c>
      <c r="CB200">
        <v>0</v>
      </c>
      <c r="CC200">
        <v>0</v>
      </c>
      <c r="CD200">
        <v>0</v>
      </c>
      <c r="CE200">
        <v>1</v>
      </c>
      <c r="CF200">
        <v>0</v>
      </c>
      <c r="CG200">
        <v>0</v>
      </c>
      <c r="CH200">
        <v>0</v>
      </c>
      <c r="CI200">
        <v>0</v>
      </c>
      <c r="CJ200">
        <v>0</v>
      </c>
      <c r="CK200">
        <v>0</v>
      </c>
      <c r="CL200">
        <v>0</v>
      </c>
      <c r="CM200">
        <v>1</v>
      </c>
    </row>
    <row r="201" spans="40:91" x14ac:dyDescent="0.25">
      <c r="AN201" t="str">
        <v>ford granada ghia</v>
      </c>
      <c r="AO201" s="7">
        <v>18</v>
      </c>
      <c r="AP201" s="7">
        <v>18.742861185557167</v>
      </c>
      <c r="AQ201" s="7">
        <v>-0.7428611855571674</v>
      </c>
      <c r="AR201" s="7">
        <v>4.7455102359536781E-2</v>
      </c>
      <c r="AS201" s="7">
        <v>-0.2481496935310088</v>
      </c>
      <c r="AT201" s="7">
        <v>1.8045795205291648E-4</v>
      </c>
      <c r="AU201" s="7">
        <v>3.1972353893138855E-3</v>
      </c>
      <c r="AV201" s="7">
        <v>-9.0731992161399884E-3</v>
      </c>
      <c r="AW201" s="7">
        <v>0.49814625716852357</v>
      </c>
      <c r="AX201" s="7">
        <v>-0.77986999604669482</v>
      </c>
      <c r="AY201" s="7" t="e">
        <v>#N/A</v>
      </c>
      <c r="AZ201" s="7">
        <v>18.742861185557167</v>
      </c>
      <c r="BA201" s="7">
        <v>-0.7428611855571674</v>
      </c>
      <c r="BU201" t="b">
        <v>1</v>
      </c>
      <c r="BW201">
        <v>1</v>
      </c>
      <c r="BX201">
        <v>100</v>
      </c>
      <c r="BY201">
        <v>3233</v>
      </c>
      <c r="BZ201">
        <v>0</v>
      </c>
      <c r="CA201">
        <v>0</v>
      </c>
      <c r="CB201">
        <v>0</v>
      </c>
      <c r="CC201">
        <v>0</v>
      </c>
      <c r="CD201">
        <v>0</v>
      </c>
      <c r="CE201">
        <v>1</v>
      </c>
      <c r="CF201">
        <v>0</v>
      </c>
      <c r="CG201">
        <v>0</v>
      </c>
      <c r="CH201">
        <v>0</v>
      </c>
      <c r="CI201">
        <v>0</v>
      </c>
      <c r="CJ201">
        <v>0</v>
      </c>
      <c r="CK201">
        <v>0</v>
      </c>
      <c r="CL201">
        <v>0</v>
      </c>
      <c r="CM201">
        <v>1</v>
      </c>
    </row>
    <row r="202" spans="40:91" x14ac:dyDescent="0.25">
      <c r="AN202" t="str">
        <v>pontiac ventura sj</v>
      </c>
      <c r="AO202" s="7">
        <v>18.5</v>
      </c>
      <c r="AP202" s="7">
        <v>17.863800380370563</v>
      </c>
      <c r="AQ202" s="7">
        <v>0.63619961962943705</v>
      </c>
      <c r="AR202" s="7">
        <v>3.2675410542189164E-2</v>
      </c>
      <c r="AS202" s="7">
        <v>0.21089005247032272</v>
      </c>
      <c r="AT202" s="7">
        <v>8.8371472904508343E-5</v>
      </c>
      <c r="AU202" s="7">
        <v>3.1972353893138855E-3</v>
      </c>
      <c r="AV202" s="7">
        <v>2.460353485030169E-3</v>
      </c>
      <c r="AW202" s="7">
        <v>0.45922766953911076</v>
      </c>
      <c r="AX202" s="7">
        <v>0.65768990736194288</v>
      </c>
      <c r="AY202" s="7" t="e">
        <v>#N/A</v>
      </c>
      <c r="AZ202" s="7">
        <v>17.863800380370563</v>
      </c>
      <c r="BA202" s="7">
        <v>0.63619961962943705</v>
      </c>
      <c r="BU202" t="b">
        <v>1</v>
      </c>
      <c r="BW202">
        <v>1</v>
      </c>
      <c r="BX202">
        <v>105</v>
      </c>
      <c r="BY202">
        <v>3353</v>
      </c>
      <c r="BZ202">
        <v>0</v>
      </c>
      <c r="CA202">
        <v>0</v>
      </c>
      <c r="CB202">
        <v>0</v>
      </c>
      <c r="CC202">
        <v>0</v>
      </c>
      <c r="CD202">
        <v>0</v>
      </c>
      <c r="CE202">
        <v>1</v>
      </c>
      <c r="CF202">
        <v>0</v>
      </c>
      <c r="CG202">
        <v>0</v>
      </c>
      <c r="CH202">
        <v>0</v>
      </c>
      <c r="CI202">
        <v>0</v>
      </c>
      <c r="CJ202">
        <v>0</v>
      </c>
      <c r="CK202">
        <v>0</v>
      </c>
      <c r="CL202">
        <v>0</v>
      </c>
      <c r="CM202">
        <v>1</v>
      </c>
    </row>
    <row r="203" spans="40:91" x14ac:dyDescent="0.25">
      <c r="AN203" t="str">
        <v>amc pacer d/l</v>
      </c>
      <c r="AO203" s="7">
        <v>17.5</v>
      </c>
      <c r="AP203" s="7">
        <v>20.395962805706453</v>
      </c>
      <c r="AQ203" s="7">
        <v>-2.8959628057064535</v>
      </c>
      <c r="AR203" s="7">
        <v>3.2246727730245492E-2</v>
      </c>
      <c r="AS203" s="7">
        <v>-0.95975295748031364</v>
      </c>
      <c r="AT203" s="7">
        <v>1.805473003637405E-3</v>
      </c>
      <c r="AU203" s="7">
        <v>3.1972353893138855E-3</v>
      </c>
      <c r="AV203" s="7">
        <v>9.794683491434978E-3</v>
      </c>
      <c r="AW203" s="7">
        <v>0.97966982064382979</v>
      </c>
      <c r="AX203" s="7">
        <v>-2.9924598435242737</v>
      </c>
      <c r="AY203" s="7" t="e">
        <v>#N/A</v>
      </c>
      <c r="AZ203" s="7">
        <v>20.395962805706453</v>
      </c>
      <c r="BA203" s="7">
        <v>-2.8959628057064535</v>
      </c>
      <c r="BU203" t="b">
        <v>1</v>
      </c>
      <c r="BW203">
        <v>1</v>
      </c>
      <c r="BX203">
        <v>81</v>
      </c>
      <c r="BY203">
        <v>3012</v>
      </c>
      <c r="BZ203">
        <v>0</v>
      </c>
      <c r="CA203">
        <v>0</v>
      </c>
      <c r="CB203">
        <v>0</v>
      </c>
      <c r="CC203">
        <v>0</v>
      </c>
      <c r="CD203">
        <v>0</v>
      </c>
      <c r="CE203">
        <v>1</v>
      </c>
      <c r="CF203">
        <v>0</v>
      </c>
      <c r="CG203">
        <v>0</v>
      </c>
      <c r="CH203">
        <v>0</v>
      </c>
      <c r="CI203">
        <v>0</v>
      </c>
      <c r="CJ203">
        <v>0</v>
      </c>
      <c r="CK203">
        <v>0</v>
      </c>
      <c r="CL203">
        <v>0</v>
      </c>
      <c r="CM203">
        <v>1</v>
      </c>
    </row>
    <row r="204" spans="40:91" x14ac:dyDescent="0.25">
      <c r="AN204" t="str">
        <v>volkswagen rabbit</v>
      </c>
      <c r="AO204" s="7">
        <v>29.5</v>
      </c>
      <c r="AP204" s="7">
        <v>29.650209495220277</v>
      </c>
      <c r="AQ204" s="7">
        <v>-0.15020949522027749</v>
      </c>
      <c r="AR204" s="7">
        <v>4.6489794191789918E-2</v>
      </c>
      <c r="AS204" s="7">
        <v>-5.0151452692646335E-2</v>
      </c>
      <c r="AT204" s="7">
        <v>7.2135723349857207E-6</v>
      </c>
      <c r="AU204" s="7">
        <v>3.1972353893138855E-3</v>
      </c>
      <c r="AV204" s="7">
        <v>1.3677785391081904E-2</v>
      </c>
      <c r="AW204" s="7">
        <v>0.22394520020006309</v>
      </c>
      <c r="AX204" s="7">
        <v>-0.15753318035327957</v>
      </c>
      <c r="AY204" s="7" t="e">
        <v>#N/A</v>
      </c>
      <c r="AZ204" s="7">
        <v>29.650209495220277</v>
      </c>
      <c r="BA204" s="7">
        <v>-0.15020949522027749</v>
      </c>
      <c r="BU204" t="b">
        <v>1</v>
      </c>
      <c r="BW204">
        <v>1</v>
      </c>
      <c r="BX204">
        <v>90</v>
      </c>
      <c r="BY204">
        <v>3085</v>
      </c>
      <c r="BZ204">
        <v>0</v>
      </c>
      <c r="CA204">
        <v>0</v>
      </c>
      <c r="CB204">
        <v>0</v>
      </c>
      <c r="CC204">
        <v>0</v>
      </c>
      <c r="CD204">
        <v>0</v>
      </c>
      <c r="CE204">
        <v>1</v>
      </c>
      <c r="CF204">
        <v>0</v>
      </c>
      <c r="CG204">
        <v>0</v>
      </c>
      <c r="CH204">
        <v>0</v>
      </c>
      <c r="CI204">
        <v>0</v>
      </c>
      <c r="CJ204">
        <v>0</v>
      </c>
      <c r="CK204">
        <v>0</v>
      </c>
      <c r="CL204">
        <v>0</v>
      </c>
      <c r="CM204">
        <v>1</v>
      </c>
    </row>
    <row r="205" spans="40:91" x14ac:dyDescent="0.25">
      <c r="AN205" t="str">
        <v>datsun b-210</v>
      </c>
      <c r="AO205" s="7">
        <v>32</v>
      </c>
      <c r="AP205" s="7">
        <v>28.952976682629401</v>
      </c>
      <c r="AQ205" s="7">
        <v>3.0470233173705985</v>
      </c>
      <c r="AR205" s="7">
        <v>4.4040272230168237E-2</v>
      </c>
      <c r="AS205" s="7">
        <v>1.0160259092109305</v>
      </c>
      <c r="AT205" s="7">
        <v>2.797506100327017E-3</v>
      </c>
      <c r="AU205" s="7">
        <v>3.1972353893138855E-3</v>
      </c>
      <c r="AV205" s="7">
        <v>1.5048430824006871E-2</v>
      </c>
      <c r="AW205" s="7">
        <v>1.0079811055823074</v>
      </c>
      <c r="AX205" s="7">
        <v>3.1873971558185099</v>
      </c>
      <c r="AY205" s="7" t="e">
        <v>#N/A</v>
      </c>
      <c r="AZ205" s="7">
        <v>28.952976682629401</v>
      </c>
      <c r="BA205" s="7">
        <v>3.0470233173705985</v>
      </c>
      <c r="BU205" t="b">
        <v>1</v>
      </c>
      <c r="BW205">
        <v>1</v>
      </c>
      <c r="BX205">
        <v>52</v>
      </c>
      <c r="BY205">
        <v>2035</v>
      </c>
      <c r="BZ205">
        <v>0</v>
      </c>
      <c r="CA205">
        <v>0</v>
      </c>
      <c r="CB205">
        <v>0</v>
      </c>
      <c r="CC205">
        <v>0</v>
      </c>
      <c r="CD205">
        <v>0</v>
      </c>
      <c r="CE205">
        <v>1</v>
      </c>
      <c r="CF205">
        <v>0</v>
      </c>
      <c r="CG205">
        <v>0</v>
      </c>
      <c r="CH205">
        <v>0</v>
      </c>
      <c r="CI205">
        <v>0</v>
      </c>
      <c r="CJ205">
        <v>0</v>
      </c>
      <c r="CK205">
        <v>0</v>
      </c>
      <c r="CL205">
        <v>0</v>
      </c>
      <c r="CM205">
        <v>1</v>
      </c>
    </row>
    <row r="206" spans="40:91" x14ac:dyDescent="0.25">
      <c r="AN206" t="str">
        <v>toyota corolla</v>
      </c>
      <c r="AO206" s="7">
        <v>28</v>
      </c>
      <c r="AP206" s="7">
        <v>28.03634843636744</v>
      </c>
      <c r="AQ206" s="7">
        <v>-3.6348436367440229E-2</v>
      </c>
      <c r="AR206" s="7">
        <v>4.3350610044236071E-2</v>
      </c>
      <c r="AS206" s="7">
        <v>-1.2115968549615531E-2</v>
      </c>
      <c r="AT206" s="7">
        <v>3.9129992780638131E-7</v>
      </c>
      <c r="AU206" s="7">
        <v>3.1972353893138855E-3</v>
      </c>
      <c r="AV206" s="7">
        <v>1.6521563559608765E-2</v>
      </c>
      <c r="AW206" s="7">
        <v>0.11007256038457328</v>
      </c>
      <c r="AX206" s="7">
        <v>-3.7995567392899297E-2</v>
      </c>
      <c r="AY206" s="7" t="e">
        <v>#N/A</v>
      </c>
      <c r="AZ206" s="7">
        <v>28.03634843636744</v>
      </c>
      <c r="BA206" s="7">
        <v>-3.6348436367440229E-2</v>
      </c>
      <c r="BU206" t="b">
        <v>1</v>
      </c>
      <c r="BW206">
        <v>1</v>
      </c>
      <c r="BX206">
        <v>60</v>
      </c>
      <c r="BY206">
        <v>2164</v>
      </c>
      <c r="BZ206">
        <v>0</v>
      </c>
      <c r="CA206">
        <v>0</v>
      </c>
      <c r="CB206">
        <v>0</v>
      </c>
      <c r="CC206">
        <v>0</v>
      </c>
      <c r="CD206">
        <v>0</v>
      </c>
      <c r="CE206">
        <v>1</v>
      </c>
      <c r="CF206">
        <v>0</v>
      </c>
      <c r="CG206">
        <v>0</v>
      </c>
      <c r="CH206">
        <v>0</v>
      </c>
      <c r="CI206">
        <v>0</v>
      </c>
      <c r="CJ206">
        <v>0</v>
      </c>
      <c r="CK206">
        <v>0</v>
      </c>
      <c r="CL206">
        <v>0</v>
      </c>
      <c r="CM206">
        <v>1</v>
      </c>
    </row>
    <row r="207" spans="40:91" x14ac:dyDescent="0.25">
      <c r="AN207" t="str">
        <v>ford pinto</v>
      </c>
      <c r="AO207" s="7">
        <v>26.5</v>
      </c>
      <c r="AP207" s="7">
        <v>23.949159178931204</v>
      </c>
      <c r="AQ207" s="7">
        <v>2.5508408210687961</v>
      </c>
      <c r="AR207" s="7">
        <v>3.6411444622850564E-2</v>
      </c>
      <c r="AS207" s="7">
        <v>0.84720077695598328</v>
      </c>
      <c r="AT207" s="7">
        <v>1.595401683831484E-3</v>
      </c>
      <c r="AU207" s="7">
        <v>3.1972353893138855E-3</v>
      </c>
      <c r="AV207" s="7">
        <v>1.9978196923054001E-2</v>
      </c>
      <c r="AW207" s="7">
        <v>0.92043510197948408</v>
      </c>
      <c r="AX207" s="7">
        <v>2.6472303005616276</v>
      </c>
      <c r="AY207" s="7" t="e">
        <v>#N/A</v>
      </c>
      <c r="AZ207" s="7">
        <v>23.949159178931204</v>
      </c>
      <c r="BA207" s="7">
        <v>2.5508408210687961</v>
      </c>
      <c r="BU207" t="b">
        <v>1</v>
      </c>
      <c r="BW207">
        <v>1</v>
      </c>
      <c r="BX207">
        <v>70</v>
      </c>
      <c r="BY207">
        <v>1937</v>
      </c>
      <c r="BZ207">
        <v>0</v>
      </c>
      <c r="CA207">
        <v>0</v>
      </c>
      <c r="CB207">
        <v>0</v>
      </c>
      <c r="CC207">
        <v>0</v>
      </c>
      <c r="CD207">
        <v>0</v>
      </c>
      <c r="CE207">
        <v>1</v>
      </c>
      <c r="CF207">
        <v>0</v>
      </c>
      <c r="CG207">
        <v>0</v>
      </c>
      <c r="CH207">
        <v>0</v>
      </c>
      <c r="CI207">
        <v>0</v>
      </c>
      <c r="CJ207">
        <v>0</v>
      </c>
      <c r="CK207">
        <v>0</v>
      </c>
      <c r="CL207">
        <v>1</v>
      </c>
      <c r="CM207">
        <v>0</v>
      </c>
    </row>
    <row r="208" spans="40:91" x14ac:dyDescent="0.25">
      <c r="AN208" t="str">
        <v>volvo 245</v>
      </c>
      <c r="AO208" s="7">
        <v>20</v>
      </c>
      <c r="AP208" s="7">
        <v>22.43799486463082</v>
      </c>
      <c r="AQ208" s="7">
        <v>-2.43799486463082</v>
      </c>
      <c r="AR208" s="7">
        <v>4.3042025864849058E-2</v>
      </c>
      <c r="AS208" s="7">
        <v>-0.81252205315323311</v>
      </c>
      <c r="AT208" s="7">
        <v>1.7467117093002329E-3</v>
      </c>
      <c r="AU208" s="7">
        <v>6.0784779324276172E-2</v>
      </c>
      <c r="AV208" s="7">
        <v>2.781136326469728E-2</v>
      </c>
      <c r="AW208" s="7">
        <v>0.9014000516714169</v>
      </c>
      <c r="AX208" s="7">
        <v>-2.5476509214881182</v>
      </c>
      <c r="AY208" s="7" t="e">
        <v>#N/A</v>
      </c>
      <c r="AZ208" s="7">
        <v>22.43799486463082</v>
      </c>
      <c r="BA208" s="7">
        <v>-2.43799486463082</v>
      </c>
      <c r="BU208" t="b">
        <v>1</v>
      </c>
      <c r="BW208">
        <v>1</v>
      </c>
      <c r="BX208">
        <v>53</v>
      </c>
      <c r="BY208">
        <v>1795</v>
      </c>
      <c r="BZ208">
        <v>0</v>
      </c>
      <c r="CA208">
        <v>0</v>
      </c>
      <c r="CB208">
        <v>0</v>
      </c>
      <c r="CC208">
        <v>0</v>
      </c>
      <c r="CD208">
        <v>0</v>
      </c>
      <c r="CE208">
        <v>1</v>
      </c>
      <c r="CF208">
        <v>0</v>
      </c>
      <c r="CG208">
        <v>0</v>
      </c>
      <c r="CH208">
        <v>0</v>
      </c>
      <c r="CI208">
        <v>0</v>
      </c>
      <c r="CJ208">
        <v>0</v>
      </c>
      <c r="CK208">
        <v>0</v>
      </c>
      <c r="CL208">
        <v>0</v>
      </c>
      <c r="CM208">
        <v>0</v>
      </c>
    </row>
    <row r="209" spans="40:91" x14ac:dyDescent="0.25">
      <c r="AN209" t="str">
        <v>plymouth volare premier v8</v>
      </c>
      <c r="AO209" s="7">
        <v>13</v>
      </c>
      <c r="AP209" s="7">
        <v>15.720666765769487</v>
      </c>
      <c r="AQ209" s="7">
        <v>-2.7206667657694865</v>
      </c>
      <c r="AR209" s="7">
        <v>3.5371291299942126E-2</v>
      </c>
      <c r="AS209" s="7">
        <v>-0.90311709621560088</v>
      </c>
      <c r="AT209" s="7">
        <v>1.7592596334059475E-3</v>
      </c>
      <c r="AU209" s="7">
        <v>6.7192354710227428E-2</v>
      </c>
      <c r="AV209" s="7">
        <v>3.0723966658166412E-2</v>
      </c>
      <c r="AW209" s="7">
        <v>0.95032473198144274</v>
      </c>
      <c r="AX209" s="7">
        <v>-2.8204289808416347</v>
      </c>
      <c r="AY209" s="7" t="e">
        <v>#N/A</v>
      </c>
      <c r="AZ209" s="7">
        <v>15.720666765769487</v>
      </c>
      <c r="BA209" s="7">
        <v>-2.7206667657694865</v>
      </c>
      <c r="BU209" t="b">
        <v>1</v>
      </c>
      <c r="BW209">
        <v>1</v>
      </c>
      <c r="BX209">
        <v>100</v>
      </c>
      <c r="BY209">
        <v>3651</v>
      </c>
      <c r="BZ209">
        <v>0</v>
      </c>
      <c r="CA209">
        <v>0</v>
      </c>
      <c r="CB209">
        <v>0</v>
      </c>
      <c r="CC209">
        <v>0</v>
      </c>
      <c r="CD209">
        <v>0</v>
      </c>
      <c r="CE209">
        <v>1</v>
      </c>
      <c r="CF209">
        <v>0</v>
      </c>
      <c r="CG209">
        <v>0</v>
      </c>
      <c r="CH209">
        <v>0</v>
      </c>
      <c r="CI209">
        <v>0</v>
      </c>
      <c r="CJ209">
        <v>0</v>
      </c>
      <c r="CK209">
        <v>0</v>
      </c>
      <c r="CL209">
        <v>0</v>
      </c>
      <c r="CM209">
        <v>1</v>
      </c>
    </row>
    <row r="210" spans="40:91" x14ac:dyDescent="0.25">
      <c r="AN210" t="str">
        <v>peugeot 504</v>
      </c>
      <c r="AO210" s="7">
        <v>19</v>
      </c>
      <c r="AP210" s="7">
        <v>22.05770775816638</v>
      </c>
      <c r="AQ210" s="7">
        <v>-3.0577077581663801</v>
      </c>
      <c r="AR210" s="7">
        <v>4.7441901732412563E-2</v>
      </c>
      <c r="AS210" s="7">
        <v>-1.0214074988536559</v>
      </c>
      <c r="AT210" s="7">
        <v>3.056467474813369E-3</v>
      </c>
      <c r="AU210" s="7">
        <v>7.3602690030832113E-2</v>
      </c>
      <c r="AV210" s="7">
        <v>3.3677120231554412E-2</v>
      </c>
      <c r="AW210" s="7">
        <v>1.0106470693835983</v>
      </c>
      <c r="AX210" s="7">
        <v>-3.2099960765935616</v>
      </c>
      <c r="AY210" s="7" t="e">
        <v>#N/A</v>
      </c>
      <c r="AZ210" s="7">
        <v>22.05770775816638</v>
      </c>
      <c r="BA210" s="7">
        <v>-3.0577077581663801</v>
      </c>
      <c r="BU210" t="b">
        <v>1</v>
      </c>
      <c r="BW210">
        <v>1</v>
      </c>
      <c r="BX210">
        <v>78</v>
      </c>
      <c r="BY210">
        <v>3574</v>
      </c>
      <c r="BZ210">
        <v>0</v>
      </c>
      <c r="CA210">
        <v>0</v>
      </c>
      <c r="CB210">
        <v>0</v>
      </c>
      <c r="CC210">
        <v>0</v>
      </c>
      <c r="CD210">
        <v>0</v>
      </c>
      <c r="CE210">
        <v>1</v>
      </c>
      <c r="CF210">
        <v>0</v>
      </c>
      <c r="CG210">
        <v>0</v>
      </c>
      <c r="CH210">
        <v>0</v>
      </c>
      <c r="CI210">
        <v>0</v>
      </c>
      <c r="CJ210">
        <v>0</v>
      </c>
      <c r="CK210">
        <v>0</v>
      </c>
      <c r="CL210">
        <v>0</v>
      </c>
      <c r="CM210">
        <v>1</v>
      </c>
    </row>
    <row r="211" spans="40:91" x14ac:dyDescent="0.25">
      <c r="AN211" t="str">
        <v>toyota mark ii</v>
      </c>
      <c r="AO211" s="7">
        <v>19</v>
      </c>
      <c r="AP211" s="7">
        <v>23.576481230185106</v>
      </c>
      <c r="AQ211" s="7">
        <v>-4.5764812301851059</v>
      </c>
      <c r="AR211" s="7">
        <v>4.5101384794468423E-2</v>
      </c>
      <c r="AS211" s="7">
        <v>-1.52686927997236</v>
      </c>
      <c r="AT211" s="7">
        <v>6.4772014803550233E-3</v>
      </c>
      <c r="AU211" s="7">
        <v>8.0016051321400994E-2</v>
      </c>
      <c r="AV211" s="7">
        <v>3.5295875579665917E-2</v>
      </c>
      <c r="AW211" s="7">
        <v>1.235665521074518</v>
      </c>
      <c r="AX211" s="7">
        <v>-4.7926357388214118</v>
      </c>
      <c r="AY211" s="7" t="e">
        <v>#N/A</v>
      </c>
      <c r="AZ211" s="7">
        <v>23.576481230185106</v>
      </c>
      <c r="BA211" s="7">
        <v>-4.5764812301851059</v>
      </c>
      <c r="BU211" t="b">
        <v>1</v>
      </c>
      <c r="BW211">
        <v>1</v>
      </c>
      <c r="BX211">
        <v>110</v>
      </c>
      <c r="BY211">
        <v>3645</v>
      </c>
      <c r="BZ211">
        <v>0</v>
      </c>
      <c r="CA211">
        <v>0</v>
      </c>
      <c r="CB211">
        <v>0</v>
      </c>
      <c r="CC211">
        <v>0</v>
      </c>
      <c r="CD211">
        <v>0</v>
      </c>
      <c r="CE211">
        <v>1</v>
      </c>
      <c r="CF211">
        <v>0</v>
      </c>
      <c r="CG211">
        <v>0</v>
      </c>
      <c r="CH211">
        <v>0</v>
      </c>
      <c r="CI211">
        <v>0</v>
      </c>
      <c r="CJ211">
        <v>0</v>
      </c>
      <c r="CK211">
        <v>0</v>
      </c>
      <c r="CL211">
        <v>0</v>
      </c>
      <c r="CM211">
        <v>1</v>
      </c>
    </row>
    <row r="212" spans="40:91" x14ac:dyDescent="0.25">
      <c r="AN212" t="str">
        <v>mercedes-benz 280s</v>
      </c>
      <c r="AO212" s="7">
        <v>16.5</v>
      </c>
      <c r="AP212" s="7">
        <v>18.753321647338865</v>
      </c>
      <c r="AQ212" s="7">
        <v>-2.2533216473388649</v>
      </c>
      <c r="AR212" s="7">
        <v>5.2143200958480455E-2</v>
      </c>
      <c r="AS212" s="7">
        <v>-0.75457189916223411</v>
      </c>
      <c r="AT212" s="7">
        <v>1.8424991340948147E-3</v>
      </c>
      <c r="AU212" s="7">
        <v>8.6432705492186818E-2</v>
      </c>
      <c r="AV212" s="7">
        <v>4.357517290963614E-2</v>
      </c>
      <c r="AW212" s="7">
        <v>0.8686609805685036</v>
      </c>
      <c r="AX212" s="7">
        <v>-2.3772806711071146</v>
      </c>
      <c r="AY212" s="7" t="e">
        <v>#N/A</v>
      </c>
      <c r="AZ212" s="7">
        <v>18.753321647338865</v>
      </c>
      <c r="BA212" s="7">
        <v>-2.2533216473388649</v>
      </c>
      <c r="BU212" t="b">
        <v>1</v>
      </c>
      <c r="BW212">
        <v>1</v>
      </c>
      <c r="BX212">
        <v>95</v>
      </c>
      <c r="BY212">
        <v>3193</v>
      </c>
      <c r="BZ212">
        <v>0</v>
      </c>
      <c r="CA212">
        <v>0</v>
      </c>
      <c r="CB212">
        <v>0</v>
      </c>
      <c r="CC212">
        <v>0</v>
      </c>
      <c r="CD212">
        <v>0</v>
      </c>
      <c r="CE212">
        <v>1</v>
      </c>
      <c r="CF212">
        <v>0</v>
      </c>
      <c r="CG212">
        <v>0</v>
      </c>
      <c r="CH212">
        <v>0</v>
      </c>
      <c r="CI212">
        <v>0</v>
      </c>
      <c r="CJ212">
        <v>0</v>
      </c>
      <c r="CK212">
        <v>0</v>
      </c>
      <c r="CL212">
        <v>0</v>
      </c>
      <c r="CM212">
        <v>1</v>
      </c>
    </row>
    <row r="213" spans="40:91" x14ac:dyDescent="0.25">
      <c r="AN213" t="str">
        <v>cadillac seville</v>
      </c>
      <c r="AO213" s="7">
        <v>16.5</v>
      </c>
      <c r="AP213" s="7">
        <v>13.005717576511891</v>
      </c>
      <c r="AQ213" s="7">
        <v>3.4942824234881087</v>
      </c>
      <c r="AR213" s="7">
        <v>4.5377289279871169E-2</v>
      </c>
      <c r="AS213" s="7">
        <v>1.1659795306247347</v>
      </c>
      <c r="AT213" s="7">
        <v>3.8013662770482819E-3</v>
      </c>
      <c r="AU213" s="7">
        <v>8.6432705492186818E-2</v>
      </c>
      <c r="AV213" s="7">
        <v>4.42470064737382E-2</v>
      </c>
      <c r="AW213" s="7">
        <v>1.0798053207058829</v>
      </c>
      <c r="AX213" s="7">
        <v>3.6603805715581217</v>
      </c>
      <c r="AY213" s="7" t="e">
        <v>#N/A</v>
      </c>
      <c r="AZ213" s="7">
        <v>13.005717576511891</v>
      </c>
      <c r="BA213" s="7">
        <v>3.4942824234881087</v>
      </c>
      <c r="BU213" t="b">
        <v>1</v>
      </c>
      <c r="BW213">
        <v>1</v>
      </c>
      <c r="BX213">
        <v>71</v>
      </c>
      <c r="BY213">
        <v>1825</v>
      </c>
      <c r="BZ213">
        <v>0</v>
      </c>
      <c r="CA213">
        <v>0</v>
      </c>
      <c r="CB213">
        <v>0</v>
      </c>
      <c r="CC213">
        <v>0</v>
      </c>
      <c r="CD213">
        <v>0</v>
      </c>
      <c r="CE213">
        <v>1</v>
      </c>
      <c r="CF213">
        <v>0</v>
      </c>
      <c r="CG213">
        <v>0</v>
      </c>
      <c r="CH213">
        <v>0</v>
      </c>
      <c r="CI213">
        <v>0</v>
      </c>
      <c r="CJ213">
        <v>0</v>
      </c>
      <c r="CK213">
        <v>0</v>
      </c>
      <c r="CL213">
        <v>1</v>
      </c>
      <c r="CM213">
        <v>0</v>
      </c>
    </row>
    <row r="214" spans="40:91" x14ac:dyDescent="0.25">
      <c r="AN214" t="str">
        <v>chevy c10</v>
      </c>
      <c r="AO214" s="7">
        <v>13</v>
      </c>
      <c r="AP214" s="7">
        <v>15.219568319798768</v>
      </c>
      <c r="AQ214" s="7">
        <v>-2.2195683197987677</v>
      </c>
      <c r="AR214" s="7">
        <v>3.4025124972775156E-2</v>
      </c>
      <c r="AS214" s="7">
        <v>-0.73626542374562576</v>
      </c>
      <c r="AT214" s="7">
        <v>1.1231914493353228E-3</v>
      </c>
      <c r="AU214" s="7">
        <v>9.9276964964338646E-2</v>
      </c>
      <c r="AV214" s="7">
        <v>5.5683358456545526E-2</v>
      </c>
      <c r="AW214" s="7">
        <v>0.8580591027112443</v>
      </c>
      <c r="AX214" s="7">
        <v>-2.2977495348791677</v>
      </c>
      <c r="AY214" s="7" t="e">
        <v>#N/A</v>
      </c>
      <c r="AZ214" s="7">
        <v>15.219568319798768</v>
      </c>
      <c r="BA214" s="7">
        <v>-2.2195683197987677</v>
      </c>
      <c r="BU214" t="b">
        <v>1</v>
      </c>
      <c r="BW214">
        <v>1</v>
      </c>
      <c r="BX214">
        <v>70</v>
      </c>
      <c r="BY214">
        <v>1990</v>
      </c>
      <c r="BZ214">
        <v>0</v>
      </c>
      <c r="CA214">
        <v>0</v>
      </c>
      <c r="CB214">
        <v>0</v>
      </c>
      <c r="CC214">
        <v>0</v>
      </c>
      <c r="CD214">
        <v>0</v>
      </c>
      <c r="CE214">
        <v>1</v>
      </c>
      <c r="CF214">
        <v>0</v>
      </c>
      <c r="CG214">
        <v>0</v>
      </c>
      <c r="CH214">
        <v>0</v>
      </c>
      <c r="CI214">
        <v>0</v>
      </c>
      <c r="CJ214">
        <v>0</v>
      </c>
      <c r="CK214">
        <v>0</v>
      </c>
      <c r="CL214">
        <v>0</v>
      </c>
      <c r="CM214">
        <v>0</v>
      </c>
    </row>
    <row r="215" spans="40:91" x14ac:dyDescent="0.25">
      <c r="AN215" t="str">
        <v>ford f108</v>
      </c>
      <c r="AO215" s="7">
        <v>13</v>
      </c>
      <c r="AP215" s="7">
        <v>16.399827077898479</v>
      </c>
      <c r="AQ215" s="7">
        <v>-3.3998270778984789</v>
      </c>
      <c r="AR215" s="7">
        <v>3.2249410702291689E-2</v>
      </c>
      <c r="AS215" s="7">
        <v>-1.1267405125615257</v>
      </c>
      <c r="AT215" s="7">
        <v>2.488612264338563E-3</v>
      </c>
      <c r="AU215" s="7">
        <v>9.9276964964338646E-2</v>
      </c>
      <c r="AV215" s="7">
        <v>6.1844508852534556E-2</v>
      </c>
      <c r="AW215" s="7">
        <v>1.0614803401672241</v>
      </c>
      <c r="AX215" s="7">
        <v>-3.5131232318501775</v>
      </c>
      <c r="AY215" s="7" t="e">
        <v>#N/A</v>
      </c>
      <c r="AZ215" s="7">
        <v>16.399827077898479</v>
      </c>
      <c r="BA215" s="7">
        <v>-3.3998270778984789</v>
      </c>
      <c r="BU215" t="b">
        <v>1</v>
      </c>
      <c r="BW215">
        <v>1</v>
      </c>
      <c r="BX215">
        <v>75</v>
      </c>
      <c r="BY215">
        <v>2155</v>
      </c>
      <c r="BZ215">
        <v>0</v>
      </c>
      <c r="CA215">
        <v>0</v>
      </c>
      <c r="CB215">
        <v>0</v>
      </c>
      <c r="CC215">
        <v>0</v>
      </c>
      <c r="CD215">
        <v>0</v>
      </c>
      <c r="CE215">
        <v>1</v>
      </c>
      <c r="CF215">
        <v>0</v>
      </c>
      <c r="CG215">
        <v>0</v>
      </c>
      <c r="CH215">
        <v>0</v>
      </c>
      <c r="CI215">
        <v>0</v>
      </c>
      <c r="CJ215">
        <v>0</v>
      </c>
      <c r="CK215">
        <v>0</v>
      </c>
      <c r="CL215">
        <v>0</v>
      </c>
      <c r="CM215">
        <v>0</v>
      </c>
    </row>
    <row r="216" spans="40:91" x14ac:dyDescent="0.25">
      <c r="AN216" t="str">
        <v>dodge d100</v>
      </c>
      <c r="AO216" s="7">
        <v>13</v>
      </c>
      <c r="AP216" s="7">
        <v>16.657379044566085</v>
      </c>
      <c r="AQ216" s="7">
        <v>-3.6573790445660848</v>
      </c>
      <c r="AR216" s="7">
        <v>3.7135465112778508E-2</v>
      </c>
      <c r="AS216" s="7">
        <v>-1.2151675973963261</v>
      </c>
      <c r="AT216" s="7">
        <v>3.3500178156531685E-3</v>
      </c>
      <c r="AU216" s="7">
        <v>9.9276964964338646E-2</v>
      </c>
      <c r="AV216" s="7">
        <v>6.7796750316838655E-2</v>
      </c>
      <c r="AW216" s="7">
        <v>1.1023464053537464</v>
      </c>
      <c r="AX216" s="7">
        <v>-3.798435721795971</v>
      </c>
      <c r="AY216" s="7" t="e">
        <v>#N/A</v>
      </c>
      <c r="AZ216" s="7">
        <v>16.657379044566085</v>
      </c>
      <c r="BA216" s="7">
        <v>-3.6573790445660848</v>
      </c>
      <c r="BU216" t="b">
        <v>1</v>
      </c>
      <c r="BW216">
        <v>1</v>
      </c>
      <c r="BX216">
        <v>72</v>
      </c>
      <c r="BY216">
        <v>2565</v>
      </c>
      <c r="BZ216">
        <v>0</v>
      </c>
      <c r="CA216">
        <v>0</v>
      </c>
      <c r="CB216">
        <v>0</v>
      </c>
      <c r="CC216">
        <v>0</v>
      </c>
      <c r="CD216">
        <v>0</v>
      </c>
      <c r="CE216">
        <v>1</v>
      </c>
      <c r="CF216">
        <v>0</v>
      </c>
      <c r="CG216">
        <v>0</v>
      </c>
      <c r="CH216">
        <v>0</v>
      </c>
      <c r="CI216">
        <v>0</v>
      </c>
      <c r="CJ216">
        <v>0</v>
      </c>
      <c r="CK216">
        <v>0</v>
      </c>
      <c r="CL216">
        <v>0</v>
      </c>
      <c r="CM216">
        <v>1</v>
      </c>
    </row>
    <row r="217" spans="40:91" x14ac:dyDescent="0.25">
      <c r="AN217" t="str">
        <v>honda accord cvcc</v>
      </c>
      <c r="AO217" s="7">
        <v>31.5</v>
      </c>
      <c r="AP217" s="7">
        <v>30.140660247573575</v>
      </c>
      <c r="AQ217" s="7">
        <v>1.3593397524264255</v>
      </c>
      <c r="AR217" s="7">
        <v>4.7573961811810575E-2</v>
      </c>
      <c r="AS217" s="7">
        <v>0.45411013125419436</v>
      </c>
      <c r="AT217" s="7">
        <v>6.0591474413001275E-4</v>
      </c>
      <c r="AU217" s="7">
        <v>9.9276964964338646E-2</v>
      </c>
      <c r="AV217" s="7">
        <v>7.2633416429775416E-2</v>
      </c>
      <c r="AW217" s="7">
        <v>0.67387694073487514</v>
      </c>
      <c r="AX217" s="7">
        <v>1.4272391744059334</v>
      </c>
      <c r="AY217" s="7" t="e">
        <v>#N/A</v>
      </c>
      <c r="AZ217" s="7">
        <v>30.140660247573575</v>
      </c>
      <c r="BA217" s="7">
        <v>1.3593397524264255</v>
      </c>
      <c r="BU217" t="b">
        <v>1</v>
      </c>
      <c r="BW217">
        <v>1</v>
      </c>
      <c r="BX217">
        <v>102</v>
      </c>
      <c r="BY217">
        <v>3150</v>
      </c>
      <c r="BZ217">
        <v>0</v>
      </c>
      <c r="CA217">
        <v>0</v>
      </c>
      <c r="CB217">
        <v>0</v>
      </c>
      <c r="CC217">
        <v>0</v>
      </c>
      <c r="CD217">
        <v>0</v>
      </c>
      <c r="CE217">
        <v>1</v>
      </c>
      <c r="CF217">
        <v>0</v>
      </c>
      <c r="CG217">
        <v>0</v>
      </c>
      <c r="CH217">
        <v>0</v>
      </c>
      <c r="CI217">
        <v>0</v>
      </c>
      <c r="CJ217">
        <v>0</v>
      </c>
      <c r="CK217">
        <v>0</v>
      </c>
      <c r="CL217">
        <v>1</v>
      </c>
      <c r="CM217">
        <v>0</v>
      </c>
    </row>
    <row r="218" spans="40:91" x14ac:dyDescent="0.25">
      <c r="AN218" t="str">
        <v>buick opel isuzu deluxe</v>
      </c>
      <c r="AO218" s="7">
        <v>30</v>
      </c>
      <c r="AP218" s="7">
        <v>27.328917395369256</v>
      </c>
      <c r="AQ218" s="7">
        <v>2.6710826046307439</v>
      </c>
      <c r="AR218" s="7">
        <v>4.7111530230497453E-2</v>
      </c>
      <c r="AS218" s="7">
        <v>0.89210317838709852</v>
      </c>
      <c r="AT218" s="7">
        <v>2.3145490611005686E-3</v>
      </c>
      <c r="AU218" s="7">
        <v>9.9276964964338646E-2</v>
      </c>
      <c r="AV218" s="7">
        <v>7.8125519301106491E-2</v>
      </c>
      <c r="AW218" s="7">
        <v>0.94451213776589371</v>
      </c>
      <c r="AX218" s="7">
        <v>2.8031429588783472</v>
      </c>
      <c r="AY218" s="7" t="e">
        <v>#N/A</v>
      </c>
      <c r="AZ218" s="7">
        <v>27.328917395369256</v>
      </c>
      <c r="BA218" s="7">
        <v>2.6710826046307439</v>
      </c>
      <c r="BU218" t="b">
        <v>1</v>
      </c>
      <c r="BW218">
        <v>1</v>
      </c>
      <c r="BX218">
        <v>150</v>
      </c>
      <c r="BY218">
        <v>3940</v>
      </c>
      <c r="BZ218">
        <v>0</v>
      </c>
      <c r="CA218">
        <v>0</v>
      </c>
      <c r="CB218">
        <v>0</v>
      </c>
      <c r="CC218">
        <v>0</v>
      </c>
      <c r="CD218">
        <v>0</v>
      </c>
      <c r="CE218">
        <v>1</v>
      </c>
      <c r="CF218">
        <v>0</v>
      </c>
      <c r="CG218">
        <v>0</v>
      </c>
      <c r="CH218">
        <v>0</v>
      </c>
      <c r="CI218">
        <v>0</v>
      </c>
      <c r="CJ218">
        <v>0</v>
      </c>
      <c r="CK218">
        <v>0</v>
      </c>
      <c r="CL218">
        <v>0</v>
      </c>
      <c r="CM218">
        <v>1</v>
      </c>
    </row>
    <row r="219" spans="40:91" x14ac:dyDescent="0.25">
      <c r="AN219" t="str">
        <v>renault 5 gtl</v>
      </c>
      <c r="AO219" s="7">
        <v>36</v>
      </c>
      <c r="AP219" s="7">
        <v>31.29497584048482</v>
      </c>
      <c r="AQ219" s="7">
        <v>4.7050241595151796</v>
      </c>
      <c r="AR219" s="7">
        <v>5.1189340081255051E-2</v>
      </c>
      <c r="AS219" s="7">
        <v>1.5747836013923096</v>
      </c>
      <c r="AT219" s="7">
        <v>7.8703278063428517E-3</v>
      </c>
      <c r="AU219" s="7">
        <v>9.9276964964338646E-2</v>
      </c>
      <c r="AV219" s="7">
        <v>8.1721707715658939E-2</v>
      </c>
      <c r="AW219" s="7">
        <v>1.2549038215705255</v>
      </c>
      <c r="AX219" s="7">
        <v>4.9588651964746191</v>
      </c>
      <c r="AY219" s="7" t="e">
        <v>#N/A</v>
      </c>
      <c r="AZ219" s="7">
        <v>31.29497584048482</v>
      </c>
      <c r="BA219" s="7">
        <v>4.7050241595151796</v>
      </c>
      <c r="BU219" t="b">
        <v>1</v>
      </c>
      <c r="BW219">
        <v>1</v>
      </c>
      <c r="BX219">
        <v>88</v>
      </c>
      <c r="BY219">
        <v>3270</v>
      </c>
      <c r="BZ219">
        <v>0</v>
      </c>
      <c r="CA219">
        <v>0</v>
      </c>
      <c r="CB219">
        <v>0</v>
      </c>
      <c r="CC219">
        <v>0</v>
      </c>
      <c r="CD219">
        <v>0</v>
      </c>
      <c r="CE219">
        <v>1</v>
      </c>
      <c r="CF219">
        <v>0</v>
      </c>
      <c r="CG219">
        <v>0</v>
      </c>
      <c r="CH219">
        <v>0</v>
      </c>
      <c r="CI219">
        <v>0</v>
      </c>
      <c r="CJ219">
        <v>0</v>
      </c>
      <c r="CK219">
        <v>0</v>
      </c>
      <c r="CL219">
        <v>1</v>
      </c>
      <c r="CM219">
        <v>0</v>
      </c>
    </row>
    <row r="220" spans="40:91" x14ac:dyDescent="0.25">
      <c r="AN220" t="str">
        <v>plymouth arrow gs</v>
      </c>
      <c r="AO220" s="7">
        <v>25.5</v>
      </c>
      <c r="AP220" s="7">
        <v>26.33495458992067</v>
      </c>
      <c r="AQ220" s="7">
        <v>-0.83495458992067029</v>
      </c>
      <c r="AR220" s="7">
        <v>4.7857645864700191E-2</v>
      </c>
      <c r="AS220" s="7">
        <v>-0.27897206548306153</v>
      </c>
      <c r="AT220" s="7">
        <v>2.3010283096978177E-4</v>
      </c>
      <c r="AU220" s="7">
        <v>9.9276964964338646E-2</v>
      </c>
      <c r="AV220" s="7">
        <v>8.7513237424760373E-2</v>
      </c>
      <c r="AW220" s="7">
        <v>0.52817806228871478</v>
      </c>
      <c r="AX220" s="7">
        <v>-0.87692201307329187</v>
      </c>
      <c r="AY220" s="7" t="e">
        <v>#N/A</v>
      </c>
      <c r="AZ220" s="7">
        <v>26.33495458992067</v>
      </c>
      <c r="BA220" s="7">
        <v>-0.83495458992067029</v>
      </c>
      <c r="BU220" t="b">
        <v>1</v>
      </c>
      <c r="BW220">
        <v>1</v>
      </c>
      <c r="BX220">
        <v>108</v>
      </c>
      <c r="BY220">
        <v>2930</v>
      </c>
      <c r="BZ220">
        <v>0</v>
      </c>
      <c r="CA220">
        <v>0</v>
      </c>
      <c r="CB220">
        <v>0</v>
      </c>
      <c r="CC220">
        <v>0</v>
      </c>
      <c r="CD220">
        <v>0</v>
      </c>
      <c r="CE220">
        <v>1</v>
      </c>
      <c r="CF220">
        <v>0</v>
      </c>
      <c r="CG220">
        <v>0</v>
      </c>
      <c r="CH220">
        <v>0</v>
      </c>
      <c r="CI220">
        <v>0</v>
      </c>
      <c r="CJ220">
        <v>0</v>
      </c>
      <c r="CK220">
        <v>0</v>
      </c>
      <c r="CL220">
        <v>0</v>
      </c>
      <c r="CM220">
        <v>0</v>
      </c>
    </row>
    <row r="221" spans="40:91" x14ac:dyDescent="0.25">
      <c r="AN221" t="str">
        <v>datsun f-10 hatchback</v>
      </c>
      <c r="AO221" s="7">
        <v>33.5</v>
      </c>
      <c r="AP221" s="7">
        <v>30.614518345178166</v>
      </c>
      <c r="AQ221" s="7">
        <v>2.8854816548218345</v>
      </c>
      <c r="AR221" s="7">
        <v>4.7431289784227601E-2</v>
      </c>
      <c r="AS221" s="7">
        <v>0.9638711140431474</v>
      </c>
      <c r="AT221" s="7">
        <v>2.7211822643756342E-3</v>
      </c>
      <c r="AU221" s="7">
        <v>9.9276964964338646E-2</v>
      </c>
      <c r="AV221" s="7">
        <v>0.12614744788801879</v>
      </c>
      <c r="AW221" s="7">
        <v>0.98176937925520336</v>
      </c>
      <c r="AX221" s="7">
        <v>3.0291585518993434</v>
      </c>
      <c r="AY221" s="7" t="e">
        <v>#N/A</v>
      </c>
      <c r="AZ221" s="7">
        <v>30.614518345178166</v>
      </c>
      <c r="BA221" s="7">
        <v>2.8854816548218345</v>
      </c>
      <c r="BU221" t="b">
        <v>1</v>
      </c>
      <c r="BW221">
        <v>1</v>
      </c>
      <c r="BX221">
        <v>120</v>
      </c>
      <c r="BY221">
        <v>3820</v>
      </c>
      <c r="BZ221">
        <v>0</v>
      </c>
      <c r="CA221">
        <v>0</v>
      </c>
      <c r="CB221">
        <v>0</v>
      </c>
      <c r="CC221">
        <v>0</v>
      </c>
      <c r="CD221">
        <v>0</v>
      </c>
      <c r="CE221">
        <v>1</v>
      </c>
      <c r="CF221">
        <v>0</v>
      </c>
      <c r="CG221">
        <v>0</v>
      </c>
      <c r="CH221">
        <v>0</v>
      </c>
      <c r="CI221">
        <v>0</v>
      </c>
      <c r="CJ221">
        <v>0</v>
      </c>
      <c r="CK221">
        <v>0</v>
      </c>
      <c r="CL221">
        <v>1</v>
      </c>
      <c r="CM221">
        <v>0</v>
      </c>
    </row>
    <row r="222" spans="40:91" x14ac:dyDescent="0.25">
      <c r="AN222" t="str">
        <v>chevrolet caprice classic</v>
      </c>
      <c r="AO222" s="7">
        <v>17.5</v>
      </c>
      <c r="AP222" s="7">
        <v>17.539340232312707</v>
      </c>
      <c r="AQ222" s="7">
        <v>-3.9340232312707002E-2</v>
      </c>
      <c r="AR222" s="7">
        <v>3.9585539885507684E-2</v>
      </c>
      <c r="AS222" s="7">
        <v>-1.3087490477455169E-2</v>
      </c>
      <c r="AT222" s="7">
        <v>4.152806715817869E-7</v>
      </c>
      <c r="AU222" s="7">
        <v>9.9276964964338646E-2</v>
      </c>
      <c r="AV222" s="7">
        <v>0.12974540077510244</v>
      </c>
      <c r="AW222" s="7">
        <v>0.11440057026717641</v>
      </c>
      <c r="AX222" s="7">
        <v>-4.0961724283094615E-2</v>
      </c>
      <c r="AY222" s="7" t="e">
        <v>#N/A</v>
      </c>
      <c r="AZ222" s="7">
        <v>17.539340232312707</v>
      </c>
      <c r="BA222" s="7">
        <v>-3.9340232312707002E-2</v>
      </c>
      <c r="BU222" t="b">
        <v>1</v>
      </c>
      <c r="BW222">
        <v>1</v>
      </c>
      <c r="BX222">
        <v>180</v>
      </c>
      <c r="BY222">
        <v>4380</v>
      </c>
      <c r="BZ222">
        <v>0</v>
      </c>
      <c r="CA222">
        <v>0</v>
      </c>
      <c r="CB222">
        <v>0</v>
      </c>
      <c r="CC222">
        <v>0</v>
      </c>
      <c r="CD222">
        <v>0</v>
      </c>
      <c r="CE222">
        <v>1</v>
      </c>
      <c r="CF222">
        <v>0</v>
      </c>
      <c r="CG222">
        <v>0</v>
      </c>
      <c r="CH222">
        <v>0</v>
      </c>
      <c r="CI222">
        <v>0</v>
      </c>
      <c r="CJ222">
        <v>0</v>
      </c>
      <c r="CK222">
        <v>0</v>
      </c>
      <c r="CL222">
        <v>0</v>
      </c>
      <c r="CM222">
        <v>1</v>
      </c>
    </row>
    <row r="223" spans="40:91" x14ac:dyDescent="0.25">
      <c r="AN223" t="str">
        <v>oldsmobile cutlass supreme</v>
      </c>
      <c r="AO223" s="7">
        <v>17</v>
      </c>
      <c r="AP223" s="7">
        <v>17.196219619965628</v>
      </c>
      <c r="AQ223" s="7">
        <v>-0.19621961996562831</v>
      </c>
      <c r="AR223" s="7">
        <v>5.1387654780163682E-2</v>
      </c>
      <c r="AS223" s="7">
        <v>-6.5682072482443399E-2</v>
      </c>
      <c r="AT223" s="7">
        <v>1.3747217368724143E-5</v>
      </c>
      <c r="AU223" s="7">
        <v>9.9276964964338646E-2</v>
      </c>
      <c r="AV223" s="7">
        <v>0.12999171896583686</v>
      </c>
      <c r="AW223" s="7">
        <v>0.25628513901988814</v>
      </c>
      <c r="AX223" s="7">
        <v>-0.2068491106555812</v>
      </c>
      <c r="AY223" s="7" t="e">
        <v>#N/A</v>
      </c>
      <c r="AZ223" s="7">
        <v>17.196219619965628</v>
      </c>
      <c r="BA223" s="7">
        <v>-0.19621961996562831</v>
      </c>
      <c r="BU223" t="b">
        <v>1</v>
      </c>
      <c r="BW223">
        <v>1</v>
      </c>
      <c r="BX223">
        <v>145</v>
      </c>
      <c r="BY223">
        <v>4055</v>
      </c>
      <c r="BZ223">
        <v>0</v>
      </c>
      <c r="CA223">
        <v>0</v>
      </c>
      <c r="CB223">
        <v>0</v>
      </c>
      <c r="CC223">
        <v>0</v>
      </c>
      <c r="CD223">
        <v>0</v>
      </c>
      <c r="CE223">
        <v>1</v>
      </c>
      <c r="CF223">
        <v>0</v>
      </c>
      <c r="CG223">
        <v>0</v>
      </c>
      <c r="CH223">
        <v>0</v>
      </c>
      <c r="CI223">
        <v>0</v>
      </c>
      <c r="CJ223">
        <v>0</v>
      </c>
      <c r="CK223">
        <v>0</v>
      </c>
      <c r="CL223">
        <v>0</v>
      </c>
      <c r="CM223">
        <v>1</v>
      </c>
    </row>
    <row r="224" spans="40:91" x14ac:dyDescent="0.25">
      <c r="AN224" t="str">
        <v>dodge monaco brougham</v>
      </c>
      <c r="AO224" s="7">
        <v>15.5</v>
      </c>
      <c r="AP224" s="7">
        <v>16.222879732382356</v>
      </c>
      <c r="AQ224" s="7">
        <v>-0.72287973238235637</v>
      </c>
      <c r="AR224" s="7">
        <v>4.1156840419458537E-2</v>
      </c>
      <c r="AS224" s="7">
        <v>-0.24068058859417421</v>
      </c>
      <c r="AT224" s="7">
        <v>1.4626070451054707E-4</v>
      </c>
      <c r="AU224" s="7">
        <v>9.9276964964338646E-2</v>
      </c>
      <c r="AV224" s="7">
        <v>0.13985011155835916</v>
      </c>
      <c r="AW224" s="7">
        <v>0.49059207962845691</v>
      </c>
      <c r="AX224" s="7">
        <v>-0.75390821236977856</v>
      </c>
      <c r="AY224" s="7" t="e">
        <v>#N/A</v>
      </c>
      <c r="AZ224" s="7">
        <v>16.222879732382356</v>
      </c>
      <c r="BA224" s="7">
        <v>-0.72287973238235637</v>
      </c>
      <c r="BU224" t="b">
        <v>1</v>
      </c>
      <c r="BW224">
        <v>1</v>
      </c>
      <c r="BX224">
        <v>130</v>
      </c>
      <c r="BY224">
        <v>3870</v>
      </c>
      <c r="BZ224">
        <v>0</v>
      </c>
      <c r="CA224">
        <v>0</v>
      </c>
      <c r="CB224">
        <v>0</v>
      </c>
      <c r="CC224">
        <v>0</v>
      </c>
      <c r="CD224">
        <v>0</v>
      </c>
      <c r="CE224">
        <v>1</v>
      </c>
      <c r="CF224">
        <v>0</v>
      </c>
      <c r="CG224">
        <v>0</v>
      </c>
      <c r="CH224">
        <v>0</v>
      </c>
      <c r="CI224">
        <v>0</v>
      </c>
      <c r="CJ224">
        <v>0</v>
      </c>
      <c r="CK224">
        <v>0</v>
      </c>
      <c r="CL224">
        <v>0</v>
      </c>
      <c r="CM224">
        <v>1</v>
      </c>
    </row>
    <row r="225" spans="40:91" x14ac:dyDescent="0.25">
      <c r="AN225" t="str">
        <v>mercury cougar brougham</v>
      </c>
      <c r="AO225" s="7">
        <v>15</v>
      </c>
      <c r="AP225" s="7">
        <v>15.681613221342374</v>
      </c>
      <c r="AQ225" s="7">
        <v>-0.68161322134237423</v>
      </c>
      <c r="AR225" s="7">
        <v>4.7817128542920702E-2</v>
      </c>
      <c r="AS225" s="7">
        <v>-0.2277333459968798</v>
      </c>
      <c r="AT225" s="7">
        <v>1.5320306744410125E-4</v>
      </c>
      <c r="AU225" s="7">
        <v>0.17027239685422862</v>
      </c>
      <c r="AV225" s="7">
        <v>0.15513508303134854</v>
      </c>
      <c r="AW225" s="7">
        <v>0.47721415108615522</v>
      </c>
      <c r="AX225" s="7">
        <v>-0.71584276694594873</v>
      </c>
      <c r="AY225" s="7" t="e">
        <v>#N/A</v>
      </c>
      <c r="AZ225" s="7">
        <v>15.681613221342374</v>
      </c>
      <c r="BA225" s="7">
        <v>-0.68161322134237423</v>
      </c>
      <c r="BU225" t="b">
        <v>1</v>
      </c>
      <c r="BW225">
        <v>1</v>
      </c>
      <c r="BX225">
        <v>150</v>
      </c>
      <c r="BY225">
        <v>3755</v>
      </c>
      <c r="BZ225">
        <v>0</v>
      </c>
      <c r="CA225">
        <v>0</v>
      </c>
      <c r="CB225">
        <v>0</v>
      </c>
      <c r="CC225">
        <v>0</v>
      </c>
      <c r="CD225">
        <v>0</v>
      </c>
      <c r="CE225">
        <v>1</v>
      </c>
      <c r="CF225">
        <v>0</v>
      </c>
      <c r="CG225">
        <v>0</v>
      </c>
      <c r="CH225">
        <v>0</v>
      </c>
      <c r="CI225">
        <v>0</v>
      </c>
      <c r="CJ225">
        <v>0</v>
      </c>
      <c r="CK225">
        <v>0</v>
      </c>
      <c r="CL225">
        <v>0</v>
      </c>
      <c r="CM225">
        <v>1</v>
      </c>
    </row>
    <row r="226" spans="40:91" x14ac:dyDescent="0.25">
      <c r="AN226" t="str">
        <v>chevrolet concours</v>
      </c>
      <c r="AO226" s="7">
        <v>17.5</v>
      </c>
      <c r="AP226" s="7">
        <v>19.93040681212867</v>
      </c>
      <c r="AQ226" s="7">
        <v>-2.4304068121286697</v>
      </c>
      <c r="AR226" s="7">
        <v>3.9112251127676453E-2</v>
      </c>
      <c r="AS226" s="7">
        <v>-0.80833512211099312</v>
      </c>
      <c r="AT226" s="7">
        <v>1.5644948348165107E-3</v>
      </c>
      <c r="AU226" s="7">
        <v>0.17676385996282321</v>
      </c>
      <c r="AV226" s="7">
        <v>0.17184976624815054</v>
      </c>
      <c r="AW226" s="7">
        <v>0.89907459207286755</v>
      </c>
      <c r="AX226" s="7">
        <v>-2.5293347896056964</v>
      </c>
      <c r="AY226" s="7" t="e">
        <v>#N/A</v>
      </c>
      <c r="AZ226" s="7">
        <v>19.93040681212867</v>
      </c>
      <c r="BA226" s="7">
        <v>-2.4304068121286697</v>
      </c>
      <c r="BU226" t="b">
        <v>1</v>
      </c>
      <c r="BW226">
        <v>1</v>
      </c>
      <c r="BX226">
        <v>68</v>
      </c>
      <c r="BY226">
        <v>2045</v>
      </c>
      <c r="BZ226">
        <v>0</v>
      </c>
      <c r="CA226">
        <v>0</v>
      </c>
      <c r="CB226">
        <v>0</v>
      </c>
      <c r="CC226">
        <v>0</v>
      </c>
      <c r="CD226">
        <v>0</v>
      </c>
      <c r="CE226">
        <v>0</v>
      </c>
      <c r="CF226">
        <v>1</v>
      </c>
      <c r="CG226">
        <v>0</v>
      </c>
      <c r="CH226">
        <v>0</v>
      </c>
      <c r="CI226">
        <v>0</v>
      </c>
      <c r="CJ226">
        <v>0</v>
      </c>
      <c r="CK226">
        <v>0</v>
      </c>
      <c r="CL226">
        <v>0</v>
      </c>
      <c r="CM226">
        <v>0</v>
      </c>
    </row>
    <row r="227" spans="40:91" x14ac:dyDescent="0.25">
      <c r="AN227" t="str">
        <v>buick skylark</v>
      </c>
      <c r="AO227" s="7">
        <v>20.5</v>
      </c>
      <c r="AP227" s="7">
        <v>20.492603385332465</v>
      </c>
      <c r="AQ227" s="7">
        <v>7.3966146675346067E-3</v>
      </c>
      <c r="AR227" s="7">
        <v>3.9342493844486986E-2</v>
      </c>
      <c r="AS227" s="7">
        <v>2.460353485030169E-3</v>
      </c>
      <c r="AT227" s="7">
        <v>1.4582748947142504E-8</v>
      </c>
      <c r="AU227" s="7">
        <v>0.18326278037660315</v>
      </c>
      <c r="AV227" s="7">
        <v>0.172892524355413</v>
      </c>
      <c r="AW227" s="7">
        <v>4.9601950415585162E-2</v>
      </c>
      <c r="AX227" s="7">
        <v>7.6995335175544122E-3</v>
      </c>
      <c r="AY227" s="7" t="e">
        <v>#N/A</v>
      </c>
      <c r="AZ227" s="7">
        <v>20.492603385332465</v>
      </c>
      <c r="BA227" s="7">
        <v>7.3966146675346067E-3</v>
      </c>
      <c r="BU227" t="b">
        <v>1</v>
      </c>
      <c r="BW227">
        <v>1</v>
      </c>
      <c r="BX227">
        <v>80</v>
      </c>
      <c r="BY227">
        <v>2155</v>
      </c>
      <c r="BZ227">
        <v>0</v>
      </c>
      <c r="CA227">
        <v>0</v>
      </c>
      <c r="CB227">
        <v>0</v>
      </c>
      <c r="CC227">
        <v>0</v>
      </c>
      <c r="CD227">
        <v>0</v>
      </c>
      <c r="CE227">
        <v>0</v>
      </c>
      <c r="CF227">
        <v>1</v>
      </c>
      <c r="CG227">
        <v>0</v>
      </c>
      <c r="CH227">
        <v>0</v>
      </c>
      <c r="CI227">
        <v>0</v>
      </c>
      <c r="CJ227">
        <v>0</v>
      </c>
      <c r="CK227">
        <v>0</v>
      </c>
      <c r="CL227">
        <v>0</v>
      </c>
      <c r="CM227">
        <v>1</v>
      </c>
    </row>
    <row r="228" spans="40:91" x14ac:dyDescent="0.25">
      <c r="AN228" t="str">
        <v>plymouth volare custom</v>
      </c>
      <c r="AO228" s="7">
        <v>19</v>
      </c>
      <c r="AP228" s="7">
        <v>19.535807074001241</v>
      </c>
      <c r="AQ228" s="7">
        <v>-0.53580707400124084</v>
      </c>
      <c r="AR228" s="7">
        <v>4.4967132968366005E-2</v>
      </c>
      <c r="AS228" s="7">
        <v>-0.178750838519487</v>
      </c>
      <c r="AT228" s="7">
        <v>8.8496100589806518E-5</v>
      </c>
      <c r="AU228" s="7">
        <v>0.18326278037660315</v>
      </c>
      <c r="AV228" s="7">
        <v>0.18042945365691318</v>
      </c>
      <c r="AW228" s="7">
        <v>0.42278935478496499</v>
      </c>
      <c r="AX228" s="7">
        <v>-0.56103521930779066</v>
      </c>
      <c r="AY228" s="7" t="e">
        <v>#N/A</v>
      </c>
      <c r="AZ228" s="7">
        <v>19.535807074001241</v>
      </c>
      <c r="BA228" s="7">
        <v>-0.53580707400124084</v>
      </c>
      <c r="BU228" t="b">
        <v>1</v>
      </c>
      <c r="BW228">
        <v>1</v>
      </c>
      <c r="BX228">
        <v>58</v>
      </c>
      <c r="BY228">
        <v>1825</v>
      </c>
      <c r="BZ228">
        <v>0</v>
      </c>
      <c r="CA228">
        <v>0</v>
      </c>
      <c r="CB228">
        <v>0</v>
      </c>
      <c r="CC228">
        <v>0</v>
      </c>
      <c r="CD228">
        <v>0</v>
      </c>
      <c r="CE228">
        <v>0</v>
      </c>
      <c r="CF228">
        <v>1</v>
      </c>
      <c r="CG228">
        <v>0</v>
      </c>
      <c r="CH228">
        <v>0</v>
      </c>
      <c r="CI228">
        <v>0</v>
      </c>
      <c r="CJ228">
        <v>0</v>
      </c>
      <c r="CK228">
        <v>0</v>
      </c>
      <c r="CL228">
        <v>1</v>
      </c>
      <c r="CM228">
        <v>0</v>
      </c>
    </row>
    <row r="229" spans="40:91" x14ac:dyDescent="0.25">
      <c r="AN229" t="str">
        <v>ford granada</v>
      </c>
      <c r="AO229" s="7">
        <v>18.5</v>
      </c>
      <c r="AP229" s="7">
        <v>20.099927447495581</v>
      </c>
      <c r="AQ229" s="7">
        <v>-1.5999274474955811</v>
      </c>
      <c r="AR229" s="7">
        <v>4.3655720287064367E-2</v>
      </c>
      <c r="AS229" s="7">
        <v>-0.53338642732774277</v>
      </c>
      <c r="AT229" s="7">
        <v>7.6394464843268701E-4</v>
      </c>
      <c r="AU229" s="7">
        <v>0.19628416463254303</v>
      </c>
      <c r="AV229" s="7">
        <v>0.18470642599230908</v>
      </c>
      <c r="AW229" s="7">
        <v>0.73033309340857799</v>
      </c>
      <c r="AX229" s="7">
        <v>-1.6729617998821813</v>
      </c>
      <c r="AY229" s="7" t="e">
        <v>#N/A</v>
      </c>
      <c r="AZ229" s="7">
        <v>20.099927447495581</v>
      </c>
      <c r="BA229" s="7">
        <v>-1.5999274474955811</v>
      </c>
      <c r="BU229" t="b">
        <v>1</v>
      </c>
      <c r="BW229">
        <v>1</v>
      </c>
      <c r="BX229">
        <v>96</v>
      </c>
      <c r="BY229">
        <v>2300</v>
      </c>
      <c r="BZ229">
        <v>0</v>
      </c>
      <c r="CA229">
        <v>0</v>
      </c>
      <c r="CB229">
        <v>0</v>
      </c>
      <c r="CC229">
        <v>0</v>
      </c>
      <c r="CD229">
        <v>0</v>
      </c>
      <c r="CE229">
        <v>0</v>
      </c>
      <c r="CF229">
        <v>1</v>
      </c>
      <c r="CG229">
        <v>0</v>
      </c>
      <c r="CH229">
        <v>0</v>
      </c>
      <c r="CI229">
        <v>0</v>
      </c>
      <c r="CJ229">
        <v>0</v>
      </c>
      <c r="CK229">
        <v>0</v>
      </c>
      <c r="CL229">
        <v>0</v>
      </c>
      <c r="CM229">
        <v>1</v>
      </c>
    </row>
    <row r="230" spans="40:91" x14ac:dyDescent="0.25">
      <c r="AN230" t="str">
        <v>pontiac grand prix lj</v>
      </c>
      <c r="AO230" s="7">
        <v>16</v>
      </c>
      <c r="AP230" s="7">
        <v>15.249539844799084</v>
      </c>
      <c r="AQ230" s="7">
        <v>0.75046015520091558</v>
      </c>
      <c r="AR230" s="7">
        <v>5.057933115994296E-2</v>
      </c>
      <c r="AS230" s="7">
        <v>0.25110022474117161</v>
      </c>
      <c r="AT230" s="7">
        <v>1.97587597916635E-4</v>
      </c>
      <c r="AU230" s="7">
        <v>0.19628416463254303</v>
      </c>
      <c r="AV230" s="7">
        <v>0.186585215281827</v>
      </c>
      <c r="AW230" s="7">
        <v>0.5010990169030185</v>
      </c>
      <c r="AX230" s="7">
        <v>0.79044008607668192</v>
      </c>
      <c r="AY230" s="7" t="e">
        <v>#N/A</v>
      </c>
      <c r="AZ230" s="7">
        <v>15.249539844799084</v>
      </c>
      <c r="BA230" s="7">
        <v>0.75046015520091558</v>
      </c>
      <c r="BU230" t="b">
        <v>1</v>
      </c>
      <c r="BW230">
        <v>1</v>
      </c>
      <c r="BX230">
        <v>70</v>
      </c>
      <c r="BY230">
        <v>1945</v>
      </c>
      <c r="BZ230">
        <v>0</v>
      </c>
      <c r="CA230">
        <v>0</v>
      </c>
      <c r="CB230">
        <v>0</v>
      </c>
      <c r="CC230">
        <v>0</v>
      </c>
      <c r="CD230">
        <v>0</v>
      </c>
      <c r="CE230">
        <v>0</v>
      </c>
      <c r="CF230">
        <v>1</v>
      </c>
      <c r="CG230">
        <v>0</v>
      </c>
      <c r="CH230">
        <v>0</v>
      </c>
      <c r="CI230">
        <v>0</v>
      </c>
      <c r="CJ230">
        <v>0</v>
      </c>
      <c r="CK230">
        <v>0</v>
      </c>
      <c r="CL230">
        <v>0</v>
      </c>
      <c r="CM230">
        <v>0</v>
      </c>
    </row>
    <row r="231" spans="40:91" x14ac:dyDescent="0.25">
      <c r="AN231" t="str">
        <v>chevrolet monte carlo landau</v>
      </c>
      <c r="AO231" s="7">
        <v>15.5</v>
      </c>
      <c r="AP231" s="7">
        <v>15.69038619316591</v>
      </c>
      <c r="AQ231" s="7">
        <v>-0.1903861931659101</v>
      </c>
      <c r="AR231" s="7">
        <v>4.6052506658354996E-2</v>
      </c>
      <c r="AS231" s="7">
        <v>-6.355094576677528E-2</v>
      </c>
      <c r="AT231" s="7">
        <v>1.1468956821848809E-5</v>
      </c>
      <c r="AU231" s="7">
        <v>0.19628416463254303</v>
      </c>
      <c r="AV231" s="7">
        <v>0.18988660114211489</v>
      </c>
      <c r="AW231" s="7">
        <v>0.25209312915423793</v>
      </c>
      <c r="AX231" s="7">
        <v>-0.19957722463213765</v>
      </c>
      <c r="AY231" s="7" t="e">
        <v>#N/A</v>
      </c>
      <c r="AZ231" s="7">
        <v>15.69038619316591</v>
      </c>
      <c r="BA231" s="7">
        <v>-0.1903861931659101</v>
      </c>
      <c r="BU231" t="b">
        <v>1</v>
      </c>
      <c r="BW231">
        <v>1</v>
      </c>
      <c r="BX231">
        <v>145</v>
      </c>
      <c r="BY231">
        <v>3880</v>
      </c>
      <c r="BZ231">
        <v>0</v>
      </c>
      <c r="CA231">
        <v>0</v>
      </c>
      <c r="CB231">
        <v>0</v>
      </c>
      <c r="CC231">
        <v>0</v>
      </c>
      <c r="CD231">
        <v>0</v>
      </c>
      <c r="CE231">
        <v>0</v>
      </c>
      <c r="CF231">
        <v>1</v>
      </c>
      <c r="CG231">
        <v>0</v>
      </c>
      <c r="CH231">
        <v>0</v>
      </c>
      <c r="CI231">
        <v>0</v>
      </c>
      <c r="CJ231">
        <v>0</v>
      </c>
      <c r="CK231">
        <v>0</v>
      </c>
      <c r="CL231">
        <v>0</v>
      </c>
      <c r="CM231">
        <v>1</v>
      </c>
    </row>
    <row r="232" spans="40:91" x14ac:dyDescent="0.25">
      <c r="AN232" t="str">
        <v>chrysler cordoba</v>
      </c>
      <c r="AO232" s="7">
        <v>15.5</v>
      </c>
      <c r="AP232" s="7">
        <v>14.555528015676412</v>
      </c>
      <c r="AQ232" s="7">
        <v>0.94447198432358803</v>
      </c>
      <c r="AR232" s="7">
        <v>5.5585416560546497E-2</v>
      </c>
      <c r="AS232" s="7">
        <v>0.31685206458483206</v>
      </c>
      <c r="AT232" s="7">
        <v>3.4758605236241431E-4</v>
      </c>
      <c r="AU232" s="7">
        <v>0.19628416463254303</v>
      </c>
      <c r="AV232" s="7">
        <v>0.19800523327850172</v>
      </c>
      <c r="AW232" s="7">
        <v>0.56289614014028566</v>
      </c>
      <c r="AX232" s="7">
        <v>1.0000607793284233</v>
      </c>
      <c r="AY232" s="7" t="e">
        <v>#N/A</v>
      </c>
      <c r="AZ232" s="7">
        <v>14.555528015676412</v>
      </c>
      <c r="BA232" s="7">
        <v>0.94447198432358803</v>
      </c>
      <c r="BU232" t="b">
        <v>1</v>
      </c>
      <c r="BW232">
        <v>1</v>
      </c>
      <c r="BX232">
        <v>110</v>
      </c>
      <c r="BY232">
        <v>4060</v>
      </c>
      <c r="BZ232">
        <v>0</v>
      </c>
      <c r="CA232">
        <v>0</v>
      </c>
      <c r="CB232">
        <v>0</v>
      </c>
      <c r="CC232">
        <v>0</v>
      </c>
      <c r="CD232">
        <v>0</v>
      </c>
      <c r="CE232">
        <v>0</v>
      </c>
      <c r="CF232">
        <v>1</v>
      </c>
      <c r="CG232">
        <v>0</v>
      </c>
      <c r="CH232">
        <v>0</v>
      </c>
      <c r="CI232">
        <v>0</v>
      </c>
      <c r="CJ232">
        <v>0</v>
      </c>
      <c r="CK232">
        <v>0</v>
      </c>
      <c r="CL232">
        <v>0</v>
      </c>
      <c r="CM232">
        <v>1</v>
      </c>
    </row>
    <row r="233" spans="40:91" x14ac:dyDescent="0.25">
      <c r="AN233" t="str">
        <v>ford thunderbird</v>
      </c>
      <c r="AO233" s="7">
        <v>16</v>
      </c>
      <c r="AP233" s="7">
        <v>15.170588629620429</v>
      </c>
      <c r="AQ233" s="7">
        <v>0.82941137037957091</v>
      </c>
      <c r="AR233" s="7">
        <v>4.3566983395152824E-2</v>
      </c>
      <c r="AS233" s="7">
        <v>0.27649769074525654</v>
      </c>
      <c r="AT233" s="7">
        <v>2.0485049891334815E-4</v>
      </c>
      <c r="AU233" s="7">
        <v>0.19628416463254303</v>
      </c>
      <c r="AV233" s="7">
        <v>0.19993267130990081</v>
      </c>
      <c r="AW233" s="7">
        <v>0.52583047719322673</v>
      </c>
      <c r="AX233" s="7">
        <v>0.8671923239578464</v>
      </c>
      <c r="AY233" s="7" t="e">
        <v>#N/A</v>
      </c>
      <c r="AZ233" s="7">
        <v>15.170588629620429</v>
      </c>
      <c r="BA233" s="7">
        <v>0.82941137037957091</v>
      </c>
      <c r="BU233" t="b">
        <v>1</v>
      </c>
      <c r="BW233">
        <v>1</v>
      </c>
      <c r="BX233">
        <v>145</v>
      </c>
      <c r="BY233">
        <v>4140</v>
      </c>
      <c r="BZ233">
        <v>0</v>
      </c>
      <c r="CA233">
        <v>0</v>
      </c>
      <c r="CB233">
        <v>0</v>
      </c>
      <c r="CC233">
        <v>0</v>
      </c>
      <c r="CD233">
        <v>0</v>
      </c>
      <c r="CE233">
        <v>0</v>
      </c>
      <c r="CF233">
        <v>1</v>
      </c>
      <c r="CG233">
        <v>0</v>
      </c>
      <c r="CH233">
        <v>0</v>
      </c>
      <c r="CI233">
        <v>0</v>
      </c>
      <c r="CJ233">
        <v>0</v>
      </c>
      <c r="CK233">
        <v>0</v>
      </c>
      <c r="CL233">
        <v>0</v>
      </c>
      <c r="CM233">
        <v>1</v>
      </c>
    </row>
    <row r="234" spans="40:91" x14ac:dyDescent="0.25">
      <c r="AN234" t="str">
        <v>volkswagen rabbit custom</v>
      </c>
      <c r="AO234" s="7">
        <v>29</v>
      </c>
      <c r="AP234" s="7">
        <v>30.387966595675575</v>
      </c>
      <c r="AQ234" s="7">
        <v>-1.3879665956755751</v>
      </c>
      <c r="AR234" s="7">
        <v>5.2926272357712363E-2</v>
      </c>
      <c r="AS234" s="7">
        <v>-0.46498176646527956</v>
      </c>
      <c r="AT234" s="7">
        <v>7.1073948431204321E-4</v>
      </c>
      <c r="AU234" s="7">
        <v>0.19628416463254303</v>
      </c>
      <c r="AV234" s="7">
        <v>0.20398710450776986</v>
      </c>
      <c r="AW234" s="7">
        <v>0.68189571524191261</v>
      </c>
      <c r="AX234" s="7">
        <v>-1.465531727008073</v>
      </c>
      <c r="AY234" s="7" t="e">
        <v>#N/A</v>
      </c>
      <c r="AZ234" s="7">
        <v>30.387966595675575</v>
      </c>
      <c r="BA234" s="7">
        <v>-1.3879665956755751</v>
      </c>
      <c r="BU234" t="b">
        <v>1</v>
      </c>
      <c r="BW234">
        <v>1</v>
      </c>
      <c r="BX234">
        <v>130</v>
      </c>
      <c r="BY234">
        <v>4295</v>
      </c>
      <c r="BZ234">
        <v>0</v>
      </c>
      <c r="CA234">
        <v>0</v>
      </c>
      <c r="CB234">
        <v>0</v>
      </c>
      <c r="CC234">
        <v>0</v>
      </c>
      <c r="CD234">
        <v>0</v>
      </c>
      <c r="CE234">
        <v>0</v>
      </c>
      <c r="CF234">
        <v>1</v>
      </c>
      <c r="CG234">
        <v>0</v>
      </c>
      <c r="CH234">
        <v>0</v>
      </c>
      <c r="CI234">
        <v>0</v>
      </c>
      <c r="CJ234">
        <v>0</v>
      </c>
      <c r="CK234">
        <v>0</v>
      </c>
      <c r="CL234">
        <v>0</v>
      </c>
      <c r="CM234">
        <v>1</v>
      </c>
    </row>
    <row r="235" spans="40:91" x14ac:dyDescent="0.25">
      <c r="AN235" t="str">
        <v>pontiac sunbird coupe</v>
      </c>
      <c r="AO235" s="7">
        <v>24.5</v>
      </c>
      <c r="AP235" s="7">
        <v>24.23698981489763</v>
      </c>
      <c r="AQ235" s="7">
        <v>0.26301018510237029</v>
      </c>
      <c r="AR235" s="7">
        <v>3.9946930254294279E-2</v>
      </c>
      <c r="AS235" s="7">
        <v>8.7513237424760373E-2</v>
      </c>
      <c r="AT235" s="7">
        <v>1.8745056327979337E-5</v>
      </c>
      <c r="AU235" s="7">
        <v>0.19628416463254303</v>
      </c>
      <c r="AV235" s="7">
        <v>0.21089005247032272</v>
      </c>
      <c r="AW235" s="7">
        <v>0.29582636364049836</v>
      </c>
      <c r="AX235" s="7">
        <v>0.27395379837911998</v>
      </c>
      <c r="AY235" s="7" t="e">
        <v>#N/A</v>
      </c>
      <c r="AZ235" s="7">
        <v>24.23698981489763</v>
      </c>
      <c r="BA235" s="7">
        <v>0.26301018510237029</v>
      </c>
      <c r="BU235" t="b">
        <v>1</v>
      </c>
      <c r="BW235">
        <v>1</v>
      </c>
      <c r="BX235">
        <v>110</v>
      </c>
      <c r="BY235">
        <v>3520</v>
      </c>
      <c r="BZ235">
        <v>0</v>
      </c>
      <c r="CA235">
        <v>0</v>
      </c>
      <c r="CB235">
        <v>0</v>
      </c>
      <c r="CC235">
        <v>0</v>
      </c>
      <c r="CD235">
        <v>0</v>
      </c>
      <c r="CE235">
        <v>0</v>
      </c>
      <c r="CF235">
        <v>1</v>
      </c>
      <c r="CG235">
        <v>0</v>
      </c>
      <c r="CH235">
        <v>0</v>
      </c>
      <c r="CI235">
        <v>0</v>
      </c>
      <c r="CJ235">
        <v>0</v>
      </c>
      <c r="CK235">
        <v>0</v>
      </c>
      <c r="CL235">
        <v>0</v>
      </c>
      <c r="CM235">
        <v>1</v>
      </c>
    </row>
    <row r="236" spans="40:91" x14ac:dyDescent="0.25">
      <c r="AN236" t="str">
        <v>toyota corolla liftback</v>
      </c>
      <c r="AO236" s="7">
        <v>26</v>
      </c>
      <c r="AP236" s="7">
        <v>28.913077108573109</v>
      </c>
      <c r="AQ236" s="7">
        <v>-2.9130771085731091</v>
      </c>
      <c r="AR236" s="7">
        <v>4.7359583478988977E-2</v>
      </c>
      <c r="AS236" s="7">
        <v>-0.97305252208919768</v>
      </c>
      <c r="AT236" s="7">
        <v>2.76886967731647E-3</v>
      </c>
      <c r="AU236" s="7">
        <v>0.19628416463254303</v>
      </c>
      <c r="AV236" s="7">
        <v>0.21951048018534444</v>
      </c>
      <c r="AW236" s="7">
        <v>0.98643424620660736</v>
      </c>
      <c r="AX236" s="7">
        <v>-3.0578978784161834</v>
      </c>
      <c r="AY236" s="7" t="e">
        <v>#N/A</v>
      </c>
      <c r="AZ236" s="7">
        <v>28.913077108573109</v>
      </c>
      <c r="BA236" s="7">
        <v>-2.9130771085731091</v>
      </c>
      <c r="BU236" t="b">
        <v>1</v>
      </c>
      <c r="BW236">
        <v>1</v>
      </c>
      <c r="BX236">
        <v>105</v>
      </c>
      <c r="BY236">
        <v>3425</v>
      </c>
      <c r="BZ236">
        <v>0</v>
      </c>
      <c r="CA236">
        <v>0</v>
      </c>
      <c r="CB236">
        <v>0</v>
      </c>
      <c r="CC236">
        <v>0</v>
      </c>
      <c r="CD236">
        <v>0</v>
      </c>
      <c r="CE236">
        <v>0</v>
      </c>
      <c r="CF236">
        <v>1</v>
      </c>
      <c r="CG236">
        <v>0</v>
      </c>
      <c r="CH236">
        <v>0</v>
      </c>
      <c r="CI236">
        <v>0</v>
      </c>
      <c r="CJ236">
        <v>0</v>
      </c>
      <c r="CK236">
        <v>0</v>
      </c>
      <c r="CL236">
        <v>0</v>
      </c>
      <c r="CM236">
        <v>1</v>
      </c>
    </row>
    <row r="237" spans="40:91" x14ac:dyDescent="0.25">
      <c r="AN237" t="str">
        <v>ford mustang ii 2+2</v>
      </c>
      <c r="AO237" s="7">
        <v>25.5</v>
      </c>
      <c r="AP237" s="7">
        <v>24.144803738717343</v>
      </c>
      <c r="AQ237" s="7">
        <v>1.3551962612826571</v>
      </c>
      <c r="AR237" s="7">
        <v>3.9787848643024322E-2</v>
      </c>
      <c r="AS237" s="7">
        <v>0.45088667377233677</v>
      </c>
      <c r="AT237" s="7">
        <v>4.9552907027580761E-4</v>
      </c>
      <c r="AU237" s="7">
        <v>0.19628416463254303</v>
      </c>
      <c r="AV237" s="7">
        <v>0.22330383955664967</v>
      </c>
      <c r="AW237" s="7">
        <v>0.67148095562892685</v>
      </c>
      <c r="AX237" s="7">
        <v>1.4113508763323692</v>
      </c>
      <c r="AY237" s="7" t="e">
        <v>#N/A</v>
      </c>
      <c r="AZ237" s="7">
        <v>24.144803738717343</v>
      </c>
      <c r="BA237" s="7">
        <v>1.3551962612826571</v>
      </c>
      <c r="BU237" t="b">
        <v>1</v>
      </c>
      <c r="BW237">
        <v>1</v>
      </c>
      <c r="BX237">
        <v>100</v>
      </c>
      <c r="BY237">
        <v>3630</v>
      </c>
      <c r="BZ237">
        <v>0</v>
      </c>
      <c r="CA237">
        <v>0</v>
      </c>
      <c r="CB237">
        <v>0</v>
      </c>
      <c r="CC237">
        <v>0</v>
      </c>
      <c r="CD237">
        <v>0</v>
      </c>
      <c r="CE237">
        <v>0</v>
      </c>
      <c r="CF237">
        <v>1</v>
      </c>
      <c r="CG237">
        <v>0</v>
      </c>
      <c r="CH237">
        <v>0</v>
      </c>
      <c r="CI237">
        <v>0</v>
      </c>
      <c r="CJ237">
        <v>0</v>
      </c>
      <c r="CK237">
        <v>0</v>
      </c>
      <c r="CL237">
        <v>0</v>
      </c>
      <c r="CM237">
        <v>1</v>
      </c>
    </row>
    <row r="238" spans="40:91" x14ac:dyDescent="0.25">
      <c r="AN238" t="str">
        <v>chevrolet chevette</v>
      </c>
      <c r="AO238" s="7">
        <v>30.5</v>
      </c>
      <c r="AP238" s="7">
        <v>28.131520938551592</v>
      </c>
      <c r="AQ238" s="7">
        <v>2.3684790614484079</v>
      </c>
      <c r="AR238" s="7">
        <v>4.8191117508989904E-2</v>
      </c>
      <c r="AS238" s="7">
        <v>0.79148643600889357</v>
      </c>
      <c r="AT238" s="7">
        <v>1.8657578421682388E-3</v>
      </c>
      <c r="AU238" s="7">
        <v>0.19628416463254303</v>
      </c>
      <c r="AV238" s="7">
        <v>0.22503211391070585</v>
      </c>
      <c r="AW238" s="7">
        <v>0.88965523435142757</v>
      </c>
      <c r="AX238" s="7">
        <v>2.4883977288064218</v>
      </c>
      <c r="AY238" s="7" t="e">
        <v>#N/A</v>
      </c>
      <c r="AZ238" s="7">
        <v>28.131520938551592</v>
      </c>
      <c r="BA238" s="7">
        <v>2.3684790614484079</v>
      </c>
      <c r="BU238" t="b">
        <v>1</v>
      </c>
      <c r="BW238">
        <v>1</v>
      </c>
      <c r="BX238">
        <v>98</v>
      </c>
      <c r="BY238">
        <v>3525</v>
      </c>
      <c r="BZ238">
        <v>0</v>
      </c>
      <c r="CA238">
        <v>0</v>
      </c>
      <c r="CB238">
        <v>0</v>
      </c>
      <c r="CC238">
        <v>0</v>
      </c>
      <c r="CD238">
        <v>0</v>
      </c>
      <c r="CE238">
        <v>0</v>
      </c>
      <c r="CF238">
        <v>1</v>
      </c>
      <c r="CG238">
        <v>0</v>
      </c>
      <c r="CH238">
        <v>0</v>
      </c>
      <c r="CI238">
        <v>0</v>
      </c>
      <c r="CJ238">
        <v>0</v>
      </c>
      <c r="CK238">
        <v>0</v>
      </c>
      <c r="CL238">
        <v>0</v>
      </c>
      <c r="CM238">
        <v>1</v>
      </c>
    </row>
    <row r="239" spans="40:91" x14ac:dyDescent="0.25">
      <c r="AN239" t="str">
        <v>dodge colt m/m</v>
      </c>
      <c r="AO239" s="7">
        <v>33.5</v>
      </c>
      <c r="AP239" s="7">
        <v>27.68527286871797</v>
      </c>
      <c r="AQ239" s="7">
        <v>5.8147271312820301</v>
      </c>
      <c r="AR239" s="7">
        <v>4.9737029725843013E-2</v>
      </c>
      <c r="AS239" s="7">
        <v>1.9447162353916565</v>
      </c>
      <c r="AT239" s="7">
        <v>1.1643930329232586E-2</v>
      </c>
      <c r="AU239" s="7">
        <v>0.26194045846440461</v>
      </c>
      <c r="AV239" s="7">
        <v>0.2261029245486777</v>
      </c>
      <c r="AW239" s="7">
        <v>1.3945308298462449</v>
      </c>
      <c r="AX239" s="7">
        <v>6.1190715761600645</v>
      </c>
      <c r="AY239" s="7">
        <v>1.1643930329232586E-2</v>
      </c>
      <c r="AZ239" s="7">
        <v>27.68527286871797</v>
      </c>
      <c r="BA239" s="7">
        <v>5.8147271312820301</v>
      </c>
      <c r="BU239" t="b">
        <v>1</v>
      </c>
      <c r="BW239">
        <v>1</v>
      </c>
      <c r="BX239">
        <v>180</v>
      </c>
      <c r="BY239">
        <v>4220</v>
      </c>
      <c r="BZ239">
        <v>0</v>
      </c>
      <c r="CA239">
        <v>0</v>
      </c>
      <c r="CB239">
        <v>0</v>
      </c>
      <c r="CC239">
        <v>0</v>
      </c>
      <c r="CD239">
        <v>0</v>
      </c>
      <c r="CE239">
        <v>0</v>
      </c>
      <c r="CF239">
        <v>1</v>
      </c>
      <c r="CG239">
        <v>0</v>
      </c>
      <c r="CH239">
        <v>0</v>
      </c>
      <c r="CI239">
        <v>0</v>
      </c>
      <c r="CJ239">
        <v>0</v>
      </c>
      <c r="CK239">
        <v>0</v>
      </c>
      <c r="CL239">
        <v>0</v>
      </c>
      <c r="CM239">
        <v>1</v>
      </c>
    </row>
    <row r="240" spans="40:91" x14ac:dyDescent="0.25">
      <c r="AN240" t="str">
        <v>subaru dl</v>
      </c>
      <c r="AO240" s="7">
        <v>30</v>
      </c>
      <c r="AP240" s="7">
        <v>30.460695256434125</v>
      </c>
      <c r="AQ240" s="7">
        <v>-0.4606952564341249</v>
      </c>
      <c r="AR240" s="7">
        <v>4.7623568685319598E-2</v>
      </c>
      <c r="AS240" s="7">
        <v>-0.15390694742658828</v>
      </c>
      <c r="AT240" s="7">
        <v>6.9675617228155684E-5</v>
      </c>
      <c r="AU240" s="7">
        <v>0.26856388625555183</v>
      </c>
      <c r="AV240" s="7">
        <v>0.23342741831090721</v>
      </c>
      <c r="AW240" s="7">
        <v>0.39230975953522784</v>
      </c>
      <c r="AX240" s="7">
        <v>-0.48373231559098068</v>
      </c>
      <c r="AY240" s="7" t="e">
        <v>#N/A</v>
      </c>
      <c r="AZ240" s="7">
        <v>30.460695256434125</v>
      </c>
      <c r="BA240" s="7">
        <v>-0.4606952564341249</v>
      </c>
      <c r="BU240" t="b">
        <v>1</v>
      </c>
      <c r="BW240">
        <v>1</v>
      </c>
      <c r="BX240">
        <v>170</v>
      </c>
      <c r="BY240">
        <v>4165</v>
      </c>
      <c r="BZ240">
        <v>0</v>
      </c>
      <c r="CA240">
        <v>0</v>
      </c>
      <c r="CB240">
        <v>0</v>
      </c>
      <c r="CC240">
        <v>0</v>
      </c>
      <c r="CD240">
        <v>0</v>
      </c>
      <c r="CE240">
        <v>0</v>
      </c>
      <c r="CF240">
        <v>1</v>
      </c>
      <c r="CG240">
        <v>0</v>
      </c>
      <c r="CH240">
        <v>0</v>
      </c>
      <c r="CI240">
        <v>0</v>
      </c>
      <c r="CJ240">
        <v>0</v>
      </c>
      <c r="CK240">
        <v>0</v>
      </c>
      <c r="CL240">
        <v>0</v>
      </c>
      <c r="CM240">
        <v>1</v>
      </c>
    </row>
    <row r="241" spans="40:91" x14ac:dyDescent="0.25">
      <c r="AN241" t="str">
        <v>volkswagen dasher</v>
      </c>
      <c r="AO241" s="7">
        <v>30.5</v>
      </c>
      <c r="AP241" s="7">
        <v>29.122139191896387</v>
      </c>
      <c r="AQ241" s="7">
        <v>1.3778608081036126</v>
      </c>
      <c r="AR241" s="7">
        <v>4.9776381999582162E-2</v>
      </c>
      <c r="AS241" s="7">
        <v>0.46083052696320054</v>
      </c>
      <c r="AT241" s="7">
        <v>6.5438157939956662E-4</v>
      </c>
      <c r="AU241" s="7">
        <v>0.26856388625555183</v>
      </c>
      <c r="AV241" s="7">
        <v>0.24039254577345812</v>
      </c>
      <c r="AW241" s="7">
        <v>0.67884499479866578</v>
      </c>
      <c r="AX241" s="7">
        <v>1.4500384772618928</v>
      </c>
      <c r="AY241" s="7" t="e">
        <v>#N/A</v>
      </c>
      <c r="AZ241" s="7">
        <v>29.122139191896387</v>
      </c>
      <c r="BA241" s="7">
        <v>1.3778608081036126</v>
      </c>
      <c r="BU241" t="b">
        <v>1</v>
      </c>
      <c r="BW241">
        <v>1</v>
      </c>
      <c r="BX241">
        <v>190</v>
      </c>
      <c r="BY241">
        <v>4325</v>
      </c>
      <c r="BZ241">
        <v>0</v>
      </c>
      <c r="CA241">
        <v>0</v>
      </c>
      <c r="CB241">
        <v>0</v>
      </c>
      <c r="CC241">
        <v>0</v>
      </c>
      <c r="CD241">
        <v>0</v>
      </c>
      <c r="CE241">
        <v>0</v>
      </c>
      <c r="CF241">
        <v>1</v>
      </c>
      <c r="CG241">
        <v>0</v>
      </c>
      <c r="CH241">
        <v>0</v>
      </c>
      <c r="CI241">
        <v>0</v>
      </c>
      <c r="CJ241">
        <v>0</v>
      </c>
      <c r="CK241">
        <v>0</v>
      </c>
      <c r="CL241">
        <v>0</v>
      </c>
      <c r="CM241">
        <v>1</v>
      </c>
    </row>
    <row r="242" spans="40:91" x14ac:dyDescent="0.25">
      <c r="AN242" t="str">
        <v>datsun 810</v>
      </c>
      <c r="AO242" s="7">
        <v>22</v>
      </c>
      <c r="AP242" s="7">
        <v>25.771055317280993</v>
      </c>
      <c r="AQ242" s="7">
        <v>-3.7710553172809931</v>
      </c>
      <c r="AR242" s="7">
        <v>4.876062171298863E-2</v>
      </c>
      <c r="AS242" s="7">
        <v>-1.2605695043801399</v>
      </c>
      <c r="AT242" s="7">
        <v>4.7914182815414867E-3</v>
      </c>
      <c r="AU242" s="7">
        <v>0.2818464860769076</v>
      </c>
      <c r="AV242" s="7">
        <v>0.24386567077228108</v>
      </c>
      <c r="AW242" s="7">
        <v>1.1227508647870819</v>
      </c>
      <c r="AX242" s="7">
        <v>-3.9643599743230742</v>
      </c>
      <c r="AY242" s="7" t="e">
        <v>#N/A</v>
      </c>
      <c r="AZ242" s="7">
        <v>25.771055317280993</v>
      </c>
      <c r="BA242" s="7">
        <v>-3.7710553172809931</v>
      </c>
      <c r="BU242" t="b">
        <v>1</v>
      </c>
      <c r="BW242">
        <v>1</v>
      </c>
      <c r="BX242">
        <v>149</v>
      </c>
      <c r="BY242">
        <v>4335</v>
      </c>
      <c r="BZ242">
        <v>0</v>
      </c>
      <c r="CA242">
        <v>0</v>
      </c>
      <c r="CB242">
        <v>0</v>
      </c>
      <c r="CC242">
        <v>0</v>
      </c>
      <c r="CD242">
        <v>0</v>
      </c>
      <c r="CE242">
        <v>0</v>
      </c>
      <c r="CF242">
        <v>1</v>
      </c>
      <c r="CG242">
        <v>0</v>
      </c>
      <c r="CH242">
        <v>0</v>
      </c>
      <c r="CI242">
        <v>0</v>
      </c>
      <c r="CJ242">
        <v>0</v>
      </c>
      <c r="CK242">
        <v>0</v>
      </c>
      <c r="CL242">
        <v>0</v>
      </c>
      <c r="CM242">
        <v>1</v>
      </c>
    </row>
    <row r="243" spans="40:91" x14ac:dyDescent="0.25">
      <c r="AN243" t="str">
        <v>bmw 320i</v>
      </c>
      <c r="AO243" s="7">
        <v>21.5</v>
      </c>
      <c r="AP243" s="7">
        <v>26.526616427185207</v>
      </c>
      <c r="AQ243" s="7">
        <v>-5.026616427185207</v>
      </c>
      <c r="AR243" s="7">
        <v>5.4364418410564282E-2</v>
      </c>
      <c r="AS243" s="7">
        <v>-1.6852434476538738</v>
      </c>
      <c r="AT243" s="7">
        <v>9.6043353193524684E-3</v>
      </c>
      <c r="AU243" s="7">
        <v>0.2818464860769076</v>
      </c>
      <c r="AV243" s="7">
        <v>0.25110022474117161</v>
      </c>
      <c r="AW243" s="7">
        <v>1.2981692677204595</v>
      </c>
      <c r="AX243" s="7">
        <v>-5.315595695686925</v>
      </c>
      <c r="AY243" s="7" t="e">
        <v>#N/A</v>
      </c>
      <c r="AZ243" s="7">
        <v>26.526616427185207</v>
      </c>
      <c r="BA243" s="7">
        <v>-5.026616427185207</v>
      </c>
      <c r="BU243" t="b">
        <v>1</v>
      </c>
      <c r="BW243">
        <v>1</v>
      </c>
      <c r="BX243">
        <v>78</v>
      </c>
      <c r="BY243">
        <v>1940</v>
      </c>
      <c r="BZ243">
        <v>0</v>
      </c>
      <c r="CA243">
        <v>0</v>
      </c>
      <c r="CB243">
        <v>0</v>
      </c>
      <c r="CC243">
        <v>0</v>
      </c>
      <c r="CD243">
        <v>0</v>
      </c>
      <c r="CE243">
        <v>0</v>
      </c>
      <c r="CF243">
        <v>1</v>
      </c>
      <c r="CG243">
        <v>0</v>
      </c>
      <c r="CH243">
        <v>0</v>
      </c>
      <c r="CI243">
        <v>0</v>
      </c>
      <c r="CJ243">
        <v>0</v>
      </c>
      <c r="CK243">
        <v>0</v>
      </c>
      <c r="CL243">
        <v>1</v>
      </c>
      <c r="CM243">
        <v>0</v>
      </c>
    </row>
    <row r="244" spans="40:91" x14ac:dyDescent="0.25">
      <c r="AN244" t="str">
        <v>mazda rx-4</v>
      </c>
      <c r="AO244" s="7">
        <v>21.5</v>
      </c>
      <c r="AP244" s="7">
        <v>26.040996115321054</v>
      </c>
      <c r="AQ244" s="7">
        <v>-4.5409961153210538</v>
      </c>
      <c r="AR244" s="7">
        <v>4.8259727863398397E-2</v>
      </c>
      <c r="AS244" s="7">
        <v>-1.5175419689962215</v>
      </c>
      <c r="AT244" s="7">
        <v>6.8690855003637535E-3</v>
      </c>
      <c r="AU244" s="7">
        <v>0.29517900048864598</v>
      </c>
      <c r="AV244" s="7">
        <v>0.25381221692103223</v>
      </c>
      <c r="AW244" s="7">
        <v>1.2318855340477952</v>
      </c>
      <c r="AX244" s="7">
        <v>-4.7712556127595418</v>
      </c>
      <c r="AY244" s="7" t="e">
        <v>#N/A</v>
      </c>
      <c r="AZ244" s="7">
        <v>26.040996115321054</v>
      </c>
      <c r="BA244" s="7">
        <v>-4.5409961153210538</v>
      </c>
      <c r="BU244" t="b">
        <v>1</v>
      </c>
      <c r="BW244">
        <v>1</v>
      </c>
      <c r="BX244">
        <v>88</v>
      </c>
      <c r="BY244">
        <v>2740</v>
      </c>
      <c r="BZ244">
        <v>0</v>
      </c>
      <c r="CA244">
        <v>0</v>
      </c>
      <c r="CB244">
        <v>0</v>
      </c>
      <c r="CC244">
        <v>0</v>
      </c>
      <c r="CD244">
        <v>0</v>
      </c>
      <c r="CE244">
        <v>0</v>
      </c>
      <c r="CF244">
        <v>1</v>
      </c>
      <c r="CG244">
        <v>0</v>
      </c>
      <c r="CH244">
        <v>0</v>
      </c>
      <c r="CI244">
        <v>0</v>
      </c>
      <c r="CJ244">
        <v>0</v>
      </c>
      <c r="CK244">
        <v>0</v>
      </c>
      <c r="CL244">
        <v>0</v>
      </c>
      <c r="CM244">
        <v>1</v>
      </c>
    </row>
    <row r="245" spans="40:91" x14ac:dyDescent="0.25">
      <c r="AN245" t="str">
        <v>volkswagen rabbit custom diesel</v>
      </c>
      <c r="AO245" s="7">
        <v>43.1</v>
      </c>
      <c r="AP245" s="7">
        <v>30.497188279232841</v>
      </c>
      <c r="AQ245" s="7">
        <v>12.602811720767161</v>
      </c>
      <c r="AR245" s="7">
        <v>4.3282429427152436E-2</v>
      </c>
      <c r="AS245" s="7">
        <v>4.2007262122566909</v>
      </c>
      <c r="AT245" s="7">
        <v>4.6959959279888726E-2</v>
      </c>
      <c r="AU245" s="7">
        <v>0.30186483701074074</v>
      </c>
      <c r="AV245" s="7">
        <v>0.2593965308397409</v>
      </c>
      <c r="AW245" s="7">
        <v>2.0495673231823077</v>
      </c>
      <c r="AX245" s="7">
        <v>13.172969859036932</v>
      </c>
      <c r="AY245" s="7">
        <v>4.6959959279888726E-2</v>
      </c>
      <c r="AZ245" s="7">
        <v>30.497188279232841</v>
      </c>
      <c r="BA245" s="7">
        <v>12.602811720767161</v>
      </c>
      <c r="BU245" t="b">
        <v>1</v>
      </c>
      <c r="BW245">
        <v>1</v>
      </c>
      <c r="BX245">
        <v>75</v>
      </c>
      <c r="BY245">
        <v>2265</v>
      </c>
      <c r="BZ245">
        <v>0</v>
      </c>
      <c r="CA245">
        <v>0</v>
      </c>
      <c r="CB245">
        <v>0</v>
      </c>
      <c r="CC245">
        <v>0</v>
      </c>
      <c r="CD245">
        <v>0</v>
      </c>
      <c r="CE245">
        <v>0</v>
      </c>
      <c r="CF245">
        <v>1</v>
      </c>
      <c r="CG245">
        <v>0</v>
      </c>
      <c r="CH245">
        <v>0</v>
      </c>
      <c r="CI245">
        <v>0</v>
      </c>
      <c r="CJ245">
        <v>0</v>
      </c>
      <c r="CK245">
        <v>0</v>
      </c>
      <c r="CL245">
        <v>0</v>
      </c>
      <c r="CM245">
        <v>0</v>
      </c>
    </row>
    <row r="246" spans="40:91" x14ac:dyDescent="0.25">
      <c r="AN246" t="str">
        <v>ford fiesta</v>
      </c>
      <c r="AO246" s="7">
        <v>36.1</v>
      </c>
      <c r="AP246" s="7">
        <v>29.203680013716571</v>
      </c>
      <c r="AQ246" s="7">
        <v>6.8963199862834301</v>
      </c>
      <c r="AR246" s="7">
        <v>4.3604262924426471E-2</v>
      </c>
      <c r="AS246" s="7">
        <v>2.2990445774735178</v>
      </c>
      <c r="AT246" s="7">
        <v>1.4175460654412676E-2</v>
      </c>
      <c r="AU246" s="7">
        <v>0.30186483701074074</v>
      </c>
      <c r="AV246" s="7">
        <v>0.26483477874394057</v>
      </c>
      <c r="AW246" s="7">
        <v>1.5162600626124523</v>
      </c>
      <c r="AX246" s="7">
        <v>7.2107389430349258</v>
      </c>
      <c r="AY246" s="7">
        <v>1.4175460654412676E-2</v>
      </c>
      <c r="AZ246" s="7">
        <v>29.203680013716571</v>
      </c>
      <c r="BA246" s="7">
        <v>6.8963199862834301</v>
      </c>
      <c r="BU246" t="b">
        <v>1</v>
      </c>
      <c r="BW246">
        <v>1</v>
      </c>
      <c r="BX246">
        <v>89</v>
      </c>
      <c r="BY246">
        <v>2755</v>
      </c>
      <c r="BZ246">
        <v>0</v>
      </c>
      <c r="CA246">
        <v>0</v>
      </c>
      <c r="CB246">
        <v>0</v>
      </c>
      <c r="CC246">
        <v>0</v>
      </c>
      <c r="CD246">
        <v>0</v>
      </c>
      <c r="CE246">
        <v>0</v>
      </c>
      <c r="CF246">
        <v>1</v>
      </c>
      <c r="CG246">
        <v>0</v>
      </c>
      <c r="CH246">
        <v>0</v>
      </c>
      <c r="CI246">
        <v>0</v>
      </c>
      <c r="CJ246">
        <v>0</v>
      </c>
      <c r="CK246">
        <v>0</v>
      </c>
      <c r="CL246">
        <v>0</v>
      </c>
      <c r="CM246">
        <v>1</v>
      </c>
    </row>
    <row r="247" spans="40:91" x14ac:dyDescent="0.25">
      <c r="AN247" t="str">
        <v>mazda glc deluxe</v>
      </c>
      <c r="AO247" s="7">
        <v>32.799999999999997</v>
      </c>
      <c r="AP247" s="7">
        <v>30.55421939336853</v>
      </c>
      <c r="AQ247" s="7">
        <v>2.2457806066314667</v>
      </c>
      <c r="AR247" s="7">
        <v>4.2998995586674138E-2</v>
      </c>
      <c r="AS247" s="7">
        <v>0.74844507336636212</v>
      </c>
      <c r="AT247" s="7">
        <v>1.4805288140073017E-3</v>
      </c>
      <c r="AU247" s="7">
        <v>0.30186483701074074</v>
      </c>
      <c r="AV247" s="7">
        <v>0.26714134253452559</v>
      </c>
      <c r="AW247" s="7">
        <v>0.86512720068575011</v>
      </c>
      <c r="AX247" s="7">
        <v>2.3466857362476921</v>
      </c>
      <c r="AY247" s="7" t="e">
        <v>#N/A</v>
      </c>
      <c r="AZ247" s="7">
        <v>30.55421939336853</v>
      </c>
      <c r="BA247" s="7">
        <v>2.2457806066314667</v>
      </c>
      <c r="BU247" t="b">
        <v>1</v>
      </c>
      <c r="BW247">
        <v>1</v>
      </c>
      <c r="BX247">
        <v>63</v>
      </c>
      <c r="BY247">
        <v>2051</v>
      </c>
      <c r="BZ247">
        <v>0</v>
      </c>
      <c r="CA247">
        <v>0</v>
      </c>
      <c r="CB247">
        <v>0</v>
      </c>
      <c r="CC247">
        <v>0</v>
      </c>
      <c r="CD247">
        <v>0</v>
      </c>
      <c r="CE247">
        <v>0</v>
      </c>
      <c r="CF247">
        <v>1</v>
      </c>
      <c r="CG247">
        <v>0</v>
      </c>
      <c r="CH247">
        <v>0</v>
      </c>
      <c r="CI247">
        <v>0</v>
      </c>
      <c r="CJ247">
        <v>0</v>
      </c>
      <c r="CK247">
        <v>0</v>
      </c>
      <c r="CL247">
        <v>0</v>
      </c>
      <c r="CM247">
        <v>1</v>
      </c>
    </row>
    <row r="248" spans="40:91" x14ac:dyDescent="0.25">
      <c r="AN248" t="str">
        <v>datsun b210 gx</v>
      </c>
      <c r="AO248" s="7">
        <v>39.4</v>
      </c>
      <c r="AP248" s="7">
        <v>29.831582300919866</v>
      </c>
      <c r="AQ248" s="7">
        <v>9.5684176990801326</v>
      </c>
      <c r="AR248" s="7">
        <v>3.8875196033690343E-2</v>
      </c>
      <c r="AS248" s="7">
        <v>3.1819916573400064</v>
      </c>
      <c r="AT248" s="7">
        <v>2.4090286148254435E-2</v>
      </c>
      <c r="AU248" s="7">
        <v>0.30186483701074074</v>
      </c>
      <c r="AV248" s="7">
        <v>0.27141090048236372</v>
      </c>
      <c r="AW248" s="7">
        <v>1.783813795590786</v>
      </c>
      <c r="AX248" s="7">
        <v>9.955437274736628</v>
      </c>
      <c r="AY248" s="7">
        <v>2.4090286148254435E-2</v>
      </c>
      <c r="AZ248" s="7">
        <v>29.831582300919866</v>
      </c>
      <c r="BA248" s="7">
        <v>9.5684176990801326</v>
      </c>
      <c r="BU248" t="b">
        <v>1</v>
      </c>
      <c r="BW248">
        <v>1</v>
      </c>
      <c r="BX248">
        <v>83</v>
      </c>
      <c r="BY248">
        <v>2075</v>
      </c>
      <c r="BZ248">
        <v>0</v>
      </c>
      <c r="CA248">
        <v>0</v>
      </c>
      <c r="CB248">
        <v>0</v>
      </c>
      <c r="CC248">
        <v>0</v>
      </c>
      <c r="CD248">
        <v>0</v>
      </c>
      <c r="CE248">
        <v>0</v>
      </c>
      <c r="CF248">
        <v>1</v>
      </c>
      <c r="CG248">
        <v>0</v>
      </c>
      <c r="CH248">
        <v>0</v>
      </c>
      <c r="CI248">
        <v>0</v>
      </c>
      <c r="CJ248">
        <v>0</v>
      </c>
      <c r="CK248">
        <v>0</v>
      </c>
      <c r="CL248">
        <v>0</v>
      </c>
      <c r="CM248">
        <v>1</v>
      </c>
    </row>
    <row r="249" spans="40:91" x14ac:dyDescent="0.25">
      <c r="AN249" t="str">
        <v>honda civic cvcc</v>
      </c>
      <c r="AO249" s="7">
        <v>36.1</v>
      </c>
      <c r="AP249" s="7">
        <v>31.361040216536804</v>
      </c>
      <c r="AQ249" s="7">
        <v>4.7389597834631978</v>
      </c>
      <c r="AR249" s="7">
        <v>3.977370933084589E-2</v>
      </c>
      <c r="AS249" s="7">
        <v>1.5766853430851624</v>
      </c>
      <c r="AT249" s="7">
        <v>6.0570846398093547E-3</v>
      </c>
      <c r="AU249" s="7">
        <v>0.30186483701074074</v>
      </c>
      <c r="AV249" s="7">
        <v>0.27496728736359061</v>
      </c>
      <c r="AW249" s="7">
        <v>1.2556613170298598</v>
      </c>
      <c r="AX249" s="7">
        <v>4.9352531059743772</v>
      </c>
      <c r="AY249" s="7" t="e">
        <v>#N/A</v>
      </c>
      <c r="AZ249" s="7">
        <v>31.361040216536804</v>
      </c>
      <c r="BA249" s="7">
        <v>4.7389597834631978</v>
      </c>
      <c r="BU249" t="b">
        <v>1</v>
      </c>
      <c r="BW249">
        <v>1</v>
      </c>
      <c r="BX249">
        <v>67</v>
      </c>
      <c r="BY249">
        <v>1985</v>
      </c>
      <c r="BZ249">
        <v>0</v>
      </c>
      <c r="CA249">
        <v>0</v>
      </c>
      <c r="CB249">
        <v>0</v>
      </c>
      <c r="CC249">
        <v>0</v>
      </c>
      <c r="CD249">
        <v>0</v>
      </c>
      <c r="CE249">
        <v>0</v>
      </c>
      <c r="CF249">
        <v>1</v>
      </c>
      <c r="CG249">
        <v>0</v>
      </c>
      <c r="CH249">
        <v>0</v>
      </c>
      <c r="CI249">
        <v>0</v>
      </c>
      <c r="CJ249">
        <v>0</v>
      </c>
      <c r="CK249">
        <v>0</v>
      </c>
      <c r="CL249">
        <v>0</v>
      </c>
      <c r="CM249">
        <v>0</v>
      </c>
    </row>
    <row r="250" spans="40:91" x14ac:dyDescent="0.25">
      <c r="AN250" t="str">
        <v>oldsmobile cutlass salon brougham</v>
      </c>
      <c r="AO250" s="7">
        <v>19.899999999999999</v>
      </c>
      <c r="AP250" s="7">
        <v>20.565197460103057</v>
      </c>
      <c r="AQ250" s="7">
        <v>-0.6651974601030588</v>
      </c>
      <c r="AR250" s="7">
        <v>3.0148411795750178E-2</v>
      </c>
      <c r="AS250" s="7">
        <v>-0.22021492268660697</v>
      </c>
      <c r="AT250" s="7">
        <v>8.8675516438311305E-5</v>
      </c>
      <c r="AU250" s="7">
        <v>0.30186483701074074</v>
      </c>
      <c r="AV250" s="7">
        <v>0.27649769074525654</v>
      </c>
      <c r="AW250" s="7">
        <v>0.46927062840817874</v>
      </c>
      <c r="AX250" s="7">
        <v>-0.68587551764978794</v>
      </c>
      <c r="AY250" s="7" t="e">
        <v>#N/A</v>
      </c>
      <c r="AZ250" s="7">
        <v>20.565197460103057</v>
      </c>
      <c r="BA250" s="7">
        <v>-0.6651974601030588</v>
      </c>
      <c r="BU250" t="b">
        <v>1</v>
      </c>
      <c r="BW250">
        <v>1</v>
      </c>
      <c r="BX250">
        <v>78</v>
      </c>
      <c r="BY250">
        <v>2190</v>
      </c>
      <c r="BZ250">
        <v>0</v>
      </c>
      <c r="CA250">
        <v>0</v>
      </c>
      <c r="CB250">
        <v>0</v>
      </c>
      <c r="CC250">
        <v>0</v>
      </c>
      <c r="CD250">
        <v>0</v>
      </c>
      <c r="CE250">
        <v>0</v>
      </c>
      <c r="CF250">
        <v>1</v>
      </c>
      <c r="CG250">
        <v>0</v>
      </c>
      <c r="CH250">
        <v>0</v>
      </c>
      <c r="CI250">
        <v>0</v>
      </c>
      <c r="CJ250">
        <v>0</v>
      </c>
      <c r="CK250">
        <v>0</v>
      </c>
      <c r="CL250">
        <v>1</v>
      </c>
      <c r="CM250">
        <v>0</v>
      </c>
    </row>
    <row r="251" spans="40:91" x14ac:dyDescent="0.25">
      <c r="AN251" t="str">
        <v>dodge diplomat</v>
      </c>
      <c r="AO251" s="7">
        <v>19.399999999999999</v>
      </c>
      <c r="AP251" s="7">
        <v>18.204679943903635</v>
      </c>
      <c r="AQ251" s="7">
        <v>1.1953200560963637</v>
      </c>
      <c r="AR251" s="7">
        <v>3.1784700220696488E-2</v>
      </c>
      <c r="AS251" s="7">
        <v>0.39604728421941965</v>
      </c>
      <c r="AT251" s="7">
        <v>3.0289446441745935E-4</v>
      </c>
      <c r="AU251" s="7">
        <v>0.30186483701074074</v>
      </c>
      <c r="AV251" s="7">
        <v>0.2802206101814822</v>
      </c>
      <c r="AW251" s="7">
        <v>0.62932287755922212</v>
      </c>
      <c r="AX251" s="7">
        <v>1.2345601813654739</v>
      </c>
      <c r="AY251" s="7" t="e">
        <v>#N/A</v>
      </c>
      <c r="AZ251" s="7">
        <v>18.204679943903635</v>
      </c>
      <c r="BA251" s="7">
        <v>1.1953200560963637</v>
      </c>
      <c r="BU251" t="b">
        <v>1</v>
      </c>
      <c r="BW251">
        <v>1</v>
      </c>
      <c r="BX251">
        <v>97</v>
      </c>
      <c r="BY251">
        <v>2815</v>
      </c>
      <c r="BZ251">
        <v>0</v>
      </c>
      <c r="CA251">
        <v>0</v>
      </c>
      <c r="CB251">
        <v>0</v>
      </c>
      <c r="CC251">
        <v>0</v>
      </c>
      <c r="CD251">
        <v>0</v>
      </c>
      <c r="CE251">
        <v>0</v>
      </c>
      <c r="CF251">
        <v>1</v>
      </c>
      <c r="CG251">
        <v>0</v>
      </c>
      <c r="CH251">
        <v>0</v>
      </c>
      <c r="CI251">
        <v>0</v>
      </c>
      <c r="CJ251">
        <v>0</v>
      </c>
      <c r="CK251">
        <v>0</v>
      </c>
      <c r="CL251">
        <v>0</v>
      </c>
      <c r="CM251">
        <v>0</v>
      </c>
    </row>
    <row r="252" spans="40:91" x14ac:dyDescent="0.25">
      <c r="AN252" t="str">
        <v>mercury monarch ghia</v>
      </c>
      <c r="AO252" s="7">
        <v>20.2</v>
      </c>
      <c r="AP252" s="7">
        <v>19.056362462351434</v>
      </c>
      <c r="AQ252" s="7">
        <v>1.1436375376485657</v>
      </c>
      <c r="AR252" s="7">
        <v>3.2108495315757317E-2</v>
      </c>
      <c r="AS252" s="7">
        <v>0.37898661019968899</v>
      </c>
      <c r="AT252" s="7">
        <v>2.8027998610575215E-4</v>
      </c>
      <c r="AU252" s="7">
        <v>0.30186483701074074</v>
      </c>
      <c r="AV252" s="7">
        <v>0.28753308488155299</v>
      </c>
      <c r="AW252" s="7">
        <v>0.61561888388814801</v>
      </c>
      <c r="AX252" s="7">
        <v>1.1815761705870711</v>
      </c>
      <c r="AY252" s="7" t="e">
        <v>#N/A</v>
      </c>
      <c r="AZ252" s="7">
        <v>19.056362462351434</v>
      </c>
      <c r="BA252" s="7">
        <v>1.1436375376485657</v>
      </c>
      <c r="BU252" t="b">
        <v>1</v>
      </c>
      <c r="BW252">
        <v>1</v>
      </c>
      <c r="BX252">
        <v>110</v>
      </c>
      <c r="BY252">
        <v>2600</v>
      </c>
      <c r="BZ252">
        <v>0</v>
      </c>
      <c r="CA252">
        <v>0</v>
      </c>
      <c r="CB252">
        <v>0</v>
      </c>
      <c r="CC252">
        <v>0</v>
      </c>
      <c r="CD252">
        <v>0</v>
      </c>
      <c r="CE252">
        <v>0</v>
      </c>
      <c r="CF252">
        <v>1</v>
      </c>
      <c r="CG252">
        <v>0</v>
      </c>
      <c r="CH252">
        <v>0</v>
      </c>
      <c r="CI252">
        <v>0</v>
      </c>
      <c r="CJ252">
        <v>0</v>
      </c>
      <c r="CK252">
        <v>0</v>
      </c>
      <c r="CL252">
        <v>1</v>
      </c>
      <c r="CM252">
        <v>0</v>
      </c>
    </row>
    <row r="253" spans="40:91" x14ac:dyDescent="0.25">
      <c r="AN253" t="str">
        <v>pontiac phoenix lj</v>
      </c>
      <c r="AO253" s="7">
        <v>19.2</v>
      </c>
      <c r="AP253" s="7">
        <v>19.785616985300916</v>
      </c>
      <c r="AQ253" s="7">
        <v>-0.58561698530091633</v>
      </c>
      <c r="AR253" s="7">
        <v>3.340884753772768E-2</v>
      </c>
      <c r="AS253" s="7">
        <v>-0.19419634887019976</v>
      </c>
      <c r="AT253" s="7">
        <v>7.6674663450094862E-5</v>
      </c>
      <c r="AU253" s="7">
        <v>0.30186483701074074</v>
      </c>
      <c r="AV253" s="7">
        <v>0.29319660015181248</v>
      </c>
      <c r="AW253" s="7">
        <v>0.44067714811435338</v>
      </c>
      <c r="AX253" s="7">
        <v>-0.6058580029510191</v>
      </c>
      <c r="AY253" s="7" t="e">
        <v>#N/A</v>
      </c>
      <c r="AZ253" s="7">
        <v>19.785616985300916</v>
      </c>
      <c r="BA253" s="7">
        <v>-0.58561698530091633</v>
      </c>
      <c r="BU253" t="b">
        <v>1</v>
      </c>
      <c r="BW253">
        <v>1</v>
      </c>
      <c r="BX253">
        <v>110</v>
      </c>
      <c r="BY253">
        <v>2720</v>
      </c>
      <c r="BZ253">
        <v>0</v>
      </c>
      <c r="CA253">
        <v>0</v>
      </c>
      <c r="CB253">
        <v>0</v>
      </c>
      <c r="CC253">
        <v>0</v>
      </c>
      <c r="CD253">
        <v>0</v>
      </c>
      <c r="CE253">
        <v>0</v>
      </c>
      <c r="CF253">
        <v>1</v>
      </c>
      <c r="CG253">
        <v>0</v>
      </c>
      <c r="CH253">
        <v>0</v>
      </c>
      <c r="CI253">
        <v>0</v>
      </c>
      <c r="CJ253">
        <v>0</v>
      </c>
      <c r="CK253">
        <v>0</v>
      </c>
      <c r="CL253">
        <v>0</v>
      </c>
      <c r="CM253">
        <v>0</v>
      </c>
    </row>
    <row r="254" spans="40:91" x14ac:dyDescent="0.25">
      <c r="AN254" t="str">
        <v>chevrolet malibu</v>
      </c>
      <c r="AO254" s="7">
        <v>20.5</v>
      </c>
      <c r="AP254" s="7">
        <v>21.872038958580692</v>
      </c>
      <c r="AQ254" s="7">
        <v>-1.372038958580692</v>
      </c>
      <c r="AR254" s="7">
        <v>3.1552376124896538E-2</v>
      </c>
      <c r="AS254" s="7">
        <v>-0.45454530660835746</v>
      </c>
      <c r="AT254" s="7">
        <v>3.9596916404452924E-4</v>
      </c>
      <c r="AU254" s="7">
        <v>0.30186483701074074</v>
      </c>
      <c r="AV254" s="7">
        <v>0.29552136767782289</v>
      </c>
      <c r="AW254" s="7">
        <v>0.67419975275014565</v>
      </c>
      <c r="AX254" s="7">
        <v>-1.4167404873075904</v>
      </c>
      <c r="AY254" s="7" t="e">
        <v>#N/A</v>
      </c>
      <c r="AZ254" s="7">
        <v>21.872038958580692</v>
      </c>
      <c r="BA254" s="7">
        <v>-1.372038958580692</v>
      </c>
      <c r="BU254" t="b">
        <v>1</v>
      </c>
      <c r="BW254">
        <v>1</v>
      </c>
      <c r="BX254">
        <v>48</v>
      </c>
      <c r="BY254">
        <v>1985</v>
      </c>
      <c r="BZ254">
        <v>0</v>
      </c>
      <c r="CA254">
        <v>0</v>
      </c>
      <c r="CB254">
        <v>0</v>
      </c>
      <c r="CC254">
        <v>0</v>
      </c>
      <c r="CD254">
        <v>0</v>
      </c>
      <c r="CE254">
        <v>0</v>
      </c>
      <c r="CF254">
        <v>0</v>
      </c>
      <c r="CG254">
        <v>1</v>
      </c>
      <c r="CH254">
        <v>0</v>
      </c>
      <c r="CI254">
        <v>0</v>
      </c>
      <c r="CJ254">
        <v>0</v>
      </c>
      <c r="CK254">
        <v>0</v>
      </c>
      <c r="CL254">
        <v>1</v>
      </c>
      <c r="CM254">
        <v>0</v>
      </c>
    </row>
    <row r="255" spans="40:91" x14ac:dyDescent="0.25">
      <c r="AN255" t="str">
        <v>ford fairmont (auto)</v>
      </c>
      <c r="AO255" s="7">
        <v>20.2</v>
      </c>
      <c r="AP255" s="7">
        <v>22.99643210498828</v>
      </c>
      <c r="AQ255" s="7">
        <v>-2.7964321049882805</v>
      </c>
      <c r="AR255" s="7">
        <v>3.2831438900877988E-2</v>
      </c>
      <c r="AS255" s="7">
        <v>-0.927047522634598</v>
      </c>
      <c r="AT255" s="7">
        <v>1.7161009038442034E-3</v>
      </c>
      <c r="AU255" s="7">
        <v>0.30186483701074074</v>
      </c>
      <c r="AV255" s="7">
        <v>0.3020629285829729</v>
      </c>
      <c r="AW255" s="7">
        <v>0.96283307101210336</v>
      </c>
      <c r="AX255" s="7">
        <v>-2.8913596010713207</v>
      </c>
      <c r="AY255" s="7" t="e">
        <v>#N/A</v>
      </c>
      <c r="AZ255" s="7">
        <v>22.99643210498828</v>
      </c>
      <c r="BA255" s="7">
        <v>-2.7964321049882805</v>
      </c>
      <c r="BU255" t="b">
        <v>1</v>
      </c>
      <c r="BW255">
        <v>1</v>
      </c>
      <c r="BX255">
        <v>66</v>
      </c>
      <c r="BY255">
        <v>1800</v>
      </c>
      <c r="BZ255">
        <v>0</v>
      </c>
      <c r="CA255">
        <v>0</v>
      </c>
      <c r="CB255">
        <v>0</v>
      </c>
      <c r="CC255">
        <v>0</v>
      </c>
      <c r="CD255">
        <v>0</v>
      </c>
      <c r="CE255">
        <v>0</v>
      </c>
      <c r="CF255">
        <v>0</v>
      </c>
      <c r="CG255">
        <v>1</v>
      </c>
      <c r="CH255">
        <v>0</v>
      </c>
      <c r="CI255">
        <v>0</v>
      </c>
      <c r="CJ255">
        <v>0</v>
      </c>
      <c r="CK255">
        <v>0</v>
      </c>
      <c r="CL255">
        <v>0</v>
      </c>
      <c r="CM255">
        <v>1</v>
      </c>
    </row>
    <row r="256" spans="40:91" x14ac:dyDescent="0.25">
      <c r="AN256" t="str">
        <v>ford fairmont (man)</v>
      </c>
      <c r="AO256" s="7">
        <v>25.1</v>
      </c>
      <c r="AP256" s="7">
        <v>24.188233664831259</v>
      </c>
      <c r="AQ256" s="7">
        <v>0.91176633516874261</v>
      </c>
      <c r="AR256" s="7">
        <v>3.1566385285221446E-2</v>
      </c>
      <c r="AS256" s="7">
        <v>0.3020629285829729</v>
      </c>
      <c r="AT256" s="7">
        <v>1.7494475780529747E-4</v>
      </c>
      <c r="AU256" s="7">
        <v>0.30186483701074074</v>
      </c>
      <c r="AV256" s="7">
        <v>0.31685206458483206</v>
      </c>
      <c r="AW256" s="7">
        <v>0.54960251871964061</v>
      </c>
      <c r="AX256" s="7">
        <v>0.94148563341357638</v>
      </c>
      <c r="AY256" s="7" t="e">
        <v>#N/A</v>
      </c>
      <c r="AZ256" s="7">
        <v>24.188233664831259</v>
      </c>
      <c r="BA256" s="7">
        <v>0.91176633516874261</v>
      </c>
      <c r="BU256" t="b">
        <v>1</v>
      </c>
      <c r="BW256">
        <v>1</v>
      </c>
      <c r="BX256">
        <v>52</v>
      </c>
      <c r="BY256">
        <v>1985</v>
      </c>
      <c r="BZ256">
        <v>0</v>
      </c>
      <c r="CA256">
        <v>0</v>
      </c>
      <c r="CB256">
        <v>0</v>
      </c>
      <c r="CC256">
        <v>0</v>
      </c>
      <c r="CD256">
        <v>0</v>
      </c>
      <c r="CE256">
        <v>0</v>
      </c>
      <c r="CF256">
        <v>0</v>
      </c>
      <c r="CG256">
        <v>1</v>
      </c>
      <c r="CH256">
        <v>0</v>
      </c>
      <c r="CI256">
        <v>0</v>
      </c>
      <c r="CJ256">
        <v>0</v>
      </c>
      <c r="CK256">
        <v>0</v>
      </c>
      <c r="CL256">
        <v>0</v>
      </c>
      <c r="CM256">
        <v>0</v>
      </c>
    </row>
    <row r="257" spans="40:91" x14ac:dyDescent="0.25">
      <c r="AN257" t="str">
        <v>plymouth volare</v>
      </c>
      <c r="AO257" s="7">
        <v>20.5</v>
      </c>
      <c r="AP257" s="7">
        <v>20.398446654655881</v>
      </c>
      <c r="AQ257" s="7">
        <v>0.10155334534411864</v>
      </c>
      <c r="AR257" s="7">
        <v>3.346812475978498E-2</v>
      </c>
      <c r="AS257" s="7">
        <v>3.3677120231554412E-2</v>
      </c>
      <c r="AT257" s="7">
        <v>2.3101286779811931E-6</v>
      </c>
      <c r="AU257" s="7">
        <v>0.30186483701074074</v>
      </c>
      <c r="AV257" s="7">
        <v>0.32432388942400503</v>
      </c>
      <c r="AW257" s="7">
        <v>0.18351326990589648</v>
      </c>
      <c r="AX257" s="7">
        <v>0.10506983571429478</v>
      </c>
      <c r="AY257" s="7" t="e">
        <v>#N/A</v>
      </c>
      <c r="AZ257" s="7">
        <v>20.398446654655881</v>
      </c>
      <c r="BA257" s="7">
        <v>0.10155334534411864</v>
      </c>
      <c r="BU257" t="b">
        <v>1</v>
      </c>
      <c r="BW257">
        <v>1</v>
      </c>
      <c r="BX257">
        <v>70</v>
      </c>
      <c r="BY257">
        <v>2070</v>
      </c>
      <c r="BZ257">
        <v>0</v>
      </c>
      <c r="CA257">
        <v>0</v>
      </c>
      <c r="CB257">
        <v>0</v>
      </c>
      <c r="CC257">
        <v>0</v>
      </c>
      <c r="CD257">
        <v>0</v>
      </c>
      <c r="CE257">
        <v>0</v>
      </c>
      <c r="CF257">
        <v>0</v>
      </c>
      <c r="CG257">
        <v>1</v>
      </c>
      <c r="CH257">
        <v>0</v>
      </c>
      <c r="CI257">
        <v>0</v>
      </c>
      <c r="CJ257">
        <v>0</v>
      </c>
      <c r="CK257">
        <v>0</v>
      </c>
      <c r="CL257">
        <v>0</v>
      </c>
      <c r="CM257">
        <v>0</v>
      </c>
    </row>
    <row r="258" spans="40:91" x14ac:dyDescent="0.25">
      <c r="AN258" t="str">
        <v>amc concord</v>
      </c>
      <c r="AO258" s="7">
        <v>19.399999999999999</v>
      </c>
      <c r="AP258" s="7">
        <v>21.674739089516972</v>
      </c>
      <c r="AQ258" s="7">
        <v>-2.2747390895169737</v>
      </c>
      <c r="AR258" s="7">
        <v>3.3909202683638458E-2</v>
      </c>
      <c r="AS258" s="7">
        <v>-0.7545211564143921</v>
      </c>
      <c r="AT258" s="7">
        <v>1.1754212964191113E-3</v>
      </c>
      <c r="AU258" s="7">
        <v>0.30186483701074074</v>
      </c>
      <c r="AV258" s="7">
        <v>0.33488821969057941</v>
      </c>
      <c r="AW258" s="7">
        <v>0.86863177262542735</v>
      </c>
      <c r="AX258" s="7">
        <v>-2.3545810557722091</v>
      </c>
      <c r="AY258" s="7" t="e">
        <v>#N/A</v>
      </c>
      <c r="AZ258" s="7">
        <v>21.674739089516972</v>
      </c>
      <c r="BA258" s="7">
        <v>-2.2747390895169737</v>
      </c>
      <c r="BU258" t="b">
        <v>1</v>
      </c>
      <c r="BW258">
        <v>1</v>
      </c>
      <c r="BX258">
        <v>60</v>
      </c>
      <c r="BY258">
        <v>1800</v>
      </c>
      <c r="BZ258">
        <v>0</v>
      </c>
      <c r="CA258">
        <v>0</v>
      </c>
      <c r="CB258">
        <v>0</v>
      </c>
      <c r="CC258">
        <v>0</v>
      </c>
      <c r="CD258">
        <v>0</v>
      </c>
      <c r="CE258">
        <v>0</v>
      </c>
      <c r="CF258">
        <v>0</v>
      </c>
      <c r="CG258">
        <v>1</v>
      </c>
      <c r="CH258">
        <v>0</v>
      </c>
      <c r="CI258">
        <v>0</v>
      </c>
      <c r="CJ258">
        <v>0</v>
      </c>
      <c r="CK258">
        <v>0</v>
      </c>
      <c r="CL258">
        <v>0</v>
      </c>
      <c r="CM258">
        <v>0</v>
      </c>
    </row>
    <row r="259" spans="40:91" x14ac:dyDescent="0.25">
      <c r="AN259" t="str">
        <v>buick century special</v>
      </c>
      <c r="AO259" s="7">
        <v>20.6</v>
      </c>
      <c r="AP259" s="7">
        <v>20.570429975644011</v>
      </c>
      <c r="AQ259" s="7">
        <v>2.9570024355990654E-2</v>
      </c>
      <c r="AR259" s="7">
        <v>3.1231166756803205E-2</v>
      </c>
      <c r="AS259" s="7">
        <v>9.794683491434978E-3</v>
      </c>
      <c r="AT259" s="7">
        <v>1.8192816649835131E-7</v>
      </c>
      <c r="AU259" s="7">
        <v>0.39705550482904034</v>
      </c>
      <c r="AV259" s="7">
        <v>0.34571317856570893</v>
      </c>
      <c r="AW259" s="7">
        <v>9.8968093299987236E-2</v>
      </c>
      <c r="AX259" s="7">
        <v>3.0523302712988375E-2</v>
      </c>
      <c r="AY259" s="7" t="e">
        <v>#N/A</v>
      </c>
      <c r="AZ259" s="7">
        <v>20.570429975644011</v>
      </c>
      <c r="BA259" s="7">
        <v>2.9570024355990654E-2</v>
      </c>
      <c r="BU259" t="b">
        <v>1</v>
      </c>
      <c r="BW259">
        <v>1</v>
      </c>
      <c r="BX259">
        <v>110</v>
      </c>
      <c r="BY259">
        <v>3365</v>
      </c>
      <c r="BZ259">
        <v>0</v>
      </c>
      <c r="CA259">
        <v>0</v>
      </c>
      <c r="CB259">
        <v>0</v>
      </c>
      <c r="CC259">
        <v>0</v>
      </c>
      <c r="CD259">
        <v>0</v>
      </c>
      <c r="CE259">
        <v>0</v>
      </c>
      <c r="CF259">
        <v>0</v>
      </c>
      <c r="CG259">
        <v>1</v>
      </c>
      <c r="CH259">
        <v>0</v>
      </c>
      <c r="CI259">
        <v>0</v>
      </c>
      <c r="CJ259">
        <v>0</v>
      </c>
      <c r="CK259">
        <v>0</v>
      </c>
      <c r="CL259">
        <v>0</v>
      </c>
      <c r="CM259">
        <v>1</v>
      </c>
    </row>
    <row r="260" spans="40:91" x14ac:dyDescent="0.25">
      <c r="AN260" t="str">
        <v>mercury zephyr</v>
      </c>
      <c r="AO260" s="7">
        <v>20.8</v>
      </c>
      <c r="AP260" s="7">
        <v>22.464784595401021</v>
      </c>
      <c r="AQ260" s="7">
        <v>-1.6647845954010201</v>
      </c>
      <c r="AR260" s="7">
        <v>3.397005111054123E-2</v>
      </c>
      <c r="AS260" s="7">
        <v>-0.55221926921070552</v>
      </c>
      <c r="AT260" s="7">
        <v>6.3078274113855144E-4</v>
      </c>
      <c r="AU260" s="7">
        <v>0.40398399337523622</v>
      </c>
      <c r="AV260" s="7">
        <v>0.34767210505293183</v>
      </c>
      <c r="AW260" s="7">
        <v>0.74311457340756382</v>
      </c>
      <c r="AX260" s="7">
        <v>-1.7233260700818278</v>
      </c>
      <c r="AY260" s="7" t="e">
        <v>#N/A</v>
      </c>
      <c r="AZ260" s="7">
        <v>22.464784595401021</v>
      </c>
      <c r="BA260" s="7">
        <v>-1.6647845954010201</v>
      </c>
      <c r="BU260" t="b">
        <v>1</v>
      </c>
      <c r="BW260">
        <v>1</v>
      </c>
      <c r="BX260">
        <v>140</v>
      </c>
      <c r="BY260">
        <v>3735</v>
      </c>
      <c r="BZ260">
        <v>0</v>
      </c>
      <c r="CA260">
        <v>0</v>
      </c>
      <c r="CB260">
        <v>0</v>
      </c>
      <c r="CC260">
        <v>0</v>
      </c>
      <c r="CD260">
        <v>0</v>
      </c>
      <c r="CE260">
        <v>0</v>
      </c>
      <c r="CF260">
        <v>0</v>
      </c>
      <c r="CG260">
        <v>1</v>
      </c>
      <c r="CH260">
        <v>0</v>
      </c>
      <c r="CI260">
        <v>0</v>
      </c>
      <c r="CJ260">
        <v>0</v>
      </c>
      <c r="CK260">
        <v>0</v>
      </c>
      <c r="CL260">
        <v>0</v>
      </c>
      <c r="CM260">
        <v>1</v>
      </c>
    </row>
    <row r="261" spans="40:91" x14ac:dyDescent="0.25">
      <c r="AN261" t="str">
        <v>dodge aspen</v>
      </c>
      <c r="AO261" s="7">
        <v>18.600000000000001</v>
      </c>
      <c r="AP261" s="7">
        <v>19.274053508248286</v>
      </c>
      <c r="AQ261" s="7">
        <v>-0.67405350824828503</v>
      </c>
      <c r="AR261" s="7">
        <v>3.3160023066221296E-2</v>
      </c>
      <c r="AS261" s="7">
        <v>-0.2234940046084922</v>
      </c>
      <c r="AT261" s="7">
        <v>1.0077273787285317E-4</v>
      </c>
      <c r="AU261" s="7">
        <v>0.41093192943060336</v>
      </c>
      <c r="AV261" s="7">
        <v>0.35223603151477784</v>
      </c>
      <c r="AW261" s="7">
        <v>0.47275152523127006</v>
      </c>
      <c r="AX261" s="7">
        <v>-0.69717173920131836</v>
      </c>
      <c r="AY261" s="7" t="e">
        <v>#N/A</v>
      </c>
      <c r="AZ261" s="7">
        <v>19.274053508248286</v>
      </c>
      <c r="BA261" s="7">
        <v>-0.67405350824828503</v>
      </c>
      <c r="BU261" t="b">
        <v>1</v>
      </c>
      <c r="BW261">
        <v>1</v>
      </c>
      <c r="BX261">
        <v>139</v>
      </c>
      <c r="BY261">
        <v>3570</v>
      </c>
      <c r="BZ261">
        <v>0</v>
      </c>
      <c r="CA261">
        <v>0</v>
      </c>
      <c r="CB261">
        <v>0</v>
      </c>
      <c r="CC261">
        <v>0</v>
      </c>
      <c r="CD261">
        <v>0</v>
      </c>
      <c r="CE261">
        <v>0</v>
      </c>
      <c r="CF261">
        <v>0</v>
      </c>
      <c r="CG261">
        <v>1</v>
      </c>
      <c r="CH261">
        <v>0</v>
      </c>
      <c r="CI261">
        <v>0</v>
      </c>
      <c r="CJ261">
        <v>0</v>
      </c>
      <c r="CK261">
        <v>0</v>
      </c>
      <c r="CL261">
        <v>0</v>
      </c>
      <c r="CM261">
        <v>1</v>
      </c>
    </row>
    <row r="262" spans="40:91" x14ac:dyDescent="0.25">
      <c r="AN262" t="str">
        <v>amc concord d/l</v>
      </c>
      <c r="AO262" s="7">
        <v>18.100000000000001</v>
      </c>
      <c r="AP262" s="7">
        <v>20.174984207887398</v>
      </c>
      <c r="AQ262" s="7">
        <v>-2.0749842078873968</v>
      </c>
      <c r="AR262" s="7">
        <v>2.9749884328060014E-2</v>
      </c>
      <c r="AS262" s="7">
        <v>-0.6867864968921471</v>
      </c>
      <c r="AT262" s="7">
        <v>8.5073862793209193E-4</v>
      </c>
      <c r="AU262" s="7">
        <v>0.41093192943060336</v>
      </c>
      <c r="AV262" s="7">
        <v>0.3734161112853554</v>
      </c>
      <c r="AW262" s="7">
        <v>0.8287258273350403</v>
      </c>
      <c r="AX262" s="7">
        <v>-2.1386075346668534</v>
      </c>
      <c r="AY262" s="7" t="e">
        <v>#N/A</v>
      </c>
      <c r="AZ262" s="7">
        <v>20.174984207887398</v>
      </c>
      <c r="BA262" s="7">
        <v>-2.0749842078873968</v>
      </c>
      <c r="BU262" t="b">
        <v>1</v>
      </c>
      <c r="BW262">
        <v>1</v>
      </c>
      <c r="BX262">
        <v>105</v>
      </c>
      <c r="BY262">
        <v>3535</v>
      </c>
      <c r="BZ262">
        <v>0</v>
      </c>
      <c r="CA262">
        <v>0</v>
      </c>
      <c r="CB262">
        <v>0</v>
      </c>
      <c r="CC262">
        <v>0</v>
      </c>
      <c r="CD262">
        <v>0</v>
      </c>
      <c r="CE262">
        <v>0</v>
      </c>
      <c r="CF262">
        <v>0</v>
      </c>
      <c r="CG262">
        <v>1</v>
      </c>
      <c r="CH262">
        <v>0</v>
      </c>
      <c r="CI262">
        <v>0</v>
      </c>
      <c r="CJ262">
        <v>0</v>
      </c>
      <c r="CK262">
        <v>0</v>
      </c>
      <c r="CL262">
        <v>0</v>
      </c>
      <c r="CM262">
        <v>1</v>
      </c>
    </row>
    <row r="263" spans="40:91" x14ac:dyDescent="0.25">
      <c r="AN263" t="str">
        <v>chevrolet monte carlo landau</v>
      </c>
      <c r="AO263" s="7">
        <v>19.2</v>
      </c>
      <c r="AP263" s="7">
        <v>19.693123764822118</v>
      </c>
      <c r="AQ263" s="7">
        <v>-0.49312376482211917</v>
      </c>
      <c r="AR263" s="7">
        <v>3.6040940985145986E-2</v>
      </c>
      <c r="AS263" s="7">
        <v>-0.1637477879266058</v>
      </c>
      <c r="AT263" s="7">
        <v>5.897113607667801E-5</v>
      </c>
      <c r="AU263" s="7">
        <v>0.42488793897993393</v>
      </c>
      <c r="AV263" s="7">
        <v>0.37698943709717092</v>
      </c>
      <c r="AW263" s="7">
        <v>0.40465761814972145</v>
      </c>
      <c r="AX263" s="7">
        <v>-0.51156090106781227</v>
      </c>
      <c r="AY263" s="7" t="e">
        <v>#N/A</v>
      </c>
      <c r="AZ263" s="7">
        <v>19.693123764822118</v>
      </c>
      <c r="BA263" s="7">
        <v>-0.49312376482211917</v>
      </c>
      <c r="BU263" t="b">
        <v>1</v>
      </c>
      <c r="BW263">
        <v>1</v>
      </c>
      <c r="BX263">
        <v>95</v>
      </c>
      <c r="BY263">
        <v>3155</v>
      </c>
      <c r="BZ263">
        <v>0</v>
      </c>
      <c r="CA263">
        <v>0</v>
      </c>
      <c r="CB263">
        <v>0</v>
      </c>
      <c r="CC263">
        <v>0</v>
      </c>
      <c r="CD263">
        <v>0</v>
      </c>
      <c r="CE263">
        <v>0</v>
      </c>
      <c r="CF263">
        <v>0</v>
      </c>
      <c r="CG263">
        <v>1</v>
      </c>
      <c r="CH263">
        <v>0</v>
      </c>
      <c r="CI263">
        <v>0</v>
      </c>
      <c r="CJ263">
        <v>0</v>
      </c>
      <c r="CK263">
        <v>0</v>
      </c>
      <c r="CL263">
        <v>0</v>
      </c>
      <c r="CM263">
        <v>1</v>
      </c>
    </row>
    <row r="264" spans="40:91" x14ac:dyDescent="0.25">
      <c r="AN264" t="str">
        <v>buick regal sport coupe (turbo)</v>
      </c>
      <c r="AO264" s="7">
        <v>17.7</v>
      </c>
      <c r="AP264" s="7">
        <v>19.267128933448966</v>
      </c>
      <c r="AQ264" s="7">
        <v>-1.5671289334489664</v>
      </c>
      <c r="AR264" s="7">
        <v>4.9070502455294401E-2</v>
      </c>
      <c r="AS264" s="7">
        <v>-0.52393736657058854</v>
      </c>
      <c r="AT264" s="7">
        <v>8.3326283140428665E-4</v>
      </c>
      <c r="AU264" s="7">
        <v>0.43189692948271047</v>
      </c>
      <c r="AV264" s="7">
        <v>0.37898661019968899</v>
      </c>
      <c r="AW264" s="7">
        <v>0.7238351791468749</v>
      </c>
      <c r="AX264" s="7">
        <v>-1.6479969729567587</v>
      </c>
      <c r="AY264" s="7" t="e">
        <v>#N/A</v>
      </c>
      <c r="AZ264" s="7">
        <v>19.267128933448966</v>
      </c>
      <c r="BA264" s="7">
        <v>-1.5671289334489664</v>
      </c>
      <c r="BU264" t="b">
        <v>1</v>
      </c>
      <c r="BW264">
        <v>1</v>
      </c>
      <c r="BX264">
        <v>85</v>
      </c>
      <c r="BY264">
        <v>2965</v>
      </c>
      <c r="BZ264">
        <v>0</v>
      </c>
      <c r="CA264">
        <v>0</v>
      </c>
      <c r="CB264">
        <v>0</v>
      </c>
      <c r="CC264">
        <v>0</v>
      </c>
      <c r="CD264">
        <v>0</v>
      </c>
      <c r="CE264">
        <v>0</v>
      </c>
      <c r="CF264">
        <v>0</v>
      </c>
      <c r="CG264">
        <v>1</v>
      </c>
      <c r="CH264">
        <v>0</v>
      </c>
      <c r="CI264">
        <v>0</v>
      </c>
      <c r="CJ264">
        <v>0</v>
      </c>
      <c r="CK264">
        <v>0</v>
      </c>
      <c r="CL264">
        <v>0</v>
      </c>
      <c r="CM264">
        <v>1</v>
      </c>
    </row>
    <row r="265" spans="40:91" x14ac:dyDescent="0.25">
      <c r="AN265" t="str">
        <v>ford futura</v>
      </c>
      <c r="AO265" s="7">
        <v>18.100000000000001</v>
      </c>
      <c r="AP265" s="7">
        <v>20.904470471869047</v>
      </c>
      <c r="AQ265" s="7">
        <v>-2.8044704718690454</v>
      </c>
      <c r="AR265" s="7">
        <v>3.7096220197083127E-2</v>
      </c>
      <c r="AS265" s="7">
        <v>-0.93176894037652602</v>
      </c>
      <c r="AT265" s="7">
        <v>1.9674980339092064E-3</v>
      </c>
      <c r="AU265" s="7">
        <v>0.43189692948271047</v>
      </c>
      <c r="AV265" s="7">
        <v>0.3790485664453398</v>
      </c>
      <c r="AW265" s="7">
        <v>0.96528179324823382</v>
      </c>
      <c r="AX265" s="7">
        <v>-2.9125137222361435</v>
      </c>
      <c r="AY265" s="7" t="e">
        <v>#N/A</v>
      </c>
      <c r="AZ265" s="7">
        <v>20.904470471869047</v>
      </c>
      <c r="BA265" s="7">
        <v>-2.8044704718690454</v>
      </c>
      <c r="BU265" t="b">
        <v>1</v>
      </c>
      <c r="BW265">
        <v>1</v>
      </c>
      <c r="BX265">
        <v>88</v>
      </c>
      <c r="BY265">
        <v>2720</v>
      </c>
      <c r="BZ265">
        <v>0</v>
      </c>
      <c r="CA265">
        <v>0</v>
      </c>
      <c r="CB265">
        <v>0</v>
      </c>
      <c r="CC265">
        <v>0</v>
      </c>
      <c r="CD265">
        <v>0</v>
      </c>
      <c r="CE265">
        <v>0</v>
      </c>
      <c r="CF265">
        <v>0</v>
      </c>
      <c r="CG265">
        <v>1</v>
      </c>
      <c r="CH265">
        <v>0</v>
      </c>
      <c r="CI265">
        <v>0</v>
      </c>
      <c r="CJ265">
        <v>0</v>
      </c>
      <c r="CK265">
        <v>0</v>
      </c>
      <c r="CL265">
        <v>0</v>
      </c>
      <c r="CM265">
        <v>1</v>
      </c>
    </row>
    <row r="266" spans="40:91" x14ac:dyDescent="0.25">
      <c r="AN266" t="str">
        <v>dodge magnum xe</v>
      </c>
      <c r="AO266" s="7">
        <v>17.5</v>
      </c>
      <c r="AP266" s="7">
        <v>16.457838126688358</v>
      </c>
      <c r="AQ266" s="7">
        <v>1.0421618733116418</v>
      </c>
      <c r="AR266" s="7">
        <v>3.4091253908339864E-2</v>
      </c>
      <c r="AS266" s="7">
        <v>0.34571317856570893</v>
      </c>
      <c r="AT266" s="7">
        <v>2.481360277760713E-4</v>
      </c>
      <c r="AU266" s="7">
        <v>0.43189692948271047</v>
      </c>
      <c r="AV266" s="7">
        <v>0.38024696094501742</v>
      </c>
      <c r="AW266" s="7">
        <v>0.58797379071325018</v>
      </c>
      <c r="AX266" s="7">
        <v>1.0789444422452157</v>
      </c>
      <c r="AY266" s="7" t="e">
        <v>#N/A</v>
      </c>
      <c r="AZ266" s="7">
        <v>16.457838126688358</v>
      </c>
      <c r="BA266" s="7">
        <v>1.0421618733116418</v>
      </c>
      <c r="BU266" t="b">
        <v>1</v>
      </c>
      <c r="BW266">
        <v>1</v>
      </c>
      <c r="BX266">
        <v>100</v>
      </c>
      <c r="BY266">
        <v>3430</v>
      </c>
      <c r="BZ266">
        <v>0</v>
      </c>
      <c r="CA266">
        <v>0</v>
      </c>
      <c r="CB266">
        <v>0</v>
      </c>
      <c r="CC266">
        <v>0</v>
      </c>
      <c r="CD266">
        <v>0</v>
      </c>
      <c r="CE266">
        <v>0</v>
      </c>
      <c r="CF266">
        <v>0</v>
      </c>
      <c r="CG266">
        <v>1</v>
      </c>
      <c r="CH266">
        <v>0</v>
      </c>
      <c r="CI266">
        <v>0</v>
      </c>
      <c r="CJ266">
        <v>0</v>
      </c>
      <c r="CK266">
        <v>0</v>
      </c>
      <c r="CL266">
        <v>0</v>
      </c>
      <c r="CM266">
        <v>1</v>
      </c>
    </row>
    <row r="267" spans="40:91" x14ac:dyDescent="0.25">
      <c r="AN267" t="str">
        <v>chevrolet chevette</v>
      </c>
      <c r="AO267" s="7">
        <v>30</v>
      </c>
      <c r="AP267" s="7">
        <v>27.373732236443036</v>
      </c>
      <c r="AQ267" s="7">
        <v>2.6262677635569638</v>
      </c>
      <c r="AR267" s="7">
        <v>3.7268324735451754E-2</v>
      </c>
      <c r="AS267" s="7">
        <v>0.87264012009621705</v>
      </c>
      <c r="AT267" s="7">
        <v>1.7340277398246878E-3</v>
      </c>
      <c r="AU267" s="7">
        <v>0.43189692948271047</v>
      </c>
      <c r="AV267" s="7">
        <v>0.38649046111356711</v>
      </c>
      <c r="AW267" s="7">
        <v>0.93415208617024292</v>
      </c>
      <c r="AX267" s="7">
        <v>2.7279332663852509</v>
      </c>
      <c r="AY267" s="7" t="e">
        <v>#N/A</v>
      </c>
      <c r="AZ267" s="7">
        <v>27.373732236443036</v>
      </c>
      <c r="BA267" s="7">
        <v>2.6262677635569638</v>
      </c>
      <c r="BU267" t="b">
        <v>1</v>
      </c>
      <c r="BW267">
        <v>1</v>
      </c>
      <c r="BX267">
        <v>90</v>
      </c>
      <c r="BY267">
        <v>3210</v>
      </c>
      <c r="BZ267">
        <v>0</v>
      </c>
      <c r="CA267">
        <v>0</v>
      </c>
      <c r="CB267">
        <v>0</v>
      </c>
      <c r="CC267">
        <v>0</v>
      </c>
      <c r="CD267">
        <v>0</v>
      </c>
      <c r="CE267">
        <v>0</v>
      </c>
      <c r="CF267">
        <v>0</v>
      </c>
      <c r="CG267">
        <v>1</v>
      </c>
      <c r="CH267">
        <v>0</v>
      </c>
      <c r="CI267">
        <v>0</v>
      </c>
      <c r="CJ267">
        <v>0</v>
      </c>
      <c r="CK267">
        <v>0</v>
      </c>
      <c r="CL267">
        <v>0</v>
      </c>
      <c r="CM267">
        <v>1</v>
      </c>
    </row>
    <row r="268" spans="40:91" x14ac:dyDescent="0.25">
      <c r="AN268" t="str">
        <v>toyota corona</v>
      </c>
      <c r="AO268" s="7">
        <v>27.5</v>
      </c>
      <c r="AP268" s="7">
        <v>26.944649790674145</v>
      </c>
      <c r="AQ268" s="7">
        <v>0.5553502093258551</v>
      </c>
      <c r="AR268" s="7">
        <v>3.9123709977541374E-2</v>
      </c>
      <c r="AS268" s="7">
        <v>0.18470642599230908</v>
      </c>
      <c r="AT268" s="7">
        <v>8.1712338986327825E-5</v>
      </c>
      <c r="AU268" s="7">
        <v>0.43189692948271047</v>
      </c>
      <c r="AV268" s="7">
        <v>0.39604728421941965</v>
      </c>
      <c r="AW268" s="7">
        <v>0.42977485500237106</v>
      </c>
      <c r="AX268" s="7">
        <v>0.57796223623425536</v>
      </c>
      <c r="AY268" s="7" t="e">
        <v>#N/A</v>
      </c>
      <c r="AZ268" s="7">
        <v>26.944649790674145</v>
      </c>
      <c r="BA268" s="7">
        <v>0.5553502093258551</v>
      </c>
      <c r="BU268" t="b">
        <v>1</v>
      </c>
      <c r="BW268">
        <v>1</v>
      </c>
      <c r="BX268">
        <v>105</v>
      </c>
      <c r="BY268">
        <v>3380</v>
      </c>
      <c r="BZ268">
        <v>0</v>
      </c>
      <c r="CA268">
        <v>0</v>
      </c>
      <c r="CB268">
        <v>0</v>
      </c>
      <c r="CC268">
        <v>0</v>
      </c>
      <c r="CD268">
        <v>0</v>
      </c>
      <c r="CE268">
        <v>0</v>
      </c>
      <c r="CF268">
        <v>0</v>
      </c>
      <c r="CG268">
        <v>1</v>
      </c>
      <c r="CH268">
        <v>0</v>
      </c>
      <c r="CI268">
        <v>0</v>
      </c>
      <c r="CJ268">
        <v>0</v>
      </c>
      <c r="CK268">
        <v>0</v>
      </c>
      <c r="CL268">
        <v>0</v>
      </c>
      <c r="CM268">
        <v>1</v>
      </c>
    </row>
    <row r="269" spans="40:91" x14ac:dyDescent="0.25">
      <c r="AN269" t="str">
        <v>datsun 510</v>
      </c>
      <c r="AO269" s="7">
        <v>27.2</v>
      </c>
      <c r="AP269" s="7">
        <v>28.228637426697407</v>
      </c>
      <c r="AQ269" s="7">
        <v>-1.0286374266974079</v>
      </c>
      <c r="AR269" s="7">
        <v>3.9715916765860677E-2</v>
      </c>
      <c r="AS269" s="7">
        <v>-0.3422246281983452</v>
      </c>
      <c r="AT269" s="7">
        <v>2.8493018540552142E-4</v>
      </c>
      <c r="AU269" s="7">
        <v>0.43189692948271047</v>
      </c>
      <c r="AV269" s="7">
        <v>0.39947920216775201</v>
      </c>
      <c r="AW269" s="7">
        <v>0.58499968222072152</v>
      </c>
      <c r="AX269" s="7">
        <v>-1.0711803357534173</v>
      </c>
      <c r="AY269" s="7" t="e">
        <v>#N/A</v>
      </c>
      <c r="AZ269" s="7">
        <v>28.228637426697407</v>
      </c>
      <c r="BA269" s="7">
        <v>-1.0286374266974079</v>
      </c>
      <c r="BU269" t="b">
        <v>1</v>
      </c>
      <c r="BW269">
        <v>1</v>
      </c>
      <c r="BX269">
        <v>85</v>
      </c>
      <c r="BY269">
        <v>3070</v>
      </c>
      <c r="BZ269">
        <v>0</v>
      </c>
      <c r="CA269">
        <v>0</v>
      </c>
      <c r="CB269">
        <v>0</v>
      </c>
      <c r="CC269">
        <v>0</v>
      </c>
      <c r="CD269">
        <v>0</v>
      </c>
      <c r="CE269">
        <v>0</v>
      </c>
      <c r="CF269">
        <v>0</v>
      </c>
      <c r="CG269">
        <v>1</v>
      </c>
      <c r="CH269">
        <v>0</v>
      </c>
      <c r="CI269">
        <v>0</v>
      </c>
      <c r="CJ269">
        <v>0</v>
      </c>
      <c r="CK269">
        <v>0</v>
      </c>
      <c r="CL269">
        <v>0</v>
      </c>
      <c r="CM269">
        <v>1</v>
      </c>
    </row>
    <row r="270" spans="40:91" x14ac:dyDescent="0.25">
      <c r="AN270" t="str">
        <v>dodge omni</v>
      </c>
      <c r="AO270" s="7">
        <v>30.9</v>
      </c>
      <c r="AP270" s="7">
        <v>26.880328991634499</v>
      </c>
      <c r="AQ270" s="7">
        <v>4.0196710083654992</v>
      </c>
      <c r="AR270" s="7">
        <v>3.6193310154119702E-2</v>
      </c>
      <c r="AS270" s="7">
        <v>1.3348865121336064</v>
      </c>
      <c r="AT270" s="7">
        <v>3.9362088773436145E-3</v>
      </c>
      <c r="AU270" s="7">
        <v>0.43189692948271047</v>
      </c>
      <c r="AV270" s="7">
        <v>0.39968495672632448</v>
      </c>
      <c r="AW270" s="7">
        <v>1.1553728887824946</v>
      </c>
      <c r="AX270" s="7">
        <v>4.1706195347204673</v>
      </c>
      <c r="AY270" s="7" t="e">
        <v>#N/A</v>
      </c>
      <c r="AZ270" s="7">
        <v>26.880328991634499</v>
      </c>
      <c r="BA270" s="7">
        <v>4.0196710083654992</v>
      </c>
      <c r="BU270" t="b">
        <v>1</v>
      </c>
      <c r="BW270">
        <v>1</v>
      </c>
      <c r="BX270">
        <v>110</v>
      </c>
      <c r="BY270">
        <v>3620</v>
      </c>
      <c r="BZ270">
        <v>0</v>
      </c>
      <c r="CA270">
        <v>0</v>
      </c>
      <c r="CB270">
        <v>0</v>
      </c>
      <c r="CC270">
        <v>0</v>
      </c>
      <c r="CD270">
        <v>0</v>
      </c>
      <c r="CE270">
        <v>0</v>
      </c>
      <c r="CF270">
        <v>0</v>
      </c>
      <c r="CG270">
        <v>1</v>
      </c>
      <c r="CH270">
        <v>0</v>
      </c>
      <c r="CI270">
        <v>0</v>
      </c>
      <c r="CJ270">
        <v>0</v>
      </c>
      <c r="CK270">
        <v>0</v>
      </c>
      <c r="CL270">
        <v>0</v>
      </c>
      <c r="CM270">
        <v>1</v>
      </c>
    </row>
    <row r="271" spans="40:91" x14ac:dyDescent="0.25">
      <c r="AN271" t="str">
        <v>toyota celica gt liftback</v>
      </c>
      <c r="AO271" s="7">
        <v>21.1</v>
      </c>
      <c r="AP271" s="7">
        <v>27.172498723354398</v>
      </c>
      <c r="AQ271" s="7">
        <v>-6.0724987233543963</v>
      </c>
      <c r="AR271" s="7">
        <v>3.8958920979371689E-2</v>
      </c>
      <c r="AS271" s="7">
        <v>-2.0195065214468078</v>
      </c>
      <c r="AT271" s="7">
        <v>9.7253797156011471E-3</v>
      </c>
      <c r="AU271" s="7">
        <v>0.43189692948271047</v>
      </c>
      <c r="AV271" s="7">
        <v>0.41163641314958188</v>
      </c>
      <c r="AW271" s="7">
        <v>1.4210934246019182</v>
      </c>
      <c r="AX271" s="7">
        <v>-6.3186671786628725</v>
      </c>
      <c r="AY271" s="7" t="e">
        <v>#N/A</v>
      </c>
      <c r="AZ271" s="7">
        <v>27.172498723354398</v>
      </c>
      <c r="BA271" s="7">
        <v>-6.0724987233543963</v>
      </c>
      <c r="BU271" t="b">
        <v>1</v>
      </c>
      <c r="BW271">
        <v>1</v>
      </c>
      <c r="BX271">
        <v>120</v>
      </c>
      <c r="BY271">
        <v>3410</v>
      </c>
      <c r="BZ271">
        <v>0</v>
      </c>
      <c r="CA271">
        <v>0</v>
      </c>
      <c r="CB271">
        <v>0</v>
      </c>
      <c r="CC271">
        <v>0</v>
      </c>
      <c r="CD271">
        <v>0</v>
      </c>
      <c r="CE271">
        <v>0</v>
      </c>
      <c r="CF271">
        <v>0</v>
      </c>
      <c r="CG271">
        <v>1</v>
      </c>
      <c r="CH271">
        <v>0</v>
      </c>
      <c r="CI271">
        <v>0</v>
      </c>
      <c r="CJ271">
        <v>0</v>
      </c>
      <c r="CK271">
        <v>0</v>
      </c>
      <c r="CL271">
        <v>0</v>
      </c>
      <c r="CM271">
        <v>1</v>
      </c>
    </row>
    <row r="272" spans="40:91" x14ac:dyDescent="0.25">
      <c r="AN272" t="str">
        <v>plymouth sapporo</v>
      </c>
      <c r="AO272" s="7">
        <v>23.2</v>
      </c>
      <c r="AP272" s="7">
        <v>23.785631581243145</v>
      </c>
      <c r="AQ272" s="7">
        <v>-0.5856315812431454</v>
      </c>
      <c r="AR272" s="7">
        <v>3.2478881764690756E-2</v>
      </c>
      <c r="AS272" s="7">
        <v>-0.19410783505686771</v>
      </c>
      <c r="AT272" s="7">
        <v>7.4400837671904815E-5</v>
      </c>
      <c r="AU272" s="7">
        <v>0.43189692948271047</v>
      </c>
      <c r="AV272" s="7">
        <v>0.42871024250541362</v>
      </c>
      <c r="AW272" s="7">
        <v>0.44057670734716298</v>
      </c>
      <c r="AX272" s="7">
        <v>-0.60529074787669379</v>
      </c>
      <c r="AY272" s="7" t="e">
        <v>#N/A</v>
      </c>
      <c r="AZ272" s="7">
        <v>23.785631581243145</v>
      </c>
      <c r="BA272" s="7">
        <v>-0.5856315812431454</v>
      </c>
      <c r="BU272" t="b">
        <v>1</v>
      </c>
      <c r="BW272">
        <v>1</v>
      </c>
      <c r="BX272">
        <v>145</v>
      </c>
      <c r="BY272">
        <v>3425</v>
      </c>
      <c r="BZ272">
        <v>0</v>
      </c>
      <c r="CA272">
        <v>0</v>
      </c>
      <c r="CB272">
        <v>0</v>
      </c>
      <c r="CC272">
        <v>0</v>
      </c>
      <c r="CD272">
        <v>0</v>
      </c>
      <c r="CE272">
        <v>0</v>
      </c>
      <c r="CF272">
        <v>0</v>
      </c>
      <c r="CG272">
        <v>1</v>
      </c>
      <c r="CH272">
        <v>0</v>
      </c>
      <c r="CI272">
        <v>0</v>
      </c>
      <c r="CJ272">
        <v>0</v>
      </c>
      <c r="CK272">
        <v>0</v>
      </c>
      <c r="CL272">
        <v>0</v>
      </c>
      <c r="CM272">
        <v>1</v>
      </c>
    </row>
    <row r="273" spans="40:91" x14ac:dyDescent="0.25">
      <c r="AN273" t="str">
        <v>oldsmobile starfire sx</v>
      </c>
      <c r="AO273" s="7">
        <v>23.8</v>
      </c>
      <c r="AP273" s="7">
        <v>23.553396162651122</v>
      </c>
      <c r="AQ273" s="7">
        <v>0.24660383734887859</v>
      </c>
      <c r="AR273" s="7">
        <v>3.2118027257318493E-2</v>
      </c>
      <c r="AS273" s="7">
        <v>8.1721707715658939E-2</v>
      </c>
      <c r="AT273" s="7">
        <v>1.3036241783375258E-5</v>
      </c>
      <c r="AU273" s="7">
        <v>0.49599497085825733</v>
      </c>
      <c r="AV273" s="7">
        <v>0.43079556603354252</v>
      </c>
      <c r="AW273" s="7">
        <v>0.28587008887895027</v>
      </c>
      <c r="AX273" s="7">
        <v>0.25478709625108392</v>
      </c>
      <c r="AY273" s="7" t="e">
        <v>#N/A</v>
      </c>
      <c r="AZ273" s="7">
        <v>23.553396162651122</v>
      </c>
      <c r="BA273" s="7">
        <v>0.24660383734887859</v>
      </c>
      <c r="BU273" t="b">
        <v>1</v>
      </c>
      <c r="BW273">
        <v>1</v>
      </c>
      <c r="BX273">
        <v>165</v>
      </c>
      <c r="BY273">
        <v>3445</v>
      </c>
      <c r="BZ273">
        <v>0</v>
      </c>
      <c r="CA273">
        <v>0</v>
      </c>
      <c r="CB273">
        <v>0</v>
      </c>
      <c r="CC273">
        <v>0</v>
      </c>
      <c r="CD273">
        <v>0</v>
      </c>
      <c r="CE273">
        <v>0</v>
      </c>
      <c r="CF273">
        <v>0</v>
      </c>
      <c r="CG273">
        <v>1</v>
      </c>
      <c r="CH273">
        <v>0</v>
      </c>
      <c r="CI273">
        <v>0</v>
      </c>
      <c r="CJ273">
        <v>0</v>
      </c>
      <c r="CK273">
        <v>0</v>
      </c>
      <c r="CL273">
        <v>0</v>
      </c>
      <c r="CM273">
        <v>1</v>
      </c>
    </row>
    <row r="274" spans="40:91" x14ac:dyDescent="0.25">
      <c r="AN274" t="str">
        <v>datsun 200-sx</v>
      </c>
      <c r="AO274" s="7">
        <v>23.9</v>
      </c>
      <c r="AP274" s="7">
        <v>27.696989917110148</v>
      </c>
      <c r="AQ274" s="7">
        <v>-3.7969899171101495</v>
      </c>
      <c r="AR274" s="7">
        <v>3.9159228669035963E-2</v>
      </c>
      <c r="AS274" s="7">
        <v>-1.2628813097867118</v>
      </c>
      <c r="AT274" s="7">
        <v>3.8234802921392722E-3</v>
      </c>
      <c r="AU274" s="7">
        <v>0.49599497085825733</v>
      </c>
      <c r="AV274" s="7">
        <v>0.43174338069116325</v>
      </c>
      <c r="AW274" s="7">
        <v>1.1237799205301329</v>
      </c>
      <c r="AX274" s="7">
        <v>-3.9517368854472421</v>
      </c>
      <c r="AY274" s="7" t="e">
        <v>#N/A</v>
      </c>
      <c r="AZ274" s="7">
        <v>27.696989917110148</v>
      </c>
      <c r="BA274" s="7">
        <v>-3.7969899171101495</v>
      </c>
      <c r="BU274" t="b">
        <v>1</v>
      </c>
      <c r="BW274">
        <v>1</v>
      </c>
      <c r="BX274">
        <v>139</v>
      </c>
      <c r="BY274">
        <v>3205</v>
      </c>
      <c r="BZ274">
        <v>0</v>
      </c>
      <c r="CA274">
        <v>0</v>
      </c>
      <c r="CB274">
        <v>0</v>
      </c>
      <c r="CC274">
        <v>0</v>
      </c>
      <c r="CD274">
        <v>0</v>
      </c>
      <c r="CE274">
        <v>0</v>
      </c>
      <c r="CF274">
        <v>0</v>
      </c>
      <c r="CG274">
        <v>1</v>
      </c>
      <c r="CH274">
        <v>0</v>
      </c>
      <c r="CI274">
        <v>0</v>
      </c>
      <c r="CJ274">
        <v>0</v>
      </c>
      <c r="CK274">
        <v>0</v>
      </c>
      <c r="CL274">
        <v>0</v>
      </c>
      <c r="CM274">
        <v>1</v>
      </c>
    </row>
    <row r="275" spans="40:91" x14ac:dyDescent="0.25">
      <c r="AN275" t="str">
        <v>audi 5000</v>
      </c>
      <c r="AO275" s="7">
        <v>20.3</v>
      </c>
      <c r="AP275" s="7">
        <v>25.325687897014436</v>
      </c>
      <c r="AQ275" s="7">
        <v>-5.0256878970144356</v>
      </c>
      <c r="AR275" s="7">
        <v>4.2709716114289586E-2</v>
      </c>
      <c r="AS275" s="7">
        <v>-1.6746439809266791</v>
      </c>
      <c r="AT275" s="7">
        <v>7.360021754444398E-3</v>
      </c>
      <c r="AU275" s="7">
        <v>0.49599497085825733</v>
      </c>
      <c r="AV275" s="7">
        <v>0.43433707282313821</v>
      </c>
      <c r="AW275" s="7">
        <v>1.2940803610775797</v>
      </c>
      <c r="AX275" s="7">
        <v>-5.2499100655391642</v>
      </c>
      <c r="AY275" s="7" t="e">
        <v>#N/A</v>
      </c>
      <c r="AZ275" s="7">
        <v>25.325687897014436</v>
      </c>
      <c r="BA275" s="7">
        <v>-5.0256878970144356</v>
      </c>
      <c r="BU275" t="b">
        <v>1</v>
      </c>
      <c r="BW275">
        <v>1</v>
      </c>
      <c r="BX275">
        <v>140</v>
      </c>
      <c r="BY275">
        <v>4080</v>
      </c>
      <c r="BZ275">
        <v>0</v>
      </c>
      <c r="CA275">
        <v>0</v>
      </c>
      <c r="CB275">
        <v>0</v>
      </c>
      <c r="CC275">
        <v>0</v>
      </c>
      <c r="CD275">
        <v>0</v>
      </c>
      <c r="CE275">
        <v>0</v>
      </c>
      <c r="CF275">
        <v>0</v>
      </c>
      <c r="CG275">
        <v>1</v>
      </c>
      <c r="CH275">
        <v>0</v>
      </c>
      <c r="CI275">
        <v>0</v>
      </c>
      <c r="CJ275">
        <v>0</v>
      </c>
      <c r="CK275">
        <v>0</v>
      </c>
      <c r="CL275">
        <v>0</v>
      </c>
      <c r="CM275">
        <v>1</v>
      </c>
    </row>
    <row r="276" spans="40:91" x14ac:dyDescent="0.25">
      <c r="AN276" t="str">
        <v>volvo 264gl</v>
      </c>
      <c r="AO276" s="7">
        <v>17</v>
      </c>
      <c r="AP276" s="7">
        <v>23.398860413350345</v>
      </c>
      <c r="AQ276" s="7">
        <v>-6.3988604133503451</v>
      </c>
      <c r="AR276" s="7">
        <v>4.7833954880443882E-2</v>
      </c>
      <c r="AS276" s="7">
        <v>-2.1379379429147831</v>
      </c>
      <c r="AT276" s="7">
        <v>1.3507185613380109E-2</v>
      </c>
      <c r="AU276" s="7">
        <v>0.51780857233137045</v>
      </c>
      <c r="AV276" s="7">
        <v>0.44079310612391331</v>
      </c>
      <c r="AW276" s="7">
        <v>1.4621689173672046</v>
      </c>
      <c r="AX276" s="7">
        <v>-6.7203198918387068</v>
      </c>
      <c r="AY276" s="7">
        <v>1.3507185613380109E-2</v>
      </c>
      <c r="AZ276" s="7">
        <v>23.398860413350345</v>
      </c>
      <c r="BA276" s="7">
        <v>-6.3988604133503451</v>
      </c>
      <c r="BU276" t="b">
        <v>1</v>
      </c>
      <c r="BW276">
        <v>1</v>
      </c>
      <c r="BX276">
        <v>68</v>
      </c>
      <c r="BY276">
        <v>2155</v>
      </c>
      <c r="BZ276">
        <v>0</v>
      </c>
      <c r="CA276">
        <v>0</v>
      </c>
      <c r="CB276">
        <v>0</v>
      </c>
      <c r="CC276">
        <v>0</v>
      </c>
      <c r="CD276">
        <v>0</v>
      </c>
      <c r="CE276">
        <v>0</v>
      </c>
      <c r="CF276">
        <v>0</v>
      </c>
      <c r="CG276">
        <v>1</v>
      </c>
      <c r="CH276">
        <v>0</v>
      </c>
      <c r="CI276">
        <v>0</v>
      </c>
      <c r="CJ276">
        <v>0</v>
      </c>
      <c r="CK276">
        <v>0</v>
      </c>
      <c r="CL276">
        <v>0</v>
      </c>
      <c r="CM276">
        <v>1</v>
      </c>
    </row>
    <row r="277" spans="40:91" x14ac:dyDescent="0.25">
      <c r="AN277" t="str">
        <v>saab 99gle</v>
      </c>
      <c r="AO277" s="7">
        <v>21.6</v>
      </c>
      <c r="AP277" s="7">
        <v>25.308066550101028</v>
      </c>
      <c r="AQ277" s="7">
        <v>-3.7080665501010266</v>
      </c>
      <c r="AR277" s="7">
        <v>4.6087575958202398E-2</v>
      </c>
      <c r="AS277" s="7">
        <v>-1.2377760380844094</v>
      </c>
      <c r="AT277" s="7">
        <v>4.3542221406322711E-3</v>
      </c>
      <c r="AU277" s="7">
        <v>0.5251343538696831</v>
      </c>
      <c r="AV277" s="7">
        <v>0.44266880067425013</v>
      </c>
      <c r="AW277" s="7">
        <v>1.1125538360386922</v>
      </c>
      <c r="AX277" s="7">
        <v>-3.8872190534951563</v>
      </c>
      <c r="AY277" s="7" t="e">
        <v>#N/A</v>
      </c>
      <c r="AZ277" s="7">
        <v>25.308066550101028</v>
      </c>
      <c r="BA277" s="7">
        <v>-3.7080665501010266</v>
      </c>
      <c r="BU277" t="b">
        <v>1</v>
      </c>
      <c r="BW277">
        <v>1</v>
      </c>
      <c r="BX277">
        <v>95</v>
      </c>
      <c r="BY277">
        <v>2560</v>
      </c>
      <c r="BZ277">
        <v>0</v>
      </c>
      <c r="CA277">
        <v>0</v>
      </c>
      <c r="CB277">
        <v>0</v>
      </c>
      <c r="CC277">
        <v>0</v>
      </c>
      <c r="CD277">
        <v>0</v>
      </c>
      <c r="CE277">
        <v>0</v>
      </c>
      <c r="CF277">
        <v>0</v>
      </c>
      <c r="CG277">
        <v>1</v>
      </c>
      <c r="CH277">
        <v>0</v>
      </c>
      <c r="CI277">
        <v>0</v>
      </c>
      <c r="CJ277">
        <v>0</v>
      </c>
      <c r="CK277">
        <v>0</v>
      </c>
      <c r="CL277">
        <v>0</v>
      </c>
      <c r="CM277">
        <v>0</v>
      </c>
    </row>
    <row r="278" spans="40:91" x14ac:dyDescent="0.25">
      <c r="AN278" t="str">
        <v>peugeot 604sl</v>
      </c>
      <c r="AO278" s="7">
        <v>16.2</v>
      </c>
      <c r="AP278" s="7">
        <v>21.901875361640496</v>
      </c>
      <c r="AQ278" s="7">
        <v>-5.7018753616404965</v>
      </c>
      <c r="AR278" s="7">
        <v>5.0433605497255063E-2</v>
      </c>
      <c r="AS278" s="7">
        <v>-1.9076726580567798</v>
      </c>
      <c r="AT278" s="7">
        <v>1.1369816866149593E-2</v>
      </c>
      <c r="AU278" s="7">
        <v>0.53248842708754573</v>
      </c>
      <c r="AV278" s="7">
        <v>0.44275727569779671</v>
      </c>
      <c r="AW278" s="7">
        <v>1.3811852366923054</v>
      </c>
      <c r="AX278" s="7">
        <v>-6.0047147778711896</v>
      </c>
      <c r="AY278" s="7">
        <v>1.1369816866149593E-2</v>
      </c>
      <c r="AZ278" s="7">
        <v>21.901875361640496</v>
      </c>
      <c r="BA278" s="7">
        <v>-5.7018753616404965</v>
      </c>
      <c r="BU278" t="b">
        <v>1</v>
      </c>
      <c r="BW278">
        <v>1</v>
      </c>
      <c r="BX278">
        <v>97</v>
      </c>
      <c r="BY278">
        <v>2300</v>
      </c>
      <c r="BZ278">
        <v>0</v>
      </c>
      <c r="CA278">
        <v>0</v>
      </c>
      <c r="CB278">
        <v>0</v>
      </c>
      <c r="CC278">
        <v>0</v>
      </c>
      <c r="CD278">
        <v>0</v>
      </c>
      <c r="CE278">
        <v>0</v>
      </c>
      <c r="CF278">
        <v>0</v>
      </c>
      <c r="CG278">
        <v>1</v>
      </c>
      <c r="CH278">
        <v>0</v>
      </c>
      <c r="CI278">
        <v>0</v>
      </c>
      <c r="CJ278">
        <v>0</v>
      </c>
      <c r="CK278">
        <v>0</v>
      </c>
      <c r="CL278">
        <v>0</v>
      </c>
      <c r="CM278">
        <v>0</v>
      </c>
    </row>
    <row r="279" spans="40:91" x14ac:dyDescent="0.25">
      <c r="AN279" t="str">
        <v>volkswagen scirocco</v>
      </c>
      <c r="AO279" s="7">
        <v>31.5</v>
      </c>
      <c r="AP279" s="7">
        <v>30.098433796225816</v>
      </c>
      <c r="AQ279" s="7">
        <v>1.4015662037741841</v>
      </c>
      <c r="AR279" s="7">
        <v>4.1544941705203203E-2</v>
      </c>
      <c r="AS279" s="7">
        <v>0.46674163527249601</v>
      </c>
      <c r="AT279" s="7">
        <v>5.5545715540963208E-4</v>
      </c>
      <c r="AU279" s="7">
        <v>0.5398714122010615</v>
      </c>
      <c r="AV279" s="7">
        <v>0.45088667377233677</v>
      </c>
      <c r="AW279" s="7">
        <v>0.68318492026134181</v>
      </c>
      <c r="AX279" s="7">
        <v>1.4623181250331483</v>
      </c>
      <c r="AY279" s="7" t="e">
        <v>#N/A</v>
      </c>
      <c r="AZ279" s="7">
        <v>30.098433796225816</v>
      </c>
      <c r="BA279" s="7">
        <v>1.4015662037741841</v>
      </c>
      <c r="BU279" t="b">
        <v>1</v>
      </c>
      <c r="BW279">
        <v>1</v>
      </c>
      <c r="BX279">
        <v>75</v>
      </c>
      <c r="BY279">
        <v>2230</v>
      </c>
      <c r="BZ279">
        <v>0</v>
      </c>
      <c r="CA279">
        <v>0</v>
      </c>
      <c r="CB279">
        <v>0</v>
      </c>
      <c r="CC279">
        <v>0</v>
      </c>
      <c r="CD279">
        <v>0</v>
      </c>
      <c r="CE279">
        <v>0</v>
      </c>
      <c r="CF279">
        <v>0</v>
      </c>
      <c r="CG279">
        <v>1</v>
      </c>
      <c r="CH279">
        <v>0</v>
      </c>
      <c r="CI279">
        <v>0</v>
      </c>
      <c r="CJ279">
        <v>0</v>
      </c>
      <c r="CK279">
        <v>0</v>
      </c>
      <c r="CL279">
        <v>0</v>
      </c>
      <c r="CM279">
        <v>1</v>
      </c>
    </row>
    <row r="280" spans="40:91" x14ac:dyDescent="0.25">
      <c r="AN280" t="str">
        <v>honda accord lx</v>
      </c>
      <c r="AO280" s="7">
        <v>29.5</v>
      </c>
      <c r="AP280" s="7">
        <v>29.534940039844361</v>
      </c>
      <c r="AQ280" s="7">
        <v>-3.4940039844361337E-2</v>
      </c>
      <c r="AR280" s="7">
        <v>3.9538758919076281E-2</v>
      </c>
      <c r="AS280" s="7">
        <v>-1.1623375752353253E-2</v>
      </c>
      <c r="AT280" s="7">
        <v>3.2715896315129271E-7</v>
      </c>
      <c r="AU280" s="7">
        <v>0.5398714122010615</v>
      </c>
      <c r="AV280" s="7">
        <v>0.45411013125419436</v>
      </c>
      <c r="AW280" s="7">
        <v>0.10781176073301675</v>
      </c>
      <c r="AX280" s="7">
        <v>-3.637839649316725E-2</v>
      </c>
      <c r="AY280" s="7" t="e">
        <v>#N/A</v>
      </c>
      <c r="AZ280" s="7">
        <v>29.534940039844361</v>
      </c>
      <c r="BA280" s="7">
        <v>-3.4940039844361337E-2</v>
      </c>
      <c r="BU280" t="b">
        <v>1</v>
      </c>
      <c r="BW280">
        <v>1</v>
      </c>
      <c r="BX280">
        <v>95</v>
      </c>
      <c r="BY280">
        <v>2515</v>
      </c>
      <c r="BZ280">
        <v>0</v>
      </c>
      <c r="CA280">
        <v>0</v>
      </c>
      <c r="CB280">
        <v>0</v>
      </c>
      <c r="CC280">
        <v>0</v>
      </c>
      <c r="CD280">
        <v>0</v>
      </c>
      <c r="CE280">
        <v>0</v>
      </c>
      <c r="CF280">
        <v>0</v>
      </c>
      <c r="CG280">
        <v>1</v>
      </c>
      <c r="CH280">
        <v>0</v>
      </c>
      <c r="CI280">
        <v>0</v>
      </c>
      <c r="CJ280">
        <v>0</v>
      </c>
      <c r="CK280">
        <v>0</v>
      </c>
      <c r="CL280">
        <v>0</v>
      </c>
      <c r="CM280">
        <v>0</v>
      </c>
    </row>
    <row r="281" spans="40:91" x14ac:dyDescent="0.25">
      <c r="AN281" t="str">
        <v>pontiac lemans v6</v>
      </c>
      <c r="AO281" s="7">
        <v>21.5</v>
      </c>
      <c r="AP281" s="7">
        <v>23.499499380574047</v>
      </c>
      <c r="AQ281" s="7">
        <v>-1.9994993805740471</v>
      </c>
      <c r="AR281" s="7">
        <v>3.5500114423946343E-2</v>
      </c>
      <c r="AS281" s="7">
        <v>-0.66377208981313374</v>
      </c>
      <c r="AT281" s="7">
        <v>9.5393026049185906E-4</v>
      </c>
      <c r="AU281" s="7">
        <v>0.5398714122010615</v>
      </c>
      <c r="AV281" s="7">
        <v>0.45874200542910593</v>
      </c>
      <c r="AW281" s="7">
        <v>0.81472209360808046</v>
      </c>
      <c r="AX281" s="7">
        <v>-2.0730944715248292</v>
      </c>
      <c r="AY281" s="7" t="e">
        <v>#N/A</v>
      </c>
      <c r="AZ281" s="7">
        <v>23.499499380574047</v>
      </c>
      <c r="BA281" s="7">
        <v>-1.9994993805740471</v>
      </c>
      <c r="BU281" t="b">
        <v>1</v>
      </c>
      <c r="BW281">
        <v>1</v>
      </c>
      <c r="BX281">
        <v>105</v>
      </c>
      <c r="BY281">
        <v>2745</v>
      </c>
      <c r="BZ281">
        <v>0</v>
      </c>
      <c r="CA281">
        <v>0</v>
      </c>
      <c r="CB281">
        <v>0</v>
      </c>
      <c r="CC281">
        <v>0</v>
      </c>
      <c r="CD281">
        <v>0</v>
      </c>
      <c r="CE281">
        <v>0</v>
      </c>
      <c r="CF281">
        <v>0</v>
      </c>
      <c r="CG281">
        <v>1</v>
      </c>
      <c r="CH281">
        <v>0</v>
      </c>
      <c r="CI281">
        <v>0</v>
      </c>
      <c r="CJ281">
        <v>0</v>
      </c>
      <c r="CK281">
        <v>0</v>
      </c>
      <c r="CL281">
        <v>0</v>
      </c>
      <c r="CM281">
        <v>1</v>
      </c>
    </row>
    <row r="282" spans="40:91" x14ac:dyDescent="0.25">
      <c r="AN282" t="str">
        <v>mercury zephyr 6</v>
      </c>
      <c r="AO282" s="7">
        <v>19.8</v>
      </c>
      <c r="AP282" s="7">
        <v>25.277736291035048</v>
      </c>
      <c r="AQ282" s="7">
        <v>-5.4777362910350469</v>
      </c>
      <c r="AR282" s="7">
        <v>3.7172012207959099E-2</v>
      </c>
      <c r="AS282" s="7">
        <v>-1.8200175308828732</v>
      </c>
      <c r="AT282" s="7">
        <v>7.5226280013667027E-3</v>
      </c>
      <c r="AU282" s="7">
        <v>0.5398714122010615</v>
      </c>
      <c r="AV282" s="7">
        <v>0.45897738397456883</v>
      </c>
      <c r="AW282" s="7">
        <v>1.349080253685033</v>
      </c>
      <c r="AX282" s="7">
        <v>-5.6892158936889681</v>
      </c>
      <c r="AY282" s="7" t="e">
        <v>#N/A</v>
      </c>
      <c r="AZ282" s="7">
        <v>25.277736291035048</v>
      </c>
      <c r="BA282" s="7">
        <v>-5.4777362910350469</v>
      </c>
      <c r="BU282" t="b">
        <v>1</v>
      </c>
      <c r="BW282">
        <v>1</v>
      </c>
      <c r="BX282">
        <v>85</v>
      </c>
      <c r="BY282">
        <v>2855</v>
      </c>
      <c r="BZ282">
        <v>0</v>
      </c>
      <c r="CA282">
        <v>0</v>
      </c>
      <c r="CB282">
        <v>0</v>
      </c>
      <c r="CC282">
        <v>0</v>
      </c>
      <c r="CD282">
        <v>0</v>
      </c>
      <c r="CE282">
        <v>0</v>
      </c>
      <c r="CF282">
        <v>0</v>
      </c>
      <c r="CG282">
        <v>1</v>
      </c>
      <c r="CH282">
        <v>0</v>
      </c>
      <c r="CI282">
        <v>0</v>
      </c>
      <c r="CJ282">
        <v>0</v>
      </c>
      <c r="CK282">
        <v>0</v>
      </c>
      <c r="CL282">
        <v>0</v>
      </c>
      <c r="CM282">
        <v>1</v>
      </c>
    </row>
    <row r="283" spans="40:91" x14ac:dyDescent="0.25">
      <c r="AN283" t="str">
        <v>ford fairmont 4</v>
      </c>
      <c r="AO283" s="7">
        <v>22.3</v>
      </c>
      <c r="AP283" s="7">
        <v>25.735357956686098</v>
      </c>
      <c r="AQ283" s="7">
        <v>-3.4353579566860972</v>
      </c>
      <c r="AR283" s="7">
        <v>3.6285933243070362E-2</v>
      </c>
      <c r="AS283" s="7">
        <v>-1.1408976899843088</v>
      </c>
      <c r="AT283" s="7">
        <v>2.8829331984404462E-3</v>
      </c>
      <c r="AU283" s="7">
        <v>0.5398714122010615</v>
      </c>
      <c r="AV283" s="7">
        <v>0.46083052696320054</v>
      </c>
      <c r="AW283" s="7">
        <v>1.0681281243298058</v>
      </c>
      <c r="AX283" s="7">
        <v>-3.5647066647545076</v>
      </c>
      <c r="AY283" s="7" t="e">
        <v>#N/A</v>
      </c>
      <c r="AZ283" s="7">
        <v>25.735357956686098</v>
      </c>
      <c r="BA283" s="7">
        <v>-3.4353579566860972</v>
      </c>
      <c r="BU283" t="b">
        <v>1</v>
      </c>
      <c r="BW283">
        <v>1</v>
      </c>
      <c r="BX283">
        <v>97</v>
      </c>
      <c r="BY283">
        <v>2405</v>
      </c>
      <c r="BZ283">
        <v>0</v>
      </c>
      <c r="CA283">
        <v>0</v>
      </c>
      <c r="CB283">
        <v>0</v>
      </c>
      <c r="CC283">
        <v>0</v>
      </c>
      <c r="CD283">
        <v>0</v>
      </c>
      <c r="CE283">
        <v>0</v>
      </c>
      <c r="CF283">
        <v>0</v>
      </c>
      <c r="CG283">
        <v>1</v>
      </c>
      <c r="CH283">
        <v>0</v>
      </c>
      <c r="CI283">
        <v>0</v>
      </c>
      <c r="CJ283">
        <v>0</v>
      </c>
      <c r="CK283">
        <v>0</v>
      </c>
      <c r="CL283">
        <v>0</v>
      </c>
      <c r="CM283">
        <v>0</v>
      </c>
    </row>
    <row r="284" spans="40:91" x14ac:dyDescent="0.25">
      <c r="AN284" t="str">
        <v>amc concord dl 6</v>
      </c>
      <c r="AO284" s="7">
        <v>20.2</v>
      </c>
      <c r="AP284" s="7">
        <v>23.804143987110237</v>
      </c>
      <c r="AQ284" s="7">
        <v>-3.6041439871102376</v>
      </c>
      <c r="AR284" s="7">
        <v>3.8402931379088068E-2</v>
      </c>
      <c r="AS284" s="7">
        <v>-1.1982691301329926</v>
      </c>
      <c r="AT284" s="7">
        <v>3.3731143674384906E-3</v>
      </c>
      <c r="AU284" s="7">
        <v>0.5398714122010615</v>
      </c>
      <c r="AV284" s="7">
        <v>0.46544427933441679</v>
      </c>
      <c r="AW284" s="7">
        <v>1.0946547995295104</v>
      </c>
      <c r="AX284" s="7">
        <v>-3.7480812959207248</v>
      </c>
      <c r="AY284" s="7" t="e">
        <v>#N/A</v>
      </c>
      <c r="AZ284" s="7">
        <v>23.804143987110237</v>
      </c>
      <c r="BA284" s="7">
        <v>-3.6041439871102376</v>
      </c>
      <c r="BU284" t="b">
        <v>1</v>
      </c>
      <c r="BW284">
        <v>1</v>
      </c>
      <c r="BX284">
        <v>103</v>
      </c>
      <c r="BY284">
        <v>2830</v>
      </c>
      <c r="BZ284">
        <v>0</v>
      </c>
      <c r="CA284">
        <v>0</v>
      </c>
      <c r="CB284">
        <v>0</v>
      </c>
      <c r="CC284">
        <v>0</v>
      </c>
      <c r="CD284">
        <v>0</v>
      </c>
      <c r="CE284">
        <v>0</v>
      </c>
      <c r="CF284">
        <v>0</v>
      </c>
      <c r="CG284">
        <v>1</v>
      </c>
      <c r="CH284">
        <v>0</v>
      </c>
      <c r="CI284">
        <v>0</v>
      </c>
      <c r="CJ284">
        <v>0</v>
      </c>
      <c r="CK284">
        <v>0</v>
      </c>
      <c r="CL284">
        <v>1</v>
      </c>
      <c r="CM284">
        <v>0</v>
      </c>
    </row>
    <row r="285" spans="40:91" x14ac:dyDescent="0.25">
      <c r="AN285" t="str">
        <v>dodge aspen 6</v>
      </c>
      <c r="AO285" s="7">
        <v>20.6</v>
      </c>
      <c r="AP285" s="7">
        <v>22.998400934603328</v>
      </c>
      <c r="AQ285" s="7">
        <v>-2.3984009346033268</v>
      </c>
      <c r="AR285" s="7">
        <v>3.5147809350873277E-2</v>
      </c>
      <c r="AS285" s="7">
        <v>-0.79604972147694208</v>
      </c>
      <c r="AT285" s="7">
        <v>1.3579036099850778E-3</v>
      </c>
      <c r="AU285" s="7">
        <v>0.5398714122010615</v>
      </c>
      <c r="AV285" s="7">
        <v>0.46674163527249601</v>
      </c>
      <c r="AW285" s="7">
        <v>0.8922161853928352</v>
      </c>
      <c r="AX285" s="7">
        <v>-2.4857703157514175</v>
      </c>
      <c r="AY285" s="7" t="e">
        <v>#N/A</v>
      </c>
      <c r="AZ285" s="7">
        <v>22.998400934603328</v>
      </c>
      <c r="BA285" s="7">
        <v>-2.3984009346033268</v>
      </c>
      <c r="BU285" t="b">
        <v>1</v>
      </c>
      <c r="BW285">
        <v>1</v>
      </c>
      <c r="BX285">
        <v>125</v>
      </c>
      <c r="BY285">
        <v>3140</v>
      </c>
      <c r="BZ285">
        <v>0</v>
      </c>
      <c r="CA285">
        <v>0</v>
      </c>
      <c r="CB285">
        <v>0</v>
      </c>
      <c r="CC285">
        <v>0</v>
      </c>
      <c r="CD285">
        <v>0</v>
      </c>
      <c r="CE285">
        <v>0</v>
      </c>
      <c r="CF285">
        <v>0</v>
      </c>
      <c r="CG285">
        <v>1</v>
      </c>
      <c r="CH285">
        <v>0</v>
      </c>
      <c r="CI285">
        <v>0</v>
      </c>
      <c r="CJ285">
        <v>0</v>
      </c>
      <c r="CK285">
        <v>0</v>
      </c>
      <c r="CL285">
        <v>1</v>
      </c>
      <c r="CM285">
        <v>0</v>
      </c>
    </row>
    <row r="286" spans="40:91" x14ac:dyDescent="0.25">
      <c r="AN286" t="str">
        <v>chevrolet caprice classic</v>
      </c>
      <c r="AO286" s="7">
        <v>17</v>
      </c>
      <c r="AP286" s="7">
        <v>20.24328368027647</v>
      </c>
      <c r="AQ286" s="7">
        <v>-3.2432836802764697</v>
      </c>
      <c r="AR286" s="7">
        <v>3.7166475367221063E-2</v>
      </c>
      <c r="AS286" s="7">
        <v>-1.0776013794312624</v>
      </c>
      <c r="AT286" s="7">
        <v>2.6367413490506536E-3</v>
      </c>
      <c r="AU286" s="7">
        <v>0.5398714122010615</v>
      </c>
      <c r="AV286" s="7">
        <v>0.46857065274584686</v>
      </c>
      <c r="AW286" s="7">
        <v>1.0380758062064939</v>
      </c>
      <c r="AX286" s="7">
        <v>-3.3684781400953461</v>
      </c>
      <c r="AY286" s="7" t="e">
        <v>#N/A</v>
      </c>
      <c r="AZ286" s="7">
        <v>20.24328368027647</v>
      </c>
      <c r="BA286" s="7">
        <v>-3.2432836802764697</v>
      </c>
      <c r="BU286" t="b">
        <v>1</v>
      </c>
      <c r="BW286">
        <v>1</v>
      </c>
      <c r="BX286">
        <v>115</v>
      </c>
      <c r="BY286">
        <v>2795</v>
      </c>
      <c r="BZ286">
        <v>0</v>
      </c>
      <c r="CA286">
        <v>0</v>
      </c>
      <c r="CB286">
        <v>0</v>
      </c>
      <c r="CC286">
        <v>0</v>
      </c>
      <c r="CD286">
        <v>0</v>
      </c>
      <c r="CE286">
        <v>0</v>
      </c>
      <c r="CF286">
        <v>0</v>
      </c>
      <c r="CG286">
        <v>1</v>
      </c>
      <c r="CH286">
        <v>0</v>
      </c>
      <c r="CI286">
        <v>0</v>
      </c>
      <c r="CJ286">
        <v>0</v>
      </c>
      <c r="CK286">
        <v>0</v>
      </c>
      <c r="CL286">
        <v>1</v>
      </c>
      <c r="CM286">
        <v>0</v>
      </c>
    </row>
    <row r="287" spans="40:91" x14ac:dyDescent="0.25">
      <c r="AN287" t="str">
        <v>ford ltd landau</v>
      </c>
      <c r="AO287" s="7">
        <v>17.600000000000001</v>
      </c>
      <c r="AP287" s="7">
        <v>20.841800717968439</v>
      </c>
      <c r="AQ287" s="7">
        <v>-3.2418007179684381</v>
      </c>
      <c r="AR287" s="7">
        <v>3.6470607710320291E-2</v>
      </c>
      <c r="AS287" s="7">
        <v>-1.0767196379396351</v>
      </c>
      <c r="AT287" s="7">
        <v>2.5812756200591122E-3</v>
      </c>
      <c r="AU287" s="7">
        <v>0.5398714122010615</v>
      </c>
      <c r="AV287" s="7">
        <v>0.46871808445674717</v>
      </c>
      <c r="AW287" s="7">
        <v>1.0376510193411055</v>
      </c>
      <c r="AX287" s="7">
        <v>-3.3645063076537771</v>
      </c>
      <c r="AY287" s="7" t="e">
        <v>#N/A</v>
      </c>
      <c r="AZ287" s="7">
        <v>20.841800717968439</v>
      </c>
      <c r="BA287" s="7">
        <v>-3.2418007179684381</v>
      </c>
      <c r="BU287" t="b">
        <v>1</v>
      </c>
      <c r="BW287">
        <v>1</v>
      </c>
      <c r="BX287">
        <v>133</v>
      </c>
      <c r="BY287">
        <v>3410</v>
      </c>
      <c r="BZ287">
        <v>0</v>
      </c>
      <c r="CA287">
        <v>0</v>
      </c>
      <c r="CB287">
        <v>0</v>
      </c>
      <c r="CC287">
        <v>0</v>
      </c>
      <c r="CD287">
        <v>0</v>
      </c>
      <c r="CE287">
        <v>0</v>
      </c>
      <c r="CF287">
        <v>0</v>
      </c>
      <c r="CG287">
        <v>1</v>
      </c>
      <c r="CH287">
        <v>0</v>
      </c>
      <c r="CI287">
        <v>0</v>
      </c>
      <c r="CJ287">
        <v>0</v>
      </c>
      <c r="CK287">
        <v>0</v>
      </c>
      <c r="CL287">
        <v>1</v>
      </c>
      <c r="CM287">
        <v>0</v>
      </c>
    </row>
    <row r="288" spans="40:91" x14ac:dyDescent="0.25">
      <c r="AN288" t="str">
        <v>mercury grand marquis</v>
      </c>
      <c r="AO288" s="7">
        <v>16.5</v>
      </c>
      <c r="AP288" s="7">
        <v>19.531111618909719</v>
      </c>
      <c r="AQ288" s="7">
        <v>-3.0311116189097191</v>
      </c>
      <c r="AR288" s="7">
        <v>3.8170821658972939E-2</v>
      </c>
      <c r="AS288" s="7">
        <v>-1.007631554042864</v>
      </c>
      <c r="AT288" s="7">
        <v>2.3702172657121567E-3</v>
      </c>
      <c r="AU288" s="7">
        <v>0.5398714122010615</v>
      </c>
      <c r="AV288" s="7">
        <v>0.47398446164131658</v>
      </c>
      <c r="AW288" s="7">
        <v>1.0038085245916495</v>
      </c>
      <c r="AX288" s="7">
        <v>-3.1514032711482218</v>
      </c>
      <c r="AY288" s="7" t="e">
        <v>#N/A</v>
      </c>
      <c r="AZ288" s="7">
        <v>19.531111618909719</v>
      </c>
      <c r="BA288" s="7">
        <v>-3.0311116189097191</v>
      </c>
      <c r="BU288" t="b">
        <v>1</v>
      </c>
      <c r="BW288">
        <v>1</v>
      </c>
      <c r="BX288">
        <v>71</v>
      </c>
      <c r="BY288">
        <v>1990</v>
      </c>
      <c r="BZ288">
        <v>0</v>
      </c>
      <c r="CA288">
        <v>0</v>
      </c>
      <c r="CB288">
        <v>0</v>
      </c>
      <c r="CC288">
        <v>0</v>
      </c>
      <c r="CD288">
        <v>0</v>
      </c>
      <c r="CE288">
        <v>0</v>
      </c>
      <c r="CF288">
        <v>0</v>
      </c>
      <c r="CG288">
        <v>1</v>
      </c>
      <c r="CH288">
        <v>0</v>
      </c>
      <c r="CI288">
        <v>0</v>
      </c>
      <c r="CJ288">
        <v>0</v>
      </c>
      <c r="CK288">
        <v>0</v>
      </c>
      <c r="CL288">
        <v>1</v>
      </c>
      <c r="CM288">
        <v>0</v>
      </c>
    </row>
    <row r="289" spans="40:91" x14ac:dyDescent="0.25">
      <c r="AN289" t="str">
        <v>dodge st. regis</v>
      </c>
      <c r="AO289" s="7">
        <v>18.2</v>
      </c>
      <c r="AP289" s="7">
        <v>20.212734616659933</v>
      </c>
      <c r="AQ289" s="7">
        <v>-2.0127346166599338</v>
      </c>
      <c r="AR289" s="7">
        <v>3.7299384768416474E-2</v>
      </c>
      <c r="AS289" s="7">
        <v>-0.6687898832660335</v>
      </c>
      <c r="AT289" s="7">
        <v>1.0193912173724641E-3</v>
      </c>
      <c r="AU289" s="7">
        <v>0.61543829749621981</v>
      </c>
      <c r="AV289" s="7">
        <v>0.48931010929768898</v>
      </c>
      <c r="AW289" s="7">
        <v>0.81779574666663157</v>
      </c>
      <c r="AX289" s="7">
        <v>-2.090717077370682</v>
      </c>
      <c r="AY289" s="7" t="e">
        <v>#N/A</v>
      </c>
      <c r="AZ289" s="7">
        <v>20.212734616659933</v>
      </c>
      <c r="BA289" s="7">
        <v>-2.0127346166599338</v>
      </c>
      <c r="BU289" t="b">
        <v>1</v>
      </c>
      <c r="BW289">
        <v>1</v>
      </c>
      <c r="BX289">
        <v>68</v>
      </c>
      <c r="BY289">
        <v>2135</v>
      </c>
      <c r="BZ289">
        <v>0</v>
      </c>
      <c r="CA289">
        <v>0</v>
      </c>
      <c r="CB289">
        <v>0</v>
      </c>
      <c r="CC289">
        <v>0</v>
      </c>
      <c r="CD289">
        <v>0</v>
      </c>
      <c r="CE289">
        <v>0</v>
      </c>
      <c r="CF289">
        <v>0</v>
      </c>
      <c r="CG289">
        <v>1</v>
      </c>
      <c r="CH289">
        <v>0</v>
      </c>
      <c r="CI289">
        <v>0</v>
      </c>
      <c r="CJ289">
        <v>0</v>
      </c>
      <c r="CK289">
        <v>0</v>
      </c>
      <c r="CL289">
        <v>0</v>
      </c>
      <c r="CM289">
        <v>0</v>
      </c>
    </row>
    <row r="290" spans="40:91" x14ac:dyDescent="0.25">
      <c r="AN290" t="str">
        <v>buick estate wagon (sw)</v>
      </c>
      <c r="AO290" s="7">
        <v>16.899999999999999</v>
      </c>
      <c r="AP290" s="7">
        <v>17.204451881577238</v>
      </c>
      <c r="AQ290" s="7">
        <v>-0.3044518815772399</v>
      </c>
      <c r="AR290" s="7">
        <v>4.2876541042037614E-2</v>
      </c>
      <c r="AS290" s="7">
        <v>-0.10145734321850042</v>
      </c>
      <c r="AT290" s="7">
        <v>2.7125005284355675E-5</v>
      </c>
      <c r="AU290" s="7">
        <v>0.62318453179067923</v>
      </c>
      <c r="AV290" s="7">
        <v>0.50018854209737185</v>
      </c>
      <c r="AW290" s="7">
        <v>0.31852369333928743</v>
      </c>
      <c r="AX290" s="7">
        <v>-0.31809050204317652</v>
      </c>
      <c r="AY290" s="7" t="e">
        <v>#N/A</v>
      </c>
      <c r="AZ290" s="7">
        <v>17.204451881577238</v>
      </c>
      <c r="BA290" s="7">
        <v>-0.3044518815772399</v>
      </c>
      <c r="BU290" t="b">
        <v>1</v>
      </c>
      <c r="BW290">
        <v>1</v>
      </c>
      <c r="BX290">
        <v>115</v>
      </c>
      <c r="BY290">
        <v>3245</v>
      </c>
      <c r="BZ290">
        <v>0</v>
      </c>
      <c r="CA290">
        <v>0</v>
      </c>
      <c r="CB290">
        <v>0</v>
      </c>
      <c r="CC290">
        <v>0</v>
      </c>
      <c r="CD290">
        <v>0</v>
      </c>
      <c r="CE290">
        <v>0</v>
      </c>
      <c r="CF290">
        <v>0</v>
      </c>
      <c r="CG290">
        <v>0</v>
      </c>
      <c r="CH290">
        <v>1</v>
      </c>
      <c r="CI290">
        <v>0</v>
      </c>
      <c r="CJ290">
        <v>0</v>
      </c>
      <c r="CK290">
        <v>0</v>
      </c>
      <c r="CL290">
        <v>0</v>
      </c>
      <c r="CM290">
        <v>1</v>
      </c>
    </row>
    <row r="291" spans="40:91" x14ac:dyDescent="0.25">
      <c r="AN291" t="str">
        <v>ford country squire (sw)</v>
      </c>
      <c r="AO291" s="7">
        <v>15.5</v>
      </c>
      <c r="AP291" s="7">
        <v>18.964898239198995</v>
      </c>
      <c r="AQ291" s="7">
        <v>-3.4648982391989946</v>
      </c>
      <c r="AR291" s="7">
        <v>3.9116018286594861E-2</v>
      </c>
      <c r="AS291" s="7">
        <v>-1.1524014899843384</v>
      </c>
      <c r="AT291" s="7">
        <v>3.1801117960045381E-3</v>
      </c>
      <c r="AU291" s="7">
        <v>0.63096834177070094</v>
      </c>
      <c r="AV291" s="7">
        <v>0.51286368166817686</v>
      </c>
      <c r="AW291" s="7">
        <v>1.0734996460103461</v>
      </c>
      <c r="AX291" s="7">
        <v>-3.6059485901935253</v>
      </c>
      <c r="AY291" s="7" t="e">
        <v>#N/A</v>
      </c>
      <c r="AZ291" s="7">
        <v>18.964898239198995</v>
      </c>
      <c r="BA291" s="7">
        <v>-3.4648982391989946</v>
      </c>
      <c r="BU291" t="b">
        <v>1</v>
      </c>
      <c r="BW291">
        <v>1</v>
      </c>
      <c r="BX291">
        <v>85</v>
      </c>
      <c r="BY291">
        <v>2990</v>
      </c>
      <c r="BZ291">
        <v>0</v>
      </c>
      <c r="CA291">
        <v>0</v>
      </c>
      <c r="CB291">
        <v>0</v>
      </c>
      <c r="CC291">
        <v>0</v>
      </c>
      <c r="CD291">
        <v>0</v>
      </c>
      <c r="CE291">
        <v>0</v>
      </c>
      <c r="CF291">
        <v>0</v>
      </c>
      <c r="CG291">
        <v>0</v>
      </c>
      <c r="CH291">
        <v>1</v>
      </c>
      <c r="CI291">
        <v>0</v>
      </c>
      <c r="CJ291">
        <v>0</v>
      </c>
      <c r="CK291">
        <v>0</v>
      </c>
      <c r="CL291">
        <v>0</v>
      </c>
      <c r="CM291">
        <v>1</v>
      </c>
    </row>
    <row r="292" spans="40:91" x14ac:dyDescent="0.25">
      <c r="AN292" t="str">
        <v>chevrolet malibu classic (sw)</v>
      </c>
      <c r="AO292" s="7">
        <v>19.2</v>
      </c>
      <c r="AP292" s="7">
        <v>21.514343599596614</v>
      </c>
      <c r="AQ292" s="7">
        <v>-2.3143435995966151</v>
      </c>
      <c r="AR292" s="7">
        <v>3.5888049414081885E-2</v>
      </c>
      <c r="AS292" s="7">
        <v>-0.76844520954536732</v>
      </c>
      <c r="AT292" s="7">
        <v>1.2930022535661784E-3</v>
      </c>
      <c r="AU292" s="7">
        <v>0.63879057001741368</v>
      </c>
      <c r="AV292" s="7">
        <v>0.52607820754972878</v>
      </c>
      <c r="AW292" s="7">
        <v>0.87661006698837729</v>
      </c>
      <c r="AX292" s="7">
        <v>-2.4004925965186126</v>
      </c>
      <c r="AY292" s="7" t="e">
        <v>#N/A</v>
      </c>
      <c r="AZ292" s="7">
        <v>21.514343599596614</v>
      </c>
      <c r="BA292" s="7">
        <v>-2.3143435995966151</v>
      </c>
      <c r="BU292" t="b">
        <v>1</v>
      </c>
      <c r="BW292">
        <v>1</v>
      </c>
      <c r="BX292">
        <v>88</v>
      </c>
      <c r="BY292">
        <v>2890</v>
      </c>
      <c r="BZ292">
        <v>0</v>
      </c>
      <c r="CA292">
        <v>0</v>
      </c>
      <c r="CB292">
        <v>0</v>
      </c>
      <c r="CC292">
        <v>0</v>
      </c>
      <c r="CD292">
        <v>0</v>
      </c>
      <c r="CE292">
        <v>0</v>
      </c>
      <c r="CF292">
        <v>0</v>
      </c>
      <c r="CG292">
        <v>0</v>
      </c>
      <c r="CH292">
        <v>1</v>
      </c>
      <c r="CI292">
        <v>0</v>
      </c>
      <c r="CJ292">
        <v>0</v>
      </c>
      <c r="CK292">
        <v>0</v>
      </c>
      <c r="CL292">
        <v>0</v>
      </c>
      <c r="CM292">
        <v>1</v>
      </c>
    </row>
    <row r="293" spans="40:91" x14ac:dyDescent="0.25">
      <c r="AN293" t="str">
        <v>chrysler lebaron town @ country (sw)</v>
      </c>
      <c r="AO293" s="7">
        <v>18.5</v>
      </c>
      <c r="AP293" s="7">
        <v>19.412224079693978</v>
      </c>
      <c r="AQ293" s="7">
        <v>-0.91222407969397779</v>
      </c>
      <c r="AR293" s="7">
        <v>4.0258569851032752E-2</v>
      </c>
      <c r="AS293" s="7">
        <v>-0.30358004022533502</v>
      </c>
      <c r="AT293" s="7">
        <v>2.274058365684563E-4</v>
      </c>
      <c r="AU293" s="7">
        <v>0.63879057001741368</v>
      </c>
      <c r="AV293" s="7">
        <v>0.55319696979359612</v>
      </c>
      <c r="AW293" s="7">
        <v>0.55098097991249662</v>
      </c>
      <c r="AX293" s="7">
        <v>-0.95048942458635544</v>
      </c>
      <c r="AY293" s="7" t="e">
        <v>#N/A</v>
      </c>
      <c r="AZ293" s="7">
        <v>19.412224079693978</v>
      </c>
      <c r="BA293" s="7">
        <v>-0.91222407969397779</v>
      </c>
      <c r="BU293" t="b">
        <v>1</v>
      </c>
      <c r="BW293">
        <v>1</v>
      </c>
      <c r="BX293">
        <v>90</v>
      </c>
      <c r="BY293">
        <v>3265</v>
      </c>
      <c r="BZ293">
        <v>0</v>
      </c>
      <c r="CA293">
        <v>0</v>
      </c>
      <c r="CB293">
        <v>0</v>
      </c>
      <c r="CC293">
        <v>0</v>
      </c>
      <c r="CD293">
        <v>0</v>
      </c>
      <c r="CE293">
        <v>0</v>
      </c>
      <c r="CF293">
        <v>0</v>
      </c>
      <c r="CG293">
        <v>0</v>
      </c>
      <c r="CH293">
        <v>1</v>
      </c>
      <c r="CI293">
        <v>0</v>
      </c>
      <c r="CJ293">
        <v>0</v>
      </c>
      <c r="CK293">
        <v>0</v>
      </c>
      <c r="CL293">
        <v>0</v>
      </c>
      <c r="CM293">
        <v>1</v>
      </c>
    </row>
    <row r="294" spans="40:91" x14ac:dyDescent="0.25">
      <c r="AN294" t="str">
        <v>vw rabbit custom</v>
      </c>
      <c r="AO294" s="7">
        <v>31.9</v>
      </c>
      <c r="AP294" s="7">
        <v>32.835435847633093</v>
      </c>
      <c r="AQ294" s="7">
        <v>-0.9354358476330944</v>
      </c>
      <c r="AR294" s="7">
        <v>5.1336358751507799E-2</v>
      </c>
      <c r="AS294" s="7">
        <v>-0.31311702677892411</v>
      </c>
      <c r="AT294" s="7">
        <v>3.1208813131614516E-4</v>
      </c>
      <c r="AU294" s="7">
        <v>0.63879057001741368</v>
      </c>
      <c r="AV294" s="7">
        <v>0.5565680312062059</v>
      </c>
      <c r="AW294" s="7">
        <v>0.55956860774968797</v>
      </c>
      <c r="AX294" s="7">
        <v>-0.98605639233944986</v>
      </c>
      <c r="AY294" s="7" t="e">
        <v>#N/A</v>
      </c>
      <c r="AZ294" s="7">
        <v>32.835435847633093</v>
      </c>
      <c r="BA294" s="7">
        <v>-0.9354358476330944</v>
      </c>
      <c r="BU294" t="b">
        <v>1</v>
      </c>
      <c r="BW294">
        <v>1</v>
      </c>
      <c r="BX294">
        <v>110</v>
      </c>
      <c r="BY294">
        <v>3360</v>
      </c>
      <c r="BZ294">
        <v>0</v>
      </c>
      <c r="CA294">
        <v>0</v>
      </c>
      <c r="CB294">
        <v>0</v>
      </c>
      <c r="CC294">
        <v>0</v>
      </c>
      <c r="CD294">
        <v>0</v>
      </c>
      <c r="CE294">
        <v>0</v>
      </c>
      <c r="CF294">
        <v>0</v>
      </c>
      <c r="CG294">
        <v>0</v>
      </c>
      <c r="CH294">
        <v>1</v>
      </c>
      <c r="CI294">
        <v>0</v>
      </c>
      <c r="CJ294">
        <v>0</v>
      </c>
      <c r="CK294">
        <v>0</v>
      </c>
      <c r="CL294">
        <v>0</v>
      </c>
      <c r="CM294">
        <v>1</v>
      </c>
    </row>
    <row r="295" spans="40:91" x14ac:dyDescent="0.25">
      <c r="AN295" t="str">
        <v>maxda glc deluxe</v>
      </c>
      <c r="AO295" s="7">
        <v>34.1</v>
      </c>
      <c r="AP295" s="7">
        <v>32.801665800548349</v>
      </c>
      <c r="AQ295" s="7">
        <v>1.2983341994516522</v>
      </c>
      <c r="AR295" s="7">
        <v>5.0233601015170104E-2</v>
      </c>
      <c r="AS295" s="7">
        <v>0.43433707282313821</v>
      </c>
      <c r="AT295" s="7">
        <v>5.8692470421661531E-4</v>
      </c>
      <c r="AU295" s="7">
        <v>0.63879057001741368</v>
      </c>
      <c r="AV295" s="7">
        <v>0.55972501051095702</v>
      </c>
      <c r="AW295" s="7">
        <v>0.65904254249869043</v>
      </c>
      <c r="AX295" s="7">
        <v>1.3670037188506494</v>
      </c>
      <c r="AY295" s="7" t="e">
        <v>#N/A</v>
      </c>
      <c r="AZ295" s="7">
        <v>32.801665800548349</v>
      </c>
      <c r="BA295" s="7">
        <v>1.2983341994516522</v>
      </c>
      <c r="BU295" t="b">
        <v>1</v>
      </c>
      <c r="BW295">
        <v>1</v>
      </c>
      <c r="BX295">
        <v>130</v>
      </c>
      <c r="BY295">
        <v>3840</v>
      </c>
      <c r="BZ295">
        <v>0</v>
      </c>
      <c r="CA295">
        <v>0</v>
      </c>
      <c r="CB295">
        <v>0</v>
      </c>
      <c r="CC295">
        <v>0</v>
      </c>
      <c r="CD295">
        <v>0</v>
      </c>
      <c r="CE295">
        <v>0</v>
      </c>
      <c r="CF295">
        <v>0</v>
      </c>
      <c r="CG295">
        <v>0</v>
      </c>
      <c r="CH295">
        <v>1</v>
      </c>
      <c r="CI295">
        <v>0</v>
      </c>
      <c r="CJ295">
        <v>0</v>
      </c>
      <c r="CK295">
        <v>0</v>
      </c>
      <c r="CL295">
        <v>0</v>
      </c>
      <c r="CM295">
        <v>1</v>
      </c>
    </row>
    <row r="296" spans="40:91" x14ac:dyDescent="0.25">
      <c r="AN296" t="str">
        <v>dodge colt hatchback custom</v>
      </c>
      <c r="AO296" s="7">
        <v>35.700000000000003</v>
      </c>
      <c r="AP296" s="7">
        <v>30.801976287053254</v>
      </c>
      <c r="AQ296" s="7">
        <v>4.898023712946749</v>
      </c>
      <c r="AR296" s="7">
        <v>5.1390096085500124E-2</v>
      </c>
      <c r="AS296" s="7">
        <v>1.6395545081768057</v>
      </c>
      <c r="AT296" s="7">
        <v>8.5663255114176839E-3</v>
      </c>
      <c r="AU296" s="7">
        <v>0.63879057001741368</v>
      </c>
      <c r="AV296" s="7">
        <v>0.5679830709381003</v>
      </c>
      <c r="AW296" s="7">
        <v>1.2804509003381606</v>
      </c>
      <c r="AX296" s="7">
        <v>5.1633697821778357</v>
      </c>
      <c r="AY296" s="7" t="e">
        <v>#N/A</v>
      </c>
      <c r="AZ296" s="7">
        <v>30.801976287053254</v>
      </c>
      <c r="BA296" s="7">
        <v>4.898023712946749</v>
      </c>
      <c r="BU296" t="b">
        <v>1</v>
      </c>
      <c r="BW296">
        <v>1</v>
      </c>
      <c r="BX296">
        <v>129</v>
      </c>
      <c r="BY296">
        <v>3725</v>
      </c>
      <c r="BZ296">
        <v>0</v>
      </c>
      <c r="CA296">
        <v>0</v>
      </c>
      <c r="CB296">
        <v>0</v>
      </c>
      <c r="CC296">
        <v>0</v>
      </c>
      <c r="CD296">
        <v>0</v>
      </c>
      <c r="CE296">
        <v>0</v>
      </c>
      <c r="CF296">
        <v>0</v>
      </c>
      <c r="CG296">
        <v>0</v>
      </c>
      <c r="CH296">
        <v>1</v>
      </c>
      <c r="CI296">
        <v>0</v>
      </c>
      <c r="CJ296">
        <v>0</v>
      </c>
      <c r="CK296">
        <v>0</v>
      </c>
      <c r="CL296">
        <v>0</v>
      </c>
      <c r="CM296">
        <v>1</v>
      </c>
    </row>
    <row r="297" spans="40:91" x14ac:dyDescent="0.25">
      <c r="AN297" t="str">
        <v>amc spirit dl</v>
      </c>
      <c r="AO297" s="7">
        <v>27.4</v>
      </c>
      <c r="AP297" s="7">
        <v>26.979177527640115</v>
      </c>
      <c r="AQ297" s="7">
        <v>0.4208224723598839</v>
      </c>
      <c r="AR297" s="7">
        <v>3.7568519575838552E-2</v>
      </c>
      <c r="AS297" s="7">
        <v>0.13985011155835916</v>
      </c>
      <c r="AT297" s="7">
        <v>4.490875077693415E-5</v>
      </c>
      <c r="AU297" s="7">
        <v>0.63879057001741368</v>
      </c>
      <c r="AV297" s="7">
        <v>0.56878580743135443</v>
      </c>
      <c r="AW297" s="7">
        <v>0.37396538818232788</v>
      </c>
      <c r="AX297" s="7">
        <v>0.43724928051441087</v>
      </c>
      <c r="AY297" s="7" t="e">
        <v>#N/A</v>
      </c>
      <c r="AZ297" s="7">
        <v>26.979177527640115</v>
      </c>
      <c r="BA297" s="7">
        <v>0.4208224723598839</v>
      </c>
      <c r="BU297" t="b">
        <v>1</v>
      </c>
      <c r="BW297">
        <v>1</v>
      </c>
      <c r="BX297">
        <v>138</v>
      </c>
      <c r="BY297">
        <v>3955</v>
      </c>
      <c r="BZ297">
        <v>0</v>
      </c>
      <c r="CA297">
        <v>0</v>
      </c>
      <c r="CB297">
        <v>0</v>
      </c>
      <c r="CC297">
        <v>0</v>
      </c>
      <c r="CD297">
        <v>0</v>
      </c>
      <c r="CE297">
        <v>0</v>
      </c>
      <c r="CF297">
        <v>0</v>
      </c>
      <c r="CG297">
        <v>0</v>
      </c>
      <c r="CH297">
        <v>1</v>
      </c>
      <c r="CI297">
        <v>0</v>
      </c>
      <c r="CJ297">
        <v>0</v>
      </c>
      <c r="CK297">
        <v>0</v>
      </c>
      <c r="CL297">
        <v>0</v>
      </c>
      <c r="CM297">
        <v>1</v>
      </c>
    </row>
    <row r="298" spans="40:91" x14ac:dyDescent="0.25">
      <c r="AN298" t="str">
        <v>mercedes benz 300d</v>
      </c>
      <c r="AO298" s="7">
        <v>25.4</v>
      </c>
      <c r="AP298" s="7">
        <v>24.611405323649468</v>
      </c>
      <c r="AQ298" s="7">
        <v>0.78859467635053093</v>
      </c>
      <c r="AR298" s="7">
        <v>7.376096318342551E-2</v>
      </c>
      <c r="AS298" s="7">
        <v>0.26714134253452559</v>
      </c>
      <c r="AT298" s="7">
        <v>3.3430031485071754E-4</v>
      </c>
      <c r="AU298" s="7">
        <v>0.63879057001741368</v>
      </c>
      <c r="AV298" s="7">
        <v>0.58752778997756339</v>
      </c>
      <c r="AW298" s="7">
        <v>0.51685717808164922</v>
      </c>
      <c r="AX298" s="7">
        <v>0.85139434315021034</v>
      </c>
      <c r="AY298" s="7" t="e">
        <v>#N/A</v>
      </c>
      <c r="AZ298" s="7">
        <v>24.611405323649468</v>
      </c>
      <c r="BA298" s="7">
        <v>0.78859467635053093</v>
      </c>
      <c r="BU298" t="b">
        <v>1</v>
      </c>
      <c r="BW298">
        <v>1</v>
      </c>
      <c r="BX298">
        <v>135</v>
      </c>
      <c r="BY298">
        <v>3830</v>
      </c>
      <c r="BZ298">
        <v>0</v>
      </c>
      <c r="CA298">
        <v>0</v>
      </c>
      <c r="CB298">
        <v>0</v>
      </c>
      <c r="CC298">
        <v>0</v>
      </c>
      <c r="CD298">
        <v>0</v>
      </c>
      <c r="CE298">
        <v>0</v>
      </c>
      <c r="CF298">
        <v>0</v>
      </c>
      <c r="CG298">
        <v>0</v>
      </c>
      <c r="CH298">
        <v>1</v>
      </c>
      <c r="CI298">
        <v>0</v>
      </c>
      <c r="CJ298">
        <v>0</v>
      </c>
      <c r="CK298">
        <v>0</v>
      </c>
      <c r="CL298">
        <v>0</v>
      </c>
      <c r="CM298">
        <v>1</v>
      </c>
    </row>
    <row r="299" spans="40:91" x14ac:dyDescent="0.25">
      <c r="AN299" t="str">
        <v>cadillac eldorado</v>
      </c>
      <c r="AO299" s="7">
        <v>23</v>
      </c>
      <c r="AP299" s="7">
        <v>20.020667263137174</v>
      </c>
      <c r="AQ299" s="7">
        <v>2.9793327368628262</v>
      </c>
      <c r="AR299" s="7">
        <v>3.823657901527007E-2</v>
      </c>
      <c r="AS299" s="7">
        <v>0.99045257304541545</v>
      </c>
      <c r="AT299" s="7">
        <v>2.2941891516981036E-3</v>
      </c>
      <c r="AU299" s="7">
        <v>0.63879057001741368</v>
      </c>
      <c r="AV299" s="7">
        <v>0.60637414955154345</v>
      </c>
      <c r="AW299" s="7">
        <v>0.99521483763326979</v>
      </c>
      <c r="AX299" s="7">
        <v>3.0977812961656914</v>
      </c>
      <c r="AY299" s="7" t="e">
        <v>#N/A</v>
      </c>
      <c r="AZ299" s="7">
        <v>20.020667263137174</v>
      </c>
      <c r="BA299" s="7">
        <v>2.9793327368628262</v>
      </c>
      <c r="BU299" t="b">
        <v>1</v>
      </c>
      <c r="BW299">
        <v>1</v>
      </c>
      <c r="BX299">
        <v>155</v>
      </c>
      <c r="BY299">
        <v>4360</v>
      </c>
      <c r="BZ299">
        <v>0</v>
      </c>
      <c r="CA299">
        <v>0</v>
      </c>
      <c r="CB299">
        <v>0</v>
      </c>
      <c r="CC299">
        <v>0</v>
      </c>
      <c r="CD299">
        <v>0</v>
      </c>
      <c r="CE299">
        <v>0</v>
      </c>
      <c r="CF299">
        <v>0</v>
      </c>
      <c r="CG299">
        <v>0</v>
      </c>
      <c r="CH299">
        <v>1</v>
      </c>
      <c r="CI299">
        <v>0</v>
      </c>
      <c r="CJ299">
        <v>0</v>
      </c>
      <c r="CK299">
        <v>0</v>
      </c>
      <c r="CL299">
        <v>0</v>
      </c>
      <c r="CM299">
        <v>1</v>
      </c>
    </row>
    <row r="300" spans="40:91" x14ac:dyDescent="0.25">
      <c r="AN300" t="str">
        <v>peugeot 504</v>
      </c>
      <c r="AO300" s="7">
        <v>27.2</v>
      </c>
      <c r="AP300" s="7">
        <v>26.430349184510412</v>
      </c>
      <c r="AQ300" s="7">
        <v>0.76965081548958736</v>
      </c>
      <c r="AR300" s="7">
        <v>6.4256653349343162E-2</v>
      </c>
      <c r="AS300" s="7">
        <v>0.2593965308397409</v>
      </c>
      <c r="AT300" s="7">
        <v>2.7179456028936504E-4</v>
      </c>
      <c r="AU300" s="7">
        <v>0.70286023091909866</v>
      </c>
      <c r="AV300" s="7">
        <v>0.60778730846125162</v>
      </c>
      <c r="AW300" s="7">
        <v>0.50930985739502521</v>
      </c>
      <c r="AX300" s="7">
        <v>0.82250204422444351</v>
      </c>
      <c r="AY300" s="7" t="e">
        <v>#N/A</v>
      </c>
      <c r="AZ300" s="7">
        <v>26.430349184510412</v>
      </c>
      <c r="BA300" s="7">
        <v>0.76965081548958736</v>
      </c>
      <c r="BU300" t="b">
        <v>1</v>
      </c>
      <c r="BW300">
        <v>1</v>
      </c>
      <c r="BX300">
        <v>142</v>
      </c>
      <c r="BY300">
        <v>4054</v>
      </c>
      <c r="BZ300">
        <v>0</v>
      </c>
      <c r="CA300">
        <v>0</v>
      </c>
      <c r="CB300">
        <v>0</v>
      </c>
      <c r="CC300">
        <v>0</v>
      </c>
      <c r="CD300">
        <v>0</v>
      </c>
      <c r="CE300">
        <v>0</v>
      </c>
      <c r="CF300">
        <v>0</v>
      </c>
      <c r="CG300">
        <v>0</v>
      </c>
      <c r="CH300">
        <v>1</v>
      </c>
      <c r="CI300">
        <v>0</v>
      </c>
      <c r="CJ300">
        <v>0</v>
      </c>
      <c r="CK300">
        <v>0</v>
      </c>
      <c r="CL300">
        <v>0</v>
      </c>
      <c r="CM300">
        <v>1</v>
      </c>
    </row>
    <row r="301" spans="40:91" x14ac:dyDescent="0.25">
      <c r="AN301" t="str">
        <v>oldsmobile cutlass salon brougham</v>
      </c>
      <c r="AO301" s="7">
        <v>23.9</v>
      </c>
      <c r="AP301" s="7">
        <v>23.019330996767142</v>
      </c>
      <c r="AQ301" s="7">
        <v>0.8806690032328568</v>
      </c>
      <c r="AR301" s="7">
        <v>4.1029673787680812E-2</v>
      </c>
      <c r="AS301" s="7">
        <v>0.29319660015181248</v>
      </c>
      <c r="AT301" s="7">
        <v>2.163524581184638E-4</v>
      </c>
      <c r="AU301" s="7">
        <v>0.70286023091909866</v>
      </c>
      <c r="AV301" s="7">
        <v>0.60888968943784194</v>
      </c>
      <c r="AW301" s="7">
        <v>0.54147631541168306</v>
      </c>
      <c r="AX301" s="7">
        <v>0.9183485444343914</v>
      </c>
      <c r="AY301" s="7" t="e">
        <v>#N/A</v>
      </c>
      <c r="AZ301" s="7">
        <v>23.019330996767142</v>
      </c>
      <c r="BA301" s="7">
        <v>0.8806690032328568</v>
      </c>
      <c r="BU301" t="b">
        <v>1</v>
      </c>
      <c r="BW301">
        <v>1</v>
      </c>
      <c r="BX301">
        <v>125</v>
      </c>
      <c r="BY301">
        <v>3605</v>
      </c>
      <c r="BZ301">
        <v>0</v>
      </c>
      <c r="CA301">
        <v>0</v>
      </c>
      <c r="CB301">
        <v>0</v>
      </c>
      <c r="CC301">
        <v>0</v>
      </c>
      <c r="CD301">
        <v>0</v>
      </c>
      <c r="CE301">
        <v>0</v>
      </c>
      <c r="CF301">
        <v>0</v>
      </c>
      <c r="CG301">
        <v>0</v>
      </c>
      <c r="CH301">
        <v>1</v>
      </c>
      <c r="CI301">
        <v>0</v>
      </c>
      <c r="CJ301">
        <v>0</v>
      </c>
      <c r="CK301">
        <v>0</v>
      </c>
      <c r="CL301">
        <v>0</v>
      </c>
      <c r="CM301">
        <v>1</v>
      </c>
    </row>
    <row r="302" spans="40:91" x14ac:dyDescent="0.25">
      <c r="AN302" t="str">
        <v>plymouth horizon</v>
      </c>
      <c r="AO302" s="7">
        <v>34.200000000000003</v>
      </c>
      <c r="AP302" s="7">
        <v>29.52129736628039</v>
      </c>
      <c r="AQ302" s="7">
        <v>4.6787026337196131</v>
      </c>
      <c r="AR302" s="7">
        <v>4.2138891843300122E-2</v>
      </c>
      <c r="AS302" s="7">
        <v>1.5585580298512527</v>
      </c>
      <c r="AT302" s="7">
        <v>6.2860466992159239E-3</v>
      </c>
      <c r="AU302" s="7">
        <v>0.71932811724388146</v>
      </c>
      <c r="AV302" s="7">
        <v>0.61570961852166328</v>
      </c>
      <c r="AW302" s="7">
        <v>1.2484222161797878</v>
      </c>
      <c r="AX302" s="7">
        <v>4.8845313729495397</v>
      </c>
      <c r="AY302" s="7" t="e">
        <v>#N/A</v>
      </c>
      <c r="AZ302" s="7">
        <v>29.52129736628039</v>
      </c>
      <c r="BA302" s="7">
        <v>4.6787026337196131</v>
      </c>
      <c r="BU302" t="b">
        <v>1</v>
      </c>
      <c r="BW302">
        <v>1</v>
      </c>
      <c r="BX302">
        <v>150</v>
      </c>
      <c r="BY302">
        <v>3940</v>
      </c>
      <c r="BZ302">
        <v>0</v>
      </c>
      <c r="CA302">
        <v>0</v>
      </c>
      <c r="CB302">
        <v>0</v>
      </c>
      <c r="CC302">
        <v>0</v>
      </c>
      <c r="CD302">
        <v>0</v>
      </c>
      <c r="CE302">
        <v>0</v>
      </c>
      <c r="CF302">
        <v>0</v>
      </c>
      <c r="CG302">
        <v>0</v>
      </c>
      <c r="CH302">
        <v>1</v>
      </c>
      <c r="CI302">
        <v>0</v>
      </c>
      <c r="CJ302">
        <v>0</v>
      </c>
      <c r="CK302">
        <v>0</v>
      </c>
      <c r="CL302">
        <v>0</v>
      </c>
      <c r="CM302">
        <v>1</v>
      </c>
    </row>
    <row r="303" spans="40:91" x14ac:dyDescent="0.25">
      <c r="AN303" t="str">
        <v>plymouth horizon tc3</v>
      </c>
      <c r="AO303" s="7">
        <v>34.5</v>
      </c>
      <c r="AP303" s="7">
        <v>29.774462847036226</v>
      </c>
      <c r="AQ303" s="7">
        <v>4.7255371529637742</v>
      </c>
      <c r="AR303" s="7">
        <v>4.2926586189464336E-2</v>
      </c>
      <c r="AS303" s="7">
        <v>1.574807083100602</v>
      </c>
      <c r="AT303" s="7">
        <v>6.5431503106133443E-3</v>
      </c>
      <c r="AU303" s="7">
        <v>0.71932811724388146</v>
      </c>
      <c r="AV303" s="7">
        <v>0.62541466034937021</v>
      </c>
      <c r="AW303" s="7">
        <v>1.2549131775149236</v>
      </c>
      <c r="AX303" s="7">
        <v>4.9374865969260453</v>
      </c>
      <c r="AY303" s="7" t="e">
        <v>#N/A</v>
      </c>
      <c r="AZ303" s="7">
        <v>29.774462847036226</v>
      </c>
      <c r="BA303" s="7">
        <v>4.7255371529637742</v>
      </c>
      <c r="BU303" t="b">
        <v>1</v>
      </c>
      <c r="BW303">
        <v>1</v>
      </c>
      <c r="BX303">
        <v>71</v>
      </c>
      <c r="BY303">
        <v>1925</v>
      </c>
      <c r="BZ303">
        <v>0</v>
      </c>
      <c r="CA303">
        <v>0</v>
      </c>
      <c r="CB303">
        <v>0</v>
      </c>
      <c r="CC303">
        <v>0</v>
      </c>
      <c r="CD303">
        <v>0</v>
      </c>
      <c r="CE303">
        <v>0</v>
      </c>
      <c r="CF303">
        <v>0</v>
      </c>
      <c r="CG303">
        <v>0</v>
      </c>
      <c r="CH303">
        <v>1</v>
      </c>
      <c r="CI303">
        <v>0</v>
      </c>
      <c r="CJ303">
        <v>0</v>
      </c>
      <c r="CK303">
        <v>0</v>
      </c>
      <c r="CL303">
        <v>1</v>
      </c>
      <c r="CM303">
        <v>0</v>
      </c>
    </row>
    <row r="304" spans="40:91" x14ac:dyDescent="0.25">
      <c r="AN304" t="str">
        <v>datsun 210</v>
      </c>
      <c r="AO304" s="7">
        <v>31.8</v>
      </c>
      <c r="AP304" s="7">
        <v>32.573816867868103</v>
      </c>
      <c r="AQ304" s="7">
        <v>-0.77381686786810278</v>
      </c>
      <c r="AR304" s="7">
        <v>5.0247251768750244E-2</v>
      </c>
      <c r="AS304" s="7">
        <v>-0.25886999570707769</v>
      </c>
      <c r="AT304" s="7">
        <v>2.0855291577571007E-4</v>
      </c>
      <c r="AU304" s="7">
        <v>0.73599343368381387</v>
      </c>
      <c r="AV304" s="7">
        <v>0.62988652393519196</v>
      </c>
      <c r="AW304" s="7">
        <v>0.50879268440797942</v>
      </c>
      <c r="AX304" s="7">
        <v>-0.81475612395879127</v>
      </c>
      <c r="AY304" s="7" t="e">
        <v>#N/A</v>
      </c>
      <c r="AZ304" s="7">
        <v>32.573816867868103</v>
      </c>
      <c r="BA304" s="7">
        <v>-0.77381686786810278</v>
      </c>
      <c r="BU304" t="b">
        <v>1</v>
      </c>
      <c r="BW304">
        <v>1</v>
      </c>
      <c r="BX304">
        <v>65</v>
      </c>
      <c r="BY304">
        <v>1975</v>
      </c>
      <c r="BZ304">
        <v>0</v>
      </c>
      <c r="CA304">
        <v>0</v>
      </c>
      <c r="CB304">
        <v>0</v>
      </c>
      <c r="CC304">
        <v>0</v>
      </c>
      <c r="CD304">
        <v>0</v>
      </c>
      <c r="CE304">
        <v>0</v>
      </c>
      <c r="CF304">
        <v>0</v>
      </c>
      <c r="CG304">
        <v>0</v>
      </c>
      <c r="CH304">
        <v>1</v>
      </c>
      <c r="CI304">
        <v>0</v>
      </c>
      <c r="CJ304">
        <v>0</v>
      </c>
      <c r="CK304">
        <v>0</v>
      </c>
      <c r="CL304">
        <v>0</v>
      </c>
      <c r="CM304">
        <v>0</v>
      </c>
    </row>
    <row r="305" spans="40:91" x14ac:dyDescent="0.25">
      <c r="AN305" t="str">
        <v>fiat strada custom</v>
      </c>
      <c r="AO305" s="7">
        <v>37.299999999999997</v>
      </c>
      <c r="AP305" s="7">
        <v>31.829930240441243</v>
      </c>
      <c r="AQ305" s="7">
        <v>5.4700697595587542</v>
      </c>
      <c r="AR305" s="7">
        <v>4.8806752355090292E-2</v>
      </c>
      <c r="AS305" s="7">
        <v>1.828551890381136</v>
      </c>
      <c r="AT305" s="7">
        <v>1.0091989933447912E-2</v>
      </c>
      <c r="AU305" s="7">
        <v>0.74440308519999565</v>
      </c>
      <c r="AV305" s="7">
        <v>0.65290692305068754</v>
      </c>
      <c r="AW305" s="7">
        <v>1.3522395832030416</v>
      </c>
      <c r="AX305" s="7">
        <v>5.7507449438926077</v>
      </c>
      <c r="AY305" s="7" t="e">
        <v>#N/A</v>
      </c>
      <c r="AZ305" s="7">
        <v>31.829930240441243</v>
      </c>
      <c r="BA305" s="7">
        <v>5.4700697595587542</v>
      </c>
      <c r="BU305" t="b">
        <v>1</v>
      </c>
      <c r="BW305">
        <v>1</v>
      </c>
      <c r="BX305">
        <v>80</v>
      </c>
      <c r="BY305">
        <v>1915</v>
      </c>
      <c r="BZ305">
        <v>0</v>
      </c>
      <c r="CA305">
        <v>0</v>
      </c>
      <c r="CB305">
        <v>0</v>
      </c>
      <c r="CC305">
        <v>0</v>
      </c>
      <c r="CD305">
        <v>0</v>
      </c>
      <c r="CE305">
        <v>0</v>
      </c>
      <c r="CF305">
        <v>0</v>
      </c>
      <c r="CG305">
        <v>0</v>
      </c>
      <c r="CH305">
        <v>1</v>
      </c>
      <c r="CI305">
        <v>0</v>
      </c>
      <c r="CJ305">
        <v>0</v>
      </c>
      <c r="CK305">
        <v>0</v>
      </c>
      <c r="CL305">
        <v>0</v>
      </c>
      <c r="CM305">
        <v>1</v>
      </c>
    </row>
    <row r="306" spans="40:91" x14ac:dyDescent="0.25">
      <c r="AN306" t="str">
        <v>buick skylark limited</v>
      </c>
      <c r="AO306" s="7">
        <v>28.4</v>
      </c>
      <c r="AP306" s="7">
        <v>26.816813208104701</v>
      </c>
      <c r="AQ306" s="7">
        <v>1.5831867918952973</v>
      </c>
      <c r="AR306" s="7">
        <v>3.7365772034929169E-2</v>
      </c>
      <c r="AS306" s="7">
        <v>0.52607820754972878</v>
      </c>
      <c r="AT306" s="7">
        <v>6.3192329082867251E-4</v>
      </c>
      <c r="AU306" s="7">
        <v>0.74440308519999565</v>
      </c>
      <c r="AV306" s="7">
        <v>0.65564183486321792</v>
      </c>
      <c r="AW306" s="7">
        <v>0.72531248958619809</v>
      </c>
      <c r="AX306" s="7">
        <v>1.6446400365817277</v>
      </c>
      <c r="AY306" s="7" t="e">
        <v>#N/A</v>
      </c>
      <c r="AZ306" s="7">
        <v>26.816813208104701</v>
      </c>
      <c r="BA306" s="7">
        <v>1.5831867918952973</v>
      </c>
      <c r="BU306" t="b">
        <v>1</v>
      </c>
      <c r="BW306">
        <v>1</v>
      </c>
      <c r="BX306">
        <v>80</v>
      </c>
      <c r="BY306">
        <v>2670</v>
      </c>
      <c r="BZ306">
        <v>0</v>
      </c>
      <c r="CA306">
        <v>0</v>
      </c>
      <c r="CB306">
        <v>0</v>
      </c>
      <c r="CC306">
        <v>0</v>
      </c>
      <c r="CD306">
        <v>0</v>
      </c>
      <c r="CE306">
        <v>0</v>
      </c>
      <c r="CF306">
        <v>0</v>
      </c>
      <c r="CG306">
        <v>0</v>
      </c>
      <c r="CH306">
        <v>1</v>
      </c>
      <c r="CI306">
        <v>0</v>
      </c>
      <c r="CJ306">
        <v>0</v>
      </c>
      <c r="CK306">
        <v>0</v>
      </c>
      <c r="CL306">
        <v>0</v>
      </c>
      <c r="CM306">
        <v>1</v>
      </c>
    </row>
    <row r="307" spans="40:91" x14ac:dyDescent="0.25">
      <c r="AN307" t="str">
        <v>chevrolet citation</v>
      </c>
      <c r="AO307" s="7">
        <v>28.8</v>
      </c>
      <c r="AP307" s="7">
        <v>26.790650630399931</v>
      </c>
      <c r="AQ307" s="7">
        <v>2.0093493696000699</v>
      </c>
      <c r="AR307" s="7">
        <v>4.7508372778672189E-2</v>
      </c>
      <c r="AS307" s="7">
        <v>0.67123358040088088</v>
      </c>
      <c r="AT307" s="7">
        <v>1.3219268319857554E-3</v>
      </c>
      <c r="AU307" s="7">
        <v>0.74440308519999565</v>
      </c>
      <c r="AV307" s="7">
        <v>0.6655244148822943</v>
      </c>
      <c r="AW307" s="7">
        <v>0.81928845982406029</v>
      </c>
      <c r="AX307" s="7">
        <v>2.1095716877447814</v>
      </c>
      <c r="AY307" s="7" t="e">
        <v>#N/A</v>
      </c>
      <c r="AZ307" s="7">
        <v>26.790650630399931</v>
      </c>
      <c r="BA307" s="7">
        <v>2.0093493696000699</v>
      </c>
      <c r="BU307" t="b">
        <v>1</v>
      </c>
      <c r="BW307">
        <v>1</v>
      </c>
      <c r="BX307">
        <v>77</v>
      </c>
      <c r="BY307">
        <v>3530</v>
      </c>
      <c r="BZ307">
        <v>0</v>
      </c>
      <c r="CA307">
        <v>0</v>
      </c>
      <c r="CB307">
        <v>0</v>
      </c>
      <c r="CC307">
        <v>0</v>
      </c>
      <c r="CD307">
        <v>0</v>
      </c>
      <c r="CE307">
        <v>0</v>
      </c>
      <c r="CF307">
        <v>0</v>
      </c>
      <c r="CG307">
        <v>0</v>
      </c>
      <c r="CH307">
        <v>1</v>
      </c>
      <c r="CI307">
        <v>0</v>
      </c>
      <c r="CJ307">
        <v>0</v>
      </c>
      <c r="CK307">
        <v>0</v>
      </c>
      <c r="CL307">
        <v>1</v>
      </c>
      <c r="CM307">
        <v>0</v>
      </c>
    </row>
    <row r="308" spans="40:91" x14ac:dyDescent="0.25">
      <c r="AN308" t="str">
        <v>oldsmobile omega brougham</v>
      </c>
      <c r="AO308" s="7">
        <v>26.8</v>
      </c>
      <c r="AP308" s="7">
        <v>26.259003120812672</v>
      </c>
      <c r="AQ308" s="7">
        <v>0.54099687918732897</v>
      </c>
      <c r="AR308" s="7">
        <v>4.4408542497802156E-2</v>
      </c>
      <c r="AS308" s="7">
        <v>0.18042945365691318</v>
      </c>
      <c r="AT308" s="7">
        <v>8.8993893524175988E-5</v>
      </c>
      <c r="AU308" s="7">
        <v>0.74440308519999565</v>
      </c>
      <c r="AV308" s="7">
        <v>0.67123358040088088</v>
      </c>
      <c r="AW308" s="7">
        <v>0.4247698831801911</v>
      </c>
      <c r="AX308" s="7">
        <v>0.56613825389505923</v>
      </c>
      <c r="AY308" s="7" t="e">
        <v>#N/A</v>
      </c>
      <c r="AZ308" s="7">
        <v>26.259003120812672</v>
      </c>
      <c r="BA308" s="7">
        <v>0.54099687918732897</v>
      </c>
      <c r="BU308" t="b">
        <v>1</v>
      </c>
      <c r="BW308">
        <v>1</v>
      </c>
      <c r="BX308">
        <v>125</v>
      </c>
      <c r="BY308">
        <v>3900</v>
      </c>
      <c r="BZ308">
        <v>0</v>
      </c>
      <c r="CA308">
        <v>0</v>
      </c>
      <c r="CB308">
        <v>0</v>
      </c>
      <c r="CC308">
        <v>0</v>
      </c>
      <c r="CD308">
        <v>0</v>
      </c>
      <c r="CE308">
        <v>0</v>
      </c>
      <c r="CF308">
        <v>0</v>
      </c>
      <c r="CG308">
        <v>0</v>
      </c>
      <c r="CH308">
        <v>1</v>
      </c>
      <c r="CI308">
        <v>0</v>
      </c>
      <c r="CJ308">
        <v>0</v>
      </c>
      <c r="CK308">
        <v>0</v>
      </c>
      <c r="CL308">
        <v>0</v>
      </c>
      <c r="CM308">
        <v>1</v>
      </c>
    </row>
    <row r="309" spans="40:91" x14ac:dyDescent="0.25">
      <c r="AN309" t="str">
        <v>pontiac phoenix</v>
      </c>
      <c r="AO309" s="7">
        <v>33.5</v>
      </c>
      <c r="AP309" s="7">
        <v>27.394030504228009</v>
      </c>
      <c r="AQ309" s="7">
        <v>6.1059694957719906</v>
      </c>
      <c r="AR309" s="7">
        <v>3.880551738458058E-2</v>
      </c>
      <c r="AS309" s="7">
        <v>2.0304757137129981</v>
      </c>
      <c r="AT309" s="7">
        <v>9.7910413829515597E-3</v>
      </c>
      <c r="AU309" s="7">
        <v>0.74440308519999565</v>
      </c>
      <c r="AV309" s="7">
        <v>0.67383986412757946</v>
      </c>
      <c r="AW309" s="7">
        <v>1.4249476178838989</v>
      </c>
      <c r="AX309" s="7">
        <v>6.3524807998872292</v>
      </c>
      <c r="AY309" s="7" t="e">
        <v>#N/A</v>
      </c>
      <c r="AZ309" s="7">
        <v>27.394030504228009</v>
      </c>
      <c r="BA309" s="7">
        <v>6.1059694957719906</v>
      </c>
      <c r="BU309" t="b">
        <v>1</v>
      </c>
      <c r="BW309">
        <v>1</v>
      </c>
      <c r="BX309">
        <v>71</v>
      </c>
      <c r="BY309">
        <v>3190</v>
      </c>
      <c r="BZ309">
        <v>0</v>
      </c>
      <c r="CA309">
        <v>0</v>
      </c>
      <c r="CB309">
        <v>0</v>
      </c>
      <c r="CC309">
        <v>0</v>
      </c>
      <c r="CD309">
        <v>0</v>
      </c>
      <c r="CE309">
        <v>0</v>
      </c>
      <c r="CF309">
        <v>0</v>
      </c>
      <c r="CG309">
        <v>0</v>
      </c>
      <c r="CH309">
        <v>1</v>
      </c>
      <c r="CI309">
        <v>0</v>
      </c>
      <c r="CJ309">
        <v>0</v>
      </c>
      <c r="CK309">
        <v>0</v>
      </c>
      <c r="CL309">
        <v>1</v>
      </c>
      <c r="CM309">
        <v>0</v>
      </c>
    </row>
    <row r="310" spans="40:91" x14ac:dyDescent="0.25">
      <c r="AN310" t="str">
        <v>vw rabbit</v>
      </c>
      <c r="AO310" s="7">
        <v>41.5</v>
      </c>
      <c r="AP310" s="7">
        <v>35.706490359450072</v>
      </c>
      <c r="AQ310" s="7">
        <v>5.793509640549928</v>
      </c>
      <c r="AR310" s="7">
        <v>4.9995549357879324E-2</v>
      </c>
      <c r="AS310" s="7">
        <v>1.9378837350397533</v>
      </c>
      <c r="AT310" s="7">
        <v>1.1625515480960729E-2</v>
      </c>
      <c r="AU310" s="7">
        <v>0.74440308519999565</v>
      </c>
      <c r="AV310" s="7">
        <v>0.67419982475816331</v>
      </c>
      <c r="AW310" s="7">
        <v>1.3920789255784864</v>
      </c>
      <c r="AX310" s="7">
        <v>6.098402630255066</v>
      </c>
      <c r="AY310" s="7">
        <v>1.1625515480960729E-2</v>
      </c>
      <c r="AZ310" s="7">
        <v>35.706490359450072</v>
      </c>
      <c r="BA310" s="7">
        <v>5.793509640549928</v>
      </c>
      <c r="BU310" t="b">
        <v>1</v>
      </c>
      <c r="BW310">
        <v>1</v>
      </c>
      <c r="BX310">
        <v>90</v>
      </c>
      <c r="BY310">
        <v>3420</v>
      </c>
      <c r="BZ310">
        <v>0</v>
      </c>
      <c r="CA310">
        <v>0</v>
      </c>
      <c r="CB310">
        <v>0</v>
      </c>
      <c r="CC310">
        <v>0</v>
      </c>
      <c r="CD310">
        <v>0</v>
      </c>
      <c r="CE310">
        <v>0</v>
      </c>
      <c r="CF310">
        <v>0</v>
      </c>
      <c r="CG310">
        <v>0</v>
      </c>
      <c r="CH310">
        <v>1</v>
      </c>
      <c r="CI310">
        <v>0</v>
      </c>
      <c r="CJ310">
        <v>0</v>
      </c>
      <c r="CK310">
        <v>0</v>
      </c>
      <c r="CL310">
        <v>0</v>
      </c>
      <c r="CM310">
        <v>1</v>
      </c>
    </row>
    <row r="311" spans="40:91" x14ac:dyDescent="0.25">
      <c r="AN311" t="str">
        <v>toyota corolla tercel</v>
      </c>
      <c r="AO311" s="7">
        <v>38.1</v>
      </c>
      <c r="AP311" s="7">
        <v>36.979392604917123</v>
      </c>
      <c r="AQ311" s="7">
        <v>1.1206073950828781</v>
      </c>
      <c r="AR311" s="7">
        <v>4.2765216076787169E-2</v>
      </c>
      <c r="AS311" s="7">
        <v>0.3734161112853554</v>
      </c>
      <c r="AT311" s="7">
        <v>3.6644549050543078E-4</v>
      </c>
      <c r="AU311" s="7">
        <v>0.74440308519999565</v>
      </c>
      <c r="AV311" s="7">
        <v>0.678972813885793</v>
      </c>
      <c r="AW311" s="7">
        <v>0.61107782751901196</v>
      </c>
      <c r="AX311" s="7">
        <v>1.1706714109260479</v>
      </c>
      <c r="AY311" s="7" t="e">
        <v>#N/A</v>
      </c>
      <c r="AZ311" s="7">
        <v>36.979392604917123</v>
      </c>
      <c r="BA311" s="7">
        <v>1.1206073950828781</v>
      </c>
      <c r="BU311" t="b">
        <v>1</v>
      </c>
      <c r="BW311">
        <v>1</v>
      </c>
      <c r="BX311">
        <v>70</v>
      </c>
      <c r="BY311">
        <v>2200</v>
      </c>
      <c r="BZ311">
        <v>0</v>
      </c>
      <c r="CA311">
        <v>0</v>
      </c>
      <c r="CB311">
        <v>0</v>
      </c>
      <c r="CC311">
        <v>0</v>
      </c>
      <c r="CD311">
        <v>0</v>
      </c>
      <c r="CE311">
        <v>0</v>
      </c>
      <c r="CF311">
        <v>0</v>
      </c>
      <c r="CG311">
        <v>0</v>
      </c>
      <c r="CH311">
        <v>1</v>
      </c>
      <c r="CI311">
        <v>0</v>
      </c>
      <c r="CJ311">
        <v>0</v>
      </c>
      <c r="CK311">
        <v>0</v>
      </c>
      <c r="CL311">
        <v>0</v>
      </c>
      <c r="CM311">
        <v>1</v>
      </c>
    </row>
    <row r="312" spans="40:91" x14ac:dyDescent="0.25">
      <c r="AN312" t="str">
        <v>chevrolet chevette</v>
      </c>
      <c r="AO312" s="7">
        <v>32.1</v>
      </c>
      <c r="AP312" s="7">
        <v>33.987463612784978</v>
      </c>
      <c r="AQ312" s="7">
        <v>-1.8874636127849769</v>
      </c>
      <c r="AR312" s="7">
        <v>5.2829218384543734E-2</v>
      </c>
      <c r="AS312" s="7">
        <v>-0.63228553332444448</v>
      </c>
      <c r="AT312" s="7">
        <v>1.3116666064300086E-3</v>
      </c>
      <c r="AU312" s="7">
        <v>0.80482899480686976</v>
      </c>
      <c r="AV312" s="7">
        <v>0.68086529918535865</v>
      </c>
      <c r="AW312" s="7">
        <v>0.79516384055391032</v>
      </c>
      <c r="AX312" s="7">
        <v>-1.9927384262907635</v>
      </c>
      <c r="AY312" s="7" t="e">
        <v>#N/A</v>
      </c>
      <c r="AZ312" s="7">
        <v>33.987463612784978</v>
      </c>
      <c r="BA312" s="7">
        <v>-1.8874636127849769</v>
      </c>
      <c r="BU312" t="b">
        <v>1</v>
      </c>
      <c r="BW312">
        <v>1</v>
      </c>
      <c r="BX312">
        <v>70</v>
      </c>
      <c r="BY312">
        <v>2150</v>
      </c>
      <c r="BZ312">
        <v>0</v>
      </c>
      <c r="CA312">
        <v>0</v>
      </c>
      <c r="CB312">
        <v>0</v>
      </c>
      <c r="CC312">
        <v>0</v>
      </c>
      <c r="CD312">
        <v>0</v>
      </c>
      <c r="CE312">
        <v>0</v>
      </c>
      <c r="CF312">
        <v>0</v>
      </c>
      <c r="CG312">
        <v>0</v>
      </c>
      <c r="CH312">
        <v>1</v>
      </c>
      <c r="CI312">
        <v>0</v>
      </c>
      <c r="CJ312">
        <v>0</v>
      </c>
      <c r="CK312">
        <v>0</v>
      </c>
      <c r="CL312">
        <v>0</v>
      </c>
      <c r="CM312">
        <v>1</v>
      </c>
    </row>
    <row r="313" spans="40:91" x14ac:dyDescent="0.25">
      <c r="AN313" t="str">
        <v>datsun 310</v>
      </c>
      <c r="AO313" s="7">
        <v>37.200000000000003</v>
      </c>
      <c r="AP313" s="7">
        <v>36.639981654778467</v>
      </c>
      <c r="AQ313" s="7">
        <v>0.56001834522153615</v>
      </c>
      <c r="AR313" s="7">
        <v>4.2480429377182466E-2</v>
      </c>
      <c r="AS313" s="7">
        <v>0.186585215281827</v>
      </c>
      <c r="AT313" s="7">
        <v>9.0854569129826499E-5</v>
      </c>
      <c r="AU313" s="7">
        <v>0.80482899480686976</v>
      </c>
      <c r="AV313" s="7">
        <v>0.68104115262367693</v>
      </c>
      <c r="AW313" s="7">
        <v>0.43195510794737341</v>
      </c>
      <c r="AX313" s="7">
        <v>0.58486360216875022</v>
      </c>
      <c r="AY313" s="7" t="e">
        <v>#N/A</v>
      </c>
      <c r="AZ313" s="7">
        <v>36.639981654778467</v>
      </c>
      <c r="BA313" s="7">
        <v>0.56001834522153615</v>
      </c>
      <c r="BU313" t="b">
        <v>1</v>
      </c>
      <c r="BW313">
        <v>1</v>
      </c>
      <c r="BX313">
        <v>65</v>
      </c>
      <c r="BY313">
        <v>2020</v>
      </c>
      <c r="BZ313">
        <v>0</v>
      </c>
      <c r="CA313">
        <v>0</v>
      </c>
      <c r="CB313">
        <v>0</v>
      </c>
      <c r="CC313">
        <v>0</v>
      </c>
      <c r="CD313">
        <v>0</v>
      </c>
      <c r="CE313">
        <v>0</v>
      </c>
      <c r="CF313">
        <v>0</v>
      </c>
      <c r="CG313">
        <v>0</v>
      </c>
      <c r="CH313">
        <v>1</v>
      </c>
      <c r="CI313">
        <v>0</v>
      </c>
      <c r="CJ313">
        <v>0</v>
      </c>
      <c r="CK313">
        <v>0</v>
      </c>
      <c r="CL313">
        <v>0</v>
      </c>
      <c r="CM313">
        <v>0</v>
      </c>
    </row>
    <row r="314" spans="40:91" x14ac:dyDescent="0.25">
      <c r="AN314" t="str">
        <v>chevrolet citation</v>
      </c>
      <c r="AO314" s="7">
        <v>28</v>
      </c>
      <c r="AP314" s="7">
        <v>30.837408208479015</v>
      </c>
      <c r="AQ314" s="7">
        <v>-2.8374082084790153</v>
      </c>
      <c r="AR314" s="7">
        <v>4.6802528507141401E-2</v>
      </c>
      <c r="AS314" s="7">
        <v>-0.94749992351060164</v>
      </c>
      <c r="AT314" s="7">
        <v>2.5929603784530454E-3</v>
      </c>
      <c r="AU314" s="7">
        <v>0.82263729107406613</v>
      </c>
      <c r="AV314" s="7">
        <v>0.69192234930796215</v>
      </c>
      <c r="AW314" s="7">
        <v>0.97339607740662359</v>
      </c>
      <c r="AX314" s="7">
        <v>-2.9767265370890916</v>
      </c>
      <c r="AY314" s="7" t="e">
        <v>#N/A</v>
      </c>
      <c r="AZ314" s="7">
        <v>30.837408208479015</v>
      </c>
      <c r="BA314" s="7">
        <v>-2.8374082084790153</v>
      </c>
      <c r="BU314" t="b">
        <v>1</v>
      </c>
      <c r="BW314">
        <v>1</v>
      </c>
      <c r="BX314">
        <v>69</v>
      </c>
      <c r="BY314">
        <v>2130</v>
      </c>
      <c r="BZ314">
        <v>0</v>
      </c>
      <c r="CA314">
        <v>0</v>
      </c>
      <c r="CB314">
        <v>0</v>
      </c>
      <c r="CC314">
        <v>0</v>
      </c>
      <c r="CD314">
        <v>0</v>
      </c>
      <c r="CE314">
        <v>0</v>
      </c>
      <c r="CF314">
        <v>0</v>
      </c>
      <c r="CG314">
        <v>0</v>
      </c>
      <c r="CH314">
        <v>1</v>
      </c>
      <c r="CI314">
        <v>0</v>
      </c>
      <c r="CJ314">
        <v>0</v>
      </c>
      <c r="CK314">
        <v>0</v>
      </c>
      <c r="CL314">
        <v>1</v>
      </c>
      <c r="CM314">
        <v>0</v>
      </c>
    </row>
    <row r="315" spans="40:91" x14ac:dyDescent="0.25">
      <c r="AN315" t="str">
        <v>ford fairmont</v>
      </c>
      <c r="AO315" s="7">
        <v>26.4</v>
      </c>
      <c r="AP315" s="7">
        <v>29.897725626283684</v>
      </c>
      <c r="AQ315" s="7">
        <v>-3.4977256262836853</v>
      </c>
      <c r="AR315" s="7">
        <v>4.5219370689363984E-2</v>
      </c>
      <c r="AS315" s="7">
        <v>-1.1670319415810113</v>
      </c>
      <c r="AT315" s="7">
        <v>3.7943507873432637E-3</v>
      </c>
      <c r="AU315" s="7">
        <v>0.83163987967842667</v>
      </c>
      <c r="AV315" s="7">
        <v>0.70221206283556192</v>
      </c>
      <c r="AW315" s="7">
        <v>1.0802925259303664</v>
      </c>
      <c r="AX315" s="7">
        <v>-3.6633814291028175</v>
      </c>
      <c r="AY315" s="7" t="e">
        <v>#N/A</v>
      </c>
      <c r="AZ315" s="7">
        <v>29.897725626283684</v>
      </c>
      <c r="BA315" s="7">
        <v>-3.4977256262836853</v>
      </c>
      <c r="BU315" t="b">
        <v>1</v>
      </c>
      <c r="BW315">
        <v>1</v>
      </c>
      <c r="BX315">
        <v>90</v>
      </c>
      <c r="BY315">
        <v>2670</v>
      </c>
      <c r="BZ315">
        <v>0</v>
      </c>
      <c r="CA315">
        <v>0</v>
      </c>
      <c r="CB315">
        <v>0</v>
      </c>
      <c r="CC315">
        <v>0</v>
      </c>
      <c r="CD315">
        <v>0</v>
      </c>
      <c r="CE315">
        <v>0</v>
      </c>
      <c r="CF315">
        <v>0</v>
      </c>
      <c r="CG315">
        <v>0</v>
      </c>
      <c r="CH315">
        <v>1</v>
      </c>
      <c r="CI315">
        <v>0</v>
      </c>
      <c r="CJ315">
        <v>0</v>
      </c>
      <c r="CK315">
        <v>0</v>
      </c>
      <c r="CL315">
        <v>0</v>
      </c>
      <c r="CM315">
        <v>1</v>
      </c>
    </row>
    <row r="316" spans="40:91" x14ac:dyDescent="0.25">
      <c r="AN316" t="str">
        <v>amc concord</v>
      </c>
      <c r="AO316" s="7">
        <v>24.3</v>
      </c>
      <c r="AP316" s="7">
        <v>29.191832583566072</v>
      </c>
      <c r="AQ316" s="7">
        <v>-4.891832583566071</v>
      </c>
      <c r="AR316" s="7">
        <v>4.4937923213259942E-2</v>
      </c>
      <c r="AS316" s="7">
        <v>-1.6319415081566548</v>
      </c>
      <c r="AT316" s="7">
        <v>7.3712586997698197E-3</v>
      </c>
      <c r="AU316" s="7">
        <v>0.84071038002398013</v>
      </c>
      <c r="AV316" s="7">
        <v>0.71162663600436038</v>
      </c>
      <c r="AW316" s="7">
        <v>1.2774746604753673</v>
      </c>
      <c r="AX316" s="7">
        <v>-5.1220048439410393</v>
      </c>
      <c r="AY316" s="7" t="e">
        <v>#N/A</v>
      </c>
      <c r="AZ316" s="7">
        <v>29.191832583566072</v>
      </c>
      <c r="BA316" s="7">
        <v>-4.891832583566071</v>
      </c>
      <c r="BU316" t="b">
        <v>1</v>
      </c>
      <c r="BW316">
        <v>1</v>
      </c>
      <c r="BX316">
        <v>115</v>
      </c>
      <c r="BY316">
        <v>2595</v>
      </c>
      <c r="BZ316">
        <v>0</v>
      </c>
      <c r="CA316">
        <v>0</v>
      </c>
      <c r="CB316">
        <v>0</v>
      </c>
      <c r="CC316">
        <v>0</v>
      </c>
      <c r="CD316">
        <v>0</v>
      </c>
      <c r="CE316">
        <v>0</v>
      </c>
      <c r="CF316">
        <v>0</v>
      </c>
      <c r="CG316">
        <v>0</v>
      </c>
      <c r="CH316">
        <v>1</v>
      </c>
      <c r="CI316">
        <v>0</v>
      </c>
      <c r="CJ316">
        <v>0</v>
      </c>
      <c r="CK316">
        <v>0</v>
      </c>
      <c r="CL316">
        <v>0</v>
      </c>
      <c r="CM316">
        <v>1</v>
      </c>
    </row>
    <row r="317" spans="40:91" x14ac:dyDescent="0.25">
      <c r="AN317" t="str">
        <v>dodge aspen</v>
      </c>
      <c r="AO317" s="7">
        <v>19.100000000000001</v>
      </c>
      <c r="AP317" s="7">
        <v>27.277901549051951</v>
      </c>
      <c r="AQ317" s="7">
        <v>-8.1779015490519491</v>
      </c>
      <c r="AR317" s="7">
        <v>4.8156061843653876E-2</v>
      </c>
      <c r="AS317" s="7">
        <v>-2.7327997376671602</v>
      </c>
      <c r="AT317" s="7">
        <v>2.2225518853665204E-2</v>
      </c>
      <c r="AU317" s="7">
        <v>0.84071038002398013</v>
      </c>
      <c r="AV317" s="7">
        <v>0.7198031188897932</v>
      </c>
      <c r="AW317" s="7">
        <v>1.6531181862368947</v>
      </c>
      <c r="AX317" s="7">
        <v>-8.5916411516912756</v>
      </c>
      <c r="AY317" s="7">
        <v>2.2225518853665204E-2</v>
      </c>
      <c r="AZ317" s="7">
        <v>27.277901549051951</v>
      </c>
      <c r="BA317" s="7">
        <v>-8.1779015490519491</v>
      </c>
      <c r="BU317" t="b">
        <v>1</v>
      </c>
      <c r="BW317">
        <v>1</v>
      </c>
      <c r="BX317">
        <v>115</v>
      </c>
      <c r="BY317">
        <v>2700</v>
      </c>
      <c r="BZ317">
        <v>0</v>
      </c>
      <c r="CA317">
        <v>0</v>
      </c>
      <c r="CB317">
        <v>0</v>
      </c>
      <c r="CC317">
        <v>0</v>
      </c>
      <c r="CD317">
        <v>0</v>
      </c>
      <c r="CE317">
        <v>0</v>
      </c>
      <c r="CF317">
        <v>0</v>
      </c>
      <c r="CG317">
        <v>0</v>
      </c>
      <c r="CH317">
        <v>1</v>
      </c>
      <c r="CI317">
        <v>0</v>
      </c>
      <c r="CJ317">
        <v>0</v>
      </c>
      <c r="CK317">
        <v>0</v>
      </c>
      <c r="CL317">
        <v>0</v>
      </c>
      <c r="CM317">
        <v>1</v>
      </c>
    </row>
    <row r="318" spans="40:91" x14ac:dyDescent="0.25">
      <c r="AN318" t="str">
        <v>audi 4000</v>
      </c>
      <c r="AO318" s="7">
        <v>34.299999999999997</v>
      </c>
      <c r="AP318" s="7">
        <v>35.451231872477855</v>
      </c>
      <c r="AQ318" s="7">
        <v>-1.1512318724778581</v>
      </c>
      <c r="AR318" s="7">
        <v>5.002878398459612E-2</v>
      </c>
      <c r="AS318" s="7">
        <v>-0.38508480762604713</v>
      </c>
      <c r="AT318" s="7">
        <v>4.5938133914693344E-4</v>
      </c>
      <c r="AU318" s="7">
        <v>0.84071038002398013</v>
      </c>
      <c r="AV318" s="7">
        <v>0.73255545774191388</v>
      </c>
      <c r="AW318" s="7">
        <v>0.62055201846907815</v>
      </c>
      <c r="AX318" s="7">
        <v>-1.2118597417157855</v>
      </c>
      <c r="AY318" s="7" t="e">
        <v>#N/A</v>
      </c>
      <c r="AZ318" s="7">
        <v>35.451231872477855</v>
      </c>
      <c r="BA318" s="7">
        <v>-1.1512318724778581</v>
      </c>
      <c r="BU318" t="b">
        <v>1</v>
      </c>
      <c r="BW318">
        <v>1</v>
      </c>
      <c r="BX318">
        <v>90</v>
      </c>
      <c r="BY318">
        <v>2556</v>
      </c>
      <c r="BZ318">
        <v>0</v>
      </c>
      <c r="CA318">
        <v>0</v>
      </c>
      <c r="CB318">
        <v>0</v>
      </c>
      <c r="CC318">
        <v>0</v>
      </c>
      <c r="CD318">
        <v>0</v>
      </c>
      <c r="CE318">
        <v>0</v>
      </c>
      <c r="CF318">
        <v>0</v>
      </c>
      <c r="CG318">
        <v>0</v>
      </c>
      <c r="CH318">
        <v>1</v>
      </c>
      <c r="CI318">
        <v>0</v>
      </c>
      <c r="CJ318">
        <v>0</v>
      </c>
      <c r="CK318">
        <v>0</v>
      </c>
      <c r="CL318">
        <v>0</v>
      </c>
      <c r="CM318">
        <v>1</v>
      </c>
    </row>
    <row r="319" spans="40:91" x14ac:dyDescent="0.25">
      <c r="AN319" t="str">
        <v>toyota corona liftback</v>
      </c>
      <c r="AO319" s="7">
        <v>29.8</v>
      </c>
      <c r="AP319" s="7">
        <v>32.730260602279152</v>
      </c>
      <c r="AQ319" s="7">
        <v>-2.9302606022791515</v>
      </c>
      <c r="AR319" s="7">
        <v>4.4122580147146255E-2</v>
      </c>
      <c r="AS319" s="7">
        <v>-0.97713360215343592</v>
      </c>
      <c r="AT319" s="7">
        <v>2.5924934821647872E-3</v>
      </c>
      <c r="AU319" s="7">
        <v>0.84071038002398013</v>
      </c>
      <c r="AV319" s="7">
        <v>0.74258970300151583</v>
      </c>
      <c r="AW319" s="7">
        <v>0.98850068394181489</v>
      </c>
      <c r="AX319" s="7">
        <v>-3.0655192197449659</v>
      </c>
      <c r="AY319" s="7" t="e">
        <v>#N/A</v>
      </c>
      <c r="AZ319" s="7">
        <v>32.730260602279152</v>
      </c>
      <c r="BA319" s="7">
        <v>-2.9302606022791515</v>
      </c>
      <c r="BU319" t="b">
        <v>1</v>
      </c>
      <c r="BW319">
        <v>1</v>
      </c>
      <c r="BX319">
        <v>76</v>
      </c>
      <c r="BY319">
        <v>2144</v>
      </c>
      <c r="BZ319">
        <v>0</v>
      </c>
      <c r="CA319">
        <v>0</v>
      </c>
      <c r="CB319">
        <v>0</v>
      </c>
      <c r="CC319">
        <v>0</v>
      </c>
      <c r="CD319">
        <v>0</v>
      </c>
      <c r="CE319">
        <v>0</v>
      </c>
      <c r="CF319">
        <v>0</v>
      </c>
      <c r="CG319">
        <v>0</v>
      </c>
      <c r="CH319">
        <v>0</v>
      </c>
      <c r="CI319">
        <v>1</v>
      </c>
      <c r="CJ319">
        <v>0</v>
      </c>
      <c r="CK319">
        <v>0</v>
      </c>
      <c r="CL319">
        <v>1</v>
      </c>
      <c r="CM319">
        <v>0</v>
      </c>
    </row>
    <row r="320" spans="40:91" x14ac:dyDescent="0.25">
      <c r="AN320" t="str">
        <v>mazda 626</v>
      </c>
      <c r="AO320" s="7">
        <v>31.3</v>
      </c>
      <c r="AP320" s="7">
        <v>33.829506406537</v>
      </c>
      <c r="AQ320" s="7">
        <v>-2.5295064065369992</v>
      </c>
      <c r="AR320" s="7">
        <v>4.4312786169455297E-2</v>
      </c>
      <c r="AS320" s="7">
        <v>-0.84358082508023313</v>
      </c>
      <c r="AT320" s="7">
        <v>1.9409652460274261E-3</v>
      </c>
      <c r="AU320" s="7">
        <v>0.84071038002398013</v>
      </c>
      <c r="AV320" s="7">
        <v>0.74844507336636212</v>
      </c>
      <c r="AW320" s="7">
        <v>0.91846656176489794</v>
      </c>
      <c r="AX320" s="7">
        <v>-2.646793187070422</v>
      </c>
      <c r="AY320" s="7" t="e">
        <v>#N/A</v>
      </c>
      <c r="AZ320" s="7">
        <v>33.829506406537</v>
      </c>
      <c r="BA320" s="7">
        <v>-2.5295064065369992</v>
      </c>
      <c r="BU320" t="b">
        <v>1</v>
      </c>
      <c r="BW320">
        <v>1</v>
      </c>
      <c r="BX320">
        <v>60</v>
      </c>
      <c r="BY320">
        <v>1968</v>
      </c>
      <c r="BZ320">
        <v>0</v>
      </c>
      <c r="CA320">
        <v>0</v>
      </c>
      <c r="CB320">
        <v>0</v>
      </c>
      <c r="CC320">
        <v>0</v>
      </c>
      <c r="CD320">
        <v>0</v>
      </c>
      <c r="CE320">
        <v>0</v>
      </c>
      <c r="CF320">
        <v>0</v>
      </c>
      <c r="CG320">
        <v>0</v>
      </c>
      <c r="CH320">
        <v>0</v>
      </c>
      <c r="CI320">
        <v>1</v>
      </c>
      <c r="CJ320">
        <v>0</v>
      </c>
      <c r="CK320">
        <v>0</v>
      </c>
      <c r="CL320">
        <v>0</v>
      </c>
      <c r="CM320">
        <v>0</v>
      </c>
    </row>
    <row r="321" spans="40:91" x14ac:dyDescent="0.25">
      <c r="AN321" t="str">
        <v>datsun 510 hatchback</v>
      </c>
      <c r="AO321" s="7">
        <v>37</v>
      </c>
      <c r="AP321" s="7">
        <v>34.10032450175941</v>
      </c>
      <c r="AQ321" s="7">
        <v>2.8996754982405903</v>
      </c>
      <c r="AR321" s="7">
        <v>4.3635560442854847E-2</v>
      </c>
      <c r="AS321" s="7">
        <v>0.9666883678653565</v>
      </c>
      <c r="AT321" s="7">
        <v>2.5080789491044959E-3</v>
      </c>
      <c r="AU321" s="7">
        <v>0.84071038002398013</v>
      </c>
      <c r="AV321" s="7">
        <v>0.77893428137700038</v>
      </c>
      <c r="AW321" s="7">
        <v>0.98320311628134927</v>
      </c>
      <c r="AX321" s="7">
        <v>3.0319775373322293</v>
      </c>
      <c r="AY321" s="7" t="e">
        <v>#N/A</v>
      </c>
      <c r="AZ321" s="7">
        <v>34.10032450175941</v>
      </c>
      <c r="BA321" s="7">
        <v>2.8996754982405903</v>
      </c>
      <c r="BU321" t="b">
        <v>1</v>
      </c>
      <c r="BW321">
        <v>1</v>
      </c>
      <c r="BX321">
        <v>70</v>
      </c>
      <c r="BY321">
        <v>2120</v>
      </c>
      <c r="BZ321">
        <v>0</v>
      </c>
      <c r="CA321">
        <v>0</v>
      </c>
      <c r="CB321">
        <v>0</v>
      </c>
      <c r="CC321">
        <v>0</v>
      </c>
      <c r="CD321">
        <v>0</v>
      </c>
      <c r="CE321">
        <v>0</v>
      </c>
      <c r="CF321">
        <v>0</v>
      </c>
      <c r="CG321">
        <v>0</v>
      </c>
      <c r="CH321">
        <v>0</v>
      </c>
      <c r="CI321">
        <v>1</v>
      </c>
      <c r="CJ321">
        <v>0</v>
      </c>
      <c r="CK321">
        <v>0</v>
      </c>
      <c r="CL321">
        <v>0</v>
      </c>
      <c r="CM321">
        <v>1</v>
      </c>
    </row>
    <row r="322" spans="40:91" x14ac:dyDescent="0.25">
      <c r="AN322" t="str">
        <v>toyota corolla</v>
      </c>
      <c r="AO322" s="7">
        <v>32.200000000000003</v>
      </c>
      <c r="AP322" s="7">
        <v>35.232043169924339</v>
      </c>
      <c r="AQ322" s="7">
        <v>-3.0320431699243358</v>
      </c>
      <c r="AR322" s="7">
        <v>4.2341728892895142E-2</v>
      </c>
      <c r="AS322" s="7">
        <v>-1.0101337973139497</v>
      </c>
      <c r="AT322" s="7">
        <v>2.6537921553328268E-3</v>
      </c>
      <c r="AU322" s="7">
        <v>0.84071038002398013</v>
      </c>
      <c r="AV322" s="7">
        <v>0.7837174132586886</v>
      </c>
      <c r="AW322" s="7">
        <v>1.005054126559336</v>
      </c>
      <c r="AX322" s="7">
        <v>-3.1661013760358685</v>
      </c>
      <c r="AY322" s="7" t="e">
        <v>#N/A</v>
      </c>
      <c r="AZ322" s="7">
        <v>35.232043169924339</v>
      </c>
      <c r="BA322" s="7">
        <v>-3.0320431699243358</v>
      </c>
      <c r="BU322" t="b">
        <v>1</v>
      </c>
      <c r="BW322">
        <v>1</v>
      </c>
      <c r="BX322">
        <v>65</v>
      </c>
      <c r="BY322">
        <v>2019</v>
      </c>
      <c r="BZ322">
        <v>0</v>
      </c>
      <c r="CA322">
        <v>0</v>
      </c>
      <c r="CB322">
        <v>0</v>
      </c>
      <c r="CC322">
        <v>0</v>
      </c>
      <c r="CD322">
        <v>0</v>
      </c>
      <c r="CE322">
        <v>0</v>
      </c>
      <c r="CF322">
        <v>0</v>
      </c>
      <c r="CG322">
        <v>0</v>
      </c>
      <c r="CH322">
        <v>0</v>
      </c>
      <c r="CI322">
        <v>1</v>
      </c>
      <c r="CJ322">
        <v>0</v>
      </c>
      <c r="CK322">
        <v>0</v>
      </c>
      <c r="CL322">
        <v>0</v>
      </c>
      <c r="CM322">
        <v>0</v>
      </c>
    </row>
    <row r="323" spans="40:91" x14ac:dyDescent="0.25">
      <c r="AN323" t="str">
        <v>mazda glc</v>
      </c>
      <c r="AO323" s="7">
        <v>46.6</v>
      </c>
      <c r="AP323" s="7">
        <v>36.179220479802844</v>
      </c>
      <c r="AQ323" s="7">
        <v>10.420779520197158</v>
      </c>
      <c r="AR323" s="7">
        <v>4.2543065339562161E-2</v>
      </c>
      <c r="AS323" s="7">
        <v>3.4720773077781151</v>
      </c>
      <c r="AT323" s="7">
        <v>3.1509345424163747E-2</v>
      </c>
      <c r="AU323" s="7">
        <v>0.90626440989817525</v>
      </c>
      <c r="AV323" s="7">
        <v>0.79148643600889357</v>
      </c>
      <c r="AW323" s="7">
        <v>1.8633510962183468</v>
      </c>
      <c r="AX323" s="7">
        <v>10.883810167287459</v>
      </c>
      <c r="AY323" s="7">
        <v>3.1509345424163747E-2</v>
      </c>
      <c r="AZ323" s="7">
        <v>36.179220479802844</v>
      </c>
      <c r="BA323" s="7">
        <v>10.420779520197158</v>
      </c>
      <c r="BU323" t="b">
        <v>1</v>
      </c>
      <c r="BW323">
        <v>1</v>
      </c>
      <c r="BX323">
        <v>90</v>
      </c>
      <c r="BY323">
        <v>2678</v>
      </c>
      <c r="BZ323">
        <v>0</v>
      </c>
      <c r="CA323">
        <v>0</v>
      </c>
      <c r="CB323">
        <v>0</v>
      </c>
      <c r="CC323">
        <v>0</v>
      </c>
      <c r="CD323">
        <v>0</v>
      </c>
      <c r="CE323">
        <v>0</v>
      </c>
      <c r="CF323">
        <v>0</v>
      </c>
      <c r="CG323">
        <v>0</v>
      </c>
      <c r="CH323">
        <v>0</v>
      </c>
      <c r="CI323">
        <v>1</v>
      </c>
      <c r="CJ323">
        <v>0</v>
      </c>
      <c r="CK323">
        <v>0</v>
      </c>
      <c r="CL323">
        <v>0</v>
      </c>
      <c r="CM323">
        <v>1</v>
      </c>
    </row>
    <row r="324" spans="40:91" x14ac:dyDescent="0.25">
      <c r="AN324" t="str">
        <v>dodge colt</v>
      </c>
      <c r="AO324" s="7">
        <v>27.9</v>
      </c>
      <c r="AP324" s="7">
        <v>29.976137956131662</v>
      </c>
      <c r="AQ324" s="7">
        <v>-2.0761379561316637</v>
      </c>
      <c r="AR324" s="7">
        <v>4.8543440672513642E-2</v>
      </c>
      <c r="AS324" s="7">
        <v>-0.6939217973604519</v>
      </c>
      <c r="AT324" s="7">
        <v>1.4451526667439423E-3</v>
      </c>
      <c r="AU324" s="7">
        <v>0.91594855621391613</v>
      </c>
      <c r="AV324" s="7">
        <v>0.80808342930665766</v>
      </c>
      <c r="AW324" s="7">
        <v>0.83301968605816989</v>
      </c>
      <c r="AX324" s="7">
        <v>-2.182062791809571</v>
      </c>
      <c r="AY324" s="7" t="e">
        <v>#N/A</v>
      </c>
      <c r="AZ324" s="7">
        <v>29.976137956131662</v>
      </c>
      <c r="BA324" s="7">
        <v>-2.0761379561316637</v>
      </c>
      <c r="BU324" t="b">
        <v>1</v>
      </c>
      <c r="BW324">
        <v>1</v>
      </c>
      <c r="BX324">
        <v>88</v>
      </c>
      <c r="BY324">
        <v>2870</v>
      </c>
      <c r="BZ324">
        <v>0</v>
      </c>
      <c r="CA324">
        <v>0</v>
      </c>
      <c r="CB324">
        <v>0</v>
      </c>
      <c r="CC324">
        <v>0</v>
      </c>
      <c r="CD324">
        <v>0</v>
      </c>
      <c r="CE324">
        <v>0</v>
      </c>
      <c r="CF324">
        <v>0</v>
      </c>
      <c r="CG324">
        <v>0</v>
      </c>
      <c r="CH324">
        <v>0</v>
      </c>
      <c r="CI324">
        <v>1</v>
      </c>
      <c r="CJ324">
        <v>0</v>
      </c>
      <c r="CK324">
        <v>0</v>
      </c>
      <c r="CL324">
        <v>0</v>
      </c>
      <c r="CM324">
        <v>1</v>
      </c>
    </row>
    <row r="325" spans="40:91" x14ac:dyDescent="0.25">
      <c r="AN325" t="str">
        <v>datsun 210</v>
      </c>
      <c r="AO325" s="7">
        <v>40.799999999999997</v>
      </c>
      <c r="AP325" s="7">
        <v>36.179220479802844</v>
      </c>
      <c r="AQ325" s="7">
        <v>4.6207795201971535</v>
      </c>
      <c r="AR325" s="7">
        <v>4.2543065339562161E-2</v>
      </c>
      <c r="AS325" s="7">
        <v>1.539587675300786</v>
      </c>
      <c r="AT325" s="7">
        <v>6.1954015492519301E-3</v>
      </c>
      <c r="AU325" s="7">
        <v>0.91594855621391613</v>
      </c>
      <c r="AV325" s="7">
        <v>0.81643234827063882</v>
      </c>
      <c r="AW325" s="7">
        <v>1.2408012231218932</v>
      </c>
      <c r="AX325" s="7">
        <v>4.826096457106881</v>
      </c>
      <c r="AY325" s="7" t="e">
        <v>#N/A</v>
      </c>
      <c r="AZ325" s="7">
        <v>36.179220479802844</v>
      </c>
      <c r="BA325" s="7">
        <v>4.6207795201971535</v>
      </c>
      <c r="BU325" t="b">
        <v>1</v>
      </c>
      <c r="BW325">
        <v>1</v>
      </c>
      <c r="BX325">
        <v>90</v>
      </c>
      <c r="BY325">
        <v>3003</v>
      </c>
      <c r="BZ325">
        <v>0</v>
      </c>
      <c r="CA325">
        <v>0</v>
      </c>
      <c r="CB325">
        <v>0</v>
      </c>
      <c r="CC325">
        <v>0</v>
      </c>
      <c r="CD325">
        <v>0</v>
      </c>
      <c r="CE325">
        <v>0</v>
      </c>
      <c r="CF325">
        <v>0</v>
      </c>
      <c r="CG325">
        <v>0</v>
      </c>
      <c r="CH325">
        <v>0</v>
      </c>
      <c r="CI325">
        <v>1</v>
      </c>
      <c r="CJ325">
        <v>0</v>
      </c>
      <c r="CK325">
        <v>0</v>
      </c>
      <c r="CL325">
        <v>0</v>
      </c>
      <c r="CM325">
        <v>1</v>
      </c>
    </row>
    <row r="326" spans="40:91" x14ac:dyDescent="0.25">
      <c r="AN326" t="str">
        <v>vw rabbit c (diesel)</v>
      </c>
      <c r="AO326" s="7">
        <v>44.3</v>
      </c>
      <c r="AP326" s="7">
        <v>36.459845721441106</v>
      </c>
      <c r="AQ326" s="7">
        <v>7.8401542785588916</v>
      </c>
      <c r="AR326" s="7">
        <v>4.9109161636258357E-2</v>
      </c>
      <c r="AS326" s="7">
        <v>2.6212478115325357</v>
      </c>
      <c r="AT326" s="7">
        <v>2.0873683660506796E-2</v>
      </c>
      <c r="AU326" s="7">
        <v>0.93557937876868658</v>
      </c>
      <c r="AV326" s="7">
        <v>0.82794023224202573</v>
      </c>
      <c r="AW326" s="7">
        <v>1.6190268100104259</v>
      </c>
      <c r="AX326" s="7">
        <v>8.2450623796627838</v>
      </c>
      <c r="AY326" s="7">
        <v>2.0873683660506796E-2</v>
      </c>
      <c r="AZ326" s="7">
        <v>36.459845721441106</v>
      </c>
      <c r="BA326" s="7">
        <v>7.8401542785588916</v>
      </c>
      <c r="BU326" t="b">
        <v>1</v>
      </c>
      <c r="BW326">
        <v>1</v>
      </c>
      <c r="BX326">
        <v>90</v>
      </c>
      <c r="BY326">
        <v>3381</v>
      </c>
      <c r="BZ326">
        <v>0</v>
      </c>
      <c r="CA326">
        <v>0</v>
      </c>
      <c r="CB326">
        <v>0</v>
      </c>
      <c r="CC326">
        <v>0</v>
      </c>
      <c r="CD326">
        <v>0</v>
      </c>
      <c r="CE326">
        <v>0</v>
      </c>
      <c r="CF326">
        <v>0</v>
      </c>
      <c r="CG326">
        <v>0</v>
      </c>
      <c r="CH326">
        <v>0</v>
      </c>
      <c r="CI326">
        <v>1</v>
      </c>
      <c r="CJ326">
        <v>0</v>
      </c>
      <c r="CK326">
        <v>0</v>
      </c>
      <c r="CL326">
        <v>0</v>
      </c>
      <c r="CM326">
        <v>1</v>
      </c>
    </row>
    <row r="327" spans="40:91" x14ac:dyDescent="0.25">
      <c r="AN327" t="str">
        <v>vw dasher (diesel)</v>
      </c>
      <c r="AO327" s="7">
        <v>43.4</v>
      </c>
      <c r="AP327" s="7">
        <v>35.194018317661914</v>
      </c>
      <c r="AQ327" s="7">
        <v>8.2059816823380842</v>
      </c>
      <c r="AR327" s="7">
        <v>5.1764620516722759E-2</v>
      </c>
      <c r="AS327" s="7">
        <v>2.7473960479992132</v>
      </c>
      <c r="AT327" s="7">
        <v>2.4238765461914447E-2</v>
      </c>
      <c r="AU327" s="7">
        <v>0.94553119002021024</v>
      </c>
      <c r="AV327" s="7">
        <v>0.83361742346054801</v>
      </c>
      <c r="AW327" s="7">
        <v>1.6575270881645383</v>
      </c>
      <c r="AX327" s="7">
        <v>8.6539501266128429</v>
      </c>
      <c r="AY327" s="7">
        <v>2.4238765461914447E-2</v>
      </c>
      <c r="AZ327" s="7">
        <v>35.194018317661914</v>
      </c>
      <c r="BA327" s="7">
        <v>8.2059816823380842</v>
      </c>
      <c r="BU327" t="b">
        <v>1</v>
      </c>
      <c r="BW327">
        <v>1</v>
      </c>
      <c r="BX327">
        <v>78</v>
      </c>
      <c r="BY327">
        <v>2188</v>
      </c>
      <c r="BZ327">
        <v>0</v>
      </c>
      <c r="CA327">
        <v>0</v>
      </c>
      <c r="CB327">
        <v>0</v>
      </c>
      <c r="CC327">
        <v>0</v>
      </c>
      <c r="CD327">
        <v>0</v>
      </c>
      <c r="CE327">
        <v>0</v>
      </c>
      <c r="CF327">
        <v>0</v>
      </c>
      <c r="CG327">
        <v>0</v>
      </c>
      <c r="CH327">
        <v>0</v>
      </c>
      <c r="CI327">
        <v>1</v>
      </c>
      <c r="CJ327">
        <v>0</v>
      </c>
      <c r="CK327">
        <v>0</v>
      </c>
      <c r="CL327">
        <v>1</v>
      </c>
      <c r="CM327">
        <v>0</v>
      </c>
    </row>
    <row r="328" spans="40:91" x14ac:dyDescent="0.25">
      <c r="AN328" t="str">
        <v>audi 5000s (diesel)</v>
      </c>
      <c r="AO328" s="7">
        <v>36.4</v>
      </c>
      <c r="AP328" s="7">
        <v>31.771590697247845</v>
      </c>
      <c r="AQ328" s="7">
        <v>4.6284093027521536</v>
      </c>
      <c r="AR328" s="7">
        <v>5.6567924201591298E-2</v>
      </c>
      <c r="AS328" s="7">
        <v>1.5535500258921446</v>
      </c>
      <c r="AT328" s="7">
        <v>8.5125792525217875E-3</v>
      </c>
      <c r="AU328" s="7">
        <v>0.95557753794043188</v>
      </c>
      <c r="AV328" s="7">
        <v>0.84720077695598328</v>
      </c>
      <c r="AW328" s="7">
        <v>1.2464148690914052</v>
      </c>
      <c r="AX328" s="7">
        <v>4.9059274339758039</v>
      </c>
      <c r="AY328" s="7" t="e">
        <v>#N/A</v>
      </c>
      <c r="AZ328" s="7">
        <v>31.771590697247845</v>
      </c>
      <c r="BA328" s="7">
        <v>4.6284093027521536</v>
      </c>
      <c r="BU328" t="b">
        <v>1</v>
      </c>
      <c r="BW328">
        <v>1</v>
      </c>
      <c r="BX328">
        <v>90</v>
      </c>
      <c r="BY328">
        <v>2711</v>
      </c>
      <c r="BZ328">
        <v>0</v>
      </c>
      <c r="CA328">
        <v>0</v>
      </c>
      <c r="CB328">
        <v>0</v>
      </c>
      <c r="CC328">
        <v>0</v>
      </c>
      <c r="CD328">
        <v>0</v>
      </c>
      <c r="CE328">
        <v>0</v>
      </c>
      <c r="CF328">
        <v>0</v>
      </c>
      <c r="CG328">
        <v>0</v>
      </c>
      <c r="CH328">
        <v>0</v>
      </c>
      <c r="CI328">
        <v>1</v>
      </c>
      <c r="CJ328">
        <v>0</v>
      </c>
      <c r="CK328">
        <v>0</v>
      </c>
      <c r="CL328">
        <v>0</v>
      </c>
      <c r="CM328">
        <v>0</v>
      </c>
    </row>
    <row r="329" spans="40:91" x14ac:dyDescent="0.25">
      <c r="AN329" t="str">
        <v>mercedes-benz 240d</v>
      </c>
      <c r="AO329" s="7">
        <v>30</v>
      </c>
      <c r="AP329" s="7">
        <v>30.252597812712821</v>
      </c>
      <c r="AQ329" s="7">
        <v>-0.25259781271282122</v>
      </c>
      <c r="AR329" s="7">
        <v>6.6408958190973158E-2</v>
      </c>
      <c r="AS329" s="7">
        <v>-8.5231484219200196E-2</v>
      </c>
      <c r="AT329" s="7">
        <v>3.0396331523539491E-5</v>
      </c>
      <c r="AU329" s="7">
        <v>0.96572126957388438</v>
      </c>
      <c r="AV329" s="7">
        <v>0.85349810780512592</v>
      </c>
      <c r="AW329" s="7">
        <v>0.29194431698390738</v>
      </c>
      <c r="AX329" s="7">
        <v>-0.27056580601219182</v>
      </c>
      <c r="AY329" s="7" t="e">
        <v>#N/A</v>
      </c>
      <c r="AZ329" s="7">
        <v>30.252597812712821</v>
      </c>
      <c r="BA329" s="7">
        <v>-0.25259781271282122</v>
      </c>
      <c r="BU329" t="b">
        <v>1</v>
      </c>
      <c r="BW329">
        <v>1</v>
      </c>
      <c r="BX329">
        <v>75</v>
      </c>
      <c r="BY329">
        <v>2542</v>
      </c>
      <c r="BZ329">
        <v>0</v>
      </c>
      <c r="CA329">
        <v>0</v>
      </c>
      <c r="CB329">
        <v>0</v>
      </c>
      <c r="CC329">
        <v>0</v>
      </c>
      <c r="CD329">
        <v>0</v>
      </c>
      <c r="CE329">
        <v>0</v>
      </c>
      <c r="CF329">
        <v>0</v>
      </c>
      <c r="CG329">
        <v>0</v>
      </c>
      <c r="CH329">
        <v>0</v>
      </c>
      <c r="CI329">
        <v>1</v>
      </c>
      <c r="CJ329">
        <v>0</v>
      </c>
      <c r="CK329">
        <v>0</v>
      </c>
      <c r="CL329">
        <v>0</v>
      </c>
      <c r="CM329">
        <v>0</v>
      </c>
    </row>
    <row r="330" spans="40:91" x14ac:dyDescent="0.25">
      <c r="AN330" t="str">
        <v>honda civic 1500 gl</v>
      </c>
      <c r="AO330" s="7">
        <v>44.6</v>
      </c>
      <c r="AP330" s="7">
        <v>37.463208115826113</v>
      </c>
      <c r="AQ330" s="7">
        <v>7.1367918841738884</v>
      </c>
      <c r="AR330" s="7">
        <v>4.3492507562084851E-2</v>
      </c>
      <c r="AS330" s="7">
        <v>2.3790723412149783</v>
      </c>
      <c r="AT330" s="7">
        <v>1.5138834664551943E-2</v>
      </c>
      <c r="AU330" s="7">
        <v>0.96572126957388438</v>
      </c>
      <c r="AV330" s="7">
        <v>0.86418422319002075</v>
      </c>
      <c r="AW330" s="7">
        <v>1.5424241768122602</v>
      </c>
      <c r="AX330" s="7">
        <v>7.4613026459247758</v>
      </c>
      <c r="AY330" s="7">
        <v>1.5138834664551943E-2</v>
      </c>
      <c r="AZ330" s="7">
        <v>37.463208115826113</v>
      </c>
      <c r="BA330" s="7">
        <v>7.1367918841738884</v>
      </c>
      <c r="BU330" t="b">
        <v>1</v>
      </c>
      <c r="BW330">
        <v>1</v>
      </c>
      <c r="BX330">
        <v>92</v>
      </c>
      <c r="BY330">
        <v>2434</v>
      </c>
      <c r="BZ330">
        <v>0</v>
      </c>
      <c r="CA330">
        <v>0</v>
      </c>
      <c r="CB330">
        <v>0</v>
      </c>
      <c r="CC330">
        <v>0</v>
      </c>
      <c r="CD330">
        <v>0</v>
      </c>
      <c r="CE330">
        <v>0</v>
      </c>
      <c r="CF330">
        <v>0</v>
      </c>
      <c r="CG330">
        <v>0</v>
      </c>
      <c r="CH330">
        <v>0</v>
      </c>
      <c r="CI330">
        <v>1</v>
      </c>
      <c r="CJ330">
        <v>0</v>
      </c>
      <c r="CK330">
        <v>0</v>
      </c>
      <c r="CL330">
        <v>0</v>
      </c>
      <c r="CM330">
        <v>0</v>
      </c>
    </row>
    <row r="331" spans="40:91" x14ac:dyDescent="0.25">
      <c r="AN331" t="str">
        <v>subaru dl</v>
      </c>
      <c r="AO331" s="7">
        <v>33.799999999999997</v>
      </c>
      <c r="AP331" s="7">
        <v>35.969531779366676</v>
      </c>
      <c r="AQ331" s="7">
        <v>-2.1695317793666788</v>
      </c>
      <c r="AR331" s="7">
        <v>4.2462545848669514E-2</v>
      </c>
      <c r="AS331" s="7">
        <v>-0.72283127398567504</v>
      </c>
      <c r="AT331" s="7">
        <v>1.3629351933446641E-3</v>
      </c>
      <c r="AU331" s="7">
        <v>0.96572126957388438</v>
      </c>
      <c r="AV331" s="7">
        <v>0.87264012009621705</v>
      </c>
      <c r="AW331" s="7">
        <v>0.85019484471835927</v>
      </c>
      <c r="AX331" s="7">
        <v>-2.2657409064897038</v>
      </c>
      <c r="AY331" s="7" t="e">
        <v>#N/A</v>
      </c>
      <c r="AZ331" s="7">
        <v>35.969531779366676</v>
      </c>
      <c r="BA331" s="7">
        <v>-2.1695317793666788</v>
      </c>
      <c r="BU331" t="b">
        <v>1</v>
      </c>
      <c r="BW331">
        <v>1</v>
      </c>
      <c r="BX331">
        <v>75</v>
      </c>
      <c r="BY331">
        <v>2265</v>
      </c>
      <c r="BZ331">
        <v>0</v>
      </c>
      <c r="CA331">
        <v>0</v>
      </c>
      <c r="CB331">
        <v>0</v>
      </c>
      <c r="CC331">
        <v>0</v>
      </c>
      <c r="CD331">
        <v>0</v>
      </c>
      <c r="CE331">
        <v>0</v>
      </c>
      <c r="CF331">
        <v>0</v>
      </c>
      <c r="CG331">
        <v>0</v>
      </c>
      <c r="CH331">
        <v>0</v>
      </c>
      <c r="CI331">
        <v>1</v>
      </c>
      <c r="CJ331">
        <v>0</v>
      </c>
      <c r="CK331">
        <v>0</v>
      </c>
      <c r="CL331">
        <v>0</v>
      </c>
      <c r="CM331">
        <v>0</v>
      </c>
    </row>
    <row r="332" spans="40:91" x14ac:dyDescent="0.25">
      <c r="AN332" t="str">
        <v>vokswagen rabbit</v>
      </c>
      <c r="AO332" s="7">
        <v>29.8</v>
      </c>
      <c r="AP332" s="7">
        <v>37.447729981719554</v>
      </c>
      <c r="AQ332" s="7">
        <v>-7.6477299817195536</v>
      </c>
      <c r="AR332" s="7">
        <v>5.037136542363066E-2</v>
      </c>
      <c r="AS332" s="7">
        <v>-2.5586120959927223</v>
      </c>
      <c r="AT332" s="7">
        <v>2.042630902284125E-2</v>
      </c>
      <c r="AU332" s="7">
        <v>0.96572126957388438</v>
      </c>
      <c r="AV332" s="7">
        <v>0.87970525767099483</v>
      </c>
      <c r="AW332" s="7">
        <v>1.5995662211964601</v>
      </c>
      <c r="AX332" s="7">
        <v>-8.0533902446309611</v>
      </c>
      <c r="AY332" s="7">
        <v>2.042630902284125E-2</v>
      </c>
      <c r="AZ332" s="7">
        <v>37.447729981719554</v>
      </c>
      <c r="BA332" s="7">
        <v>-7.6477299817195536</v>
      </c>
      <c r="BU332" t="b">
        <v>1</v>
      </c>
      <c r="BW332">
        <v>1</v>
      </c>
      <c r="BX332">
        <v>65</v>
      </c>
      <c r="BY332">
        <v>2110</v>
      </c>
      <c r="BZ332">
        <v>0</v>
      </c>
      <c r="CA332">
        <v>0</v>
      </c>
      <c r="CB332">
        <v>0</v>
      </c>
      <c r="CC332">
        <v>0</v>
      </c>
      <c r="CD332">
        <v>0</v>
      </c>
      <c r="CE332">
        <v>0</v>
      </c>
      <c r="CF332">
        <v>0</v>
      </c>
      <c r="CG332">
        <v>0</v>
      </c>
      <c r="CH332">
        <v>0</v>
      </c>
      <c r="CI332">
        <v>1</v>
      </c>
      <c r="CJ332">
        <v>0</v>
      </c>
      <c r="CK332">
        <v>0</v>
      </c>
      <c r="CL332">
        <v>0</v>
      </c>
      <c r="CM332">
        <v>0</v>
      </c>
    </row>
    <row r="333" spans="40:91" x14ac:dyDescent="0.25">
      <c r="AN333" t="str">
        <v>datsun 280-zx</v>
      </c>
      <c r="AO333" s="7">
        <v>32.700000000000003</v>
      </c>
      <c r="AP333" s="7">
        <v>31.040731846822197</v>
      </c>
      <c r="AQ333" s="7">
        <v>1.6592681531778055</v>
      </c>
      <c r="AR333" s="7">
        <v>5.5299275867682678E-2</v>
      </c>
      <c r="AS333" s="7">
        <v>0.5565680312062059</v>
      </c>
      <c r="AT333" s="7">
        <v>1.0666275308936104E-3</v>
      </c>
      <c r="AU333" s="7">
        <v>0.96572126957388438</v>
      </c>
      <c r="AV333" s="7">
        <v>0.88224971223867943</v>
      </c>
      <c r="AW333" s="7">
        <v>0.746034872647523</v>
      </c>
      <c r="AX333" s="7">
        <v>1.7563955555361721</v>
      </c>
      <c r="AY333" s="7" t="e">
        <v>#N/A</v>
      </c>
      <c r="AZ333" s="7">
        <v>31.040731846822197</v>
      </c>
      <c r="BA333" s="7">
        <v>1.6592681531778055</v>
      </c>
      <c r="BU333" t="b">
        <v>1</v>
      </c>
      <c r="BW333">
        <v>1</v>
      </c>
      <c r="BX333">
        <v>105</v>
      </c>
      <c r="BY333">
        <v>2800</v>
      </c>
      <c r="BZ333">
        <v>0</v>
      </c>
      <c r="CA333">
        <v>0</v>
      </c>
      <c r="CB333">
        <v>0</v>
      </c>
      <c r="CC333">
        <v>0</v>
      </c>
      <c r="CD333">
        <v>0</v>
      </c>
      <c r="CE333">
        <v>0</v>
      </c>
      <c r="CF333">
        <v>0</v>
      </c>
      <c r="CG333">
        <v>0</v>
      </c>
      <c r="CH333">
        <v>0</v>
      </c>
      <c r="CI333">
        <v>1</v>
      </c>
      <c r="CJ333">
        <v>0</v>
      </c>
      <c r="CK333">
        <v>0</v>
      </c>
      <c r="CL333">
        <v>0</v>
      </c>
      <c r="CM333">
        <v>1</v>
      </c>
    </row>
    <row r="334" spans="40:91" x14ac:dyDescent="0.25">
      <c r="AN334" t="str">
        <v>mazda rx-7 gs</v>
      </c>
      <c r="AO334" s="7">
        <v>23.7</v>
      </c>
      <c r="AP334" s="7">
        <v>34.041319380742721</v>
      </c>
      <c r="AQ334" s="7">
        <v>-10.341319380742721</v>
      </c>
      <c r="AR334" s="7">
        <v>4.5913395389664366E-2</v>
      </c>
      <c r="AS334" s="7">
        <v>-3.4516826175693711</v>
      </c>
      <c r="AT334" s="7">
        <v>3.3725966329777667E-2</v>
      </c>
      <c r="AU334" s="7">
        <v>0.96572126957388438</v>
      </c>
      <c r="AV334" s="7">
        <v>0.88428252049289813</v>
      </c>
      <c r="AW334" s="7">
        <v>1.8578704523107554</v>
      </c>
      <c r="AX334" s="7">
        <v>-10.838973454580973</v>
      </c>
      <c r="AY334" s="7">
        <v>3.3725966329777667E-2</v>
      </c>
      <c r="AZ334" s="7">
        <v>34.041319380742721</v>
      </c>
      <c r="BA334" s="7">
        <v>-10.341319380742721</v>
      </c>
      <c r="BU334" t="b">
        <v>1</v>
      </c>
      <c r="BW334">
        <v>1</v>
      </c>
      <c r="BX334">
        <v>65</v>
      </c>
      <c r="BY334">
        <v>2110</v>
      </c>
      <c r="BZ334">
        <v>0</v>
      </c>
      <c r="CA334">
        <v>0</v>
      </c>
      <c r="CB334">
        <v>0</v>
      </c>
      <c r="CC334">
        <v>0</v>
      </c>
      <c r="CD334">
        <v>0</v>
      </c>
      <c r="CE334">
        <v>0</v>
      </c>
      <c r="CF334">
        <v>0</v>
      </c>
      <c r="CG334">
        <v>0</v>
      </c>
      <c r="CH334">
        <v>0</v>
      </c>
      <c r="CI334">
        <v>1</v>
      </c>
      <c r="CJ334">
        <v>0</v>
      </c>
      <c r="CK334">
        <v>0</v>
      </c>
      <c r="CL334">
        <v>0</v>
      </c>
      <c r="CM334">
        <v>0</v>
      </c>
    </row>
    <row r="335" spans="40:91" x14ac:dyDescent="0.25">
      <c r="AN335" t="str">
        <v>triumph tr7 coupe</v>
      </c>
      <c r="AO335" s="7">
        <v>35</v>
      </c>
      <c r="AP335" s="7">
        <v>33.709114953026017</v>
      </c>
      <c r="AQ335" s="7">
        <v>1.2908850469739832</v>
      </c>
      <c r="AR335" s="7">
        <v>4.9786115999968433E-2</v>
      </c>
      <c r="AS335" s="7">
        <v>0.43174338069116325</v>
      </c>
      <c r="AT335" s="7">
        <v>5.7449906899616145E-4</v>
      </c>
      <c r="AU335" s="7">
        <v>1.0288047620058449</v>
      </c>
      <c r="AV335" s="7">
        <v>0.89210317838709852</v>
      </c>
      <c r="AW335" s="7">
        <v>0.65707182308417644</v>
      </c>
      <c r="AX335" s="7">
        <v>1.3585205064988719</v>
      </c>
      <c r="AY335" s="7" t="e">
        <v>#N/A</v>
      </c>
      <c r="AZ335" s="7">
        <v>33.709114953026017</v>
      </c>
      <c r="BA335" s="7">
        <v>1.2908850469739832</v>
      </c>
      <c r="BU335" t="b">
        <v>1</v>
      </c>
      <c r="BW335">
        <v>1</v>
      </c>
      <c r="BX335">
        <v>48</v>
      </c>
      <c r="BY335">
        <v>2085</v>
      </c>
      <c r="BZ335">
        <v>0</v>
      </c>
      <c r="CA335">
        <v>0</v>
      </c>
      <c r="CB335">
        <v>0</v>
      </c>
      <c r="CC335">
        <v>0</v>
      </c>
      <c r="CD335">
        <v>0</v>
      </c>
      <c r="CE335">
        <v>0</v>
      </c>
      <c r="CF335">
        <v>0</v>
      </c>
      <c r="CG335">
        <v>0</v>
      </c>
      <c r="CH335">
        <v>0</v>
      </c>
      <c r="CI335">
        <v>1</v>
      </c>
      <c r="CJ335">
        <v>0</v>
      </c>
      <c r="CK335">
        <v>0</v>
      </c>
      <c r="CL335">
        <v>1</v>
      </c>
      <c r="CM335">
        <v>0</v>
      </c>
    </row>
    <row r="336" spans="40:91" x14ac:dyDescent="0.25">
      <c r="AN336" t="str">
        <v>honda accord</v>
      </c>
      <c r="AO336" s="7">
        <v>32.4</v>
      </c>
      <c r="AP336" s="7">
        <v>35.154169725407037</v>
      </c>
      <c r="AQ336" s="7">
        <v>-2.7541697254070385</v>
      </c>
      <c r="AR336" s="7">
        <v>4.2569726514608816E-2</v>
      </c>
      <c r="AS336" s="7">
        <v>-0.91766871471415257</v>
      </c>
      <c r="AT336" s="7">
        <v>2.2025036410607533E-3</v>
      </c>
      <c r="AU336" s="7">
        <v>1.0397213301736039</v>
      </c>
      <c r="AV336" s="7">
        <v>0.89328897781380101</v>
      </c>
      <c r="AW336" s="7">
        <v>0.95795026734906885</v>
      </c>
      <c r="AX336" s="7">
        <v>-2.8766269478620812</v>
      </c>
      <c r="AY336" s="7" t="e">
        <v>#N/A</v>
      </c>
      <c r="AZ336" s="7">
        <v>35.154169725407037</v>
      </c>
      <c r="BA336" s="7">
        <v>-2.7541697254070385</v>
      </c>
      <c r="BU336" t="b">
        <v>1</v>
      </c>
      <c r="BW336">
        <v>1</v>
      </c>
      <c r="BX336">
        <v>48</v>
      </c>
      <c r="BY336">
        <v>2335</v>
      </c>
      <c r="BZ336">
        <v>0</v>
      </c>
      <c r="CA336">
        <v>0</v>
      </c>
      <c r="CB336">
        <v>0</v>
      </c>
      <c r="CC336">
        <v>0</v>
      </c>
      <c r="CD336">
        <v>0</v>
      </c>
      <c r="CE336">
        <v>0</v>
      </c>
      <c r="CF336">
        <v>0</v>
      </c>
      <c r="CG336">
        <v>0</v>
      </c>
      <c r="CH336">
        <v>0</v>
      </c>
      <c r="CI336">
        <v>1</v>
      </c>
      <c r="CJ336">
        <v>0</v>
      </c>
      <c r="CK336">
        <v>0</v>
      </c>
      <c r="CL336">
        <v>1</v>
      </c>
      <c r="CM336">
        <v>0</v>
      </c>
    </row>
    <row r="337" spans="40:91" x14ac:dyDescent="0.25">
      <c r="AN337" t="str">
        <v>plymouth reliant</v>
      </c>
      <c r="AO337" s="7">
        <v>27.2</v>
      </c>
      <c r="AP337" s="7">
        <v>29.250550208008121</v>
      </c>
      <c r="AQ337" s="7">
        <v>-2.0505502080081222</v>
      </c>
      <c r="AR337" s="7">
        <v>4.2608580271655559E-2</v>
      </c>
      <c r="AS337" s="7">
        <v>-0.68324182750021945</v>
      </c>
      <c r="AT337" s="7">
        <v>1.2221021344029661E-3</v>
      </c>
      <c r="AU337" s="7">
        <v>1.050763231139634</v>
      </c>
      <c r="AV337" s="7">
        <v>0.89925474334882116</v>
      </c>
      <c r="AW337" s="7">
        <v>0.82658443458621911</v>
      </c>
      <c r="AX337" s="7">
        <v>-2.1418096775819828</v>
      </c>
      <c r="AY337" s="7" t="e">
        <v>#N/A</v>
      </c>
      <c r="AZ337" s="7">
        <v>29.250550208008121</v>
      </c>
      <c r="BA337" s="7">
        <v>-2.0505502080081222</v>
      </c>
      <c r="BU337" t="b">
        <v>1</v>
      </c>
      <c r="BW337">
        <v>1</v>
      </c>
      <c r="BX337">
        <v>67</v>
      </c>
      <c r="BY337">
        <v>2950</v>
      </c>
      <c r="BZ337">
        <v>0</v>
      </c>
      <c r="CA337">
        <v>0</v>
      </c>
      <c r="CB337">
        <v>0</v>
      </c>
      <c r="CC337">
        <v>0</v>
      </c>
      <c r="CD337">
        <v>0</v>
      </c>
      <c r="CE337">
        <v>0</v>
      </c>
      <c r="CF337">
        <v>0</v>
      </c>
      <c r="CG337">
        <v>0</v>
      </c>
      <c r="CH337">
        <v>0</v>
      </c>
      <c r="CI337">
        <v>1</v>
      </c>
      <c r="CJ337">
        <v>0</v>
      </c>
      <c r="CK337">
        <v>0</v>
      </c>
      <c r="CL337">
        <v>1</v>
      </c>
      <c r="CM337">
        <v>0</v>
      </c>
    </row>
    <row r="338" spans="40:91" x14ac:dyDescent="0.25">
      <c r="AN338" t="str">
        <v>buick skylark</v>
      </c>
      <c r="AO338" s="7">
        <v>26.6</v>
      </c>
      <c r="AP338" s="7">
        <v>28.516370313816189</v>
      </c>
      <c r="AQ338" s="7">
        <v>-1.9163703138161878</v>
      </c>
      <c r="AR338" s="7">
        <v>4.1092528424654287E-2</v>
      </c>
      <c r="AS338" s="7">
        <v>-0.63802821850481473</v>
      </c>
      <c r="AT338" s="7">
        <v>1.0261645662393761E-3</v>
      </c>
      <c r="AU338" s="7">
        <v>1.0619347543176552</v>
      </c>
      <c r="AV338" s="7">
        <v>0.92150618089198921</v>
      </c>
      <c r="AW338" s="7">
        <v>0.79876668590071698</v>
      </c>
      <c r="AX338" s="7">
        <v>-1.9984934632617573</v>
      </c>
      <c r="AY338" s="7" t="e">
        <v>#N/A</v>
      </c>
      <c r="AZ338" s="7">
        <v>28.516370313816189</v>
      </c>
      <c r="BA338" s="7">
        <v>-1.9163703138161878</v>
      </c>
      <c r="BU338" t="b">
        <v>1</v>
      </c>
      <c r="BW338">
        <v>1</v>
      </c>
      <c r="BX338">
        <v>67</v>
      </c>
      <c r="BY338">
        <v>3250</v>
      </c>
      <c r="BZ338">
        <v>0</v>
      </c>
      <c r="CA338">
        <v>0</v>
      </c>
      <c r="CB338">
        <v>0</v>
      </c>
      <c r="CC338">
        <v>0</v>
      </c>
      <c r="CD338">
        <v>0</v>
      </c>
      <c r="CE338">
        <v>0</v>
      </c>
      <c r="CF338">
        <v>0</v>
      </c>
      <c r="CG338">
        <v>0</v>
      </c>
      <c r="CH338">
        <v>0</v>
      </c>
      <c r="CI338">
        <v>1</v>
      </c>
      <c r="CJ338">
        <v>0</v>
      </c>
      <c r="CK338">
        <v>0</v>
      </c>
      <c r="CL338">
        <v>1</v>
      </c>
      <c r="CM338">
        <v>0</v>
      </c>
    </row>
    <row r="339" spans="40:91" x14ac:dyDescent="0.25">
      <c r="AN339" t="str">
        <v>dodge aries wagon (sw)</v>
      </c>
      <c r="AO339" s="7">
        <v>25.8</v>
      </c>
      <c r="AP339" s="7">
        <v>28.46242850241461</v>
      </c>
      <c r="AQ339" s="7">
        <v>-2.6624285024146097</v>
      </c>
      <c r="AR339" s="7">
        <v>4.2310893601892552E-2</v>
      </c>
      <c r="AS339" s="7">
        <v>-0.88698134092906566</v>
      </c>
      <c r="AT339" s="7">
        <v>2.044596893501617E-3</v>
      </c>
      <c r="AU339" s="7">
        <v>1.0619347543176552</v>
      </c>
      <c r="AV339" s="7">
        <v>0.92354334626383094</v>
      </c>
      <c r="AW339" s="7">
        <v>0.94179686818818087</v>
      </c>
      <c r="AX339" s="7">
        <v>-2.7800551187515015</v>
      </c>
      <c r="AY339" s="7" t="e">
        <v>#N/A</v>
      </c>
      <c r="AZ339" s="7">
        <v>28.46242850241461</v>
      </c>
      <c r="BA339" s="7">
        <v>-2.6624285024146097</v>
      </c>
      <c r="BU339" t="b">
        <v>1</v>
      </c>
      <c r="BW339">
        <v>1</v>
      </c>
      <c r="BX339">
        <v>67</v>
      </c>
      <c r="BY339">
        <v>1850</v>
      </c>
      <c r="BZ339">
        <v>0</v>
      </c>
      <c r="CA339">
        <v>0</v>
      </c>
      <c r="CB339">
        <v>0</v>
      </c>
      <c r="CC339">
        <v>0</v>
      </c>
      <c r="CD339">
        <v>0</v>
      </c>
      <c r="CE339">
        <v>0</v>
      </c>
      <c r="CF339">
        <v>0</v>
      </c>
      <c r="CG339">
        <v>0</v>
      </c>
      <c r="CH339">
        <v>0</v>
      </c>
      <c r="CI339">
        <v>1</v>
      </c>
      <c r="CJ339">
        <v>0</v>
      </c>
      <c r="CK339">
        <v>0</v>
      </c>
      <c r="CL339">
        <v>0</v>
      </c>
      <c r="CM339">
        <v>0</v>
      </c>
    </row>
    <row r="340" spans="40:91" x14ac:dyDescent="0.25">
      <c r="AN340" t="str">
        <v>chevrolet citation</v>
      </c>
      <c r="AO340" s="7">
        <v>23.5</v>
      </c>
      <c r="AP340" s="7">
        <v>27.638525217663613</v>
      </c>
      <c r="AQ340" s="7">
        <v>-4.1385252176636129</v>
      </c>
      <c r="AR340" s="7">
        <v>4.6648569894361711E-2</v>
      </c>
      <c r="AS340" s="7">
        <v>-1.3818722583783192</v>
      </c>
      <c r="AT340" s="7">
        <v>5.4963222423871517E-3</v>
      </c>
      <c r="AU340" s="7">
        <v>1.0846849303794233</v>
      </c>
      <c r="AV340" s="7">
        <v>0.929005572099876</v>
      </c>
      <c r="AW340" s="7">
        <v>1.175530628430548</v>
      </c>
      <c r="AX340" s="7">
        <v>-4.3410279640583687</v>
      </c>
      <c r="AY340" s="7" t="e">
        <v>#N/A</v>
      </c>
      <c r="AZ340" s="7">
        <v>27.638525217663613</v>
      </c>
      <c r="BA340" s="7">
        <v>-4.1385252176636129</v>
      </c>
      <c r="BU340" t="b">
        <v>0</v>
      </c>
      <c r="BW340">
        <v>1</v>
      </c>
      <c r="BX340">
        <v>0</v>
      </c>
      <c r="BY340">
        <v>1835</v>
      </c>
      <c r="BZ340">
        <v>0</v>
      </c>
      <c r="CA340">
        <v>0</v>
      </c>
      <c r="CB340">
        <v>0</v>
      </c>
      <c r="CC340">
        <v>0</v>
      </c>
      <c r="CD340">
        <v>0</v>
      </c>
      <c r="CE340">
        <v>0</v>
      </c>
      <c r="CF340">
        <v>0</v>
      </c>
      <c r="CG340">
        <v>0</v>
      </c>
      <c r="CH340">
        <v>0</v>
      </c>
      <c r="CI340">
        <v>1</v>
      </c>
      <c r="CJ340">
        <v>0</v>
      </c>
      <c r="CK340">
        <v>0</v>
      </c>
      <c r="CL340">
        <v>1</v>
      </c>
      <c r="CM340">
        <v>0</v>
      </c>
    </row>
    <row r="341" spans="40:91" x14ac:dyDescent="0.25">
      <c r="AN341" t="str">
        <v>plymouth reliant</v>
      </c>
      <c r="AO341" s="7">
        <v>30</v>
      </c>
      <c r="AP341" s="7">
        <v>29.782197717595377</v>
      </c>
      <c r="AQ341" s="7">
        <v>0.21780228240462307</v>
      </c>
      <c r="AR341" s="7">
        <v>4.4238536928883715E-2</v>
      </c>
      <c r="AS341" s="7">
        <v>7.2633416429775416E-2</v>
      </c>
      <c r="AT341" s="7">
        <v>1.43639955958465E-5</v>
      </c>
      <c r="AU341" s="7">
        <v>1.0962733150227</v>
      </c>
      <c r="AV341" s="7">
        <v>0.93448737390407366</v>
      </c>
      <c r="AW341" s="7">
        <v>0.26950587457377512</v>
      </c>
      <c r="AX341" s="7">
        <v>0.22788351573076224</v>
      </c>
      <c r="AY341" s="7" t="e">
        <v>#N/A</v>
      </c>
      <c r="AZ341" s="7">
        <v>29.782197717595377</v>
      </c>
      <c r="BA341" s="7">
        <v>0.21780228240462307</v>
      </c>
      <c r="BU341" t="b">
        <v>1</v>
      </c>
      <c r="BW341">
        <v>1</v>
      </c>
      <c r="BX341">
        <v>67</v>
      </c>
      <c r="BY341">
        <v>2145</v>
      </c>
      <c r="BZ341">
        <v>0</v>
      </c>
      <c r="CA341">
        <v>0</v>
      </c>
      <c r="CB341">
        <v>0</v>
      </c>
      <c r="CC341">
        <v>0</v>
      </c>
      <c r="CD341">
        <v>0</v>
      </c>
      <c r="CE341">
        <v>0</v>
      </c>
      <c r="CF341">
        <v>0</v>
      </c>
      <c r="CG341">
        <v>0</v>
      </c>
      <c r="CH341">
        <v>0</v>
      </c>
      <c r="CI341">
        <v>1</v>
      </c>
      <c r="CJ341">
        <v>0</v>
      </c>
      <c r="CK341">
        <v>0</v>
      </c>
      <c r="CL341">
        <v>0</v>
      </c>
      <c r="CM341">
        <v>0</v>
      </c>
    </row>
    <row r="342" spans="40:91" x14ac:dyDescent="0.25">
      <c r="AN342" t="str">
        <v>toyota starlet</v>
      </c>
      <c r="AO342" s="7">
        <v>39.1</v>
      </c>
      <c r="AP342" s="7">
        <v>35.454171617009976</v>
      </c>
      <c r="AQ342" s="7">
        <v>3.6458283829900253</v>
      </c>
      <c r="AR342" s="7">
        <v>4.1951287323382581E-2</v>
      </c>
      <c r="AS342" s="7">
        <v>1.2143705581244535</v>
      </c>
      <c r="AT342" s="7">
        <v>3.7984921914540146E-3</v>
      </c>
      <c r="AU342" s="7">
        <v>1.1080108204698569</v>
      </c>
      <c r="AV342" s="7">
        <v>0.9638711140431474</v>
      </c>
      <c r="AW342" s="7">
        <v>1.1019848266307724</v>
      </c>
      <c r="AX342" s="7">
        <v>3.8054728687064672</v>
      </c>
      <c r="AY342" s="7" t="e">
        <v>#N/A</v>
      </c>
      <c r="AZ342" s="7">
        <v>35.454171617009976</v>
      </c>
      <c r="BA342" s="7">
        <v>3.6458283829900253</v>
      </c>
      <c r="BU342" t="b">
        <v>1</v>
      </c>
      <c r="BW342">
        <v>1</v>
      </c>
      <c r="BX342">
        <v>62</v>
      </c>
      <c r="BY342">
        <v>1845</v>
      </c>
      <c r="BZ342">
        <v>0</v>
      </c>
      <c r="CA342">
        <v>0</v>
      </c>
      <c r="CB342">
        <v>0</v>
      </c>
      <c r="CC342">
        <v>0</v>
      </c>
      <c r="CD342">
        <v>0</v>
      </c>
      <c r="CE342">
        <v>0</v>
      </c>
      <c r="CF342">
        <v>0</v>
      </c>
      <c r="CG342">
        <v>0</v>
      </c>
      <c r="CH342">
        <v>0</v>
      </c>
      <c r="CI342">
        <v>1</v>
      </c>
      <c r="CJ342">
        <v>0</v>
      </c>
      <c r="CK342">
        <v>0</v>
      </c>
      <c r="CL342">
        <v>1</v>
      </c>
      <c r="CM342">
        <v>0</v>
      </c>
    </row>
    <row r="343" spans="40:91" x14ac:dyDescent="0.25">
      <c r="AN343" t="str">
        <v>plymouth champ</v>
      </c>
      <c r="AO343" s="7">
        <v>39</v>
      </c>
      <c r="AP343" s="7">
        <v>32.689214260375735</v>
      </c>
      <c r="AQ343" s="7">
        <v>6.310785739624265</v>
      </c>
      <c r="AR343" s="7">
        <v>5.022858407809927E-2</v>
      </c>
      <c r="AS343" s="7">
        <v>2.1111674999819692</v>
      </c>
      <c r="AT343" s="7">
        <v>1.3865269089159273E-2</v>
      </c>
      <c r="AU343" s="7">
        <v>1.1199029946137795</v>
      </c>
      <c r="AV343" s="7">
        <v>0.9666883678653565</v>
      </c>
      <c r="AW343" s="7">
        <v>1.4529857191252669</v>
      </c>
      <c r="AX343" s="7">
        <v>6.6445311301547934</v>
      </c>
      <c r="AY343" s="7">
        <v>1.3865269089159273E-2</v>
      </c>
      <c r="AZ343" s="7">
        <v>32.689214260375735</v>
      </c>
      <c r="BA343" s="7">
        <v>6.310785739624265</v>
      </c>
      <c r="BU343" t="b">
        <v>1</v>
      </c>
      <c r="BW343">
        <v>1</v>
      </c>
      <c r="BX343">
        <v>132</v>
      </c>
      <c r="BY343">
        <v>2910</v>
      </c>
      <c r="BZ343">
        <v>0</v>
      </c>
      <c r="CA343">
        <v>0</v>
      </c>
      <c r="CB343">
        <v>0</v>
      </c>
      <c r="CC343">
        <v>0</v>
      </c>
      <c r="CD343">
        <v>0</v>
      </c>
      <c r="CE343">
        <v>0</v>
      </c>
      <c r="CF343">
        <v>0</v>
      </c>
      <c r="CG343">
        <v>0</v>
      </c>
      <c r="CH343">
        <v>0</v>
      </c>
      <c r="CI343">
        <v>1</v>
      </c>
      <c r="CJ343">
        <v>0</v>
      </c>
      <c r="CK343">
        <v>0</v>
      </c>
      <c r="CL343">
        <v>0</v>
      </c>
      <c r="CM343">
        <v>0</v>
      </c>
    </row>
    <row r="344" spans="40:91" x14ac:dyDescent="0.25">
      <c r="AN344" t="str">
        <v>honda civic 1300</v>
      </c>
      <c r="AO344" s="7">
        <v>35.1</v>
      </c>
      <c r="AP344" s="7">
        <v>35.396382205027308</v>
      </c>
      <c r="AQ344" s="7">
        <v>-0.29638220502730661</v>
      </c>
      <c r="AR344" s="7">
        <v>4.2013652542506719E-2</v>
      </c>
      <c r="AS344" s="7">
        <v>-9.8723664725633778E-2</v>
      </c>
      <c r="AT344" s="7">
        <v>2.5143442298404654E-5</v>
      </c>
      <c r="AU344" s="7">
        <v>1.1199029946137795</v>
      </c>
      <c r="AV344" s="7">
        <v>0.97921087107925164</v>
      </c>
      <c r="AW344" s="7">
        <v>0.31420322201663331</v>
      </c>
      <c r="AX344" s="7">
        <v>-0.30938040590443527</v>
      </c>
      <c r="AY344" s="7" t="e">
        <v>#N/A</v>
      </c>
      <c r="AZ344" s="7">
        <v>35.396382205027308</v>
      </c>
      <c r="BA344" s="7">
        <v>-0.29638220502730661</v>
      </c>
      <c r="BU344" t="b">
        <v>1</v>
      </c>
      <c r="BW344">
        <v>1</v>
      </c>
      <c r="BX344">
        <v>100</v>
      </c>
      <c r="BY344">
        <v>2420</v>
      </c>
      <c r="BZ344">
        <v>0</v>
      </c>
      <c r="CA344">
        <v>0</v>
      </c>
      <c r="CB344">
        <v>0</v>
      </c>
      <c r="CC344">
        <v>0</v>
      </c>
      <c r="CD344">
        <v>0</v>
      </c>
      <c r="CE344">
        <v>0</v>
      </c>
      <c r="CF344">
        <v>0</v>
      </c>
      <c r="CG344">
        <v>0</v>
      </c>
      <c r="CH344">
        <v>0</v>
      </c>
      <c r="CI344">
        <v>1</v>
      </c>
      <c r="CJ344">
        <v>0</v>
      </c>
      <c r="CK344">
        <v>0</v>
      </c>
      <c r="CL344">
        <v>0</v>
      </c>
      <c r="CM344">
        <v>0</v>
      </c>
    </row>
    <row r="345" spans="40:91" x14ac:dyDescent="0.25">
      <c r="AN345" t="str">
        <v>subaru</v>
      </c>
      <c r="AO345" s="7">
        <v>32.299999999999997</v>
      </c>
      <c r="AP345" s="7">
        <v>33.738417748741917</v>
      </c>
      <c r="AQ345" s="7">
        <v>-1.4384177487419194</v>
      </c>
      <c r="AR345" s="7">
        <v>4.145794906136302E-2</v>
      </c>
      <c r="AS345" s="7">
        <v>-0.47899199098150264</v>
      </c>
      <c r="AT345" s="7">
        <v>5.8371953236483268E-4</v>
      </c>
      <c r="AU345" s="7">
        <v>1.1199029946137795</v>
      </c>
      <c r="AV345" s="7">
        <v>0.99045257304541545</v>
      </c>
      <c r="AW345" s="7">
        <v>0.69209247285424413</v>
      </c>
      <c r="AX345" s="7">
        <v>-1.5006308250466132</v>
      </c>
      <c r="AY345" s="7" t="e">
        <v>#N/A</v>
      </c>
      <c r="AZ345" s="7">
        <v>33.738417748741917</v>
      </c>
      <c r="BA345" s="7">
        <v>-1.4384177487419194</v>
      </c>
      <c r="BU345" t="b">
        <v>1</v>
      </c>
      <c r="BW345">
        <v>1</v>
      </c>
      <c r="BX345">
        <v>88</v>
      </c>
      <c r="BY345">
        <v>2500</v>
      </c>
      <c r="BZ345">
        <v>0</v>
      </c>
      <c r="CA345">
        <v>0</v>
      </c>
      <c r="CB345">
        <v>0</v>
      </c>
      <c r="CC345">
        <v>0</v>
      </c>
      <c r="CD345">
        <v>0</v>
      </c>
      <c r="CE345">
        <v>0</v>
      </c>
      <c r="CF345">
        <v>0</v>
      </c>
      <c r="CG345">
        <v>0</v>
      </c>
      <c r="CH345">
        <v>0</v>
      </c>
      <c r="CI345">
        <v>1</v>
      </c>
      <c r="CJ345">
        <v>0</v>
      </c>
      <c r="CK345">
        <v>0</v>
      </c>
      <c r="CL345">
        <v>1</v>
      </c>
      <c r="CM345">
        <v>0</v>
      </c>
    </row>
    <row r="346" spans="40:91" x14ac:dyDescent="0.25">
      <c r="AN346" t="str">
        <v>datsun 210 mpg</v>
      </c>
      <c r="AO346" s="7">
        <v>37</v>
      </c>
      <c r="AP346" s="7">
        <v>34.226588478009504</v>
      </c>
      <c r="AQ346" s="7">
        <v>2.7734115219904965</v>
      </c>
      <c r="AR346" s="7">
        <v>4.1456844028665445E-2</v>
      </c>
      <c r="AS346" s="7">
        <v>0.92354334626383094</v>
      </c>
      <c r="AT346" s="7">
        <v>2.1699524290074929E-3</v>
      </c>
      <c r="AU346" s="7">
        <v>1.156567811385141</v>
      </c>
      <c r="AV346" s="7">
        <v>0.99590616832095746</v>
      </c>
      <c r="AW346" s="7">
        <v>0.96101162649773963</v>
      </c>
      <c r="AX346" s="7">
        <v>2.8933611436410236</v>
      </c>
      <c r="AY346" s="7" t="e">
        <v>#N/A</v>
      </c>
      <c r="AZ346" s="7">
        <v>34.226588478009504</v>
      </c>
      <c r="BA346" s="7">
        <v>2.7734115219904965</v>
      </c>
      <c r="BU346" t="b">
        <v>0</v>
      </c>
      <c r="BW346">
        <v>1</v>
      </c>
      <c r="BX346">
        <v>0</v>
      </c>
      <c r="BY346">
        <v>2905</v>
      </c>
      <c r="BZ346">
        <v>0</v>
      </c>
      <c r="CA346">
        <v>0</v>
      </c>
      <c r="CB346">
        <v>0</v>
      </c>
      <c r="CC346">
        <v>0</v>
      </c>
      <c r="CD346">
        <v>0</v>
      </c>
      <c r="CE346">
        <v>0</v>
      </c>
      <c r="CF346">
        <v>0</v>
      </c>
      <c r="CG346">
        <v>0</v>
      </c>
      <c r="CH346">
        <v>0</v>
      </c>
      <c r="CI346">
        <v>1</v>
      </c>
      <c r="CJ346">
        <v>0</v>
      </c>
      <c r="CK346">
        <v>0</v>
      </c>
      <c r="CL346">
        <v>0</v>
      </c>
      <c r="CM346">
        <v>1</v>
      </c>
    </row>
    <row r="347" spans="40:91" x14ac:dyDescent="0.25">
      <c r="AN347" t="str">
        <v>toyota tercel</v>
      </c>
      <c r="AO347" s="7">
        <v>37.700000000000003</v>
      </c>
      <c r="AP347" s="7">
        <v>33.895549552736377</v>
      </c>
      <c r="AQ347" s="7">
        <v>3.8044504472636262</v>
      </c>
      <c r="AR347" s="7">
        <v>4.1763111862033346E-2</v>
      </c>
      <c r="AS347" s="7">
        <v>1.2670807492508769</v>
      </c>
      <c r="AT347" s="7">
        <v>4.1160404126380249E-3</v>
      </c>
      <c r="AU347" s="7">
        <v>1.156567811385141</v>
      </c>
      <c r="AV347" s="7">
        <v>0.99879597785624907</v>
      </c>
      <c r="AW347" s="7">
        <v>1.1256468137257249</v>
      </c>
      <c r="AX347" s="7">
        <v>3.9702608972363653</v>
      </c>
      <c r="AY347" s="7" t="e">
        <v>#N/A</v>
      </c>
      <c r="AZ347" s="7">
        <v>33.895549552736377</v>
      </c>
      <c r="BA347" s="7">
        <v>3.8044504472636262</v>
      </c>
      <c r="BU347" t="b">
        <v>1</v>
      </c>
      <c r="BW347">
        <v>1</v>
      </c>
      <c r="BX347">
        <v>72</v>
      </c>
      <c r="BY347">
        <v>2290</v>
      </c>
      <c r="BZ347">
        <v>0</v>
      </c>
      <c r="CA347">
        <v>0</v>
      </c>
      <c r="CB347">
        <v>0</v>
      </c>
      <c r="CC347">
        <v>0</v>
      </c>
      <c r="CD347">
        <v>0</v>
      </c>
      <c r="CE347">
        <v>0</v>
      </c>
      <c r="CF347">
        <v>0</v>
      </c>
      <c r="CG347">
        <v>0</v>
      </c>
      <c r="CH347">
        <v>0</v>
      </c>
      <c r="CI347">
        <v>1</v>
      </c>
      <c r="CJ347">
        <v>0</v>
      </c>
      <c r="CK347">
        <v>0</v>
      </c>
      <c r="CL347">
        <v>0</v>
      </c>
      <c r="CM347">
        <v>0</v>
      </c>
    </row>
    <row r="348" spans="40:91" x14ac:dyDescent="0.25">
      <c r="AN348" t="str">
        <v>mazda glc 4</v>
      </c>
      <c r="AO348" s="7">
        <v>34.1</v>
      </c>
      <c r="AP348" s="7">
        <v>34.127246085997712</v>
      </c>
      <c r="AQ348" s="7">
        <v>-2.7246085997710168E-2</v>
      </c>
      <c r="AR348" s="7">
        <v>4.1515795674472153E-2</v>
      </c>
      <c r="AS348" s="7">
        <v>-9.0731992161399884E-3</v>
      </c>
      <c r="AT348" s="7">
        <v>2.0974923110860844E-7</v>
      </c>
      <c r="AU348" s="7">
        <v>1.156567811385141</v>
      </c>
      <c r="AV348" s="7">
        <v>1.0160259092109305</v>
      </c>
      <c r="AW348" s="7">
        <v>9.5253342283302525E-2</v>
      </c>
      <c r="AX348" s="7">
        <v>-2.8426223274991645E-2</v>
      </c>
      <c r="AY348" s="7" t="e">
        <v>#N/A</v>
      </c>
      <c r="AZ348" s="7">
        <v>34.127246085997712</v>
      </c>
      <c r="BA348" s="7">
        <v>-2.7246085997710168E-2</v>
      </c>
      <c r="BU348" t="b">
        <v>1</v>
      </c>
      <c r="BW348">
        <v>1</v>
      </c>
      <c r="BX348">
        <v>84</v>
      </c>
      <c r="BY348">
        <v>2490</v>
      </c>
      <c r="BZ348">
        <v>0</v>
      </c>
      <c r="CA348">
        <v>0</v>
      </c>
      <c r="CB348">
        <v>0</v>
      </c>
      <c r="CC348">
        <v>0</v>
      </c>
      <c r="CD348">
        <v>0</v>
      </c>
      <c r="CE348">
        <v>0</v>
      </c>
      <c r="CF348">
        <v>0</v>
      </c>
      <c r="CG348">
        <v>0</v>
      </c>
      <c r="CH348">
        <v>0</v>
      </c>
      <c r="CI348">
        <v>0</v>
      </c>
      <c r="CJ348">
        <v>1</v>
      </c>
      <c r="CK348">
        <v>0</v>
      </c>
      <c r="CL348">
        <v>0</v>
      </c>
      <c r="CM348">
        <v>1</v>
      </c>
    </row>
    <row r="349" spans="40:91" x14ac:dyDescent="0.25">
      <c r="AN349" t="str">
        <v>plymouth horizon 4</v>
      </c>
      <c r="AO349" s="7">
        <v>34.700000000000003</v>
      </c>
      <c r="AP349" s="7">
        <v>30.983925423189579</v>
      </c>
      <c r="AQ349" s="7">
        <v>3.7160745768104242</v>
      </c>
      <c r="AR349" s="7">
        <v>4.4551350782135554E-2</v>
      </c>
      <c r="AS349" s="7">
        <v>1.2394515341278656</v>
      </c>
      <c r="AT349" s="7">
        <v>4.2137008791074864E-3</v>
      </c>
      <c r="AU349" s="7">
        <v>1.1948571240757904</v>
      </c>
      <c r="AV349" s="7">
        <v>1.0446177063052544</v>
      </c>
      <c r="AW349" s="7">
        <v>1.1133065768816177</v>
      </c>
      <c r="AX349" s="7">
        <v>3.8893503903662676</v>
      </c>
      <c r="AY349" s="7" t="e">
        <v>#N/A</v>
      </c>
      <c r="AZ349" s="7">
        <v>30.983925423189579</v>
      </c>
      <c r="BA349" s="7">
        <v>3.7160745768104242</v>
      </c>
      <c r="BU349" t="b">
        <v>1</v>
      </c>
      <c r="BW349">
        <v>1</v>
      </c>
      <c r="BX349">
        <v>84</v>
      </c>
      <c r="BY349">
        <v>2635</v>
      </c>
      <c r="BZ349">
        <v>0</v>
      </c>
      <c r="CA349">
        <v>0</v>
      </c>
      <c r="CB349">
        <v>0</v>
      </c>
      <c r="CC349">
        <v>0</v>
      </c>
      <c r="CD349">
        <v>0</v>
      </c>
      <c r="CE349">
        <v>0</v>
      </c>
      <c r="CF349">
        <v>0</v>
      </c>
      <c r="CG349">
        <v>0</v>
      </c>
      <c r="CH349">
        <v>0</v>
      </c>
      <c r="CI349">
        <v>0</v>
      </c>
      <c r="CJ349">
        <v>1</v>
      </c>
      <c r="CK349">
        <v>0</v>
      </c>
      <c r="CL349">
        <v>0</v>
      </c>
      <c r="CM349">
        <v>1</v>
      </c>
    </row>
    <row r="350" spans="40:91" x14ac:dyDescent="0.25">
      <c r="AN350" t="str">
        <v>ford escort 4w</v>
      </c>
      <c r="AO350" s="7">
        <v>34.4</v>
      </c>
      <c r="AP350" s="7">
        <v>31.812215193852342</v>
      </c>
      <c r="AQ350" s="7">
        <v>2.5877848061476563</v>
      </c>
      <c r="AR350" s="7">
        <v>4.6893881316315424E-2</v>
      </c>
      <c r="AS350" s="7">
        <v>0.86418422319002075</v>
      </c>
      <c r="AT350" s="7">
        <v>2.1614175219013608E-3</v>
      </c>
      <c r="AU350" s="7">
        <v>1.2080167583463306</v>
      </c>
      <c r="AV350" s="7">
        <v>1.0807560254323878</v>
      </c>
      <c r="AW350" s="7">
        <v>0.9296150941061686</v>
      </c>
      <c r="AX350" s="7">
        <v>2.7151066973755169</v>
      </c>
      <c r="AY350" s="7" t="e">
        <v>#N/A</v>
      </c>
      <c r="AZ350" s="7">
        <v>31.812215193852342</v>
      </c>
      <c r="BA350" s="7">
        <v>2.5877848061476563</v>
      </c>
      <c r="BU350" t="b">
        <v>1</v>
      </c>
      <c r="BW350">
        <v>1</v>
      </c>
      <c r="BX350">
        <v>92</v>
      </c>
      <c r="BY350">
        <v>2620</v>
      </c>
      <c r="BZ350">
        <v>0</v>
      </c>
      <c r="CA350">
        <v>0</v>
      </c>
      <c r="CB350">
        <v>0</v>
      </c>
      <c r="CC350">
        <v>0</v>
      </c>
      <c r="CD350">
        <v>0</v>
      </c>
      <c r="CE350">
        <v>0</v>
      </c>
      <c r="CF350">
        <v>0</v>
      </c>
      <c r="CG350">
        <v>0</v>
      </c>
      <c r="CH350">
        <v>0</v>
      </c>
      <c r="CI350">
        <v>0</v>
      </c>
      <c r="CJ350">
        <v>1</v>
      </c>
      <c r="CK350">
        <v>0</v>
      </c>
      <c r="CL350">
        <v>0</v>
      </c>
      <c r="CM350">
        <v>1</v>
      </c>
    </row>
    <row r="351" spans="40:91" x14ac:dyDescent="0.25">
      <c r="AN351" t="str">
        <v>ford escort 2h</v>
      </c>
      <c r="AO351" s="7">
        <v>29.9</v>
      </c>
      <c r="AP351" s="7">
        <v>30.116006472788232</v>
      </c>
      <c r="AQ351" s="7">
        <v>-0.21600647278823359</v>
      </c>
      <c r="AR351" s="7">
        <v>4.3294655821143453E-2</v>
      </c>
      <c r="AS351" s="7">
        <v>-7.1999000729859874E-2</v>
      </c>
      <c r="AT351" s="7">
        <v>1.379939696200102E-5</v>
      </c>
      <c r="AU351" s="7">
        <v>1.221388985601022</v>
      </c>
      <c r="AV351" s="7">
        <v>1.1069048065287921</v>
      </c>
      <c r="AW351" s="7">
        <v>0.2683262952635464</v>
      </c>
      <c r="AX351" s="7">
        <v>-0.22578160987867449</v>
      </c>
      <c r="AY351" s="7" t="e">
        <v>#N/A</v>
      </c>
      <c r="AZ351" s="7">
        <v>30.116006472788232</v>
      </c>
      <c r="BA351" s="7">
        <v>-0.21600647278823359</v>
      </c>
      <c r="BU351" t="b">
        <v>1</v>
      </c>
      <c r="BW351">
        <v>1</v>
      </c>
      <c r="BX351">
        <v>110</v>
      </c>
      <c r="BY351">
        <v>2725</v>
      </c>
      <c r="BZ351">
        <v>0</v>
      </c>
      <c r="CA351">
        <v>0</v>
      </c>
      <c r="CB351">
        <v>0</v>
      </c>
      <c r="CC351">
        <v>0</v>
      </c>
      <c r="CD351">
        <v>0</v>
      </c>
      <c r="CE351">
        <v>0</v>
      </c>
      <c r="CF351">
        <v>0</v>
      </c>
      <c r="CG351">
        <v>0</v>
      </c>
      <c r="CH351">
        <v>0</v>
      </c>
      <c r="CI351">
        <v>0</v>
      </c>
      <c r="CJ351">
        <v>1</v>
      </c>
      <c r="CK351">
        <v>0</v>
      </c>
      <c r="CL351">
        <v>0</v>
      </c>
      <c r="CM351">
        <v>1</v>
      </c>
    </row>
    <row r="352" spans="40:91" x14ac:dyDescent="0.25">
      <c r="AN352" t="str">
        <v>volkswagen jetta</v>
      </c>
      <c r="AO352" s="7">
        <v>33</v>
      </c>
      <c r="AP352" s="7">
        <v>32.869872181227684</v>
      </c>
      <c r="AQ352" s="7">
        <v>0.13012781877231561</v>
      </c>
      <c r="AR352" s="7">
        <v>5.2106229203956106E-2</v>
      </c>
      <c r="AS352" s="7">
        <v>4.357517290963614E-2</v>
      </c>
      <c r="AT352" s="7">
        <v>6.1398716568030643E-6</v>
      </c>
      <c r="AU352" s="7">
        <v>1.221388985601022</v>
      </c>
      <c r="AV352" s="7">
        <v>1.1097334264431626</v>
      </c>
      <c r="AW352" s="7">
        <v>0.20874667161331253</v>
      </c>
      <c r="AX352" s="7">
        <v>0.13728101479455224</v>
      </c>
      <c r="AY352" s="7" t="e">
        <v>#N/A</v>
      </c>
      <c r="AZ352" s="7">
        <v>32.869872181227684</v>
      </c>
      <c r="BA352" s="7">
        <v>0.13012781877231561</v>
      </c>
      <c r="BU352" t="b">
        <v>1</v>
      </c>
      <c r="BW352">
        <v>1</v>
      </c>
      <c r="BX352">
        <v>84</v>
      </c>
      <c r="BY352">
        <v>2385</v>
      </c>
      <c r="BZ352">
        <v>0</v>
      </c>
      <c r="CA352">
        <v>0</v>
      </c>
      <c r="CB352">
        <v>0</v>
      </c>
      <c r="CC352">
        <v>0</v>
      </c>
      <c r="CD352">
        <v>0</v>
      </c>
      <c r="CE352">
        <v>0</v>
      </c>
      <c r="CF352">
        <v>0</v>
      </c>
      <c r="CG352">
        <v>0</v>
      </c>
      <c r="CH352">
        <v>0</v>
      </c>
      <c r="CI352">
        <v>0</v>
      </c>
      <c r="CJ352">
        <v>1</v>
      </c>
      <c r="CK352">
        <v>0</v>
      </c>
      <c r="CL352">
        <v>0</v>
      </c>
      <c r="CM352">
        <v>1</v>
      </c>
    </row>
    <row r="353" spans="40:91" x14ac:dyDescent="0.25">
      <c r="AN353" t="str">
        <v>honda prelude</v>
      </c>
      <c r="AO353" s="7">
        <v>33.700000000000003</v>
      </c>
      <c r="AP353" s="7">
        <v>32.874346398921659</v>
      </c>
      <c r="AQ353" s="7">
        <v>0.82565360107834351</v>
      </c>
      <c r="AR353" s="7">
        <v>4.1634199205982172E-2</v>
      </c>
      <c r="AS353" s="7">
        <v>0.27496728736359061</v>
      </c>
      <c r="AT353" s="7">
        <v>1.932110876824581E-4</v>
      </c>
      <c r="AU353" s="7">
        <v>1.2488096764960821</v>
      </c>
      <c r="AV353" s="7">
        <v>1.128024738712412</v>
      </c>
      <c r="AW353" s="7">
        <v>0.52437323288244853</v>
      </c>
      <c r="AX353" s="7">
        <v>0.86152239613963622</v>
      </c>
      <c r="AY353" s="7" t="e">
        <v>#N/A</v>
      </c>
      <c r="AZ353" s="7">
        <v>32.874346398921659</v>
      </c>
      <c r="BA353" s="7">
        <v>0.82565360107834351</v>
      </c>
      <c r="BU353" t="b">
        <v>1</v>
      </c>
      <c r="BW353">
        <v>1</v>
      </c>
      <c r="BX353">
        <v>58</v>
      </c>
      <c r="BY353">
        <v>1755</v>
      </c>
      <c r="BZ353">
        <v>0</v>
      </c>
      <c r="CA353">
        <v>0</v>
      </c>
      <c r="CB353">
        <v>0</v>
      </c>
      <c r="CC353">
        <v>0</v>
      </c>
      <c r="CD353">
        <v>0</v>
      </c>
      <c r="CE353">
        <v>0</v>
      </c>
      <c r="CF353">
        <v>0</v>
      </c>
      <c r="CG353">
        <v>0</v>
      </c>
      <c r="CH353">
        <v>0</v>
      </c>
      <c r="CI353">
        <v>0</v>
      </c>
      <c r="CJ353">
        <v>1</v>
      </c>
      <c r="CK353">
        <v>0</v>
      </c>
      <c r="CL353">
        <v>0</v>
      </c>
      <c r="CM353">
        <v>0</v>
      </c>
    </row>
    <row r="354" spans="40:91" x14ac:dyDescent="0.25">
      <c r="AN354" t="str">
        <v>toyota corolla</v>
      </c>
      <c r="AO354" s="7">
        <v>32.4</v>
      </c>
      <c r="AP354" s="7">
        <v>32.165483052805321</v>
      </c>
      <c r="AQ354" s="7">
        <v>0.23451694719467753</v>
      </c>
      <c r="AR354" s="7">
        <v>4.2232188432905597E-2</v>
      </c>
      <c r="AS354" s="7">
        <v>7.8125519301106491E-2</v>
      </c>
      <c r="AT354" s="7">
        <v>1.5831434276900426E-5</v>
      </c>
      <c r="AU354" s="7">
        <v>1.2488096764960821</v>
      </c>
      <c r="AV354" s="7">
        <v>1.1659795306247347</v>
      </c>
      <c r="AW354" s="7">
        <v>0.27950942613998991</v>
      </c>
      <c r="AX354" s="7">
        <v>0.24485782917569779</v>
      </c>
      <c r="AY354" s="7" t="e">
        <v>#N/A</v>
      </c>
      <c r="AZ354" s="7">
        <v>32.165483052805321</v>
      </c>
      <c r="BA354" s="7">
        <v>0.23451694719467753</v>
      </c>
      <c r="BU354" t="b">
        <v>1</v>
      </c>
      <c r="BW354">
        <v>1</v>
      </c>
      <c r="BX354">
        <v>64</v>
      </c>
      <c r="BY354">
        <v>1875</v>
      </c>
      <c r="BZ354">
        <v>0</v>
      </c>
      <c r="CA354">
        <v>0</v>
      </c>
      <c r="CB354">
        <v>0</v>
      </c>
      <c r="CC354">
        <v>0</v>
      </c>
      <c r="CD354">
        <v>0</v>
      </c>
      <c r="CE354">
        <v>0</v>
      </c>
      <c r="CF354">
        <v>0</v>
      </c>
      <c r="CG354">
        <v>0</v>
      </c>
      <c r="CH354">
        <v>0</v>
      </c>
      <c r="CI354">
        <v>0</v>
      </c>
      <c r="CJ354">
        <v>1</v>
      </c>
      <c r="CK354">
        <v>0</v>
      </c>
      <c r="CL354">
        <v>0</v>
      </c>
      <c r="CM354">
        <v>1</v>
      </c>
    </row>
    <row r="355" spans="40:91" x14ac:dyDescent="0.25">
      <c r="AN355" t="str">
        <v>datsun 200sx</v>
      </c>
      <c r="AO355" s="7">
        <v>32.9</v>
      </c>
      <c r="AP355" s="7">
        <v>30.417795205960857</v>
      </c>
      <c r="AQ355" s="7">
        <v>2.4822047940391414</v>
      </c>
      <c r="AR355" s="7">
        <v>4.4622841874438268E-2</v>
      </c>
      <c r="AS355" s="7">
        <v>0.82794023224202573</v>
      </c>
      <c r="AT355" s="7">
        <v>1.883351681889054E-3</v>
      </c>
      <c r="AU355" s="7">
        <v>1.2772029316939737</v>
      </c>
      <c r="AV355" s="7">
        <v>1.1660321456416103</v>
      </c>
      <c r="AW355" s="7">
        <v>0.90991221128305877</v>
      </c>
      <c r="AX355" s="7">
        <v>2.5981412397478678</v>
      </c>
      <c r="AY355" s="7" t="e">
        <v>#N/A</v>
      </c>
      <c r="AZ355" s="7">
        <v>30.417795205960857</v>
      </c>
      <c r="BA355" s="7">
        <v>2.4822047940391414</v>
      </c>
      <c r="BU355" t="b">
        <v>1</v>
      </c>
      <c r="BW355">
        <v>1</v>
      </c>
      <c r="BX355">
        <v>60</v>
      </c>
      <c r="BY355">
        <v>1760</v>
      </c>
      <c r="BZ355">
        <v>0</v>
      </c>
      <c r="CA355">
        <v>0</v>
      </c>
      <c r="CB355">
        <v>0</v>
      </c>
      <c r="CC355">
        <v>0</v>
      </c>
      <c r="CD355">
        <v>0</v>
      </c>
      <c r="CE355">
        <v>0</v>
      </c>
      <c r="CF355">
        <v>0</v>
      </c>
      <c r="CG355">
        <v>0</v>
      </c>
      <c r="CH355">
        <v>0</v>
      </c>
      <c r="CI355">
        <v>0</v>
      </c>
      <c r="CJ355">
        <v>1</v>
      </c>
      <c r="CK355">
        <v>0</v>
      </c>
      <c r="CL355">
        <v>0</v>
      </c>
      <c r="CM355">
        <v>0</v>
      </c>
    </row>
    <row r="356" spans="40:91" x14ac:dyDescent="0.25">
      <c r="AN356" t="str">
        <v>mazda 626</v>
      </c>
      <c r="AO356" s="7">
        <v>31.6</v>
      </c>
      <c r="AP356" s="7">
        <v>30.738676244450584</v>
      </c>
      <c r="AQ356" s="7">
        <v>0.86132375554941731</v>
      </c>
      <c r="AR356" s="7">
        <v>4.6205507722798973E-2</v>
      </c>
      <c r="AS356" s="7">
        <v>0.28753308488155299</v>
      </c>
      <c r="AT356" s="7">
        <v>2.3559477951897974E-4</v>
      </c>
      <c r="AU356" s="7">
        <v>1.2917937758243685</v>
      </c>
      <c r="AV356" s="7">
        <v>1.1863106075737948</v>
      </c>
      <c r="AW356" s="7">
        <v>0.53622111566176967</v>
      </c>
      <c r="AX356" s="7">
        <v>0.9030496218247096</v>
      </c>
      <c r="AY356" s="7" t="e">
        <v>#N/A</v>
      </c>
      <c r="AZ356" s="7">
        <v>30.738676244450584</v>
      </c>
      <c r="BA356" s="7">
        <v>0.86132375554941731</v>
      </c>
      <c r="BU356" t="b">
        <v>1</v>
      </c>
      <c r="BW356">
        <v>1</v>
      </c>
      <c r="BX356">
        <v>67</v>
      </c>
      <c r="BY356">
        <v>2065</v>
      </c>
      <c r="BZ356">
        <v>0</v>
      </c>
      <c r="CA356">
        <v>0</v>
      </c>
      <c r="CB356">
        <v>0</v>
      </c>
      <c r="CC356">
        <v>0</v>
      </c>
      <c r="CD356">
        <v>0</v>
      </c>
      <c r="CE356">
        <v>0</v>
      </c>
      <c r="CF356">
        <v>0</v>
      </c>
      <c r="CG356">
        <v>0</v>
      </c>
      <c r="CH356">
        <v>0</v>
      </c>
      <c r="CI356">
        <v>0</v>
      </c>
      <c r="CJ356">
        <v>1</v>
      </c>
      <c r="CK356">
        <v>0</v>
      </c>
      <c r="CL356">
        <v>0</v>
      </c>
      <c r="CM356">
        <v>0</v>
      </c>
    </row>
    <row r="357" spans="40:91" x14ac:dyDescent="0.25">
      <c r="AN357" t="str">
        <v>peugeot 505s turbo diesel</v>
      </c>
      <c r="AO357" s="7">
        <v>28.1</v>
      </c>
      <c r="AP357" s="7">
        <v>27.506611589785027</v>
      </c>
      <c r="AQ357" s="7">
        <v>0.59338841021497402</v>
      </c>
      <c r="AR357" s="7">
        <v>6.371473386729605E-2</v>
      </c>
      <c r="AS357" s="7">
        <v>0.19993267130990081</v>
      </c>
      <c r="AT357" s="7">
        <v>1.6001116978650207E-4</v>
      </c>
      <c r="AU357" s="7">
        <v>1.306664940712895</v>
      </c>
      <c r="AV357" s="7">
        <v>1.1899727275032879</v>
      </c>
      <c r="AW357" s="7">
        <v>0.4471383133996692</v>
      </c>
      <c r="AX357" s="7">
        <v>0.63376882204495821</v>
      </c>
      <c r="AY357" s="7" t="e">
        <v>#N/A</v>
      </c>
      <c r="AZ357" s="7">
        <v>27.506611589785027</v>
      </c>
      <c r="BA357" s="7">
        <v>0.59338841021497402</v>
      </c>
      <c r="BU357" t="b">
        <v>1</v>
      </c>
      <c r="BW357">
        <v>1</v>
      </c>
      <c r="BX357">
        <v>65</v>
      </c>
      <c r="BY357">
        <v>1975</v>
      </c>
      <c r="BZ357">
        <v>0</v>
      </c>
      <c r="CA357">
        <v>0</v>
      </c>
      <c r="CB357">
        <v>0</v>
      </c>
      <c r="CC357">
        <v>0</v>
      </c>
      <c r="CD357">
        <v>0</v>
      </c>
      <c r="CE357">
        <v>0</v>
      </c>
      <c r="CF357">
        <v>0</v>
      </c>
      <c r="CG357">
        <v>0</v>
      </c>
      <c r="CH357">
        <v>0</v>
      </c>
      <c r="CI357">
        <v>0</v>
      </c>
      <c r="CJ357">
        <v>1</v>
      </c>
      <c r="CK357">
        <v>0</v>
      </c>
      <c r="CL357">
        <v>0</v>
      </c>
      <c r="CM357">
        <v>0</v>
      </c>
    </row>
    <row r="358" spans="40:91" x14ac:dyDescent="0.25">
      <c r="AN358" t="str">
        <v>volvo diesel</v>
      </c>
      <c r="AO358" s="7">
        <v>30.7</v>
      </c>
      <c r="AP358" s="7">
        <v>27.925988990657363</v>
      </c>
      <c r="AQ358" s="7">
        <v>2.7740110093426367</v>
      </c>
      <c r="AR358" s="7">
        <v>6.3372096018761231E-2</v>
      </c>
      <c r="AS358" s="7">
        <v>0.93448737390407366</v>
      </c>
      <c r="AT358" s="7">
        <v>3.4755931599012536E-3</v>
      </c>
      <c r="AU358" s="7">
        <v>1.3218308296149113</v>
      </c>
      <c r="AV358" s="7">
        <v>1.2143705581244535</v>
      </c>
      <c r="AW358" s="7">
        <v>0.96668887130455461</v>
      </c>
      <c r="AX358" s="7">
        <v>2.9617001560079528</v>
      </c>
      <c r="AY358" s="7" t="e">
        <v>#N/A</v>
      </c>
      <c r="AZ358" s="7">
        <v>27.925988990657363</v>
      </c>
      <c r="BA358" s="7">
        <v>2.7740110093426367</v>
      </c>
      <c r="BU358" t="b">
        <v>1</v>
      </c>
      <c r="BW358">
        <v>1</v>
      </c>
      <c r="BX358">
        <v>62</v>
      </c>
      <c r="BY358">
        <v>2050</v>
      </c>
      <c r="BZ358">
        <v>0</v>
      </c>
      <c r="CA358">
        <v>0</v>
      </c>
      <c r="CB358">
        <v>0</v>
      </c>
      <c r="CC358">
        <v>0</v>
      </c>
      <c r="CD358">
        <v>0</v>
      </c>
      <c r="CE358">
        <v>0</v>
      </c>
      <c r="CF358">
        <v>0</v>
      </c>
      <c r="CG358">
        <v>0</v>
      </c>
      <c r="CH358">
        <v>0</v>
      </c>
      <c r="CI358">
        <v>0</v>
      </c>
      <c r="CJ358">
        <v>1</v>
      </c>
      <c r="CK358">
        <v>0</v>
      </c>
      <c r="CL358">
        <v>0</v>
      </c>
      <c r="CM358">
        <v>0</v>
      </c>
    </row>
    <row r="359" spans="40:91" x14ac:dyDescent="0.25">
      <c r="AN359" t="str">
        <v>toyota cressida</v>
      </c>
      <c r="AO359" s="7">
        <v>25.4</v>
      </c>
      <c r="AP359" s="7">
        <v>28.71496905439593</v>
      </c>
      <c r="AQ359" s="7">
        <v>-3.3149690543959309</v>
      </c>
      <c r="AR359" s="7">
        <v>4.8511143620971447E-2</v>
      </c>
      <c r="AS359" s="7">
        <v>-1.1079659887017947</v>
      </c>
      <c r="AT359" s="7">
        <v>3.6816435904012154E-3</v>
      </c>
      <c r="AU359" s="7">
        <v>1.3373069939616973</v>
      </c>
      <c r="AV359" s="7">
        <v>1.2394515341278656</v>
      </c>
      <c r="AW359" s="7">
        <v>1.0525996336222974</v>
      </c>
      <c r="AX359" s="7">
        <v>-3.4839809548703768</v>
      </c>
      <c r="AY359" s="7" t="e">
        <v>#N/A</v>
      </c>
      <c r="AZ359" s="7">
        <v>28.71496905439593</v>
      </c>
      <c r="BA359" s="7">
        <v>-3.3149690543959309</v>
      </c>
      <c r="BU359" t="b">
        <v>1</v>
      </c>
      <c r="BW359">
        <v>1</v>
      </c>
      <c r="BX359">
        <v>68</v>
      </c>
      <c r="BY359">
        <v>1985</v>
      </c>
      <c r="BZ359">
        <v>0</v>
      </c>
      <c r="CA359">
        <v>0</v>
      </c>
      <c r="CB359">
        <v>0</v>
      </c>
      <c r="CC359">
        <v>0</v>
      </c>
      <c r="CD359">
        <v>0</v>
      </c>
      <c r="CE359">
        <v>0</v>
      </c>
      <c r="CF359">
        <v>0</v>
      </c>
      <c r="CG359">
        <v>0</v>
      </c>
      <c r="CH359">
        <v>0</v>
      </c>
      <c r="CI359">
        <v>0</v>
      </c>
      <c r="CJ359">
        <v>1</v>
      </c>
      <c r="CK359">
        <v>0</v>
      </c>
      <c r="CL359">
        <v>0</v>
      </c>
      <c r="CM359">
        <v>0</v>
      </c>
    </row>
    <row r="360" spans="40:91" x14ac:dyDescent="0.25">
      <c r="AN360" t="str">
        <v>datsun 810 maxima</v>
      </c>
      <c r="AO360" s="7">
        <v>24.2</v>
      </c>
      <c r="AP360" s="7">
        <v>28.498124038128264</v>
      </c>
      <c r="AQ360" s="7">
        <v>-4.2981240381282646</v>
      </c>
      <c r="AR360" s="7">
        <v>4.9782609569163784E-2</v>
      </c>
      <c r="AS360" s="7">
        <v>-1.4375278289347984</v>
      </c>
      <c r="AT360" s="7">
        <v>6.3685165871422622E-3</v>
      </c>
      <c r="AU360" s="7">
        <v>1.3531102606891987</v>
      </c>
      <c r="AV360" s="7">
        <v>1.2670807492508769</v>
      </c>
      <c r="AW360" s="7">
        <v>1.1989694862400788</v>
      </c>
      <c r="AX360" s="7">
        <v>-4.5233060154576421</v>
      </c>
      <c r="AY360" s="7" t="e">
        <v>#N/A</v>
      </c>
      <c r="AZ360" s="7">
        <v>28.498124038128264</v>
      </c>
      <c r="BA360" s="7">
        <v>-4.2981240381282646</v>
      </c>
      <c r="BU360" t="b">
        <v>1</v>
      </c>
      <c r="BW360">
        <v>1</v>
      </c>
      <c r="BX360">
        <v>63</v>
      </c>
      <c r="BY360">
        <v>2215</v>
      </c>
      <c r="BZ360">
        <v>0</v>
      </c>
      <c r="CA360">
        <v>0</v>
      </c>
      <c r="CB360">
        <v>0</v>
      </c>
      <c r="CC360">
        <v>0</v>
      </c>
      <c r="CD360">
        <v>0</v>
      </c>
      <c r="CE360">
        <v>0</v>
      </c>
      <c r="CF360">
        <v>0</v>
      </c>
      <c r="CG360">
        <v>0</v>
      </c>
      <c r="CH360">
        <v>0</v>
      </c>
      <c r="CI360">
        <v>0</v>
      </c>
      <c r="CJ360">
        <v>1</v>
      </c>
      <c r="CK360">
        <v>0</v>
      </c>
      <c r="CL360">
        <v>0</v>
      </c>
      <c r="CM360">
        <v>1</v>
      </c>
    </row>
    <row r="361" spans="40:91" x14ac:dyDescent="0.25">
      <c r="AN361" t="str">
        <v>buick century</v>
      </c>
      <c r="AO361" s="7">
        <v>22.4</v>
      </c>
      <c r="AP361" s="7">
        <v>24.14484158323306</v>
      </c>
      <c r="AQ361" s="7">
        <v>-1.744841583233061</v>
      </c>
      <c r="AR361" s="7">
        <v>4.0505338903003972E-2</v>
      </c>
      <c r="AS361" s="7">
        <v>-0.5807423868304179</v>
      </c>
      <c r="AT361" s="7">
        <v>8.3750582565428886E-4</v>
      </c>
      <c r="AU361" s="7">
        <v>1.3531102606891987</v>
      </c>
      <c r="AV361" s="7">
        <v>1.2915705569901454</v>
      </c>
      <c r="AW361" s="7">
        <v>0.76206455555314856</v>
      </c>
      <c r="AX361" s="7">
        <v>-1.8185005649100467</v>
      </c>
      <c r="AY361" s="7" t="e">
        <v>#N/A</v>
      </c>
      <c r="AZ361" s="7">
        <v>24.14484158323306</v>
      </c>
      <c r="BA361" s="7">
        <v>-1.744841583233061</v>
      </c>
      <c r="BU361" t="b">
        <v>1</v>
      </c>
      <c r="BW361">
        <v>1</v>
      </c>
      <c r="BX361">
        <v>65</v>
      </c>
      <c r="BY361">
        <v>2045</v>
      </c>
      <c r="BZ361">
        <v>0</v>
      </c>
      <c r="CA361">
        <v>0</v>
      </c>
      <c r="CB361">
        <v>0</v>
      </c>
      <c r="CC361">
        <v>0</v>
      </c>
      <c r="CD361">
        <v>0</v>
      </c>
      <c r="CE361">
        <v>0</v>
      </c>
      <c r="CF361">
        <v>0</v>
      </c>
      <c r="CG361">
        <v>0</v>
      </c>
      <c r="CH361">
        <v>0</v>
      </c>
      <c r="CI361">
        <v>0</v>
      </c>
      <c r="CJ361">
        <v>1</v>
      </c>
      <c r="CK361">
        <v>0</v>
      </c>
      <c r="CL361">
        <v>0</v>
      </c>
      <c r="CM361">
        <v>1</v>
      </c>
    </row>
    <row r="362" spans="40:91" x14ac:dyDescent="0.25">
      <c r="AN362" t="str">
        <v>oldsmobile cutlass ls</v>
      </c>
      <c r="AO362" s="7">
        <v>26.6</v>
      </c>
      <c r="AP362" s="7">
        <v>22.656397762314576</v>
      </c>
      <c r="AQ362" s="7">
        <v>3.9436022376854254</v>
      </c>
      <c r="AR362" s="7">
        <v>4.5514063559417423E-2</v>
      </c>
      <c r="AS362" s="7">
        <v>1.3160037932020465</v>
      </c>
      <c r="AT362" s="7">
        <v>4.8578202243035294E-3</v>
      </c>
      <c r="AU362" s="7">
        <v>1.3857726818373162</v>
      </c>
      <c r="AV362" s="7">
        <v>1.3082330687569474</v>
      </c>
      <c r="AW362" s="7">
        <v>1.1471720852609892</v>
      </c>
      <c r="AX362" s="7">
        <v>4.1316504383413903</v>
      </c>
      <c r="AY362" s="7" t="e">
        <v>#N/A</v>
      </c>
      <c r="AZ362" s="7">
        <v>22.656397762314576</v>
      </c>
      <c r="BA362" s="7">
        <v>3.9436022376854254</v>
      </c>
      <c r="BU362" t="b">
        <v>1</v>
      </c>
      <c r="BW362">
        <v>1</v>
      </c>
      <c r="BX362">
        <v>65</v>
      </c>
      <c r="BY362">
        <v>2380</v>
      </c>
      <c r="BZ362">
        <v>0</v>
      </c>
      <c r="CA362">
        <v>0</v>
      </c>
      <c r="CB362">
        <v>0</v>
      </c>
      <c r="CC362">
        <v>0</v>
      </c>
      <c r="CD362">
        <v>0</v>
      </c>
      <c r="CE362">
        <v>0</v>
      </c>
      <c r="CF362">
        <v>0</v>
      </c>
      <c r="CG362">
        <v>0</v>
      </c>
      <c r="CH362">
        <v>0</v>
      </c>
      <c r="CI362">
        <v>0</v>
      </c>
      <c r="CJ362">
        <v>1</v>
      </c>
      <c r="CK362">
        <v>0</v>
      </c>
      <c r="CL362">
        <v>0</v>
      </c>
      <c r="CM362">
        <v>1</v>
      </c>
    </row>
    <row r="363" spans="40:91" x14ac:dyDescent="0.25">
      <c r="AN363" t="str">
        <v>ford granada gl</v>
      </c>
      <c r="AO363" s="7">
        <v>20.2</v>
      </c>
      <c r="AP363" s="7">
        <v>26.299517999577404</v>
      </c>
      <c r="AQ363" s="7">
        <v>-6.0995179995774045</v>
      </c>
      <c r="AR363" s="7">
        <v>4.0669083135311486E-2</v>
      </c>
      <c r="AS363" s="7">
        <v>-2.0302994659393092</v>
      </c>
      <c r="AT363" s="7">
        <v>1.0279387077060619E-2</v>
      </c>
      <c r="AU363" s="7">
        <v>1.402673289992322</v>
      </c>
      <c r="AV363" s="7">
        <v>1.3160037932020465</v>
      </c>
      <c r="AW363" s="7">
        <v>1.424885772944382</v>
      </c>
      <c r="AX363" s="7">
        <v>-6.358095931602012</v>
      </c>
      <c r="AY363" s="7">
        <v>1.0279387077060619E-2</v>
      </c>
      <c r="AZ363" s="7">
        <v>26.299517999577404</v>
      </c>
      <c r="BA363" s="7">
        <v>-6.0995179995774045</v>
      </c>
      <c r="BU363" t="b">
        <v>1</v>
      </c>
      <c r="BW363">
        <v>1</v>
      </c>
      <c r="BX363">
        <v>74</v>
      </c>
      <c r="BY363">
        <v>2190</v>
      </c>
      <c r="BZ363">
        <v>0</v>
      </c>
      <c r="CA363">
        <v>0</v>
      </c>
      <c r="CB363">
        <v>0</v>
      </c>
      <c r="CC363">
        <v>0</v>
      </c>
      <c r="CD363">
        <v>0</v>
      </c>
      <c r="CE363">
        <v>0</v>
      </c>
      <c r="CF363">
        <v>0</v>
      </c>
      <c r="CG363">
        <v>0</v>
      </c>
      <c r="CH363">
        <v>0</v>
      </c>
      <c r="CI363">
        <v>0</v>
      </c>
      <c r="CJ363">
        <v>1</v>
      </c>
      <c r="CK363">
        <v>0</v>
      </c>
      <c r="CL363">
        <v>1</v>
      </c>
      <c r="CM363">
        <v>0</v>
      </c>
    </row>
    <row r="364" spans="40:91" x14ac:dyDescent="0.25">
      <c r="AN364" t="str">
        <v>chrysler lebaron salon</v>
      </c>
      <c r="AO364" s="7">
        <v>17.600000000000001</v>
      </c>
      <c r="AP364" s="7">
        <v>24.29758690131575</v>
      </c>
      <c r="AQ364" s="7">
        <v>-6.6975869013157485</v>
      </c>
      <c r="AR364" s="7">
        <v>4.8271382998579748E-2</v>
      </c>
      <c r="AS364" s="7">
        <v>-2.2382603266400922</v>
      </c>
      <c r="AT364" s="7">
        <v>1.4946822807055404E-2</v>
      </c>
      <c r="AU364" s="7">
        <v>1.4199843237682621</v>
      </c>
      <c r="AV364" s="7">
        <v>1.3348865121336064</v>
      </c>
      <c r="AW364" s="7">
        <v>1.4960816577446874</v>
      </c>
      <c r="AX364" s="7">
        <v>-7.0372864508557207</v>
      </c>
      <c r="AY364" s="7">
        <v>1.4946822807055404E-2</v>
      </c>
      <c r="AZ364" s="7">
        <v>24.29758690131575</v>
      </c>
      <c r="BA364" s="7">
        <v>-6.6975869013157485</v>
      </c>
      <c r="BU364" t="b">
        <v>0</v>
      </c>
      <c r="BW364">
        <v>1</v>
      </c>
      <c r="BX364">
        <v>0</v>
      </c>
      <c r="BY364">
        <v>2320</v>
      </c>
      <c r="BZ364">
        <v>0</v>
      </c>
      <c r="CA364">
        <v>0</v>
      </c>
      <c r="CB364">
        <v>0</v>
      </c>
      <c r="CC364">
        <v>0</v>
      </c>
      <c r="CD364">
        <v>0</v>
      </c>
      <c r="CE364">
        <v>0</v>
      </c>
      <c r="CF364">
        <v>0</v>
      </c>
      <c r="CG364">
        <v>0</v>
      </c>
      <c r="CH364">
        <v>0</v>
      </c>
      <c r="CI364">
        <v>0</v>
      </c>
      <c r="CJ364">
        <v>1</v>
      </c>
      <c r="CK364">
        <v>0</v>
      </c>
      <c r="CL364">
        <v>1</v>
      </c>
      <c r="CM364">
        <v>0</v>
      </c>
    </row>
    <row r="365" spans="40:91" x14ac:dyDescent="0.25">
      <c r="AN365" t="str">
        <v>chevrolet cavalier</v>
      </c>
      <c r="AO365" s="7">
        <v>28</v>
      </c>
      <c r="AP365" s="7">
        <v>30.281759784048123</v>
      </c>
      <c r="AQ365" s="7">
        <v>-2.2817597840481234</v>
      </c>
      <c r="AR365" s="7">
        <v>3.5610204688537747E-2</v>
      </c>
      <c r="AS365" s="7">
        <v>-0.75751706682775932</v>
      </c>
      <c r="AT365" s="7">
        <v>1.2464009927449363E-3</v>
      </c>
      <c r="AU365" s="7">
        <v>1.4199843237682621</v>
      </c>
      <c r="AV365" s="7">
        <v>1.4296443982960332</v>
      </c>
      <c r="AW365" s="7">
        <v>0.87035456385760357</v>
      </c>
      <c r="AX365" s="7">
        <v>-2.3660140278767665</v>
      </c>
      <c r="AY365" s="7" t="e">
        <v>#N/A</v>
      </c>
      <c r="AZ365" s="7">
        <v>30.281759784048123</v>
      </c>
      <c r="BA365" s="7">
        <v>-2.2817597840481234</v>
      </c>
      <c r="BU365" t="b">
        <v>1</v>
      </c>
      <c r="BW365">
        <v>1</v>
      </c>
      <c r="BX365">
        <v>75</v>
      </c>
      <c r="BY365">
        <v>2210</v>
      </c>
      <c r="BZ365">
        <v>0</v>
      </c>
      <c r="CA365">
        <v>0</v>
      </c>
      <c r="CB365">
        <v>0</v>
      </c>
      <c r="CC365">
        <v>0</v>
      </c>
      <c r="CD365">
        <v>0</v>
      </c>
      <c r="CE365">
        <v>0</v>
      </c>
      <c r="CF365">
        <v>0</v>
      </c>
      <c r="CG365">
        <v>0</v>
      </c>
      <c r="CH365">
        <v>0</v>
      </c>
      <c r="CI365">
        <v>0</v>
      </c>
      <c r="CJ365">
        <v>1</v>
      </c>
      <c r="CK365">
        <v>0</v>
      </c>
      <c r="CL365">
        <v>0</v>
      </c>
      <c r="CM365">
        <v>0</v>
      </c>
    </row>
    <row r="366" spans="40:91" x14ac:dyDescent="0.25">
      <c r="AN366" t="str">
        <v>chevrolet cavalier wagon</v>
      </c>
      <c r="AO366" s="7">
        <v>27</v>
      </c>
      <c r="AP366" s="7">
        <v>30.104543947519037</v>
      </c>
      <c r="AQ366" s="7">
        <v>-3.1045439475190371</v>
      </c>
      <c r="AR366" s="7">
        <v>3.5478279036810861E-2</v>
      </c>
      <c r="AS366" s="7">
        <v>-1.0306011185079675</v>
      </c>
      <c r="AT366" s="7">
        <v>2.2981735940034425E-3</v>
      </c>
      <c r="AU366" s="7">
        <v>1.4199843237682621</v>
      </c>
      <c r="AV366" s="7">
        <v>1.4343249307838877</v>
      </c>
      <c r="AW366" s="7">
        <v>1.0151852631455835</v>
      </c>
      <c r="AX366" s="7">
        <v>-3.2187392777622286</v>
      </c>
      <c r="AY366" s="7" t="e">
        <v>#N/A</v>
      </c>
      <c r="AZ366" s="7">
        <v>30.104543947519037</v>
      </c>
      <c r="BA366" s="7">
        <v>-3.1045439475190371</v>
      </c>
      <c r="BU366" t="b">
        <v>1</v>
      </c>
      <c r="BW366">
        <v>1</v>
      </c>
      <c r="BX366">
        <v>75</v>
      </c>
      <c r="BY366">
        <v>2350</v>
      </c>
      <c r="BZ366">
        <v>0</v>
      </c>
      <c r="CA366">
        <v>0</v>
      </c>
      <c r="CB366">
        <v>0</v>
      </c>
      <c r="CC366">
        <v>0</v>
      </c>
      <c r="CD366">
        <v>0</v>
      </c>
      <c r="CE366">
        <v>0</v>
      </c>
      <c r="CF366">
        <v>0</v>
      </c>
      <c r="CG366">
        <v>0</v>
      </c>
      <c r="CH366">
        <v>0</v>
      </c>
      <c r="CI366">
        <v>0</v>
      </c>
      <c r="CJ366">
        <v>1</v>
      </c>
      <c r="CK366">
        <v>0</v>
      </c>
      <c r="CL366">
        <v>0</v>
      </c>
      <c r="CM366">
        <v>0</v>
      </c>
    </row>
    <row r="367" spans="40:91" x14ac:dyDescent="0.25">
      <c r="AN367" t="str">
        <v>chevrolet cavalier 2-door</v>
      </c>
      <c r="AO367" s="7">
        <v>34</v>
      </c>
      <c r="AP367" s="7">
        <v>31.345054803222641</v>
      </c>
      <c r="AQ367" s="7">
        <v>2.6549451967773585</v>
      </c>
      <c r="AR367" s="7">
        <v>3.7444725577322431E-2</v>
      </c>
      <c r="AS367" s="7">
        <v>0.88224971223867943</v>
      </c>
      <c r="AT367" s="7">
        <v>1.7811442916588999E-3</v>
      </c>
      <c r="AU367" s="7">
        <v>1.4199843237682621</v>
      </c>
      <c r="AV367" s="7">
        <v>1.4829089516943263</v>
      </c>
      <c r="AW367" s="7">
        <v>0.93928148722237648</v>
      </c>
      <c r="AX367" s="7">
        <v>2.7582262206913204</v>
      </c>
      <c r="AY367" s="7" t="e">
        <v>#N/A</v>
      </c>
      <c r="AZ367" s="7">
        <v>31.345054803222641</v>
      </c>
      <c r="BA367" s="7">
        <v>2.6549451967773585</v>
      </c>
      <c r="BU367" t="b">
        <v>1</v>
      </c>
      <c r="BW367">
        <v>1</v>
      </c>
      <c r="BX367">
        <v>100</v>
      </c>
      <c r="BY367">
        <v>2615</v>
      </c>
      <c r="BZ367">
        <v>0</v>
      </c>
      <c r="CA367">
        <v>0</v>
      </c>
      <c r="CB367">
        <v>0</v>
      </c>
      <c r="CC367">
        <v>0</v>
      </c>
      <c r="CD367">
        <v>0</v>
      </c>
      <c r="CE367">
        <v>0</v>
      </c>
      <c r="CF367">
        <v>0</v>
      </c>
      <c r="CG367">
        <v>0</v>
      </c>
      <c r="CH367">
        <v>0</v>
      </c>
      <c r="CI367">
        <v>0</v>
      </c>
      <c r="CJ367">
        <v>1</v>
      </c>
      <c r="CK367">
        <v>0</v>
      </c>
      <c r="CL367">
        <v>0</v>
      </c>
      <c r="CM367">
        <v>0</v>
      </c>
    </row>
    <row r="368" spans="40:91" x14ac:dyDescent="0.25">
      <c r="AN368" t="str">
        <v>pontiac j2000 se hatchback</v>
      </c>
      <c r="AO368" s="7">
        <v>31</v>
      </c>
      <c r="AP368" s="7">
        <v>30.482368368362248</v>
      </c>
      <c r="AQ368" s="7">
        <v>0.51763163163775161</v>
      </c>
      <c r="AR368" s="7">
        <v>3.563524260105199E-2</v>
      </c>
      <c r="AS368" s="7">
        <v>0.17184976624815054</v>
      </c>
      <c r="AT368" s="7">
        <v>6.4192953679568677E-5</v>
      </c>
      <c r="AU368" s="7">
        <v>1.4199843237682621</v>
      </c>
      <c r="AV368" s="7">
        <v>1.4945061059531588</v>
      </c>
      <c r="AW368" s="7">
        <v>0.41454766462754383</v>
      </c>
      <c r="AX368" s="7">
        <v>0.53675917505933146</v>
      </c>
      <c r="AY368" s="7" t="e">
        <v>#N/A</v>
      </c>
      <c r="AZ368" s="7">
        <v>30.482368368362248</v>
      </c>
      <c r="BA368" s="7">
        <v>0.51763163163775161</v>
      </c>
      <c r="BU368" t="b">
        <v>1</v>
      </c>
      <c r="BW368">
        <v>1</v>
      </c>
      <c r="BX368">
        <v>74</v>
      </c>
      <c r="BY368">
        <v>2635</v>
      </c>
      <c r="BZ368">
        <v>0</v>
      </c>
      <c r="CA368">
        <v>0</v>
      </c>
      <c r="CB368">
        <v>0</v>
      </c>
      <c r="CC368">
        <v>0</v>
      </c>
      <c r="CD368">
        <v>0</v>
      </c>
      <c r="CE368">
        <v>0</v>
      </c>
      <c r="CF368">
        <v>0</v>
      </c>
      <c r="CG368">
        <v>0</v>
      </c>
      <c r="CH368">
        <v>0</v>
      </c>
      <c r="CI368">
        <v>0</v>
      </c>
      <c r="CJ368">
        <v>1</v>
      </c>
      <c r="CK368">
        <v>0</v>
      </c>
      <c r="CL368">
        <v>0</v>
      </c>
      <c r="CM368">
        <v>0</v>
      </c>
    </row>
    <row r="369" spans="40:91" x14ac:dyDescent="0.25">
      <c r="AN369" t="str">
        <v>dodge aries se</v>
      </c>
      <c r="AO369" s="7">
        <v>29</v>
      </c>
      <c r="AP369" s="7">
        <v>30.751770281071632</v>
      </c>
      <c r="AQ369" s="7">
        <v>-1.7517702810716322</v>
      </c>
      <c r="AR369" s="7">
        <v>3.5820172682296966E-2</v>
      </c>
      <c r="AS369" s="7">
        <v>-0.58163018536706668</v>
      </c>
      <c r="AT369" s="7">
        <v>7.3928958454275813E-4</v>
      </c>
      <c r="AU369" s="7">
        <v>1.4199843237682621</v>
      </c>
      <c r="AV369" s="7">
        <v>1.539587675300786</v>
      </c>
      <c r="AW369" s="7">
        <v>0.76264682872681422</v>
      </c>
      <c r="AX369" s="7">
        <v>-1.8168501678208349</v>
      </c>
      <c r="AY369" s="7" t="e">
        <v>#N/A</v>
      </c>
      <c r="AZ369" s="7">
        <v>30.751770281071632</v>
      </c>
      <c r="BA369" s="7">
        <v>-1.7517702810716322</v>
      </c>
      <c r="BU369" t="b">
        <v>1</v>
      </c>
      <c r="BW369">
        <v>1</v>
      </c>
      <c r="BX369">
        <v>80</v>
      </c>
      <c r="BY369">
        <v>3230</v>
      </c>
      <c r="BZ369">
        <v>0</v>
      </c>
      <c r="CA369">
        <v>0</v>
      </c>
      <c r="CB369">
        <v>0</v>
      </c>
      <c r="CC369">
        <v>0</v>
      </c>
      <c r="CD369">
        <v>0</v>
      </c>
      <c r="CE369">
        <v>0</v>
      </c>
      <c r="CF369">
        <v>0</v>
      </c>
      <c r="CG369">
        <v>0</v>
      </c>
      <c r="CH369">
        <v>0</v>
      </c>
      <c r="CI369">
        <v>0</v>
      </c>
      <c r="CJ369">
        <v>1</v>
      </c>
      <c r="CK369">
        <v>0</v>
      </c>
      <c r="CL369">
        <v>1</v>
      </c>
      <c r="CM369">
        <v>0</v>
      </c>
    </row>
    <row r="370" spans="40:91" x14ac:dyDescent="0.25">
      <c r="AN370" t="str">
        <v>pontiac phoenix</v>
      </c>
      <c r="AO370" s="7">
        <v>27</v>
      </c>
      <c r="AP370" s="7">
        <v>29.591056670175867</v>
      </c>
      <c r="AQ370" s="7">
        <v>-2.5910566701758668</v>
      </c>
      <c r="AR370" s="7">
        <v>3.5317344801761894E-2</v>
      </c>
      <c r="AS370" s="7">
        <v>-0.86006936817939583</v>
      </c>
      <c r="AT370" s="7">
        <v>1.5930214168418649E-3</v>
      </c>
      <c r="AU370" s="7">
        <v>1.5341205443525465</v>
      </c>
      <c r="AV370" s="7">
        <v>1.5500221062846515</v>
      </c>
      <c r="AW370" s="7">
        <v>0.92739924961118869</v>
      </c>
      <c r="AX370" s="7">
        <v>-2.6859160950120078</v>
      </c>
      <c r="AY370" s="7" t="e">
        <v>#N/A</v>
      </c>
      <c r="AZ370" s="7">
        <v>29.591056670175867</v>
      </c>
      <c r="BA370" s="7">
        <v>-2.5910566701758668</v>
      </c>
      <c r="BU370" t="b">
        <v>0</v>
      </c>
      <c r="BW370">
        <v>1</v>
      </c>
      <c r="BX370">
        <v>110</v>
      </c>
      <c r="BY370">
        <v>2800</v>
      </c>
      <c r="BZ370">
        <v>0</v>
      </c>
      <c r="CA370">
        <v>0</v>
      </c>
      <c r="CB370">
        <v>0</v>
      </c>
      <c r="CC370">
        <v>0</v>
      </c>
      <c r="CD370">
        <v>0</v>
      </c>
      <c r="CE370">
        <v>0</v>
      </c>
      <c r="CF370">
        <v>0</v>
      </c>
      <c r="CG370">
        <v>0</v>
      </c>
      <c r="CH370">
        <v>0</v>
      </c>
      <c r="CI370">
        <v>0</v>
      </c>
      <c r="CJ370">
        <v>1</v>
      </c>
      <c r="CK370">
        <v>0</v>
      </c>
      <c r="CL370">
        <v>1</v>
      </c>
      <c r="CM370">
        <v>0</v>
      </c>
    </row>
    <row r="371" spans="40:91" x14ac:dyDescent="0.25">
      <c r="AN371" t="str">
        <v>ford fairmont futura</v>
      </c>
      <c r="AO371" s="7">
        <v>24</v>
      </c>
      <c r="AP371" s="7">
        <v>28.900353556303607</v>
      </c>
      <c r="AQ371" s="7">
        <v>-4.9003535563036067</v>
      </c>
      <c r="AR371" s="7">
        <v>3.5405901429528638E-2</v>
      </c>
      <c r="AS371" s="7">
        <v>-1.6266867098316871</v>
      </c>
      <c r="AT371" s="7">
        <v>5.713338701512167E-3</v>
      </c>
      <c r="AU371" s="7">
        <v>1.5341205443525465</v>
      </c>
      <c r="AV371" s="7">
        <v>1.5535500258921446</v>
      </c>
      <c r="AW371" s="7">
        <v>1.275416288837369</v>
      </c>
      <c r="AX371" s="7">
        <v>-5.0802234469046947</v>
      </c>
      <c r="AY371" s="7" t="e">
        <v>#N/A</v>
      </c>
      <c r="AZ371" s="7">
        <v>28.900353556303607</v>
      </c>
      <c r="BA371" s="7">
        <v>-4.9003535563036067</v>
      </c>
      <c r="BU371" t="b">
        <v>1</v>
      </c>
      <c r="BW371">
        <v>1</v>
      </c>
      <c r="BX371">
        <v>76</v>
      </c>
      <c r="BY371">
        <v>3160</v>
      </c>
      <c r="BZ371">
        <v>0</v>
      </c>
      <c r="CA371">
        <v>0</v>
      </c>
      <c r="CB371">
        <v>0</v>
      </c>
      <c r="CC371">
        <v>0</v>
      </c>
      <c r="CD371">
        <v>0</v>
      </c>
      <c r="CE371">
        <v>0</v>
      </c>
      <c r="CF371">
        <v>0</v>
      </c>
      <c r="CG371">
        <v>0</v>
      </c>
      <c r="CH371">
        <v>0</v>
      </c>
      <c r="CI371">
        <v>0</v>
      </c>
      <c r="CJ371">
        <v>1</v>
      </c>
      <c r="CK371">
        <v>0</v>
      </c>
      <c r="CL371">
        <v>1</v>
      </c>
      <c r="CM371">
        <v>0</v>
      </c>
    </row>
    <row r="372" spans="40:91" x14ac:dyDescent="0.25">
      <c r="AN372" t="str">
        <v>volkswagen rabbit l</v>
      </c>
      <c r="AO372" s="7">
        <v>36</v>
      </c>
      <c r="AP372" s="7">
        <v>35.611603109994796</v>
      </c>
      <c r="AQ372" s="7">
        <v>0.38839689000520394</v>
      </c>
      <c r="AR372" s="7">
        <v>5.1105954864069499E-2</v>
      </c>
      <c r="AS372" s="7">
        <v>0.12999171896583686</v>
      </c>
      <c r="AT372" s="7">
        <v>5.3534806589593171E-5</v>
      </c>
      <c r="AU372" s="7">
        <v>1.5769982907616837</v>
      </c>
      <c r="AV372" s="7">
        <v>1.5585580298512527</v>
      </c>
      <c r="AW372" s="7">
        <v>0.36054364363532587</v>
      </c>
      <c r="AX372" s="7">
        <v>0.40931534136623815</v>
      </c>
      <c r="AY372" s="7" t="e">
        <v>#N/A</v>
      </c>
      <c r="AZ372" s="7">
        <v>35.611603109994796</v>
      </c>
      <c r="BA372" s="7">
        <v>0.38839689000520394</v>
      </c>
      <c r="BU372" t="b">
        <v>1</v>
      </c>
      <c r="BW372">
        <v>1</v>
      </c>
      <c r="BX372">
        <v>116</v>
      </c>
      <c r="BY372">
        <v>2900</v>
      </c>
      <c r="BZ372">
        <v>0</v>
      </c>
      <c r="CA372">
        <v>0</v>
      </c>
      <c r="CB372">
        <v>0</v>
      </c>
      <c r="CC372">
        <v>0</v>
      </c>
      <c r="CD372">
        <v>0</v>
      </c>
      <c r="CE372">
        <v>0</v>
      </c>
      <c r="CF372">
        <v>0</v>
      </c>
      <c r="CG372">
        <v>0</v>
      </c>
      <c r="CH372">
        <v>0</v>
      </c>
      <c r="CI372">
        <v>0</v>
      </c>
      <c r="CJ372">
        <v>1</v>
      </c>
      <c r="CK372">
        <v>0</v>
      </c>
      <c r="CL372">
        <v>0</v>
      </c>
      <c r="CM372">
        <v>0</v>
      </c>
    </row>
    <row r="373" spans="40:91" x14ac:dyDescent="0.25">
      <c r="AN373" t="str">
        <v>mazda glc custom l</v>
      </c>
      <c r="AO373" s="7">
        <v>37</v>
      </c>
      <c r="AP373" s="7">
        <v>35.603149610985639</v>
      </c>
      <c r="AQ373" s="7">
        <v>1.3968503890143609</v>
      </c>
      <c r="AR373" s="7">
        <v>4.2669270414959395E-2</v>
      </c>
      <c r="AS373" s="7">
        <v>0.46544427933441679</v>
      </c>
      <c r="AT373" s="7">
        <v>5.679886923732236E-4</v>
      </c>
      <c r="AU373" s="7">
        <v>1.5995705882374911</v>
      </c>
      <c r="AV373" s="7">
        <v>1.5747836013923096</v>
      </c>
      <c r="AW373" s="7">
        <v>0.68223476848839715</v>
      </c>
      <c r="AX373" s="7">
        <v>1.4591095280309576</v>
      </c>
      <c r="AY373" s="7" t="e">
        <v>#N/A</v>
      </c>
      <c r="AZ373" s="7">
        <v>35.603149610985639</v>
      </c>
      <c r="BA373" s="7">
        <v>1.3968503890143609</v>
      </c>
      <c r="BU373" t="b">
        <v>1</v>
      </c>
      <c r="BW373">
        <v>1</v>
      </c>
      <c r="BX373">
        <v>120</v>
      </c>
      <c r="BY373">
        <v>2930</v>
      </c>
      <c r="BZ373">
        <v>0</v>
      </c>
      <c r="CA373">
        <v>0</v>
      </c>
      <c r="CB373">
        <v>0</v>
      </c>
      <c r="CC373">
        <v>0</v>
      </c>
      <c r="CD373">
        <v>0</v>
      </c>
      <c r="CE373">
        <v>0</v>
      </c>
      <c r="CF373">
        <v>0</v>
      </c>
      <c r="CG373">
        <v>0</v>
      </c>
      <c r="CH373">
        <v>0</v>
      </c>
      <c r="CI373">
        <v>0</v>
      </c>
      <c r="CJ373">
        <v>1</v>
      </c>
      <c r="CK373">
        <v>0</v>
      </c>
      <c r="CL373">
        <v>0</v>
      </c>
      <c r="CM373">
        <v>0</v>
      </c>
    </row>
    <row r="374" spans="40:91" x14ac:dyDescent="0.25">
      <c r="AN374" t="str">
        <v>mazda glc custom</v>
      </c>
      <c r="AO374" s="7">
        <v>31</v>
      </c>
      <c r="AP374" s="7">
        <v>35.881631639817066</v>
      </c>
      <c r="AQ374" s="7">
        <v>-4.8816316398170656</v>
      </c>
      <c r="AR374" s="7">
        <v>4.2387674968809748E-2</v>
      </c>
      <c r="AS374" s="7">
        <v>-1.6263684665199458</v>
      </c>
      <c r="AT374" s="7">
        <v>6.8871388294999749E-3</v>
      </c>
      <c r="AU374" s="7">
        <v>1.5995705882374911</v>
      </c>
      <c r="AV374" s="7">
        <v>1.574807083100602</v>
      </c>
      <c r="AW374" s="7">
        <v>1.2752915221704979</v>
      </c>
      <c r="AX374" s="7">
        <v>-5.0977117902675984</v>
      </c>
      <c r="AY374" s="7" t="e">
        <v>#N/A</v>
      </c>
      <c r="AZ374" s="7">
        <v>35.881631639817066</v>
      </c>
      <c r="BA374" s="7">
        <v>-4.8816316398170656</v>
      </c>
      <c r="BU374" t="b">
        <v>1</v>
      </c>
      <c r="BW374">
        <v>1</v>
      </c>
      <c r="BX374">
        <v>110</v>
      </c>
      <c r="BY374">
        <v>3415</v>
      </c>
      <c r="BZ374">
        <v>0</v>
      </c>
      <c r="CA374">
        <v>0</v>
      </c>
      <c r="CB374">
        <v>0</v>
      </c>
      <c r="CC374">
        <v>0</v>
      </c>
      <c r="CD374">
        <v>0</v>
      </c>
      <c r="CE374">
        <v>0</v>
      </c>
      <c r="CF374">
        <v>0</v>
      </c>
      <c r="CG374">
        <v>0</v>
      </c>
      <c r="CH374">
        <v>0</v>
      </c>
      <c r="CI374">
        <v>0</v>
      </c>
      <c r="CJ374">
        <v>1</v>
      </c>
      <c r="CK374">
        <v>0</v>
      </c>
      <c r="CL374">
        <v>0</v>
      </c>
      <c r="CM374">
        <v>1</v>
      </c>
    </row>
    <row r="375" spans="40:91" x14ac:dyDescent="0.25">
      <c r="AN375" t="str">
        <v>plymouth horizon miser</v>
      </c>
      <c r="AO375" s="7">
        <v>38</v>
      </c>
      <c r="AP375" s="7">
        <v>33.118059198142689</v>
      </c>
      <c r="AQ375" s="7">
        <v>4.8819408018573114</v>
      </c>
      <c r="AR375" s="7">
        <v>3.8409800761363619E-2</v>
      </c>
      <c r="AS375" s="7">
        <v>1.6231038143843957</v>
      </c>
      <c r="AT375" s="7">
        <v>6.1900720136637355E-3</v>
      </c>
      <c r="AU375" s="7">
        <v>1.5995705882374911</v>
      </c>
      <c r="AV375" s="7">
        <v>1.5766853430851624</v>
      </c>
      <c r="AW375" s="7">
        <v>1.274010916116654</v>
      </c>
      <c r="AX375" s="7">
        <v>5.0769452576811958</v>
      </c>
      <c r="AY375" s="7" t="e">
        <v>#N/A</v>
      </c>
      <c r="AZ375" s="7">
        <v>33.118059198142689</v>
      </c>
      <c r="BA375" s="7">
        <v>4.8819408018573114</v>
      </c>
      <c r="BU375" t="b">
        <v>1</v>
      </c>
      <c r="BW375">
        <v>1</v>
      </c>
      <c r="BX375">
        <v>105</v>
      </c>
      <c r="BY375">
        <v>3725</v>
      </c>
      <c r="BZ375">
        <v>0</v>
      </c>
      <c r="CA375">
        <v>0</v>
      </c>
      <c r="CB375">
        <v>0</v>
      </c>
      <c r="CC375">
        <v>0</v>
      </c>
      <c r="CD375">
        <v>0</v>
      </c>
      <c r="CE375">
        <v>0</v>
      </c>
      <c r="CF375">
        <v>0</v>
      </c>
      <c r="CG375">
        <v>0</v>
      </c>
      <c r="CH375">
        <v>0</v>
      </c>
      <c r="CI375">
        <v>0</v>
      </c>
      <c r="CJ375">
        <v>1</v>
      </c>
      <c r="CK375">
        <v>0</v>
      </c>
      <c r="CL375">
        <v>0</v>
      </c>
      <c r="CM375">
        <v>1</v>
      </c>
    </row>
    <row r="376" spans="40:91" x14ac:dyDescent="0.25">
      <c r="AN376" t="str">
        <v>mercury lynx l</v>
      </c>
      <c r="AO376" s="7">
        <v>36</v>
      </c>
      <c r="AP376" s="7">
        <v>33.004404174467894</v>
      </c>
      <c r="AQ376" s="7">
        <v>2.9955958255321065</v>
      </c>
      <c r="AR376" s="7">
        <v>3.8327502244710633E-2</v>
      </c>
      <c r="AS376" s="7">
        <v>0.99590616832095746</v>
      </c>
      <c r="AT376" s="7">
        <v>2.3252585222383751E-3</v>
      </c>
      <c r="AU376" s="7">
        <v>1.6726929638404258</v>
      </c>
      <c r="AV376" s="7">
        <v>1.5835184219573464</v>
      </c>
      <c r="AW376" s="7">
        <v>0.99795098492909839</v>
      </c>
      <c r="AX376" s="7">
        <v>3.1149854368554237</v>
      </c>
      <c r="AY376" s="7" t="e">
        <v>#N/A</v>
      </c>
      <c r="AZ376" s="7">
        <v>33.004404174467894</v>
      </c>
      <c r="BA376" s="7">
        <v>2.9955958255321065</v>
      </c>
      <c r="BU376" t="b">
        <v>1</v>
      </c>
      <c r="BW376">
        <v>1</v>
      </c>
      <c r="BX376">
        <v>88</v>
      </c>
      <c r="BY376">
        <v>3060</v>
      </c>
      <c r="BZ376">
        <v>0</v>
      </c>
      <c r="CA376">
        <v>0</v>
      </c>
      <c r="CB376">
        <v>0</v>
      </c>
      <c r="CC376">
        <v>0</v>
      </c>
      <c r="CD376">
        <v>0</v>
      </c>
      <c r="CE376">
        <v>0</v>
      </c>
      <c r="CF376">
        <v>0</v>
      </c>
      <c r="CG376">
        <v>0</v>
      </c>
      <c r="CH376">
        <v>0</v>
      </c>
      <c r="CI376">
        <v>0</v>
      </c>
      <c r="CJ376">
        <v>1</v>
      </c>
      <c r="CK376">
        <v>0</v>
      </c>
      <c r="CL376">
        <v>0</v>
      </c>
      <c r="CM376">
        <v>1</v>
      </c>
    </row>
    <row r="377" spans="40:91" x14ac:dyDescent="0.25">
      <c r="AN377" t="str">
        <v>nissan stanza xe</v>
      </c>
      <c r="AO377" s="7">
        <v>36</v>
      </c>
      <c r="AP377" s="7">
        <v>34.594874173874061</v>
      </c>
      <c r="AQ377" s="7">
        <v>1.4051258261259392</v>
      </c>
      <c r="AR377" s="7">
        <v>4.4176133885526568E-2</v>
      </c>
      <c r="AS377" s="7">
        <v>0.46857065274584686</v>
      </c>
      <c r="AT377" s="7">
        <v>5.9691306285993148E-4</v>
      </c>
      <c r="AU377" s="7">
        <v>1.6991776601112989</v>
      </c>
      <c r="AV377" s="7">
        <v>1.6231038143843957</v>
      </c>
      <c r="AW377" s="7">
        <v>0.68452220763525773</v>
      </c>
      <c r="AX377" s="7">
        <v>1.4700677352177094</v>
      </c>
      <c r="AY377" s="7" t="e">
        <v>#N/A</v>
      </c>
      <c r="AZ377" s="7">
        <v>34.594874173874061</v>
      </c>
      <c r="BA377" s="7">
        <v>1.4051258261259392</v>
      </c>
      <c r="BU377" t="b">
        <v>1</v>
      </c>
      <c r="BW377">
        <v>1</v>
      </c>
      <c r="BX377">
        <v>85</v>
      </c>
      <c r="BY377">
        <v>3465</v>
      </c>
      <c r="BZ377">
        <v>0</v>
      </c>
      <c r="CA377">
        <v>0</v>
      </c>
      <c r="CB377">
        <v>0</v>
      </c>
      <c r="CC377">
        <v>0</v>
      </c>
      <c r="CD377">
        <v>0</v>
      </c>
      <c r="CE377">
        <v>0</v>
      </c>
      <c r="CF377">
        <v>0</v>
      </c>
      <c r="CG377">
        <v>0</v>
      </c>
      <c r="CH377">
        <v>0</v>
      </c>
      <c r="CI377">
        <v>0</v>
      </c>
      <c r="CJ377">
        <v>1</v>
      </c>
      <c r="CK377">
        <v>0</v>
      </c>
      <c r="CL377">
        <v>0</v>
      </c>
      <c r="CM377">
        <v>1</v>
      </c>
    </row>
    <row r="378" spans="40:91" x14ac:dyDescent="0.25">
      <c r="AN378" t="str">
        <v>honda accord</v>
      </c>
      <c r="AO378" s="7">
        <v>36</v>
      </c>
      <c r="AP378" s="7">
        <v>34.578098856589847</v>
      </c>
      <c r="AQ378" s="7">
        <v>1.4219011434101532</v>
      </c>
      <c r="AR378" s="7">
        <v>4.3448835492164536E-2</v>
      </c>
      <c r="AS378" s="7">
        <v>0.47398446164131658</v>
      </c>
      <c r="AT378" s="7">
        <v>6.00273573409868E-4</v>
      </c>
      <c r="AU378" s="7">
        <v>1.7269108614600868</v>
      </c>
      <c r="AV378" s="7">
        <v>1.6395545081768057</v>
      </c>
      <c r="AW378" s="7">
        <v>0.68846529443488769</v>
      </c>
      <c r="AX378" s="7">
        <v>1.4864872849135566</v>
      </c>
      <c r="AY378" s="7" t="e">
        <v>#N/A</v>
      </c>
      <c r="AZ378" s="7">
        <v>34.578098856589847</v>
      </c>
      <c r="BA378" s="7">
        <v>1.4219011434101532</v>
      </c>
      <c r="BU378" t="b">
        <v>1</v>
      </c>
      <c r="BW378">
        <v>1</v>
      </c>
      <c r="BX378">
        <v>88</v>
      </c>
      <c r="BY378">
        <v>2605</v>
      </c>
      <c r="BZ378">
        <v>0</v>
      </c>
      <c r="CA378">
        <v>0</v>
      </c>
      <c r="CB378">
        <v>0</v>
      </c>
      <c r="CC378">
        <v>0</v>
      </c>
      <c r="CD378">
        <v>0</v>
      </c>
      <c r="CE378">
        <v>0</v>
      </c>
      <c r="CF378">
        <v>0</v>
      </c>
      <c r="CG378">
        <v>0</v>
      </c>
      <c r="CH378">
        <v>0</v>
      </c>
      <c r="CI378">
        <v>0</v>
      </c>
      <c r="CJ378">
        <v>0</v>
      </c>
      <c r="CK378">
        <v>1</v>
      </c>
      <c r="CL378">
        <v>0</v>
      </c>
      <c r="CM378">
        <v>1</v>
      </c>
    </row>
    <row r="379" spans="40:91" x14ac:dyDescent="0.25">
      <c r="AN379" t="str">
        <v>toyota corolla</v>
      </c>
      <c r="AO379" s="7">
        <v>34</v>
      </c>
      <c r="AP379" s="7">
        <v>34.45674863175288</v>
      </c>
      <c r="AQ379" s="7">
        <v>-0.45674863175288039</v>
      </c>
      <c r="AR379" s="7">
        <v>4.4582088373450866E-2</v>
      </c>
      <c r="AS379" s="7">
        <v>-0.15234540833319252</v>
      </c>
      <c r="AT379" s="7">
        <v>6.3705487945313292E-5</v>
      </c>
      <c r="AU379" s="7">
        <v>1.7560396847773088</v>
      </c>
      <c r="AV379" s="7">
        <v>1.6896822821993696</v>
      </c>
      <c r="AW379" s="7">
        <v>0.39031449926077882</v>
      </c>
      <c r="AX379" s="7">
        <v>-0.47806161701039257</v>
      </c>
      <c r="AY379" s="7" t="e">
        <v>#N/A</v>
      </c>
      <c r="AZ379" s="7">
        <v>34.45674863175288</v>
      </c>
      <c r="BA379" s="7">
        <v>-0.45674863175288039</v>
      </c>
      <c r="BU379" t="b">
        <v>1</v>
      </c>
      <c r="BW379">
        <v>1</v>
      </c>
      <c r="BX379">
        <v>88</v>
      </c>
      <c r="BY379">
        <v>2640</v>
      </c>
      <c r="BZ379">
        <v>0</v>
      </c>
      <c r="CA379">
        <v>0</v>
      </c>
      <c r="CB379">
        <v>0</v>
      </c>
      <c r="CC379">
        <v>0</v>
      </c>
      <c r="CD379">
        <v>0</v>
      </c>
      <c r="CE379">
        <v>0</v>
      </c>
      <c r="CF379">
        <v>0</v>
      </c>
      <c r="CG379">
        <v>0</v>
      </c>
      <c r="CH379">
        <v>0</v>
      </c>
      <c r="CI379">
        <v>0</v>
      </c>
      <c r="CJ379">
        <v>0</v>
      </c>
      <c r="CK379">
        <v>1</v>
      </c>
      <c r="CL379">
        <v>0</v>
      </c>
      <c r="CM379">
        <v>1</v>
      </c>
    </row>
    <row r="380" spans="40:91" x14ac:dyDescent="0.25">
      <c r="AN380" t="str">
        <v>honda civic</v>
      </c>
      <c r="AO380" s="7">
        <v>38</v>
      </c>
      <c r="AP380" s="7">
        <v>35.923184619846197</v>
      </c>
      <c r="AQ380" s="7">
        <v>2.0768153801538034</v>
      </c>
      <c r="AR380" s="7">
        <v>4.2412049592578729E-2</v>
      </c>
      <c r="AS380" s="7">
        <v>0.69192234930796215</v>
      </c>
      <c r="AT380" s="7">
        <v>1.2473156859063412E-3</v>
      </c>
      <c r="AU380" s="7">
        <v>1.7560396847773088</v>
      </c>
      <c r="AV380" s="7">
        <v>1.828551890381136</v>
      </c>
      <c r="AW380" s="7">
        <v>0.83181869978256806</v>
      </c>
      <c r="AX380" s="7">
        <v>2.1687985727788122</v>
      </c>
      <c r="AY380" s="7" t="e">
        <v>#N/A</v>
      </c>
      <c r="AZ380" s="7">
        <v>35.923184619846197</v>
      </c>
      <c r="BA380" s="7">
        <v>2.0768153801538034</v>
      </c>
      <c r="BU380" t="b">
        <v>1</v>
      </c>
      <c r="BW380">
        <v>1</v>
      </c>
      <c r="BX380">
        <v>88</v>
      </c>
      <c r="BY380">
        <v>2395</v>
      </c>
      <c r="BZ380">
        <v>0</v>
      </c>
      <c r="CA380">
        <v>0</v>
      </c>
      <c r="CB380">
        <v>0</v>
      </c>
      <c r="CC380">
        <v>0</v>
      </c>
      <c r="CD380">
        <v>0</v>
      </c>
      <c r="CE380">
        <v>0</v>
      </c>
      <c r="CF380">
        <v>0</v>
      </c>
      <c r="CG380">
        <v>0</v>
      </c>
      <c r="CH380">
        <v>0</v>
      </c>
      <c r="CI380">
        <v>0</v>
      </c>
      <c r="CJ380">
        <v>0</v>
      </c>
      <c r="CK380">
        <v>1</v>
      </c>
      <c r="CL380">
        <v>0</v>
      </c>
      <c r="CM380">
        <v>1</v>
      </c>
    </row>
    <row r="381" spans="40:91" x14ac:dyDescent="0.25">
      <c r="AN381" t="str">
        <v>honda civic (auto)</v>
      </c>
      <c r="AO381" s="7">
        <v>32</v>
      </c>
      <c r="AP381" s="7">
        <v>35.923184619846197</v>
      </c>
      <c r="AQ381" s="7">
        <v>-3.9231846198461966</v>
      </c>
      <c r="AR381" s="7">
        <v>4.2412049592578729E-2</v>
      </c>
      <c r="AS381" s="7">
        <v>-1.3070680932321548</v>
      </c>
      <c r="AT381" s="7">
        <v>4.4510051121384609E-3</v>
      </c>
      <c r="AU381" s="7">
        <v>1.7560396847773088</v>
      </c>
      <c r="AV381" s="7">
        <v>1.8307638951687928</v>
      </c>
      <c r="AW381" s="7">
        <v>1.1432707873606125</v>
      </c>
      <c r="AX381" s="7">
        <v>-4.0969444301977838</v>
      </c>
      <c r="AY381" s="7" t="e">
        <v>#N/A</v>
      </c>
      <c r="AZ381" s="7">
        <v>35.923184619846197</v>
      </c>
      <c r="BA381" s="7">
        <v>-3.9231846198461966</v>
      </c>
      <c r="BU381" t="b">
        <v>1</v>
      </c>
      <c r="BW381">
        <v>1</v>
      </c>
      <c r="BX381">
        <v>85</v>
      </c>
      <c r="BY381">
        <v>2575</v>
      </c>
      <c r="BZ381">
        <v>0</v>
      </c>
      <c r="CA381">
        <v>0</v>
      </c>
      <c r="CB381">
        <v>0</v>
      </c>
      <c r="CC381">
        <v>0</v>
      </c>
      <c r="CD381">
        <v>0</v>
      </c>
      <c r="CE381">
        <v>0</v>
      </c>
      <c r="CF381">
        <v>0</v>
      </c>
      <c r="CG381">
        <v>0</v>
      </c>
      <c r="CH381">
        <v>0</v>
      </c>
      <c r="CI381">
        <v>0</v>
      </c>
      <c r="CJ381">
        <v>0</v>
      </c>
      <c r="CK381">
        <v>1</v>
      </c>
      <c r="CL381">
        <v>0</v>
      </c>
      <c r="CM381">
        <v>1</v>
      </c>
    </row>
    <row r="382" spans="40:91" x14ac:dyDescent="0.25">
      <c r="AN382" t="str">
        <v>datsun 310 gx</v>
      </c>
      <c r="AO382" s="7">
        <v>38</v>
      </c>
      <c r="AP382" s="7">
        <v>35.77128533139269</v>
      </c>
      <c r="AQ382" s="7">
        <v>2.22871466860731</v>
      </c>
      <c r="AR382" s="7">
        <v>4.2566311963328538E-2</v>
      </c>
      <c r="AS382" s="7">
        <v>0.74258970300151583</v>
      </c>
      <c r="AT382" s="7">
        <v>1.4421360839352274E-3</v>
      </c>
      <c r="AU382" s="7">
        <v>1.7560396847773088</v>
      </c>
      <c r="AV382" s="7">
        <v>1.9378837350397533</v>
      </c>
      <c r="AW382" s="7">
        <v>0.86173644636948932</v>
      </c>
      <c r="AX382" s="7">
        <v>2.327800553140706</v>
      </c>
      <c r="AY382" s="7" t="e">
        <v>#N/A</v>
      </c>
      <c r="AZ382" s="7">
        <v>35.77128533139269</v>
      </c>
      <c r="BA382" s="7">
        <v>2.22871466860731</v>
      </c>
      <c r="BU382" t="b">
        <v>1</v>
      </c>
      <c r="BW382">
        <v>1</v>
      </c>
      <c r="BX382">
        <v>84</v>
      </c>
      <c r="BY382">
        <v>2525</v>
      </c>
      <c r="BZ382">
        <v>0</v>
      </c>
      <c r="CA382">
        <v>0</v>
      </c>
      <c r="CB382">
        <v>0</v>
      </c>
      <c r="CC382">
        <v>0</v>
      </c>
      <c r="CD382">
        <v>0</v>
      </c>
      <c r="CE382">
        <v>0</v>
      </c>
      <c r="CF382">
        <v>0</v>
      </c>
      <c r="CG382">
        <v>0</v>
      </c>
      <c r="CH382">
        <v>0</v>
      </c>
      <c r="CI382">
        <v>0</v>
      </c>
      <c r="CJ382">
        <v>0</v>
      </c>
      <c r="CK382">
        <v>1</v>
      </c>
      <c r="CL382">
        <v>0</v>
      </c>
      <c r="CM382">
        <v>1</v>
      </c>
    </row>
    <row r="383" spans="40:91" x14ac:dyDescent="0.25">
      <c r="AN383" t="str">
        <v>buick century limited</v>
      </c>
      <c r="AO383" s="7">
        <v>25</v>
      </c>
      <c r="AP383" s="7">
        <v>28.203033011930529</v>
      </c>
      <c r="AQ383" s="7">
        <v>-3.203033011930529</v>
      </c>
      <c r="AR383" s="7">
        <v>3.6684093867170968E-2</v>
      </c>
      <c r="AS383" s="7">
        <v>-1.0639613519924889</v>
      </c>
      <c r="AT383" s="7">
        <v>2.5357816141103589E-3</v>
      </c>
      <c r="AU383" s="7">
        <v>1.8906321205380332</v>
      </c>
      <c r="AV383" s="7">
        <v>1.9447162353916565</v>
      </c>
      <c r="AW383" s="7">
        <v>1.0314850226699799</v>
      </c>
      <c r="AX383" s="7">
        <v>-3.3250079143703783</v>
      </c>
      <c r="AY383" s="7" t="e">
        <v>#N/A</v>
      </c>
      <c r="AZ383" s="7">
        <v>28.203033011930529</v>
      </c>
      <c r="BA383" s="7">
        <v>-3.203033011930529</v>
      </c>
      <c r="BU383" t="b">
        <v>1</v>
      </c>
      <c r="BW383">
        <v>1</v>
      </c>
      <c r="BX383">
        <v>90</v>
      </c>
      <c r="BY383">
        <v>2735</v>
      </c>
      <c r="BZ383">
        <v>0</v>
      </c>
      <c r="CA383">
        <v>0</v>
      </c>
      <c r="CB383">
        <v>0</v>
      </c>
      <c r="CC383">
        <v>0</v>
      </c>
      <c r="CD383">
        <v>0</v>
      </c>
      <c r="CE383">
        <v>0</v>
      </c>
      <c r="CF383">
        <v>0</v>
      </c>
      <c r="CG383">
        <v>0</v>
      </c>
      <c r="CH383">
        <v>0</v>
      </c>
      <c r="CI383">
        <v>0</v>
      </c>
      <c r="CJ383">
        <v>0</v>
      </c>
      <c r="CK383">
        <v>1</v>
      </c>
      <c r="CL383">
        <v>0</v>
      </c>
      <c r="CM383">
        <v>1</v>
      </c>
    </row>
    <row r="384" spans="40:91" x14ac:dyDescent="0.25">
      <c r="AN384" t="str">
        <v>oldsmobile cutlass ciera (diesel)</v>
      </c>
      <c r="AO384" s="7">
        <v>38</v>
      </c>
      <c r="AP384" s="7">
        <v>28.254512137710886</v>
      </c>
      <c r="AQ384" s="7">
        <v>9.7454878622891137</v>
      </c>
      <c r="AR384" s="7">
        <v>3.8019752769928257E-2</v>
      </c>
      <c r="AS384" s="7">
        <v>3.2394353065249715</v>
      </c>
      <c r="AT384" s="7">
        <v>2.4396798261845615E-2</v>
      </c>
      <c r="AU384" s="7">
        <v>1.9302858560575813</v>
      </c>
      <c r="AV384" s="7">
        <v>2.0304757137129981</v>
      </c>
      <c r="AW384" s="7">
        <v>1.7998431338661076</v>
      </c>
      <c r="AX384" s="7">
        <v>10.130652776239737</v>
      </c>
      <c r="AY384" s="7">
        <v>2.4396798261845615E-2</v>
      </c>
      <c r="AZ384" s="7">
        <v>28.254512137710886</v>
      </c>
      <c r="BA384" s="7">
        <v>9.7454878622891137</v>
      </c>
      <c r="BU384" t="b">
        <v>1</v>
      </c>
      <c r="BW384">
        <v>1</v>
      </c>
      <c r="BX384">
        <v>92</v>
      </c>
      <c r="BY384">
        <v>2865</v>
      </c>
      <c r="BZ384">
        <v>0</v>
      </c>
      <c r="CA384">
        <v>0</v>
      </c>
      <c r="CB384">
        <v>0</v>
      </c>
      <c r="CC384">
        <v>0</v>
      </c>
      <c r="CD384">
        <v>0</v>
      </c>
      <c r="CE384">
        <v>0</v>
      </c>
      <c r="CF384">
        <v>0</v>
      </c>
      <c r="CG384">
        <v>0</v>
      </c>
      <c r="CH384">
        <v>0</v>
      </c>
      <c r="CI384">
        <v>0</v>
      </c>
      <c r="CJ384">
        <v>0</v>
      </c>
      <c r="CK384">
        <v>1</v>
      </c>
      <c r="CL384">
        <v>0</v>
      </c>
      <c r="CM384">
        <v>1</v>
      </c>
    </row>
    <row r="385" spans="40:91" x14ac:dyDescent="0.25">
      <c r="AN385" t="str">
        <v>chrysler lebaron medallion</v>
      </c>
      <c r="AO385" s="7">
        <v>26</v>
      </c>
      <c r="AP385" s="7">
        <v>30.318080248536294</v>
      </c>
      <c r="AQ385" s="7">
        <v>-4.3180802485362939</v>
      </c>
      <c r="AR385" s="7">
        <v>3.6117187184438668E-2</v>
      </c>
      <c r="AS385" s="7">
        <v>-1.4339281629923653</v>
      </c>
      <c r="AT385" s="7">
        <v>4.5320589621589595E-3</v>
      </c>
      <c r="AU385" s="7">
        <v>1.9732297912673347</v>
      </c>
      <c r="AV385" s="7">
        <v>2.1111674999819692</v>
      </c>
      <c r="AW385" s="7">
        <v>1.1974673953775798</v>
      </c>
      <c r="AX385" s="7">
        <v>-4.4798809472729513</v>
      </c>
      <c r="AY385" s="7" t="e">
        <v>#N/A</v>
      </c>
      <c r="AZ385" s="7">
        <v>30.318080248536294</v>
      </c>
      <c r="BA385" s="7">
        <v>-4.3180802485362939</v>
      </c>
      <c r="BU385" t="b">
        <v>0</v>
      </c>
      <c r="BW385">
        <v>1</v>
      </c>
      <c r="BX385">
        <v>0</v>
      </c>
      <c r="BY385">
        <v>3035</v>
      </c>
      <c r="BZ385">
        <v>0</v>
      </c>
      <c r="CA385">
        <v>0</v>
      </c>
      <c r="CB385">
        <v>0</v>
      </c>
      <c r="CC385">
        <v>0</v>
      </c>
      <c r="CD385">
        <v>0</v>
      </c>
      <c r="CE385">
        <v>0</v>
      </c>
      <c r="CF385">
        <v>0</v>
      </c>
      <c r="CG385">
        <v>0</v>
      </c>
      <c r="CH385">
        <v>0</v>
      </c>
      <c r="CI385">
        <v>0</v>
      </c>
      <c r="CJ385">
        <v>0</v>
      </c>
      <c r="CK385">
        <v>1</v>
      </c>
      <c r="CL385">
        <v>0</v>
      </c>
      <c r="CM385">
        <v>1</v>
      </c>
    </row>
    <row r="386" spans="40:91" x14ac:dyDescent="0.25">
      <c r="AN386" t="str">
        <v>ford granada l</v>
      </c>
      <c r="AO386" s="7">
        <v>22</v>
      </c>
      <c r="AP386" s="7">
        <v>28.727524205686294</v>
      </c>
      <c r="AQ386" s="7">
        <v>-6.7275242056862936</v>
      </c>
      <c r="AR386" s="7">
        <v>3.8320594343835251E-2</v>
      </c>
      <c r="AS386" s="7">
        <v>-2.2366030601609697</v>
      </c>
      <c r="AT386" s="7">
        <v>1.172548535804269E-2</v>
      </c>
      <c r="AU386" s="7">
        <v>2.0201546663717482</v>
      </c>
      <c r="AV386" s="7">
        <v>2.2990445774735178</v>
      </c>
      <c r="AW386" s="7">
        <v>1.4955276861900517</v>
      </c>
      <c r="AX386" s="7">
        <v>-6.9955997457344195</v>
      </c>
      <c r="AY386" s="7">
        <v>1.172548535804269E-2</v>
      </c>
      <c r="AZ386" s="7">
        <v>28.727524205686294</v>
      </c>
      <c r="BA386" s="7">
        <v>-6.7275242056862936</v>
      </c>
      <c r="BU386" t="b">
        <v>1</v>
      </c>
      <c r="BW386">
        <v>1</v>
      </c>
      <c r="BX386">
        <v>74</v>
      </c>
      <c r="BY386">
        <v>1980</v>
      </c>
      <c r="BZ386">
        <v>0</v>
      </c>
      <c r="CA386">
        <v>0</v>
      </c>
      <c r="CB386">
        <v>0</v>
      </c>
      <c r="CC386">
        <v>0</v>
      </c>
      <c r="CD386">
        <v>0</v>
      </c>
      <c r="CE386">
        <v>0</v>
      </c>
      <c r="CF386">
        <v>0</v>
      </c>
      <c r="CG386">
        <v>0</v>
      </c>
      <c r="CH386">
        <v>0</v>
      </c>
      <c r="CI386">
        <v>0</v>
      </c>
      <c r="CJ386">
        <v>0</v>
      </c>
      <c r="CK386">
        <v>1</v>
      </c>
      <c r="CL386">
        <v>1</v>
      </c>
      <c r="CM386">
        <v>0</v>
      </c>
    </row>
    <row r="387" spans="40:91" x14ac:dyDescent="0.25">
      <c r="AN387" t="str">
        <v>toyota celica gt</v>
      </c>
      <c r="AO387" s="7">
        <v>32</v>
      </c>
      <c r="AP387" s="7">
        <v>31.908011362611784</v>
      </c>
      <c r="AQ387" s="7">
        <v>9.1988637388215722E-2</v>
      </c>
      <c r="AR387" s="7">
        <v>4.7178806629519218E-2</v>
      </c>
      <c r="AS387" s="7">
        <v>3.0723966658166412E-2</v>
      </c>
      <c r="AT387" s="7">
        <v>2.7494206600971211E-6</v>
      </c>
      <c r="AU387" s="7">
        <v>2.0720014483779305</v>
      </c>
      <c r="AV387" s="7">
        <v>2.3790723412149783</v>
      </c>
      <c r="AW387" s="7">
        <v>0.17528253380803921</v>
      </c>
      <c r="AX387" s="7">
        <v>9.6543441758277754E-2</v>
      </c>
      <c r="AY387" s="7" t="e">
        <v>#N/A</v>
      </c>
      <c r="AZ387" s="7">
        <v>31.908011362611784</v>
      </c>
      <c r="BA387" s="7">
        <v>9.1988637388215722E-2</v>
      </c>
      <c r="BU387" t="b">
        <v>1</v>
      </c>
      <c r="BW387">
        <v>1</v>
      </c>
      <c r="BX387">
        <v>68</v>
      </c>
      <c r="BY387">
        <v>2025</v>
      </c>
      <c r="BZ387">
        <v>0</v>
      </c>
      <c r="CA387">
        <v>0</v>
      </c>
      <c r="CB387">
        <v>0</v>
      </c>
      <c r="CC387">
        <v>0</v>
      </c>
      <c r="CD387">
        <v>0</v>
      </c>
      <c r="CE387">
        <v>0</v>
      </c>
      <c r="CF387">
        <v>0</v>
      </c>
      <c r="CG387">
        <v>0</v>
      </c>
      <c r="CH387">
        <v>0</v>
      </c>
      <c r="CI387">
        <v>0</v>
      </c>
      <c r="CJ387">
        <v>0</v>
      </c>
      <c r="CK387">
        <v>1</v>
      </c>
      <c r="CL387">
        <v>0</v>
      </c>
      <c r="CM387">
        <v>0</v>
      </c>
    </row>
    <row r="388" spans="40:91" x14ac:dyDescent="0.25">
      <c r="AN388" t="str">
        <v>dodge charger 2.2</v>
      </c>
      <c r="AO388" s="7">
        <v>36</v>
      </c>
      <c r="AP388" s="7">
        <v>31.536583271414731</v>
      </c>
      <c r="AQ388" s="7">
        <v>4.4634167285852691</v>
      </c>
      <c r="AR388" s="7">
        <v>3.7050510776076906E-2</v>
      </c>
      <c r="AS388" s="7">
        <v>1.4829089516943263</v>
      </c>
      <c r="AT388" s="7">
        <v>4.9770355711066059E-3</v>
      </c>
      <c r="AU388" s="7">
        <v>2.1301011271220536</v>
      </c>
      <c r="AV388" s="7">
        <v>2.6212478115325357</v>
      </c>
      <c r="AW388" s="7">
        <v>1.2177474909415031</v>
      </c>
      <c r="AX388" s="7">
        <v>4.6351514576143584</v>
      </c>
      <c r="AY388" s="7" t="e">
        <v>#N/A</v>
      </c>
      <c r="AZ388" s="7">
        <v>31.536583271414731</v>
      </c>
      <c r="BA388" s="7">
        <v>4.4634167285852691</v>
      </c>
      <c r="BU388" t="b">
        <v>1</v>
      </c>
      <c r="BW388">
        <v>1</v>
      </c>
      <c r="BX388">
        <v>68</v>
      </c>
      <c r="BY388">
        <v>1970</v>
      </c>
      <c r="BZ388">
        <v>0</v>
      </c>
      <c r="CA388">
        <v>0</v>
      </c>
      <c r="CB388">
        <v>0</v>
      </c>
      <c r="CC388">
        <v>0</v>
      </c>
      <c r="CD388">
        <v>0</v>
      </c>
      <c r="CE388">
        <v>0</v>
      </c>
      <c r="CF388">
        <v>0</v>
      </c>
      <c r="CG388">
        <v>0</v>
      </c>
      <c r="CH388">
        <v>0</v>
      </c>
      <c r="CI388">
        <v>0</v>
      </c>
      <c r="CJ388">
        <v>0</v>
      </c>
      <c r="CK388">
        <v>1</v>
      </c>
      <c r="CL388">
        <v>0</v>
      </c>
      <c r="CM388">
        <v>0</v>
      </c>
    </row>
    <row r="389" spans="40:91" x14ac:dyDescent="0.25">
      <c r="AN389" t="str">
        <v>chevrolet camaro</v>
      </c>
      <c r="AO389" s="7">
        <v>27</v>
      </c>
      <c r="AP389" s="7">
        <v>28.502445102925769</v>
      </c>
      <c r="AQ389" s="7">
        <v>-1.502445102925769</v>
      </c>
      <c r="AR389" s="7">
        <v>3.611000998796679E-2</v>
      </c>
      <c r="AS389" s="7">
        <v>-0.49892317917099871</v>
      </c>
      <c r="AT389" s="7">
        <v>5.4855298049971799E-4</v>
      </c>
      <c r="AU389" s="7">
        <v>2.1964293827614645</v>
      </c>
      <c r="AV389" s="7">
        <v>2.7473960479992132</v>
      </c>
      <c r="AW389" s="7">
        <v>0.70634494347379506</v>
      </c>
      <c r="AX389" s="7">
        <v>-1.5587308909671449</v>
      </c>
      <c r="AY389" s="7" t="e">
        <v>#N/A</v>
      </c>
      <c r="AZ389" s="7">
        <v>28.502445102925769</v>
      </c>
      <c r="BA389" s="7">
        <v>-1.502445102925769</v>
      </c>
      <c r="BU389" t="b">
        <v>1</v>
      </c>
      <c r="BW389">
        <v>1</v>
      </c>
      <c r="BX389">
        <v>63</v>
      </c>
      <c r="BY389">
        <v>2125</v>
      </c>
      <c r="BZ389">
        <v>0</v>
      </c>
      <c r="CA389">
        <v>0</v>
      </c>
      <c r="CB389">
        <v>0</v>
      </c>
      <c r="CC389">
        <v>0</v>
      </c>
      <c r="CD389">
        <v>0</v>
      </c>
      <c r="CE389">
        <v>0</v>
      </c>
      <c r="CF389">
        <v>0</v>
      </c>
      <c r="CG389">
        <v>0</v>
      </c>
      <c r="CH389">
        <v>0</v>
      </c>
      <c r="CI389">
        <v>0</v>
      </c>
      <c r="CJ389">
        <v>0</v>
      </c>
      <c r="CK389">
        <v>1</v>
      </c>
      <c r="CL389">
        <v>0</v>
      </c>
      <c r="CM389">
        <v>1</v>
      </c>
    </row>
    <row r="390" spans="40:91" x14ac:dyDescent="0.25">
      <c r="AN390" t="str">
        <v>ford mustang gl</v>
      </c>
      <c r="AO390" s="7">
        <v>27</v>
      </c>
      <c r="AP390" s="7">
        <v>29.37752036915861</v>
      </c>
      <c r="AQ390" s="7">
        <v>-2.37752036915861</v>
      </c>
      <c r="AR390" s="7">
        <v>3.5685808262497551E-2</v>
      </c>
      <c r="AS390" s="7">
        <v>-0.78933938116930624</v>
      </c>
      <c r="AT390" s="7">
        <v>1.3562994941526427E-3</v>
      </c>
      <c r="AU390" s="7">
        <v>2.2741131596554611</v>
      </c>
      <c r="AV390" s="7">
        <v>2.9429591190884814</v>
      </c>
      <c r="AW390" s="7">
        <v>0.88844773688118894</v>
      </c>
      <c r="AX390" s="7">
        <v>-2.4655038674426133</v>
      </c>
      <c r="AY390" s="7" t="e">
        <v>#N/A</v>
      </c>
      <c r="AZ390" s="7">
        <v>29.37752036915861</v>
      </c>
      <c r="BA390" s="7">
        <v>-2.37752036915861</v>
      </c>
      <c r="BU390" t="b">
        <v>1</v>
      </c>
      <c r="BW390">
        <v>1</v>
      </c>
      <c r="BX390">
        <v>70</v>
      </c>
      <c r="BY390">
        <v>2125</v>
      </c>
      <c r="BZ390">
        <v>0</v>
      </c>
      <c r="CA390">
        <v>0</v>
      </c>
      <c r="CB390">
        <v>0</v>
      </c>
      <c r="CC390">
        <v>0</v>
      </c>
      <c r="CD390">
        <v>0</v>
      </c>
      <c r="CE390">
        <v>0</v>
      </c>
      <c r="CF390">
        <v>0</v>
      </c>
      <c r="CG390">
        <v>0</v>
      </c>
      <c r="CH390">
        <v>0</v>
      </c>
      <c r="CI390">
        <v>0</v>
      </c>
      <c r="CJ390">
        <v>0</v>
      </c>
      <c r="CK390">
        <v>1</v>
      </c>
      <c r="CL390">
        <v>0</v>
      </c>
      <c r="CM390">
        <v>1</v>
      </c>
    </row>
    <row r="391" spans="40:91" x14ac:dyDescent="0.25">
      <c r="AN391" t="str">
        <v>vw pickup</v>
      </c>
      <c r="AO391" s="7">
        <v>44</v>
      </c>
      <c r="AP391" s="7">
        <v>35.209308170705192</v>
      </c>
      <c r="AQ391" s="7">
        <v>8.7906918292948077</v>
      </c>
      <c r="AR391" s="7">
        <v>5.1635563700410413E-2</v>
      </c>
      <c r="AS391" s="7">
        <v>2.9429591190884814</v>
      </c>
      <c r="AT391" s="7">
        <v>2.7739153271080976E-2</v>
      </c>
      <c r="AU391" s="7">
        <v>2.3685670592678738</v>
      </c>
      <c r="AV391" s="7">
        <v>3.1819916573400064</v>
      </c>
      <c r="AW391" s="7">
        <v>1.7155054995797832</v>
      </c>
      <c r="AX391" s="7">
        <v>9.2693183050970251</v>
      </c>
      <c r="AY391" s="7">
        <v>2.7739153271080976E-2</v>
      </c>
      <c r="AZ391" s="7">
        <v>35.209308170705192</v>
      </c>
      <c r="BA391" s="7">
        <v>8.7906918292948077</v>
      </c>
      <c r="BU391" t="b">
        <v>1</v>
      </c>
      <c r="BW391">
        <v>1</v>
      </c>
      <c r="BX391">
        <v>88</v>
      </c>
      <c r="BY391">
        <v>2160</v>
      </c>
      <c r="BZ391">
        <v>0</v>
      </c>
      <c r="CA391">
        <v>0</v>
      </c>
      <c r="CB391">
        <v>0</v>
      </c>
      <c r="CC391">
        <v>0</v>
      </c>
      <c r="CD391">
        <v>0</v>
      </c>
      <c r="CE391">
        <v>0</v>
      </c>
      <c r="CF391">
        <v>0</v>
      </c>
      <c r="CG391">
        <v>0</v>
      </c>
      <c r="CH391">
        <v>0</v>
      </c>
      <c r="CI391">
        <v>0</v>
      </c>
      <c r="CJ391">
        <v>0</v>
      </c>
      <c r="CK391">
        <v>1</v>
      </c>
      <c r="CL391">
        <v>0</v>
      </c>
      <c r="CM391">
        <v>0</v>
      </c>
    </row>
    <row r="392" spans="40:91" x14ac:dyDescent="0.25">
      <c r="AN392" t="str">
        <v>dodge rampage</v>
      </c>
      <c r="AO392" s="7">
        <v>32</v>
      </c>
      <c r="AP392" s="7">
        <v>31.916331492548483</v>
      </c>
      <c r="AQ392" s="7">
        <v>8.366850745151666E-2</v>
      </c>
      <c r="AR392" s="7">
        <v>3.7995518466340882E-2</v>
      </c>
      <c r="AS392" s="7">
        <v>2.781136326469728E-2</v>
      </c>
      <c r="AT392" s="7">
        <v>1.7970117380834397E-6</v>
      </c>
      <c r="AU392" s="7">
        <v>2.4905347542813567</v>
      </c>
      <c r="AV392" s="7">
        <v>3.2394353065249715</v>
      </c>
      <c r="AW392" s="7">
        <v>0.16676739269022969</v>
      </c>
      <c r="AX392" s="7">
        <v>8.6973095300065112E-2</v>
      </c>
      <c r="AY392" s="7" t="e">
        <v>#N/A</v>
      </c>
      <c r="AZ392" s="7">
        <v>31.916331492548483</v>
      </c>
      <c r="BA392" s="7">
        <v>8.366850745151666E-2</v>
      </c>
      <c r="BU392" t="b">
        <v>1</v>
      </c>
      <c r="BW392">
        <v>1</v>
      </c>
      <c r="BX392">
        <v>75</v>
      </c>
      <c r="BY392">
        <v>2205</v>
      </c>
      <c r="BZ392">
        <v>0</v>
      </c>
      <c r="CA392">
        <v>0</v>
      </c>
      <c r="CB392">
        <v>0</v>
      </c>
      <c r="CC392">
        <v>0</v>
      </c>
      <c r="CD392">
        <v>0</v>
      </c>
      <c r="CE392">
        <v>0</v>
      </c>
      <c r="CF392">
        <v>0</v>
      </c>
      <c r="CG392">
        <v>0</v>
      </c>
      <c r="CH392">
        <v>0</v>
      </c>
      <c r="CI392">
        <v>0</v>
      </c>
      <c r="CJ392">
        <v>0</v>
      </c>
      <c r="CK392">
        <v>1</v>
      </c>
      <c r="CL392">
        <v>0</v>
      </c>
      <c r="CM392">
        <v>0</v>
      </c>
    </row>
    <row r="393" spans="40:91" x14ac:dyDescent="0.25">
      <c r="AN393" t="str">
        <v>ford ranger</v>
      </c>
      <c r="AO393" s="7">
        <v>28</v>
      </c>
      <c r="AP393" s="7">
        <v>30.32662147932766</v>
      </c>
      <c r="AQ393" s="7">
        <v>-2.3266214793276596</v>
      </c>
      <c r="AR393" s="7">
        <v>3.599303784431826E-2</v>
      </c>
      <c r="AS393" s="7">
        <v>-0.77256397256164433</v>
      </c>
      <c r="AT393" s="7">
        <v>1.3108660454863997E-3</v>
      </c>
      <c r="AU393" s="7">
        <v>2.6670046532742755</v>
      </c>
      <c r="AV393" s="7">
        <v>3.4720773077781151</v>
      </c>
      <c r="AW393" s="7">
        <v>0.87895618352773663</v>
      </c>
      <c r="AX393" s="7">
        <v>-2.413490328041763</v>
      </c>
      <c r="AY393" s="7" t="e">
        <v>#N/A</v>
      </c>
      <c r="AZ393" s="7">
        <v>30.32662147932766</v>
      </c>
      <c r="BA393" s="7">
        <v>-2.3266214793276596</v>
      </c>
      <c r="BU393" t="b">
        <v>1</v>
      </c>
      <c r="BW393">
        <v>1</v>
      </c>
      <c r="BX393">
        <v>70</v>
      </c>
      <c r="BY393">
        <v>2245</v>
      </c>
      <c r="BZ393">
        <v>0</v>
      </c>
      <c r="CA393">
        <v>0</v>
      </c>
      <c r="CB393">
        <v>0</v>
      </c>
      <c r="CC393">
        <v>0</v>
      </c>
      <c r="CD393">
        <v>0</v>
      </c>
      <c r="CE393">
        <v>0</v>
      </c>
      <c r="CF393">
        <v>0</v>
      </c>
      <c r="CG393">
        <v>0</v>
      </c>
      <c r="CH393">
        <v>0</v>
      </c>
      <c r="CI393">
        <v>0</v>
      </c>
      <c r="CJ393">
        <v>0</v>
      </c>
      <c r="CK393">
        <v>1</v>
      </c>
      <c r="CL393">
        <v>0</v>
      </c>
      <c r="CM393">
        <v>0</v>
      </c>
    </row>
    <row r="394" spans="40:91" x14ac:dyDescent="0.25">
      <c r="AN394" t="str">
        <v>chevy s-10</v>
      </c>
      <c r="AO394" s="7">
        <v>31</v>
      </c>
      <c r="AP394" s="7">
        <v>29.796897770030952</v>
      </c>
      <c r="AQ394" s="7">
        <v>1.2031022299690477</v>
      </c>
      <c r="AR394" s="7">
        <v>3.5917225983654891E-2</v>
      </c>
      <c r="AS394" s="7">
        <v>0.39947920216775201</v>
      </c>
      <c r="AT394" s="7">
        <v>3.4972597563338989E-4</v>
      </c>
      <c r="AU394" s="7">
        <v>3.0172230343004469</v>
      </c>
      <c r="AV394" s="7">
        <v>4.2007262122566909</v>
      </c>
      <c r="AW394" s="7">
        <v>0.63204367109223714</v>
      </c>
      <c r="AX394" s="7">
        <v>1.2479242056747404</v>
      </c>
      <c r="AY394" s="7" t="e">
        <v>#N/A</v>
      </c>
      <c r="AZ394" s="7">
        <v>29.796897770030952</v>
      </c>
      <c r="BA394" s="7">
        <v>1.2031022299690477</v>
      </c>
      <c r="BU394" t="b">
        <v>1</v>
      </c>
      <c r="BW394">
        <v>1</v>
      </c>
      <c r="BX394">
        <v>67</v>
      </c>
      <c r="BY394">
        <v>1965</v>
      </c>
      <c r="BZ394">
        <v>0</v>
      </c>
      <c r="CA394">
        <v>0</v>
      </c>
      <c r="CB394">
        <v>0</v>
      </c>
      <c r="CC394">
        <v>0</v>
      </c>
      <c r="CD394">
        <v>0</v>
      </c>
      <c r="CE394">
        <v>0</v>
      </c>
      <c r="CF394">
        <v>0</v>
      </c>
      <c r="CG394">
        <v>0</v>
      </c>
      <c r="CH394">
        <v>0</v>
      </c>
      <c r="CI394">
        <v>0</v>
      </c>
      <c r="CJ394">
        <v>0</v>
      </c>
      <c r="CK394">
        <v>1</v>
      </c>
      <c r="CL394">
        <v>0</v>
      </c>
      <c r="CM394">
        <v>0</v>
      </c>
    </row>
    <row r="395" spans="40:91" x14ac:dyDescent="0.25">
      <c r="BU395" t="b">
        <v>1</v>
      </c>
      <c r="BW395">
        <v>1</v>
      </c>
      <c r="BX395">
        <v>67</v>
      </c>
      <c r="BY395">
        <v>1965</v>
      </c>
      <c r="BZ395">
        <v>0</v>
      </c>
      <c r="CA395">
        <v>0</v>
      </c>
      <c r="CB395">
        <v>0</v>
      </c>
      <c r="CC395">
        <v>0</v>
      </c>
      <c r="CD395">
        <v>0</v>
      </c>
      <c r="CE395">
        <v>0</v>
      </c>
      <c r="CF395">
        <v>0</v>
      </c>
      <c r="CG395">
        <v>0</v>
      </c>
      <c r="CH395">
        <v>0</v>
      </c>
      <c r="CI395">
        <v>0</v>
      </c>
      <c r="CJ395">
        <v>0</v>
      </c>
      <c r="CK395">
        <v>1</v>
      </c>
      <c r="CL395">
        <v>0</v>
      </c>
      <c r="CM395">
        <v>0</v>
      </c>
    </row>
    <row r="396" spans="40:91" x14ac:dyDescent="0.25">
      <c r="BU396" t="b">
        <v>1</v>
      </c>
      <c r="BW396">
        <v>1</v>
      </c>
      <c r="BX396">
        <v>67</v>
      </c>
      <c r="BY396">
        <v>1995</v>
      </c>
      <c r="BZ396">
        <v>0</v>
      </c>
      <c r="CA396">
        <v>0</v>
      </c>
      <c r="CB396">
        <v>0</v>
      </c>
      <c r="CC396">
        <v>0</v>
      </c>
      <c r="CD396">
        <v>0</v>
      </c>
      <c r="CE396">
        <v>0</v>
      </c>
      <c r="CF396">
        <v>0</v>
      </c>
      <c r="CG396">
        <v>0</v>
      </c>
      <c r="CH396">
        <v>0</v>
      </c>
      <c r="CI396">
        <v>0</v>
      </c>
      <c r="CJ396">
        <v>0</v>
      </c>
      <c r="CK396">
        <v>1</v>
      </c>
      <c r="CL396">
        <v>0</v>
      </c>
      <c r="CM396">
        <v>0</v>
      </c>
    </row>
    <row r="397" spans="40:91" x14ac:dyDescent="0.25">
      <c r="BU397" t="b">
        <v>1</v>
      </c>
      <c r="BW397">
        <v>1</v>
      </c>
      <c r="BX397">
        <v>110</v>
      </c>
      <c r="BY397">
        <v>2945</v>
      </c>
      <c r="BZ397">
        <v>0</v>
      </c>
      <c r="CA397">
        <v>0</v>
      </c>
      <c r="CB397">
        <v>0</v>
      </c>
      <c r="CC397">
        <v>0</v>
      </c>
      <c r="CD397">
        <v>0</v>
      </c>
      <c r="CE397">
        <v>0</v>
      </c>
      <c r="CF397">
        <v>0</v>
      </c>
      <c r="CG397">
        <v>0</v>
      </c>
      <c r="CH397">
        <v>0</v>
      </c>
      <c r="CI397">
        <v>0</v>
      </c>
      <c r="CJ397">
        <v>0</v>
      </c>
      <c r="CK397">
        <v>1</v>
      </c>
      <c r="CL397">
        <v>0</v>
      </c>
      <c r="CM397">
        <v>1</v>
      </c>
    </row>
    <row r="398" spans="40:91" x14ac:dyDescent="0.25">
      <c r="BU398" t="b">
        <v>1</v>
      </c>
      <c r="BW398">
        <v>1</v>
      </c>
      <c r="BX398">
        <v>85</v>
      </c>
      <c r="BY398">
        <v>3015</v>
      </c>
      <c r="BZ398">
        <v>0</v>
      </c>
      <c r="CA398">
        <v>0</v>
      </c>
      <c r="CB398">
        <v>0</v>
      </c>
      <c r="CC398">
        <v>0</v>
      </c>
      <c r="CD398">
        <v>0</v>
      </c>
      <c r="CE398">
        <v>0</v>
      </c>
      <c r="CF398">
        <v>0</v>
      </c>
      <c r="CG398">
        <v>0</v>
      </c>
      <c r="CH398">
        <v>0</v>
      </c>
      <c r="CI398">
        <v>0</v>
      </c>
      <c r="CJ398">
        <v>0</v>
      </c>
      <c r="CK398">
        <v>1</v>
      </c>
      <c r="CL398">
        <v>0</v>
      </c>
      <c r="CM398">
        <v>1</v>
      </c>
    </row>
    <row r="399" spans="40:91" x14ac:dyDescent="0.25">
      <c r="BU399" t="b">
        <v>1</v>
      </c>
      <c r="BW399">
        <v>1</v>
      </c>
      <c r="BX399">
        <v>92</v>
      </c>
      <c r="BY399">
        <v>2585</v>
      </c>
      <c r="BZ399">
        <v>0</v>
      </c>
      <c r="CA399">
        <v>0</v>
      </c>
      <c r="CB399">
        <v>0</v>
      </c>
      <c r="CC399">
        <v>0</v>
      </c>
      <c r="CD399">
        <v>0</v>
      </c>
      <c r="CE399">
        <v>0</v>
      </c>
      <c r="CF399">
        <v>0</v>
      </c>
      <c r="CG399">
        <v>0</v>
      </c>
      <c r="CH399">
        <v>0</v>
      </c>
      <c r="CI399">
        <v>0</v>
      </c>
      <c r="CJ399">
        <v>0</v>
      </c>
      <c r="CK399">
        <v>1</v>
      </c>
      <c r="CL399">
        <v>0</v>
      </c>
      <c r="CM399">
        <v>1</v>
      </c>
    </row>
    <row r="400" spans="40:91" x14ac:dyDescent="0.25">
      <c r="BU400" t="b">
        <v>1</v>
      </c>
      <c r="BW400">
        <v>1</v>
      </c>
      <c r="BX400">
        <v>112</v>
      </c>
      <c r="BY400">
        <v>2835</v>
      </c>
      <c r="BZ400">
        <v>0</v>
      </c>
      <c r="CA400">
        <v>0</v>
      </c>
      <c r="CB400">
        <v>0</v>
      </c>
      <c r="CC400">
        <v>0</v>
      </c>
      <c r="CD400">
        <v>0</v>
      </c>
      <c r="CE400">
        <v>0</v>
      </c>
      <c r="CF400">
        <v>0</v>
      </c>
      <c r="CG400">
        <v>0</v>
      </c>
      <c r="CH400">
        <v>0</v>
      </c>
      <c r="CI400">
        <v>0</v>
      </c>
      <c r="CJ400">
        <v>0</v>
      </c>
      <c r="CK400">
        <v>1</v>
      </c>
      <c r="CL400">
        <v>0</v>
      </c>
      <c r="CM400">
        <v>1</v>
      </c>
    </row>
    <row r="401" spans="73:91" x14ac:dyDescent="0.25">
      <c r="BU401" t="b">
        <v>1</v>
      </c>
      <c r="BW401">
        <v>1</v>
      </c>
      <c r="BX401">
        <v>96</v>
      </c>
      <c r="BY401">
        <v>2665</v>
      </c>
      <c r="BZ401">
        <v>0</v>
      </c>
      <c r="CA401">
        <v>0</v>
      </c>
      <c r="CB401">
        <v>0</v>
      </c>
      <c r="CC401">
        <v>0</v>
      </c>
      <c r="CD401">
        <v>0</v>
      </c>
      <c r="CE401">
        <v>0</v>
      </c>
      <c r="CF401">
        <v>0</v>
      </c>
      <c r="CG401">
        <v>0</v>
      </c>
      <c r="CH401">
        <v>0</v>
      </c>
      <c r="CI401">
        <v>0</v>
      </c>
      <c r="CJ401">
        <v>0</v>
      </c>
      <c r="CK401">
        <v>1</v>
      </c>
      <c r="CL401">
        <v>0</v>
      </c>
      <c r="CM401">
        <v>0</v>
      </c>
    </row>
    <row r="402" spans="73:91" x14ac:dyDescent="0.25">
      <c r="BU402" t="b">
        <v>1</v>
      </c>
      <c r="BW402">
        <v>1</v>
      </c>
      <c r="BX402">
        <v>84</v>
      </c>
      <c r="BY402">
        <v>2370</v>
      </c>
      <c r="BZ402">
        <v>0</v>
      </c>
      <c r="CA402">
        <v>0</v>
      </c>
      <c r="CB402">
        <v>0</v>
      </c>
      <c r="CC402">
        <v>0</v>
      </c>
      <c r="CD402">
        <v>0</v>
      </c>
      <c r="CE402">
        <v>0</v>
      </c>
      <c r="CF402">
        <v>0</v>
      </c>
      <c r="CG402">
        <v>0</v>
      </c>
      <c r="CH402">
        <v>0</v>
      </c>
      <c r="CI402">
        <v>0</v>
      </c>
      <c r="CJ402">
        <v>0</v>
      </c>
      <c r="CK402">
        <v>1</v>
      </c>
      <c r="CL402">
        <v>0</v>
      </c>
      <c r="CM402">
        <v>1</v>
      </c>
    </row>
    <row r="403" spans="73:91" x14ac:dyDescent="0.25">
      <c r="BU403" t="b">
        <v>1</v>
      </c>
      <c r="BW403">
        <v>1</v>
      </c>
      <c r="BX403">
        <v>90</v>
      </c>
      <c r="BY403">
        <v>2950</v>
      </c>
      <c r="BZ403">
        <v>0</v>
      </c>
      <c r="CA403">
        <v>0</v>
      </c>
      <c r="CB403">
        <v>0</v>
      </c>
      <c r="CC403">
        <v>0</v>
      </c>
      <c r="CD403">
        <v>0</v>
      </c>
      <c r="CE403">
        <v>0</v>
      </c>
      <c r="CF403">
        <v>0</v>
      </c>
      <c r="CG403">
        <v>0</v>
      </c>
      <c r="CH403">
        <v>0</v>
      </c>
      <c r="CI403">
        <v>0</v>
      </c>
      <c r="CJ403">
        <v>0</v>
      </c>
      <c r="CK403">
        <v>1</v>
      </c>
      <c r="CL403">
        <v>0</v>
      </c>
      <c r="CM403">
        <v>1</v>
      </c>
    </row>
    <row r="404" spans="73:91" x14ac:dyDescent="0.25">
      <c r="BU404" t="b">
        <v>1</v>
      </c>
      <c r="BW404">
        <v>1</v>
      </c>
      <c r="BX404">
        <v>86</v>
      </c>
      <c r="BY404">
        <v>2790</v>
      </c>
      <c r="BZ404">
        <v>0</v>
      </c>
      <c r="CA404">
        <v>0</v>
      </c>
      <c r="CB404">
        <v>0</v>
      </c>
      <c r="CC404">
        <v>0</v>
      </c>
      <c r="CD404">
        <v>0</v>
      </c>
      <c r="CE404">
        <v>0</v>
      </c>
      <c r="CF404">
        <v>0</v>
      </c>
      <c r="CG404">
        <v>0</v>
      </c>
      <c r="CH404">
        <v>0</v>
      </c>
      <c r="CI404">
        <v>0</v>
      </c>
      <c r="CJ404">
        <v>0</v>
      </c>
      <c r="CK404">
        <v>1</v>
      </c>
      <c r="CL404">
        <v>0</v>
      </c>
      <c r="CM404">
        <v>1</v>
      </c>
    </row>
    <row r="405" spans="73:91" x14ac:dyDescent="0.25">
      <c r="BU405" t="b">
        <v>1</v>
      </c>
      <c r="BW405">
        <v>1</v>
      </c>
      <c r="BX405">
        <v>52</v>
      </c>
      <c r="BY405">
        <v>2130</v>
      </c>
      <c r="BZ405">
        <v>0</v>
      </c>
      <c r="CA405">
        <v>0</v>
      </c>
      <c r="CB405">
        <v>0</v>
      </c>
      <c r="CC405">
        <v>0</v>
      </c>
      <c r="CD405">
        <v>0</v>
      </c>
      <c r="CE405">
        <v>0</v>
      </c>
      <c r="CF405">
        <v>0</v>
      </c>
      <c r="CG405">
        <v>0</v>
      </c>
      <c r="CH405">
        <v>0</v>
      </c>
      <c r="CI405">
        <v>0</v>
      </c>
      <c r="CJ405">
        <v>0</v>
      </c>
      <c r="CK405">
        <v>1</v>
      </c>
      <c r="CL405">
        <v>1</v>
      </c>
      <c r="CM405">
        <v>0</v>
      </c>
    </row>
    <row r="406" spans="73:91" x14ac:dyDescent="0.25">
      <c r="BU406" t="b">
        <v>1</v>
      </c>
      <c r="BW406">
        <v>1</v>
      </c>
      <c r="BX406">
        <v>84</v>
      </c>
      <c r="BY406">
        <v>2295</v>
      </c>
      <c r="BZ406">
        <v>0</v>
      </c>
      <c r="CA406">
        <v>0</v>
      </c>
      <c r="CB406">
        <v>0</v>
      </c>
      <c r="CC406">
        <v>0</v>
      </c>
      <c r="CD406">
        <v>0</v>
      </c>
      <c r="CE406">
        <v>0</v>
      </c>
      <c r="CF406">
        <v>0</v>
      </c>
      <c r="CG406">
        <v>0</v>
      </c>
      <c r="CH406">
        <v>0</v>
      </c>
      <c r="CI406">
        <v>0</v>
      </c>
      <c r="CJ406">
        <v>0</v>
      </c>
      <c r="CK406">
        <v>1</v>
      </c>
      <c r="CL406">
        <v>0</v>
      </c>
      <c r="CM406">
        <v>1</v>
      </c>
    </row>
    <row r="407" spans="73:91" x14ac:dyDescent="0.25">
      <c r="BU407" t="b">
        <v>1</v>
      </c>
      <c r="BW407">
        <v>1</v>
      </c>
      <c r="BX407">
        <v>79</v>
      </c>
      <c r="BY407">
        <v>2625</v>
      </c>
      <c r="BZ407">
        <v>0</v>
      </c>
      <c r="CA407">
        <v>0</v>
      </c>
      <c r="CB407">
        <v>0</v>
      </c>
      <c r="CC407">
        <v>0</v>
      </c>
      <c r="CD407">
        <v>0</v>
      </c>
      <c r="CE407">
        <v>0</v>
      </c>
      <c r="CF407">
        <v>0</v>
      </c>
      <c r="CG407">
        <v>0</v>
      </c>
      <c r="CH407">
        <v>0</v>
      </c>
      <c r="CI407">
        <v>0</v>
      </c>
      <c r="CJ407">
        <v>0</v>
      </c>
      <c r="CK407">
        <v>1</v>
      </c>
      <c r="CL407">
        <v>0</v>
      </c>
      <c r="CM407">
        <v>1</v>
      </c>
    </row>
    <row r="408" spans="73:91" x14ac:dyDescent="0.25">
      <c r="BU408" t="b">
        <v>1</v>
      </c>
      <c r="BW408">
        <v>1</v>
      </c>
      <c r="BX408">
        <v>82</v>
      </c>
      <c r="BY408">
        <v>2720</v>
      </c>
      <c r="BZ408">
        <v>0</v>
      </c>
      <c r="CA408">
        <v>0</v>
      </c>
      <c r="CB408">
        <v>0</v>
      </c>
      <c r="CC408">
        <v>0</v>
      </c>
      <c r="CD408">
        <v>0</v>
      </c>
      <c r="CE408">
        <v>0</v>
      </c>
      <c r="CF408">
        <v>0</v>
      </c>
      <c r="CG408">
        <v>0</v>
      </c>
      <c r="CH408">
        <v>0</v>
      </c>
      <c r="CI408">
        <v>0</v>
      </c>
      <c r="CJ408">
        <v>0</v>
      </c>
      <c r="CK408">
        <v>1</v>
      </c>
      <c r="CL408">
        <v>0</v>
      </c>
      <c r="CM408">
        <v>1</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710FF6EF-AC02-4FBC-8FF7-FB3F771C541E}">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8F2A4-8EEE-427B-82CC-6E059EE4EC1F}">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517</v>
      </c>
      <c r="B1" s="13"/>
      <c r="C1" s="13"/>
      <c r="D1" s="13"/>
    </row>
    <row r="2" spans="1:4" ht="105" x14ac:dyDescent="0.25">
      <c r="A2" s="2" t="s">
        <v>518</v>
      </c>
    </row>
    <row r="4" spans="1:4" x14ac:dyDescent="0.25">
      <c r="A4" s="6" t="s">
        <v>519</v>
      </c>
      <c r="B4" s="5"/>
      <c r="C4" s="5"/>
      <c r="D4" s="5"/>
    </row>
    <row r="5" spans="1:4" x14ac:dyDescent="0.25">
      <c r="A5" s="6" t="s">
        <v>520</v>
      </c>
      <c r="B5" s="6" t="s">
        <v>521</v>
      </c>
      <c r="C5" s="6" t="s">
        <v>522</v>
      </c>
      <c r="D5" s="6" t="s">
        <v>523</v>
      </c>
    </row>
    <row r="6" spans="1:4" ht="45" x14ac:dyDescent="0.25">
      <c r="A6" s="2" t="s">
        <v>524</v>
      </c>
      <c r="B6" s="2" t="s">
        <v>525</v>
      </c>
      <c r="C6" s="2" t="s">
        <v>127</v>
      </c>
      <c r="D6" s="2" t="s">
        <v>526</v>
      </c>
    </row>
    <row r="7" spans="1:4" ht="60" x14ac:dyDescent="0.25">
      <c r="A7" s="2" t="s">
        <v>527</v>
      </c>
      <c r="B7" s="2" t="s">
        <v>528</v>
      </c>
      <c r="C7" s="2" t="s">
        <v>529</v>
      </c>
      <c r="D7" s="2" t="s">
        <v>530</v>
      </c>
    </row>
    <row r="8" spans="1:4" ht="45" x14ac:dyDescent="0.25">
      <c r="A8" s="2" t="s">
        <v>531</v>
      </c>
      <c r="B8" s="2" t="s">
        <v>525</v>
      </c>
      <c r="C8" s="2" t="s">
        <v>532</v>
      </c>
      <c r="D8" s="2" t="s">
        <v>533</v>
      </c>
    </row>
    <row r="10" spans="1:4" x14ac:dyDescent="0.25">
      <c r="A10" s="6" t="s">
        <v>534</v>
      </c>
      <c r="B10" s="5"/>
      <c r="C10" s="5"/>
      <c r="D10" s="5"/>
    </row>
    <row r="11" spans="1:4" x14ac:dyDescent="0.25">
      <c r="A11" s="6" t="s">
        <v>520</v>
      </c>
      <c r="B11" s="6" t="s">
        <v>521</v>
      </c>
      <c r="C11" s="6" t="s">
        <v>522</v>
      </c>
      <c r="D11" s="6" t="s">
        <v>523</v>
      </c>
    </row>
    <row r="12" spans="1:4" ht="60" x14ac:dyDescent="0.25">
      <c r="A12" s="2" t="s">
        <v>535</v>
      </c>
      <c r="B12" s="2" t="s">
        <v>525</v>
      </c>
      <c r="C12" s="2" t="s">
        <v>536</v>
      </c>
      <c r="D12" s="2" t="s">
        <v>537</v>
      </c>
    </row>
    <row r="13" spans="1:4" ht="180" x14ac:dyDescent="0.25">
      <c r="A13" s="2" t="s">
        <v>538</v>
      </c>
      <c r="B13" s="2" t="s">
        <v>539</v>
      </c>
      <c r="C13" s="2" t="s">
        <v>538</v>
      </c>
      <c r="D13" s="2" t="s">
        <v>540</v>
      </c>
    </row>
    <row r="14" spans="1:4" ht="60" x14ac:dyDescent="0.25">
      <c r="A14" s="2" t="s">
        <v>541</v>
      </c>
      <c r="B14" s="2" t="s">
        <v>542</v>
      </c>
      <c r="C14" s="2" t="s">
        <v>543</v>
      </c>
      <c r="D14" s="2" t="s">
        <v>544</v>
      </c>
    </row>
    <row r="15" spans="1:4" ht="75" x14ac:dyDescent="0.25">
      <c r="A15" s="2" t="s">
        <v>545</v>
      </c>
      <c r="B15" s="2" t="s">
        <v>539</v>
      </c>
      <c r="C15" s="2" t="s">
        <v>546</v>
      </c>
      <c r="D15" s="2" t="s">
        <v>547</v>
      </c>
    </row>
    <row r="17" spans="1:4" x14ac:dyDescent="0.25">
      <c r="A17" s="6" t="s">
        <v>548</v>
      </c>
      <c r="B17" s="5"/>
      <c r="C17" s="5"/>
      <c r="D17" s="5"/>
    </row>
    <row r="18" spans="1:4" x14ac:dyDescent="0.25">
      <c r="A18" s="6" t="s">
        <v>549</v>
      </c>
      <c r="B18" s="6" t="s">
        <v>550</v>
      </c>
      <c r="C18" s="6" t="s">
        <v>551</v>
      </c>
      <c r="D18" s="6" t="s">
        <v>552</v>
      </c>
    </row>
    <row r="19" spans="1:4" ht="30" x14ac:dyDescent="0.25">
      <c r="A19" s="2" t="s">
        <v>1536</v>
      </c>
      <c r="B19" s="2" t="s">
        <v>1537</v>
      </c>
      <c r="C19" s="2" t="s">
        <v>1538</v>
      </c>
      <c r="D19" s="2" t="s">
        <v>1539</v>
      </c>
    </row>
    <row r="20" spans="1:4" ht="30" x14ac:dyDescent="0.25">
      <c r="A20" s="2" t="s">
        <v>86</v>
      </c>
      <c r="B20" s="2" t="s">
        <v>1540</v>
      </c>
      <c r="C20" s="2" t="s">
        <v>553</v>
      </c>
      <c r="D20" s="2" t="s">
        <v>554</v>
      </c>
    </row>
    <row r="21" spans="1:4" x14ac:dyDescent="0.25">
      <c r="A21" s="2" t="s">
        <v>555</v>
      </c>
      <c r="B21" s="2" t="s">
        <v>556</v>
      </c>
      <c r="C21" s="2" t="s">
        <v>557</v>
      </c>
      <c r="D21" s="2" t="s">
        <v>558</v>
      </c>
    </row>
    <row r="22" spans="1:4" ht="30" x14ac:dyDescent="0.25">
      <c r="A22" s="2" t="s">
        <v>559</v>
      </c>
      <c r="B22" s="2" t="s">
        <v>560</v>
      </c>
      <c r="C22" s="2" t="s">
        <v>561</v>
      </c>
      <c r="D22" s="2" t="s">
        <v>562</v>
      </c>
    </row>
    <row r="23" spans="1:4" x14ac:dyDescent="0.25">
      <c r="A23" s="2" t="s">
        <v>563</v>
      </c>
      <c r="B23" s="2" t="s">
        <v>564</v>
      </c>
      <c r="C23" s="2" t="s">
        <v>557</v>
      </c>
      <c r="D23" s="2" t="s">
        <v>565</v>
      </c>
    </row>
    <row r="24" spans="1:4" x14ac:dyDescent="0.25">
      <c r="A24" s="2" t="s">
        <v>566</v>
      </c>
      <c r="B24" s="2" t="s">
        <v>567</v>
      </c>
      <c r="C24" s="2" t="s">
        <v>557</v>
      </c>
      <c r="D24" s="2" t="s">
        <v>568</v>
      </c>
    </row>
    <row r="25" spans="1:4" x14ac:dyDescent="0.25">
      <c r="A25" s="2" t="s">
        <v>542</v>
      </c>
      <c r="B25" s="2" t="s">
        <v>569</v>
      </c>
      <c r="C25" s="2" t="s">
        <v>557</v>
      </c>
      <c r="D25" s="2" t="s">
        <v>570</v>
      </c>
    </row>
    <row r="26" spans="1:4" ht="30" x14ac:dyDescent="0.25">
      <c r="A26" s="2" t="s">
        <v>543</v>
      </c>
      <c r="B26" s="2" t="s">
        <v>571</v>
      </c>
      <c r="C26" s="2" t="s">
        <v>572</v>
      </c>
      <c r="D26" s="2" t="s">
        <v>573</v>
      </c>
    </row>
    <row r="27" spans="1:4" x14ac:dyDescent="0.25">
      <c r="A27" s="2" t="s">
        <v>538</v>
      </c>
      <c r="B27" s="2" t="s">
        <v>574</v>
      </c>
      <c r="C27" s="2" t="s">
        <v>575</v>
      </c>
      <c r="D27" s="2" t="s">
        <v>576</v>
      </c>
    </row>
    <row r="28" spans="1:4" ht="30" x14ac:dyDescent="0.25">
      <c r="A28" s="2" t="s">
        <v>535</v>
      </c>
      <c r="B28" s="2" t="s">
        <v>577</v>
      </c>
      <c r="C28" s="2" t="s">
        <v>578</v>
      </c>
      <c r="D28" s="2" t="s">
        <v>579</v>
      </c>
    </row>
    <row r="29" spans="1:4" x14ac:dyDescent="0.25">
      <c r="A29" s="2" t="s">
        <v>580</v>
      </c>
      <c r="B29" s="2" t="s">
        <v>581</v>
      </c>
      <c r="C29" s="2" t="s">
        <v>582</v>
      </c>
      <c r="D29" s="2" t="s">
        <v>583</v>
      </c>
    </row>
    <row r="31" spans="1:4" x14ac:dyDescent="0.25">
      <c r="A31" s="6" t="s">
        <v>584</v>
      </c>
      <c r="B31" s="5"/>
      <c r="C31" s="5"/>
    </row>
    <row r="32" spans="1:4" x14ac:dyDescent="0.25">
      <c r="A32" s="6" t="s">
        <v>585</v>
      </c>
      <c r="B32" s="6" t="s">
        <v>586</v>
      </c>
      <c r="C32" s="6" t="s">
        <v>587</v>
      </c>
    </row>
    <row r="33" spans="1:3" ht="120" x14ac:dyDescent="0.25">
      <c r="A33" s="2" t="s">
        <v>588</v>
      </c>
      <c r="B33" s="2" t="s">
        <v>589</v>
      </c>
      <c r="C33" s="2" t="s">
        <v>590</v>
      </c>
    </row>
    <row r="34" spans="1:3" ht="105" x14ac:dyDescent="0.25">
      <c r="A34" s="2" t="s">
        <v>591</v>
      </c>
      <c r="B34" s="2" t="s">
        <v>592</v>
      </c>
      <c r="C34" s="2" t="s">
        <v>593</v>
      </c>
    </row>
    <row r="35" spans="1:3" ht="120" x14ac:dyDescent="0.25">
      <c r="A35" s="2" t="s">
        <v>594</v>
      </c>
      <c r="B35" s="2" t="s">
        <v>595</v>
      </c>
      <c r="C35" s="2" t="s">
        <v>596</v>
      </c>
    </row>
    <row r="36" spans="1:3" ht="240" x14ac:dyDescent="0.25">
      <c r="A36" s="2" t="s">
        <v>597</v>
      </c>
      <c r="B36" s="2" t="s">
        <v>598</v>
      </c>
      <c r="C36" s="2" t="s">
        <v>599</v>
      </c>
    </row>
    <row r="37" spans="1:3" ht="150" x14ac:dyDescent="0.25">
      <c r="A37" s="2" t="s">
        <v>1541</v>
      </c>
      <c r="B37" s="2" t="s">
        <v>1542</v>
      </c>
      <c r="C37" s="2" t="s">
        <v>600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1"/>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784</v>
      </c>
      <c r="C1" s="2" t="s">
        <v>1</v>
      </c>
      <c r="D1" s="2" t="s">
        <v>2</v>
      </c>
      <c r="E1" s="2" t="s">
        <v>3</v>
      </c>
      <c r="F1" s="2" t="s">
        <v>4</v>
      </c>
      <c r="G1" s="2" t="s">
        <v>5</v>
      </c>
    </row>
    <row r="2" spans="1:7" ht="90" x14ac:dyDescent="0.25">
      <c r="A2" s="2" t="s">
        <v>6</v>
      </c>
      <c r="B2" s="2" t="s">
        <v>785</v>
      </c>
      <c r="C2" s="1" t="s">
        <v>7</v>
      </c>
      <c r="D2" s="2" t="s">
        <v>8</v>
      </c>
      <c r="E2" s="2" t="s">
        <v>9</v>
      </c>
      <c r="F2" s="2" t="s">
        <v>10</v>
      </c>
      <c r="G2" s="2" t="s">
        <v>1696</v>
      </c>
    </row>
    <row r="3" spans="1:7" ht="195" x14ac:dyDescent="0.25">
      <c r="A3" s="2" t="s">
        <v>722</v>
      </c>
      <c r="B3" s="2" t="s">
        <v>785</v>
      </c>
      <c r="C3" s="1" t="s">
        <v>1775</v>
      </c>
      <c r="D3" s="2" t="s">
        <v>1776</v>
      </c>
      <c r="E3" s="2" t="s">
        <v>11</v>
      </c>
      <c r="F3" s="2" t="s">
        <v>12</v>
      </c>
      <c r="G3" s="2" t="s">
        <v>1697</v>
      </c>
    </row>
    <row r="4" spans="1:7" ht="195" x14ac:dyDescent="0.25">
      <c r="A4" s="2" t="s">
        <v>723</v>
      </c>
      <c r="B4" s="2" t="s">
        <v>785</v>
      </c>
      <c r="C4" s="1" t="s">
        <v>1777</v>
      </c>
      <c r="D4" s="2" t="s">
        <v>1778</v>
      </c>
      <c r="E4" s="2" t="s">
        <v>13</v>
      </c>
      <c r="F4" s="2" t="s">
        <v>14</v>
      </c>
      <c r="G4" s="2" t="s">
        <v>1698</v>
      </c>
    </row>
    <row r="5" spans="1:7" ht="255" x14ac:dyDescent="0.25">
      <c r="A5" s="2" t="s">
        <v>724</v>
      </c>
      <c r="B5" s="2" t="s">
        <v>785</v>
      </c>
      <c r="C5" s="1" t="s">
        <v>1779</v>
      </c>
      <c r="D5" s="2" t="s">
        <v>1780</v>
      </c>
      <c r="E5" s="2" t="s">
        <v>15</v>
      </c>
      <c r="F5" s="2" t="s">
        <v>16</v>
      </c>
      <c r="G5" s="2" t="s">
        <v>1699</v>
      </c>
    </row>
    <row r="6" spans="1:7" ht="255" x14ac:dyDescent="0.25">
      <c r="A6" s="2" t="s">
        <v>725</v>
      </c>
      <c r="B6" s="2" t="s">
        <v>785</v>
      </c>
      <c r="C6" s="1" t="s">
        <v>1781</v>
      </c>
      <c r="D6" s="2" t="s">
        <v>1780</v>
      </c>
      <c r="E6" s="2" t="s">
        <v>1546</v>
      </c>
      <c r="F6" s="2" t="s">
        <v>1547</v>
      </c>
      <c r="G6" s="2" t="s">
        <v>1700</v>
      </c>
    </row>
    <row r="7" spans="1:7" ht="255" x14ac:dyDescent="0.25">
      <c r="A7" s="2" t="s">
        <v>17</v>
      </c>
      <c r="B7" s="2" t="s">
        <v>785</v>
      </c>
      <c r="C7" s="1" t="s">
        <v>1782</v>
      </c>
      <c r="D7" s="2" t="s">
        <v>1780</v>
      </c>
      <c r="E7" s="2" t="s">
        <v>18</v>
      </c>
      <c r="F7" s="2" t="s">
        <v>19</v>
      </c>
      <c r="G7" s="2" t="s">
        <v>726</v>
      </c>
    </row>
    <row r="8" spans="1:7" ht="255" x14ac:dyDescent="0.25">
      <c r="A8" s="2" t="s">
        <v>727</v>
      </c>
      <c r="B8" s="2" t="s">
        <v>785</v>
      </c>
      <c r="C8" s="1" t="s">
        <v>1783</v>
      </c>
      <c r="D8" s="2" t="s">
        <v>1780</v>
      </c>
      <c r="E8" s="2" t="s">
        <v>20</v>
      </c>
      <c r="F8" s="2" t="s">
        <v>21</v>
      </c>
      <c r="G8" s="2" t="s">
        <v>1701</v>
      </c>
    </row>
    <row r="9" spans="1:7" ht="255" x14ac:dyDescent="0.25">
      <c r="A9" s="2" t="s">
        <v>22</v>
      </c>
      <c r="B9" s="2" t="s">
        <v>785</v>
      </c>
      <c r="C9" s="1" t="s">
        <v>1784</v>
      </c>
      <c r="D9" s="2" t="s">
        <v>1780</v>
      </c>
      <c r="E9" s="2" t="s">
        <v>23</v>
      </c>
      <c r="F9" s="2" t="s">
        <v>24</v>
      </c>
      <c r="G9" s="2" t="s">
        <v>1702</v>
      </c>
    </row>
    <row r="10" spans="1:7" ht="120" x14ac:dyDescent="0.25">
      <c r="A10" s="2" t="s">
        <v>25</v>
      </c>
      <c r="B10" s="2" t="s">
        <v>785</v>
      </c>
      <c r="C10" s="1" t="s">
        <v>1703</v>
      </c>
      <c r="D10" s="2" t="s">
        <v>1704</v>
      </c>
      <c r="E10" s="2" t="s">
        <v>26</v>
      </c>
      <c r="F10" s="2" t="s">
        <v>27</v>
      </c>
      <c r="G10" s="2" t="s">
        <v>1705</v>
      </c>
    </row>
    <row r="11" spans="1:7" ht="255" x14ac:dyDescent="0.25">
      <c r="A11" s="2" t="s">
        <v>28</v>
      </c>
      <c r="B11" s="2" t="s">
        <v>785</v>
      </c>
      <c r="C11" s="1" t="s">
        <v>1785</v>
      </c>
      <c r="D11" s="2" t="s">
        <v>1780</v>
      </c>
      <c r="E11" s="2" t="s">
        <v>29</v>
      </c>
      <c r="F11" s="2" t="s">
        <v>30</v>
      </c>
      <c r="G11" s="2" t="s">
        <v>1706</v>
      </c>
    </row>
    <row r="12" spans="1:7" ht="255" x14ac:dyDescent="0.25">
      <c r="A12" s="2" t="s">
        <v>31</v>
      </c>
      <c r="B12" s="2" t="s">
        <v>785</v>
      </c>
      <c r="C12" s="1" t="s">
        <v>1786</v>
      </c>
      <c r="D12" s="2" t="s">
        <v>1780</v>
      </c>
      <c r="E12" s="2" t="s">
        <v>32</v>
      </c>
      <c r="F12" s="2" t="s">
        <v>33</v>
      </c>
      <c r="G12" s="2" t="s">
        <v>34</v>
      </c>
    </row>
    <row r="13" spans="1:7" ht="255" x14ac:dyDescent="0.25">
      <c r="A13" s="2" t="s">
        <v>35</v>
      </c>
      <c r="B13" s="2" t="s">
        <v>785</v>
      </c>
      <c r="C13" s="1" t="s">
        <v>1787</v>
      </c>
      <c r="D13" s="2" t="s">
        <v>1780</v>
      </c>
      <c r="E13" s="2" t="s">
        <v>36</v>
      </c>
      <c r="F13" s="2" t="s">
        <v>37</v>
      </c>
      <c r="G13" s="2" t="s">
        <v>1548</v>
      </c>
    </row>
    <row r="14" spans="1:7" ht="255" x14ac:dyDescent="0.25">
      <c r="A14" s="2" t="s">
        <v>38</v>
      </c>
      <c r="B14" s="2" t="s">
        <v>785</v>
      </c>
      <c r="C14" s="1" t="s">
        <v>1788</v>
      </c>
      <c r="D14" s="2" t="s">
        <v>1780</v>
      </c>
      <c r="E14" s="2" t="s">
        <v>39</v>
      </c>
      <c r="F14" s="2" t="s">
        <v>40</v>
      </c>
      <c r="G14" s="2" t="s">
        <v>1549</v>
      </c>
    </row>
    <row r="15" spans="1:7" ht="120" x14ac:dyDescent="0.25">
      <c r="A15" s="2" t="s">
        <v>41</v>
      </c>
      <c r="B15" s="2" t="s">
        <v>785</v>
      </c>
      <c r="C15" s="1" t="s">
        <v>1707</v>
      </c>
      <c r="D15" s="2" t="s">
        <v>1704</v>
      </c>
      <c r="E15" s="2" t="s">
        <v>42</v>
      </c>
      <c r="F15" s="2" t="s">
        <v>43</v>
      </c>
      <c r="G15" s="2" t="s">
        <v>760</v>
      </c>
    </row>
    <row r="16" spans="1:7" ht="255" x14ac:dyDescent="0.25">
      <c r="A16" s="2" t="s">
        <v>44</v>
      </c>
      <c r="B16" s="2" t="s">
        <v>785</v>
      </c>
      <c r="C16" s="1" t="s">
        <v>1789</v>
      </c>
      <c r="D16" s="2" t="s">
        <v>1780</v>
      </c>
      <c r="E16" s="2" t="s">
        <v>45</v>
      </c>
      <c r="F16" s="2" t="s">
        <v>46</v>
      </c>
      <c r="G16" s="2" t="s">
        <v>1708</v>
      </c>
    </row>
    <row r="17" spans="1:7" ht="255" x14ac:dyDescent="0.25">
      <c r="A17" s="2" t="s">
        <v>47</v>
      </c>
      <c r="B17" s="2" t="s">
        <v>785</v>
      </c>
      <c r="C17" s="1" t="s">
        <v>1790</v>
      </c>
      <c r="D17" s="2" t="s">
        <v>1780</v>
      </c>
      <c r="E17" s="2" t="s">
        <v>48</v>
      </c>
      <c r="F17" s="2" t="s">
        <v>49</v>
      </c>
      <c r="G17" s="2" t="s">
        <v>1550</v>
      </c>
    </row>
    <row r="18" spans="1:7" ht="255" x14ac:dyDescent="0.25">
      <c r="A18" s="2" t="s">
        <v>50</v>
      </c>
      <c r="B18" s="2" t="s">
        <v>785</v>
      </c>
      <c r="C18" s="1" t="s">
        <v>1791</v>
      </c>
      <c r="D18" s="2" t="s">
        <v>1780</v>
      </c>
      <c r="E18" s="2" t="s">
        <v>51</v>
      </c>
      <c r="F18" s="2" t="s">
        <v>52</v>
      </c>
      <c r="G18" s="2" t="s">
        <v>1551</v>
      </c>
    </row>
    <row r="19" spans="1:7" ht="135" x14ac:dyDescent="0.25">
      <c r="A19" s="2" t="s">
        <v>53</v>
      </c>
      <c r="B19" s="2" t="s">
        <v>785</v>
      </c>
      <c r="C19" s="1" t="s">
        <v>1709</v>
      </c>
      <c r="D19" s="2" t="s">
        <v>1704</v>
      </c>
      <c r="E19" s="2" t="s">
        <v>54</v>
      </c>
      <c r="F19" s="2" t="s">
        <v>55</v>
      </c>
      <c r="G19" s="2" t="s">
        <v>56</v>
      </c>
    </row>
    <row r="20" spans="1:7" ht="375" x14ac:dyDescent="0.25">
      <c r="A20" s="2" t="s">
        <v>819</v>
      </c>
      <c r="B20" s="2" t="s">
        <v>785</v>
      </c>
      <c r="C20" s="1" t="s">
        <v>1710</v>
      </c>
      <c r="D20" s="2" t="s">
        <v>1711</v>
      </c>
      <c r="E20" s="2" t="s">
        <v>820</v>
      </c>
      <c r="F20" s="2" t="s">
        <v>821</v>
      </c>
      <c r="G20" s="2" t="s">
        <v>822</v>
      </c>
    </row>
    <row r="21" spans="1:7" ht="409.5" x14ac:dyDescent="0.25">
      <c r="A21" s="2" t="s">
        <v>823</v>
      </c>
      <c r="B21" s="2" t="s">
        <v>785</v>
      </c>
      <c r="C21" s="1" t="s">
        <v>1712</v>
      </c>
      <c r="D21" s="2" t="s">
        <v>1713</v>
      </c>
      <c r="E21" s="2" t="s">
        <v>824</v>
      </c>
      <c r="F21" s="2" t="s">
        <v>825</v>
      </c>
      <c r="G21" s="2" t="s">
        <v>826</v>
      </c>
    </row>
    <row r="22" spans="1:7" ht="255" x14ac:dyDescent="0.25">
      <c r="A22" s="2" t="s">
        <v>57</v>
      </c>
      <c r="B22" s="2" t="s">
        <v>785</v>
      </c>
      <c r="C22" s="1" t="s">
        <v>1792</v>
      </c>
      <c r="D22" s="2" t="s">
        <v>1780</v>
      </c>
      <c r="E22" s="2" t="s">
        <v>58</v>
      </c>
      <c r="F22" s="2" t="s">
        <v>59</v>
      </c>
      <c r="G22" s="2" t="s">
        <v>60</v>
      </c>
    </row>
    <row r="23" spans="1:7" ht="135" x14ac:dyDescent="0.25">
      <c r="A23" s="2" t="s">
        <v>61</v>
      </c>
      <c r="B23" s="2" t="s">
        <v>785</v>
      </c>
      <c r="C23" s="1" t="s">
        <v>1714</v>
      </c>
      <c r="D23" s="2" t="s">
        <v>1704</v>
      </c>
      <c r="E23" s="2" t="s">
        <v>62</v>
      </c>
      <c r="F23" s="2" t="s">
        <v>63</v>
      </c>
      <c r="G23" s="2" t="s">
        <v>1715</v>
      </c>
    </row>
    <row r="24" spans="1:7" ht="255" x14ac:dyDescent="0.25">
      <c r="A24" s="2" t="s">
        <v>64</v>
      </c>
      <c r="B24" s="2" t="s">
        <v>785</v>
      </c>
      <c r="C24" s="1" t="s">
        <v>1793</v>
      </c>
      <c r="D24" s="2" t="s">
        <v>1780</v>
      </c>
      <c r="E24" s="2" t="s">
        <v>65</v>
      </c>
      <c r="F24" s="2" t="s">
        <v>1552</v>
      </c>
      <c r="G24" s="2" t="s">
        <v>1716</v>
      </c>
    </row>
    <row r="25" spans="1:7" ht="255" x14ac:dyDescent="0.25">
      <c r="A25" s="2" t="s">
        <v>728</v>
      </c>
      <c r="B25" s="2" t="s">
        <v>785</v>
      </c>
      <c r="C25" s="1" t="s">
        <v>1794</v>
      </c>
      <c r="D25" s="2" t="s">
        <v>1780</v>
      </c>
      <c r="E25" s="2" t="s">
        <v>66</v>
      </c>
      <c r="F25" s="2" t="s">
        <v>67</v>
      </c>
      <c r="G25" s="2" t="s">
        <v>1553</v>
      </c>
    </row>
    <row r="26" spans="1:7" ht="255" x14ac:dyDescent="0.25">
      <c r="A26" s="2" t="s">
        <v>68</v>
      </c>
      <c r="B26" s="2" t="s">
        <v>785</v>
      </c>
      <c r="C26" s="1" t="s">
        <v>1795</v>
      </c>
      <c r="D26" s="2" t="s">
        <v>1780</v>
      </c>
      <c r="E26" s="2" t="s">
        <v>69</v>
      </c>
      <c r="F26" s="2" t="s">
        <v>70</v>
      </c>
      <c r="G26" s="2" t="s">
        <v>1554</v>
      </c>
    </row>
    <row r="27" spans="1:7" ht="285" x14ac:dyDescent="0.25">
      <c r="A27" s="2" t="s">
        <v>729</v>
      </c>
      <c r="B27" s="2" t="s">
        <v>785</v>
      </c>
      <c r="C27" s="1" t="s">
        <v>1796</v>
      </c>
      <c r="D27" s="2" t="s">
        <v>1797</v>
      </c>
      <c r="E27" s="2" t="s">
        <v>71</v>
      </c>
      <c r="F27" s="2" t="s">
        <v>72</v>
      </c>
      <c r="G27" s="2" t="s">
        <v>1555</v>
      </c>
    </row>
    <row r="28" spans="1:7" ht="285" x14ac:dyDescent="0.25">
      <c r="A28" s="2" t="s">
        <v>730</v>
      </c>
      <c r="B28" s="2" t="s">
        <v>785</v>
      </c>
      <c r="C28" s="1" t="s">
        <v>1798</v>
      </c>
      <c r="D28" s="2" t="s">
        <v>1797</v>
      </c>
      <c r="E28" s="2" t="s">
        <v>73</v>
      </c>
      <c r="F28" s="2" t="s">
        <v>74</v>
      </c>
      <c r="G28" s="2" t="s">
        <v>1556</v>
      </c>
    </row>
    <row r="29" spans="1:7" ht="255" x14ac:dyDescent="0.25">
      <c r="A29" s="2" t="s">
        <v>731</v>
      </c>
      <c r="B29" s="2" t="s">
        <v>785</v>
      </c>
      <c r="C29" s="1" t="s">
        <v>1799</v>
      </c>
      <c r="D29" s="2" t="s">
        <v>1780</v>
      </c>
      <c r="E29" s="2" t="s">
        <v>75</v>
      </c>
      <c r="F29" s="2" t="s">
        <v>76</v>
      </c>
      <c r="G29" s="2" t="s">
        <v>1557</v>
      </c>
    </row>
    <row r="30" spans="1:7" ht="255" x14ac:dyDescent="0.25">
      <c r="A30" s="2" t="s">
        <v>77</v>
      </c>
      <c r="B30" s="2" t="s">
        <v>785</v>
      </c>
      <c r="C30" s="1" t="s">
        <v>1800</v>
      </c>
      <c r="D30" s="2" t="s">
        <v>1780</v>
      </c>
      <c r="E30" s="2" t="s">
        <v>78</v>
      </c>
      <c r="F30" s="2" t="s">
        <v>79</v>
      </c>
      <c r="G30" s="2" t="s">
        <v>1558</v>
      </c>
    </row>
    <row r="31" spans="1:7" ht="255" x14ac:dyDescent="0.25">
      <c r="A31" s="2" t="s">
        <v>80</v>
      </c>
      <c r="B31" s="2" t="s">
        <v>785</v>
      </c>
      <c r="C31" s="1" t="s">
        <v>1801</v>
      </c>
      <c r="D31" s="2" t="s">
        <v>1780</v>
      </c>
      <c r="E31" s="2" t="s">
        <v>81</v>
      </c>
      <c r="F31" s="2" t="s">
        <v>82</v>
      </c>
      <c r="G31" s="2" t="s">
        <v>1717</v>
      </c>
    </row>
    <row r="32" spans="1:7" ht="315" x14ac:dyDescent="0.25">
      <c r="A32" s="2" t="s">
        <v>83</v>
      </c>
      <c r="B32" s="2" t="s">
        <v>785</v>
      </c>
      <c r="C32" s="1" t="s">
        <v>1718</v>
      </c>
      <c r="D32" s="2" t="s">
        <v>1719</v>
      </c>
      <c r="E32" s="2" t="s">
        <v>84</v>
      </c>
      <c r="F32" s="2" t="s">
        <v>85</v>
      </c>
      <c r="G32" s="2" t="s">
        <v>1720</v>
      </c>
    </row>
    <row r="33" spans="1:7" ht="105" x14ac:dyDescent="0.25">
      <c r="A33" s="2" t="s">
        <v>86</v>
      </c>
      <c r="B33" s="2" t="s">
        <v>785</v>
      </c>
      <c r="C33" s="1" t="s">
        <v>1721</v>
      </c>
      <c r="D33" s="2" t="s">
        <v>1719</v>
      </c>
      <c r="E33" s="2" t="s">
        <v>87</v>
      </c>
      <c r="F33" s="2" t="s">
        <v>88</v>
      </c>
      <c r="G33" s="2" t="s">
        <v>1722</v>
      </c>
    </row>
    <row r="34" spans="1:7" ht="345" x14ac:dyDescent="0.25">
      <c r="A34" s="2" t="s">
        <v>1529</v>
      </c>
      <c r="B34" s="2" t="s">
        <v>785</v>
      </c>
      <c r="C34" s="1" t="s">
        <v>1723</v>
      </c>
      <c r="D34" s="2" t="s">
        <v>1724</v>
      </c>
      <c r="E34" s="2" t="s">
        <v>1725</v>
      </c>
      <c r="F34" s="2" t="s">
        <v>1530</v>
      </c>
      <c r="G34" s="2" t="s">
        <v>1726</v>
      </c>
    </row>
    <row r="35" spans="1:7" ht="225" x14ac:dyDescent="0.25">
      <c r="A35" s="2" t="s">
        <v>1531</v>
      </c>
      <c r="B35" s="2" t="s">
        <v>785</v>
      </c>
      <c r="C35" s="1" t="s">
        <v>1727</v>
      </c>
      <c r="D35" s="2" t="s">
        <v>1724</v>
      </c>
      <c r="E35" s="2" t="s">
        <v>1728</v>
      </c>
      <c r="F35" s="2" t="s">
        <v>1532</v>
      </c>
      <c r="G35" s="2" t="s">
        <v>1533</v>
      </c>
    </row>
    <row r="36" spans="1:7" ht="409.5" x14ac:dyDescent="0.25">
      <c r="A36" s="2" t="s">
        <v>89</v>
      </c>
      <c r="B36" s="2" t="s">
        <v>785</v>
      </c>
      <c r="C36" s="1" t="s">
        <v>1802</v>
      </c>
      <c r="D36" s="2" t="s">
        <v>1803</v>
      </c>
      <c r="E36" s="2" t="s">
        <v>90</v>
      </c>
      <c r="F36" s="2" t="s">
        <v>91</v>
      </c>
      <c r="G36" s="2" t="s">
        <v>1729</v>
      </c>
    </row>
    <row r="37" spans="1:7" ht="409.5" x14ac:dyDescent="0.25">
      <c r="A37" s="2" t="s">
        <v>1559</v>
      </c>
      <c r="B37" s="2" t="s">
        <v>785</v>
      </c>
      <c r="C37" s="1" t="s">
        <v>1804</v>
      </c>
      <c r="D37" s="2" t="s">
        <v>1805</v>
      </c>
      <c r="E37" s="2" t="s">
        <v>1560</v>
      </c>
      <c r="F37" s="2" t="s">
        <v>1561</v>
      </c>
      <c r="G37" s="2" t="s">
        <v>1730</v>
      </c>
    </row>
    <row r="38" spans="1:7" ht="60" x14ac:dyDescent="0.25">
      <c r="A38" s="2" t="s">
        <v>732</v>
      </c>
      <c r="B38" s="2" t="s">
        <v>785</v>
      </c>
      <c r="C38" s="1" t="s">
        <v>92</v>
      </c>
      <c r="D38" s="2" t="s">
        <v>8</v>
      </c>
      <c r="E38" s="2" t="s">
        <v>93</v>
      </c>
      <c r="F38" s="2" t="s">
        <v>94</v>
      </c>
      <c r="G38" s="2" t="s">
        <v>95</v>
      </c>
    </row>
    <row r="39" spans="1:7" ht="90" x14ac:dyDescent="0.25">
      <c r="A39" s="2" t="s">
        <v>96</v>
      </c>
      <c r="B39" s="2" t="s">
        <v>785</v>
      </c>
      <c r="C39" s="1" t="s">
        <v>97</v>
      </c>
      <c r="D39" s="2" t="s">
        <v>8</v>
      </c>
      <c r="E39" s="2" t="s">
        <v>98</v>
      </c>
      <c r="F39" s="2" t="s">
        <v>99</v>
      </c>
      <c r="G39" s="2" t="s">
        <v>100</v>
      </c>
    </row>
    <row r="40" spans="1:7" ht="60" x14ac:dyDescent="0.25">
      <c r="A40" s="2" t="s">
        <v>101</v>
      </c>
      <c r="B40" s="2" t="s">
        <v>785</v>
      </c>
      <c r="C40" s="1" t="s">
        <v>102</v>
      </c>
      <c r="D40" s="2" t="s">
        <v>8</v>
      </c>
      <c r="E40" s="2" t="s">
        <v>103</v>
      </c>
      <c r="F40" s="2" t="s">
        <v>104</v>
      </c>
      <c r="G40" s="2" t="s">
        <v>105</v>
      </c>
    </row>
    <row r="41" spans="1:7" ht="90" x14ac:dyDescent="0.25">
      <c r="A41" s="2" t="s">
        <v>733</v>
      </c>
      <c r="B41" s="2" t="s">
        <v>785</v>
      </c>
      <c r="C41" s="1" t="s">
        <v>106</v>
      </c>
      <c r="D41" s="2" t="s">
        <v>8</v>
      </c>
      <c r="E41" s="2" t="s">
        <v>107</v>
      </c>
      <c r="F41" s="2" t="s">
        <v>108</v>
      </c>
      <c r="G41" s="2" t="s">
        <v>109</v>
      </c>
    </row>
    <row r="42" spans="1:7" ht="120" x14ac:dyDescent="0.25">
      <c r="A42" s="2" t="s">
        <v>110</v>
      </c>
      <c r="B42" s="2" t="s">
        <v>785</v>
      </c>
      <c r="C42" s="1" t="s">
        <v>111</v>
      </c>
      <c r="D42" s="2" t="s">
        <v>8</v>
      </c>
      <c r="E42" s="2" t="s">
        <v>112</v>
      </c>
      <c r="F42" s="2" t="s">
        <v>113</v>
      </c>
      <c r="G42" s="2" t="s">
        <v>114</v>
      </c>
    </row>
    <row r="43" spans="1:7" ht="135" x14ac:dyDescent="0.25">
      <c r="A43" s="2" t="s">
        <v>115</v>
      </c>
      <c r="B43" s="2" t="s">
        <v>785</v>
      </c>
      <c r="C43" s="1" t="s">
        <v>1731</v>
      </c>
      <c r="D43" s="2" t="s">
        <v>1732</v>
      </c>
      <c r="E43" s="2" t="s">
        <v>116</v>
      </c>
      <c r="F43" s="2" t="s">
        <v>117</v>
      </c>
      <c r="G43" s="2" t="s">
        <v>1733</v>
      </c>
    </row>
    <row r="44" spans="1:7" ht="105" x14ac:dyDescent="0.25">
      <c r="A44" s="2" t="s">
        <v>118</v>
      </c>
      <c r="B44" s="2" t="s">
        <v>785</v>
      </c>
      <c r="C44" s="1" t="s">
        <v>119</v>
      </c>
      <c r="D44" s="2" t="s">
        <v>120</v>
      </c>
      <c r="E44" s="2" t="s">
        <v>121</v>
      </c>
      <c r="F44" s="2" t="s">
        <v>122</v>
      </c>
      <c r="G44" s="2" t="s">
        <v>734</v>
      </c>
    </row>
    <row r="45" spans="1:7" ht="120" x14ac:dyDescent="0.25">
      <c r="A45" s="2" t="s">
        <v>123</v>
      </c>
      <c r="B45" s="2" t="s">
        <v>785</v>
      </c>
      <c r="C45" s="1" t="s">
        <v>1734</v>
      </c>
      <c r="D45" s="2" t="s">
        <v>1704</v>
      </c>
      <c r="E45" s="2" t="s">
        <v>124</v>
      </c>
      <c r="F45" s="2" t="s">
        <v>125</v>
      </c>
      <c r="G45" s="2" t="s">
        <v>126</v>
      </c>
    </row>
    <row r="46" spans="1:7" ht="120" x14ac:dyDescent="0.25">
      <c r="A46" s="2" t="s">
        <v>127</v>
      </c>
      <c r="B46" s="2" t="s">
        <v>785</v>
      </c>
      <c r="C46" s="1" t="s">
        <v>1735</v>
      </c>
      <c r="D46" s="2" t="s">
        <v>1704</v>
      </c>
      <c r="E46" s="2" t="s">
        <v>128</v>
      </c>
      <c r="F46" s="2" t="s">
        <v>129</v>
      </c>
      <c r="G46" s="2" t="s">
        <v>130</v>
      </c>
    </row>
    <row r="47" spans="1:7" ht="270" x14ac:dyDescent="0.25">
      <c r="A47" s="2" t="s">
        <v>131</v>
      </c>
      <c r="B47" s="2" t="s">
        <v>785</v>
      </c>
      <c r="C47" s="1" t="s">
        <v>1806</v>
      </c>
      <c r="D47" s="2" t="s">
        <v>1780</v>
      </c>
      <c r="E47" s="2" t="s">
        <v>132</v>
      </c>
      <c r="F47" s="2" t="s">
        <v>133</v>
      </c>
      <c r="G47" s="2" t="s">
        <v>134</v>
      </c>
    </row>
    <row r="48" spans="1:7" ht="105" x14ac:dyDescent="0.25">
      <c r="A48" s="2" t="s">
        <v>735</v>
      </c>
      <c r="B48" s="2" t="s">
        <v>785</v>
      </c>
      <c r="C48" s="1" t="s">
        <v>135</v>
      </c>
      <c r="D48" s="2" t="s">
        <v>136</v>
      </c>
      <c r="E48" s="2" t="s">
        <v>137</v>
      </c>
      <c r="F48" s="2" t="s">
        <v>138</v>
      </c>
      <c r="G48" s="2" t="s">
        <v>736</v>
      </c>
    </row>
    <row r="49" spans="1:7" ht="210" x14ac:dyDescent="0.25">
      <c r="A49" s="2" t="s">
        <v>737</v>
      </c>
      <c r="B49" s="2" t="s">
        <v>785</v>
      </c>
      <c r="C49" s="1" t="s">
        <v>139</v>
      </c>
      <c r="D49" s="2" t="s">
        <v>140</v>
      </c>
      <c r="E49" s="2" t="s">
        <v>141</v>
      </c>
      <c r="F49" s="2" t="s">
        <v>142</v>
      </c>
      <c r="G49" s="2" t="s">
        <v>143</v>
      </c>
    </row>
    <row r="50" spans="1:7" ht="180" x14ac:dyDescent="0.25">
      <c r="A50" s="2" t="s">
        <v>738</v>
      </c>
      <c r="B50" s="2" t="s">
        <v>785</v>
      </c>
      <c r="C50" s="1" t="s">
        <v>1736</v>
      </c>
      <c r="D50" s="2" t="s">
        <v>1737</v>
      </c>
      <c r="E50" s="2" t="s">
        <v>1738</v>
      </c>
      <c r="F50" s="2" t="s">
        <v>144</v>
      </c>
      <c r="G50" s="2" t="s">
        <v>739</v>
      </c>
    </row>
    <row r="51" spans="1:7" ht="135" x14ac:dyDescent="0.25">
      <c r="A51" s="2" t="s">
        <v>740</v>
      </c>
      <c r="B51" s="2" t="s">
        <v>785</v>
      </c>
      <c r="C51" s="1" t="s">
        <v>1739</v>
      </c>
      <c r="D51" s="2" t="s">
        <v>1704</v>
      </c>
      <c r="E51" s="2" t="s">
        <v>145</v>
      </c>
      <c r="F51" s="2" t="s">
        <v>146</v>
      </c>
      <c r="G51" s="2" t="s">
        <v>756</v>
      </c>
    </row>
    <row r="52" spans="1:7" ht="120" x14ac:dyDescent="0.25">
      <c r="A52" s="2" t="s">
        <v>757</v>
      </c>
      <c r="B52" s="2" t="s">
        <v>785</v>
      </c>
      <c r="C52" s="1" t="s">
        <v>1740</v>
      </c>
      <c r="D52" s="2" t="s">
        <v>1704</v>
      </c>
      <c r="E52" s="2" t="s">
        <v>758</v>
      </c>
      <c r="F52" s="2" t="s">
        <v>759</v>
      </c>
      <c r="G52" s="2" t="s">
        <v>879</v>
      </c>
    </row>
    <row r="53" spans="1:7" ht="135" x14ac:dyDescent="0.25">
      <c r="A53" s="2" t="s">
        <v>741</v>
      </c>
      <c r="B53" s="2" t="s">
        <v>785</v>
      </c>
      <c r="C53" s="1" t="s">
        <v>1741</v>
      </c>
      <c r="D53" s="2" t="s">
        <v>1732</v>
      </c>
      <c r="E53" s="2" t="s">
        <v>147</v>
      </c>
      <c r="F53" s="2" t="s">
        <v>148</v>
      </c>
      <c r="G53" s="2" t="s">
        <v>742</v>
      </c>
    </row>
    <row r="54" spans="1:7" ht="270" x14ac:dyDescent="0.25">
      <c r="A54" s="2" t="s">
        <v>149</v>
      </c>
      <c r="B54" s="2" t="s">
        <v>785</v>
      </c>
      <c r="C54" s="1" t="s">
        <v>1807</v>
      </c>
      <c r="D54" s="2" t="s">
        <v>1780</v>
      </c>
      <c r="E54" s="2" t="s">
        <v>150</v>
      </c>
      <c r="F54" s="2" t="s">
        <v>151</v>
      </c>
      <c r="G54" s="2" t="s">
        <v>1562</v>
      </c>
    </row>
    <row r="55" spans="1:7" ht="270" x14ac:dyDescent="0.25">
      <c r="A55" s="2" t="s">
        <v>152</v>
      </c>
      <c r="B55" s="2" t="s">
        <v>785</v>
      </c>
      <c r="C55" s="1" t="s">
        <v>1808</v>
      </c>
      <c r="D55" s="2" t="s">
        <v>1780</v>
      </c>
      <c r="E55" s="2" t="s">
        <v>153</v>
      </c>
      <c r="F55" s="2" t="s">
        <v>154</v>
      </c>
      <c r="G55" s="2" t="s">
        <v>155</v>
      </c>
    </row>
    <row r="56" spans="1:7" ht="270" x14ac:dyDescent="0.25">
      <c r="A56" s="2" t="s">
        <v>156</v>
      </c>
      <c r="B56" s="2" t="s">
        <v>785</v>
      </c>
      <c r="C56" s="1" t="s">
        <v>1809</v>
      </c>
      <c r="D56" s="2" t="s">
        <v>1780</v>
      </c>
      <c r="E56" s="2" t="s">
        <v>157</v>
      </c>
      <c r="F56" s="2" t="s">
        <v>158</v>
      </c>
      <c r="G56" s="2" t="s">
        <v>159</v>
      </c>
    </row>
    <row r="57" spans="1:7" ht="270" x14ac:dyDescent="0.25">
      <c r="A57" s="2" t="s">
        <v>160</v>
      </c>
      <c r="B57" s="2" t="s">
        <v>785</v>
      </c>
      <c r="C57" s="1" t="s">
        <v>1810</v>
      </c>
      <c r="D57" s="2" t="s">
        <v>1780</v>
      </c>
      <c r="E57" s="2" t="s">
        <v>161</v>
      </c>
      <c r="F57" s="2" t="s">
        <v>162</v>
      </c>
      <c r="G57" s="2" t="s">
        <v>163</v>
      </c>
    </row>
    <row r="58" spans="1:7" ht="135" x14ac:dyDescent="0.25">
      <c r="A58" s="2" t="s">
        <v>743</v>
      </c>
      <c r="B58" s="2" t="s">
        <v>785</v>
      </c>
      <c r="C58" s="1" t="s">
        <v>164</v>
      </c>
      <c r="D58" s="2" t="s">
        <v>165</v>
      </c>
      <c r="E58" s="2" t="s">
        <v>166</v>
      </c>
      <c r="F58" s="2" t="s">
        <v>167</v>
      </c>
      <c r="G58" s="2" t="s">
        <v>1742</v>
      </c>
    </row>
    <row r="59" spans="1:7" ht="165" x14ac:dyDescent="0.25">
      <c r="A59" s="2" t="s">
        <v>168</v>
      </c>
      <c r="B59" s="2" t="s">
        <v>785</v>
      </c>
      <c r="C59" s="1" t="s">
        <v>1743</v>
      </c>
      <c r="D59" s="2" t="s">
        <v>1744</v>
      </c>
      <c r="E59" s="2" t="s">
        <v>169</v>
      </c>
      <c r="F59" s="2" t="s">
        <v>170</v>
      </c>
      <c r="G59" s="2" t="s">
        <v>1745</v>
      </c>
    </row>
    <row r="60" spans="1:7" ht="210" x14ac:dyDescent="0.25">
      <c r="A60" s="2" t="s">
        <v>171</v>
      </c>
      <c r="B60" s="2" t="s">
        <v>785</v>
      </c>
      <c r="C60" s="1" t="s">
        <v>172</v>
      </c>
      <c r="D60" s="2" t="s">
        <v>173</v>
      </c>
      <c r="E60" s="2" t="s">
        <v>174</v>
      </c>
      <c r="F60" s="2" t="s">
        <v>175</v>
      </c>
      <c r="G60" s="2" t="s">
        <v>176</v>
      </c>
    </row>
    <row r="61" spans="1:7" ht="150" x14ac:dyDescent="0.25">
      <c r="A61" s="2" t="s">
        <v>177</v>
      </c>
      <c r="B61" s="2" t="s">
        <v>785</v>
      </c>
      <c r="C61" s="1" t="s">
        <v>1746</v>
      </c>
      <c r="D61" s="2" t="s">
        <v>1747</v>
      </c>
      <c r="E61" s="2" t="s">
        <v>178</v>
      </c>
      <c r="F61" s="2" t="s">
        <v>179</v>
      </c>
      <c r="G61" s="2" t="s">
        <v>1748</v>
      </c>
    </row>
    <row r="62" spans="1:7" ht="315" x14ac:dyDescent="0.25">
      <c r="A62" s="2" t="s">
        <v>180</v>
      </c>
      <c r="B62" s="2" t="s">
        <v>785</v>
      </c>
      <c r="C62" s="1" t="s">
        <v>181</v>
      </c>
      <c r="D62" s="2" t="s">
        <v>182</v>
      </c>
      <c r="E62" s="2" t="s">
        <v>183</v>
      </c>
      <c r="F62" s="2" t="s">
        <v>184</v>
      </c>
      <c r="G62" s="2" t="s">
        <v>185</v>
      </c>
    </row>
    <row r="63" spans="1:7" ht="135" x14ac:dyDescent="0.25">
      <c r="A63" s="2" t="s">
        <v>186</v>
      </c>
      <c r="B63" s="2" t="s">
        <v>785</v>
      </c>
      <c r="C63" s="1" t="s">
        <v>1749</v>
      </c>
      <c r="D63" s="2" t="s">
        <v>1719</v>
      </c>
      <c r="E63" s="2" t="s">
        <v>1750</v>
      </c>
      <c r="F63" s="2" t="s">
        <v>187</v>
      </c>
      <c r="G63" s="2" t="s">
        <v>1751</v>
      </c>
    </row>
    <row r="64" spans="1:7" ht="150" x14ac:dyDescent="0.25">
      <c r="A64" s="2" t="s">
        <v>188</v>
      </c>
      <c r="B64" s="2" t="s">
        <v>785</v>
      </c>
      <c r="C64" s="1" t="s">
        <v>1752</v>
      </c>
      <c r="D64" s="2" t="s">
        <v>1719</v>
      </c>
      <c r="E64" s="2" t="s">
        <v>1753</v>
      </c>
      <c r="F64" s="2" t="s">
        <v>189</v>
      </c>
      <c r="G64" s="2" t="s">
        <v>1754</v>
      </c>
    </row>
    <row r="65" spans="1:7" ht="270" x14ac:dyDescent="0.25">
      <c r="A65" s="2" t="s">
        <v>744</v>
      </c>
      <c r="B65" s="2" t="s">
        <v>785</v>
      </c>
      <c r="C65" s="1" t="s">
        <v>1811</v>
      </c>
      <c r="D65" s="2" t="s">
        <v>1780</v>
      </c>
      <c r="E65" s="2" t="s">
        <v>190</v>
      </c>
      <c r="F65" s="2" t="s">
        <v>191</v>
      </c>
      <c r="G65" s="2" t="s">
        <v>1563</v>
      </c>
    </row>
    <row r="66" spans="1:7" ht="270" x14ac:dyDescent="0.25">
      <c r="A66" s="2" t="s">
        <v>745</v>
      </c>
      <c r="B66" s="2" t="s">
        <v>785</v>
      </c>
      <c r="C66" s="1" t="s">
        <v>1812</v>
      </c>
      <c r="D66" s="2" t="s">
        <v>1780</v>
      </c>
      <c r="E66" s="2" t="s">
        <v>192</v>
      </c>
      <c r="F66" s="2" t="s">
        <v>193</v>
      </c>
      <c r="G66" s="2" t="s">
        <v>1564</v>
      </c>
    </row>
    <row r="67" spans="1:7" ht="150" x14ac:dyDescent="0.25">
      <c r="A67" s="2" t="s">
        <v>194</v>
      </c>
      <c r="B67" s="2" t="s">
        <v>785</v>
      </c>
      <c r="C67" s="1" t="s">
        <v>1755</v>
      </c>
      <c r="D67" s="2" t="s">
        <v>1719</v>
      </c>
      <c r="E67" s="2" t="s">
        <v>195</v>
      </c>
      <c r="F67" s="2" t="s">
        <v>196</v>
      </c>
      <c r="G67" s="2" t="s">
        <v>1756</v>
      </c>
    </row>
    <row r="68" spans="1:7" ht="120" x14ac:dyDescent="0.25">
      <c r="A68" s="2" t="s">
        <v>197</v>
      </c>
      <c r="B68" s="2" t="s">
        <v>785</v>
      </c>
      <c r="C68" s="1" t="s">
        <v>198</v>
      </c>
      <c r="D68" s="2" t="s">
        <v>199</v>
      </c>
      <c r="E68" s="2" t="s">
        <v>200</v>
      </c>
      <c r="F68" s="2" t="s">
        <v>201</v>
      </c>
      <c r="G68" s="2" t="s">
        <v>202</v>
      </c>
    </row>
    <row r="69" spans="1:7" ht="330" x14ac:dyDescent="0.25">
      <c r="A69" s="2" t="s">
        <v>746</v>
      </c>
      <c r="B69" s="2" t="s">
        <v>785</v>
      </c>
      <c r="C69" s="1" t="s">
        <v>203</v>
      </c>
      <c r="D69" s="2" t="s">
        <v>204</v>
      </c>
      <c r="E69" s="2" t="s">
        <v>205</v>
      </c>
      <c r="F69" s="2" t="s">
        <v>206</v>
      </c>
      <c r="G69" s="2" t="s">
        <v>747</v>
      </c>
    </row>
    <row r="70" spans="1:7" ht="120" x14ac:dyDescent="0.25">
      <c r="A70" s="2" t="s">
        <v>207</v>
      </c>
      <c r="B70" s="2" t="s">
        <v>785</v>
      </c>
      <c r="C70" s="1" t="s">
        <v>208</v>
      </c>
      <c r="D70" s="2" t="s">
        <v>209</v>
      </c>
      <c r="E70" s="2" t="s">
        <v>210</v>
      </c>
      <c r="F70" s="2" t="s">
        <v>211</v>
      </c>
      <c r="G70" s="2" t="s">
        <v>212</v>
      </c>
    </row>
    <row r="71" spans="1:7" ht="150" x14ac:dyDescent="0.25">
      <c r="A71" s="2" t="s">
        <v>213</v>
      </c>
      <c r="B71" s="2" t="s">
        <v>785</v>
      </c>
      <c r="C71" s="1" t="s">
        <v>214</v>
      </c>
      <c r="D71" s="2" t="s">
        <v>209</v>
      </c>
      <c r="E71" s="2" t="s">
        <v>215</v>
      </c>
      <c r="F71" s="2" t="s">
        <v>216</v>
      </c>
      <c r="G71" s="2" t="s">
        <v>217</v>
      </c>
    </row>
    <row r="72" spans="1:7" ht="150" x14ac:dyDescent="0.25">
      <c r="A72" s="2" t="s">
        <v>748</v>
      </c>
      <c r="B72" s="2" t="s">
        <v>785</v>
      </c>
      <c r="C72" s="1" t="s">
        <v>218</v>
      </c>
      <c r="D72" s="2" t="s">
        <v>209</v>
      </c>
      <c r="E72" s="2" t="s">
        <v>219</v>
      </c>
      <c r="F72" s="2" t="s">
        <v>220</v>
      </c>
      <c r="G72" s="2" t="s">
        <v>749</v>
      </c>
    </row>
    <row r="73" spans="1:7" ht="330" x14ac:dyDescent="0.25">
      <c r="A73" s="2" t="s">
        <v>750</v>
      </c>
      <c r="B73" s="2" t="s">
        <v>785</v>
      </c>
      <c r="C73" s="1" t="s">
        <v>221</v>
      </c>
      <c r="D73" s="2" t="s">
        <v>222</v>
      </c>
      <c r="E73" s="2" t="s">
        <v>223</v>
      </c>
      <c r="F73" s="2" t="s">
        <v>224</v>
      </c>
      <c r="G73" s="2" t="s">
        <v>751</v>
      </c>
    </row>
    <row r="74" spans="1:7" ht="165" x14ac:dyDescent="0.25">
      <c r="A74" s="2" t="s">
        <v>225</v>
      </c>
      <c r="B74" s="2" t="s">
        <v>785</v>
      </c>
      <c r="C74" s="1" t="s">
        <v>782</v>
      </c>
      <c r="D74" s="2" t="s">
        <v>222</v>
      </c>
      <c r="E74" s="2" t="s">
        <v>699</v>
      </c>
      <c r="F74" s="2" t="s">
        <v>700</v>
      </c>
      <c r="G74" s="2" t="s">
        <v>783</v>
      </c>
    </row>
    <row r="75" spans="1:7" ht="105" x14ac:dyDescent="0.25">
      <c r="A75" s="2" t="s">
        <v>701</v>
      </c>
      <c r="B75" s="2" t="s">
        <v>785</v>
      </c>
      <c r="C75" s="1" t="s">
        <v>702</v>
      </c>
      <c r="D75" s="2" t="s">
        <v>222</v>
      </c>
      <c r="E75" s="2" t="s">
        <v>703</v>
      </c>
      <c r="F75" s="2" t="s">
        <v>704</v>
      </c>
      <c r="G75" s="2" t="s">
        <v>705</v>
      </c>
    </row>
    <row r="76" spans="1:7" ht="105" x14ac:dyDescent="0.25">
      <c r="A76" s="2" t="s">
        <v>226</v>
      </c>
      <c r="B76" s="2" t="s">
        <v>785</v>
      </c>
      <c r="C76" s="1" t="s">
        <v>706</v>
      </c>
      <c r="D76" s="2" t="s">
        <v>222</v>
      </c>
      <c r="E76" s="2" t="s">
        <v>707</v>
      </c>
      <c r="F76" s="2" t="s">
        <v>227</v>
      </c>
      <c r="G76" s="2" t="s">
        <v>708</v>
      </c>
    </row>
    <row r="77" spans="1:7" ht="90" x14ac:dyDescent="0.25">
      <c r="A77" s="2" t="s">
        <v>644</v>
      </c>
      <c r="B77" s="2" t="s">
        <v>785</v>
      </c>
      <c r="C77" s="1" t="s">
        <v>709</v>
      </c>
      <c r="D77" s="2" t="s">
        <v>222</v>
      </c>
      <c r="E77" s="2" t="s">
        <v>710</v>
      </c>
      <c r="F77" s="2" t="s">
        <v>645</v>
      </c>
      <c r="G77" s="2" t="s">
        <v>711</v>
      </c>
    </row>
    <row r="78" spans="1:7" ht="105" x14ac:dyDescent="0.25">
      <c r="A78" s="2" t="s">
        <v>646</v>
      </c>
      <c r="B78" s="2" t="s">
        <v>785</v>
      </c>
      <c r="C78" s="1" t="s">
        <v>712</v>
      </c>
      <c r="D78" s="2" t="s">
        <v>222</v>
      </c>
      <c r="E78" s="2" t="s">
        <v>713</v>
      </c>
      <c r="F78" s="2" t="s">
        <v>647</v>
      </c>
      <c r="G78" s="2" t="s">
        <v>714</v>
      </c>
    </row>
    <row r="79" spans="1:7" ht="120" x14ac:dyDescent="0.25">
      <c r="A79" s="2" t="s">
        <v>648</v>
      </c>
      <c r="B79" s="2" t="s">
        <v>785</v>
      </c>
      <c r="C79" s="1" t="s">
        <v>649</v>
      </c>
      <c r="D79" s="2" t="s">
        <v>650</v>
      </c>
      <c r="E79" s="2" t="s">
        <v>651</v>
      </c>
      <c r="F79" s="2" t="s">
        <v>652</v>
      </c>
      <c r="G79" s="2" t="s">
        <v>653</v>
      </c>
    </row>
    <row r="80" spans="1:7" ht="120" x14ac:dyDescent="0.25">
      <c r="A80" s="2" t="s">
        <v>654</v>
      </c>
      <c r="B80" s="2" t="s">
        <v>785</v>
      </c>
      <c r="C80" s="1" t="s">
        <v>655</v>
      </c>
      <c r="D80" s="2" t="s">
        <v>656</v>
      </c>
      <c r="E80" s="2" t="s">
        <v>657</v>
      </c>
      <c r="F80" s="2" t="s">
        <v>658</v>
      </c>
      <c r="G80" s="2" t="s">
        <v>659</v>
      </c>
    </row>
    <row r="81" spans="1:7" ht="105" x14ac:dyDescent="0.25">
      <c r="A81" s="2" t="s">
        <v>660</v>
      </c>
      <c r="B81" s="2" t="s">
        <v>785</v>
      </c>
      <c r="C81" s="1" t="s">
        <v>661</v>
      </c>
      <c r="D81" s="2" t="s">
        <v>662</v>
      </c>
      <c r="E81" s="2" t="s">
        <v>663</v>
      </c>
      <c r="F81" s="2" t="s">
        <v>664</v>
      </c>
      <c r="G81" s="2" t="s">
        <v>665</v>
      </c>
    </row>
    <row r="82" spans="1:7" ht="135" x14ac:dyDescent="0.25">
      <c r="A82" s="2" t="s">
        <v>666</v>
      </c>
      <c r="B82" s="2" t="s">
        <v>785</v>
      </c>
      <c r="C82" s="1" t="s">
        <v>667</v>
      </c>
      <c r="D82" s="2" t="s">
        <v>668</v>
      </c>
      <c r="E82" s="2" t="s">
        <v>669</v>
      </c>
      <c r="F82" s="2" t="s">
        <v>670</v>
      </c>
      <c r="G82" s="2" t="s">
        <v>671</v>
      </c>
    </row>
    <row r="83" spans="1:7" ht="135" x14ac:dyDescent="0.25">
      <c r="A83" s="2" t="s">
        <v>672</v>
      </c>
      <c r="B83" s="2" t="s">
        <v>785</v>
      </c>
      <c r="C83" s="1" t="s">
        <v>673</v>
      </c>
      <c r="D83" s="2" t="s">
        <v>674</v>
      </c>
      <c r="E83" s="2" t="s">
        <v>675</v>
      </c>
      <c r="F83" s="2" t="s">
        <v>676</v>
      </c>
      <c r="G83" s="2" t="s">
        <v>677</v>
      </c>
    </row>
    <row r="84" spans="1:7" ht="195" x14ac:dyDescent="0.25">
      <c r="A84" s="2" t="s">
        <v>678</v>
      </c>
      <c r="B84" s="2" t="s">
        <v>785</v>
      </c>
      <c r="C84" s="1" t="s">
        <v>679</v>
      </c>
      <c r="D84" s="2" t="s">
        <v>680</v>
      </c>
      <c r="E84" s="2" t="s">
        <v>681</v>
      </c>
      <c r="F84" s="2" t="s">
        <v>682</v>
      </c>
      <c r="G84" s="2" t="s">
        <v>683</v>
      </c>
    </row>
    <row r="85" spans="1:7" ht="255" x14ac:dyDescent="0.25">
      <c r="A85" s="2" t="s">
        <v>684</v>
      </c>
      <c r="B85" s="2" t="s">
        <v>785</v>
      </c>
      <c r="C85" s="1" t="s">
        <v>685</v>
      </c>
      <c r="D85" s="2" t="s">
        <v>686</v>
      </c>
      <c r="E85" s="2" t="s">
        <v>687</v>
      </c>
      <c r="F85" s="2" t="s">
        <v>688</v>
      </c>
      <c r="G85" s="2" t="s">
        <v>689</v>
      </c>
    </row>
    <row r="86" spans="1:7" ht="180" x14ac:dyDescent="0.25">
      <c r="A86" s="2" t="s">
        <v>690</v>
      </c>
      <c r="B86" s="2" t="s">
        <v>785</v>
      </c>
      <c r="C86" s="1" t="s">
        <v>816</v>
      </c>
      <c r="D86" s="2" t="s">
        <v>691</v>
      </c>
      <c r="E86" s="2" t="s">
        <v>692</v>
      </c>
      <c r="F86" s="2" t="s">
        <v>693</v>
      </c>
      <c r="G86" s="2" t="s">
        <v>817</v>
      </c>
    </row>
    <row r="87" spans="1:7" ht="240" x14ac:dyDescent="0.25">
      <c r="A87" s="2" t="s">
        <v>752</v>
      </c>
      <c r="B87" s="2" t="s">
        <v>785</v>
      </c>
      <c r="C87" s="1" t="s">
        <v>228</v>
      </c>
      <c r="D87" s="2" t="s">
        <v>229</v>
      </c>
      <c r="E87" s="2" t="s">
        <v>230</v>
      </c>
      <c r="F87" s="2" t="s">
        <v>231</v>
      </c>
      <c r="G87" s="2" t="s">
        <v>753</v>
      </c>
    </row>
    <row r="88" spans="1:7" ht="180" x14ac:dyDescent="0.25">
      <c r="A88" s="2" t="s">
        <v>232</v>
      </c>
      <c r="B88" s="2" t="s">
        <v>785</v>
      </c>
      <c r="C88" s="1" t="s">
        <v>754</v>
      </c>
      <c r="D88" s="2" t="s">
        <v>233</v>
      </c>
      <c r="E88" s="2" t="s">
        <v>234</v>
      </c>
      <c r="F88" s="2" t="s">
        <v>235</v>
      </c>
      <c r="G88" s="2" t="s">
        <v>755</v>
      </c>
    </row>
    <row r="89" spans="1:7" ht="150" x14ac:dyDescent="0.25">
      <c r="A89" s="2" t="s">
        <v>236</v>
      </c>
      <c r="B89" s="2" t="s">
        <v>785</v>
      </c>
      <c r="C89" s="1" t="s">
        <v>237</v>
      </c>
      <c r="D89" s="2" t="s">
        <v>238</v>
      </c>
      <c r="E89" s="2" t="s">
        <v>239</v>
      </c>
      <c r="F89" s="2" t="s">
        <v>240</v>
      </c>
      <c r="G89" s="2" t="s">
        <v>241</v>
      </c>
    </row>
    <row r="90" spans="1:7" ht="135" x14ac:dyDescent="0.25">
      <c r="A90" s="2" t="s">
        <v>242</v>
      </c>
      <c r="B90" s="2" t="s">
        <v>785</v>
      </c>
      <c r="C90" s="1" t="s">
        <v>243</v>
      </c>
      <c r="D90" s="2" t="s">
        <v>244</v>
      </c>
      <c r="E90" s="2" t="s">
        <v>245</v>
      </c>
      <c r="F90" s="2" t="s">
        <v>246</v>
      </c>
      <c r="G90" s="2" t="s">
        <v>247</v>
      </c>
    </row>
    <row r="91" spans="1:7" ht="120" x14ac:dyDescent="0.25">
      <c r="A91" s="2" t="s">
        <v>248</v>
      </c>
      <c r="B91" s="2" t="s">
        <v>785</v>
      </c>
      <c r="C91" s="1" t="s">
        <v>249</v>
      </c>
      <c r="D91" s="2" t="s">
        <v>250</v>
      </c>
      <c r="E91" s="2" t="s">
        <v>251</v>
      </c>
      <c r="F91" s="2" t="s">
        <v>252</v>
      </c>
      <c r="G91" s="2" t="s">
        <v>253</v>
      </c>
    </row>
    <row r="92" spans="1:7" ht="135" x14ac:dyDescent="0.25">
      <c r="A92" s="2" t="s">
        <v>254</v>
      </c>
      <c r="B92" s="2" t="s">
        <v>785</v>
      </c>
      <c r="C92" s="1" t="s">
        <v>255</v>
      </c>
      <c r="D92" s="2" t="s">
        <v>256</v>
      </c>
      <c r="E92" s="2" t="s">
        <v>257</v>
      </c>
      <c r="F92" s="2" t="s">
        <v>258</v>
      </c>
      <c r="G92" s="2" t="s">
        <v>259</v>
      </c>
    </row>
    <row r="93" spans="1:7" ht="120" x14ac:dyDescent="0.25">
      <c r="A93" s="2" t="s">
        <v>260</v>
      </c>
      <c r="B93" s="2" t="s">
        <v>785</v>
      </c>
      <c r="C93" s="1" t="s">
        <v>261</v>
      </c>
      <c r="D93" s="2" t="s">
        <v>262</v>
      </c>
      <c r="E93" s="2" t="s">
        <v>263</v>
      </c>
      <c r="F93" s="2" t="s">
        <v>264</v>
      </c>
      <c r="G93" s="2" t="s">
        <v>265</v>
      </c>
    </row>
    <row r="94" spans="1:7" ht="180" x14ac:dyDescent="0.25">
      <c r="A94" s="2" t="s">
        <v>266</v>
      </c>
      <c r="B94" s="2" t="s">
        <v>785</v>
      </c>
      <c r="C94" s="1" t="s">
        <v>267</v>
      </c>
      <c r="D94" s="2" t="s">
        <v>268</v>
      </c>
      <c r="E94" s="2" t="s">
        <v>269</v>
      </c>
      <c r="F94" s="2" t="s">
        <v>270</v>
      </c>
      <c r="G94" s="2" t="s">
        <v>271</v>
      </c>
    </row>
    <row r="95" spans="1:7" ht="135" x14ac:dyDescent="0.25">
      <c r="A95" s="2" t="s">
        <v>272</v>
      </c>
      <c r="B95" s="2" t="s">
        <v>785</v>
      </c>
      <c r="C95" s="1" t="s">
        <v>273</v>
      </c>
      <c r="D95" s="2" t="s">
        <v>274</v>
      </c>
      <c r="E95" s="2" t="s">
        <v>275</v>
      </c>
      <c r="F95" s="2" t="s">
        <v>276</v>
      </c>
      <c r="G95" s="2" t="s">
        <v>277</v>
      </c>
    </row>
    <row r="96" spans="1:7" ht="180" x14ac:dyDescent="0.25">
      <c r="A96" s="2" t="s">
        <v>278</v>
      </c>
      <c r="B96" s="2" t="s">
        <v>785</v>
      </c>
      <c r="C96" s="1" t="s">
        <v>279</v>
      </c>
      <c r="D96" s="2" t="s">
        <v>280</v>
      </c>
      <c r="E96" s="2" t="s">
        <v>281</v>
      </c>
      <c r="F96" s="2" t="s">
        <v>282</v>
      </c>
      <c r="G96" s="2" t="s">
        <v>283</v>
      </c>
    </row>
    <row r="97" spans="1:7" ht="150" x14ac:dyDescent="0.25">
      <c r="A97" s="2" t="s">
        <v>284</v>
      </c>
      <c r="B97" s="2" t="s">
        <v>785</v>
      </c>
      <c r="C97" s="1" t="s">
        <v>285</v>
      </c>
      <c r="D97" s="2" t="s">
        <v>286</v>
      </c>
      <c r="E97" s="2" t="s">
        <v>287</v>
      </c>
      <c r="F97" s="2" t="s">
        <v>288</v>
      </c>
      <c r="G97" s="2" t="s">
        <v>289</v>
      </c>
    </row>
    <row r="98" spans="1:7" ht="135" x14ac:dyDescent="0.25">
      <c r="A98" s="2" t="s">
        <v>290</v>
      </c>
      <c r="B98" s="2" t="s">
        <v>785</v>
      </c>
      <c r="C98" s="1" t="s">
        <v>291</v>
      </c>
      <c r="D98" s="2" t="s">
        <v>292</v>
      </c>
      <c r="E98" s="2" t="s">
        <v>293</v>
      </c>
      <c r="F98" s="2" t="s">
        <v>294</v>
      </c>
      <c r="G98" s="2" t="s">
        <v>295</v>
      </c>
    </row>
    <row r="99" spans="1:7" ht="240" x14ac:dyDescent="0.25">
      <c r="A99" s="2" t="s">
        <v>715</v>
      </c>
      <c r="B99" s="2" t="s">
        <v>785</v>
      </c>
      <c r="C99" s="1" t="s">
        <v>694</v>
      </c>
      <c r="D99" s="2" t="s">
        <v>695</v>
      </c>
      <c r="E99" s="2" t="s">
        <v>696</v>
      </c>
      <c r="F99" s="2" t="s">
        <v>716</v>
      </c>
      <c r="G99" s="2" t="s">
        <v>717</v>
      </c>
    </row>
    <row r="100" spans="1:7" ht="225" x14ac:dyDescent="0.25">
      <c r="A100" s="2" t="s">
        <v>718</v>
      </c>
      <c r="B100" s="2" t="s">
        <v>785</v>
      </c>
      <c r="C100" s="1" t="s">
        <v>697</v>
      </c>
      <c r="D100" s="2" t="s">
        <v>695</v>
      </c>
      <c r="E100" s="2" t="s">
        <v>698</v>
      </c>
      <c r="F100" s="2" t="s">
        <v>719</v>
      </c>
      <c r="G100" s="2" t="s">
        <v>720</v>
      </c>
    </row>
    <row r="101" spans="1:7" ht="360" x14ac:dyDescent="0.25">
      <c r="A101" s="2" t="s">
        <v>1680</v>
      </c>
      <c r="B101" s="2" t="s">
        <v>785</v>
      </c>
      <c r="C101" s="1" t="s">
        <v>1681</v>
      </c>
      <c r="D101" s="2" t="s">
        <v>1682</v>
      </c>
      <c r="E101" s="2" t="s">
        <v>1683</v>
      </c>
      <c r="F101" s="2" t="s">
        <v>1684</v>
      </c>
      <c r="G101" s="2" t="s">
        <v>1757</v>
      </c>
    </row>
    <row r="102" spans="1:7" ht="409.5" x14ac:dyDescent="0.25">
      <c r="A102" s="2" t="s">
        <v>761</v>
      </c>
      <c r="B102" s="2" t="s">
        <v>785</v>
      </c>
      <c r="C102" s="1" t="s">
        <v>762</v>
      </c>
      <c r="D102" s="2" t="s">
        <v>763</v>
      </c>
      <c r="E102" s="2" t="s">
        <v>764</v>
      </c>
      <c r="F102" s="2" t="s">
        <v>765</v>
      </c>
      <c r="G102" s="2" t="s">
        <v>766</v>
      </c>
    </row>
    <row r="103" spans="1:7" ht="390" x14ac:dyDescent="0.25">
      <c r="A103" s="2" t="s">
        <v>767</v>
      </c>
      <c r="B103" s="2" t="s">
        <v>785</v>
      </c>
      <c r="C103" s="1" t="s">
        <v>768</v>
      </c>
      <c r="D103" s="2" t="s">
        <v>763</v>
      </c>
      <c r="E103" s="2" t="s">
        <v>769</v>
      </c>
      <c r="F103" s="2" t="s">
        <v>770</v>
      </c>
      <c r="G103" s="2" t="s">
        <v>771</v>
      </c>
    </row>
    <row r="104" spans="1:7" ht="409.5" x14ac:dyDescent="0.25">
      <c r="A104" s="2" t="s">
        <v>827</v>
      </c>
      <c r="B104" s="2" t="s">
        <v>624</v>
      </c>
      <c r="C104" s="1" t="s">
        <v>1937</v>
      </c>
      <c r="D104" s="2"/>
      <c r="E104" s="2" t="s">
        <v>871</v>
      </c>
      <c r="F104" s="2" t="s">
        <v>828</v>
      </c>
      <c r="G104" s="2" t="s">
        <v>1938</v>
      </c>
    </row>
    <row r="105" spans="1:7" ht="409.5" x14ac:dyDescent="0.25">
      <c r="A105" s="2" t="s">
        <v>829</v>
      </c>
      <c r="B105" s="2" t="s">
        <v>785</v>
      </c>
      <c r="C105" s="1" t="s">
        <v>830</v>
      </c>
      <c r="D105" s="2" t="s">
        <v>831</v>
      </c>
      <c r="E105" s="2" t="s">
        <v>832</v>
      </c>
      <c r="F105" s="2" t="s">
        <v>833</v>
      </c>
      <c r="G105" s="2" t="s">
        <v>834</v>
      </c>
    </row>
    <row r="106" spans="1:7" ht="409.5" x14ac:dyDescent="0.25">
      <c r="A106" s="2" t="s">
        <v>835</v>
      </c>
      <c r="B106" s="2" t="s">
        <v>785</v>
      </c>
      <c r="C106" s="1" t="s">
        <v>836</v>
      </c>
      <c r="D106" s="2" t="s">
        <v>837</v>
      </c>
      <c r="E106" s="2" t="s">
        <v>838</v>
      </c>
      <c r="F106" s="2" t="s">
        <v>839</v>
      </c>
      <c r="G106" s="2" t="s">
        <v>840</v>
      </c>
    </row>
    <row r="107" spans="1:7" ht="285" x14ac:dyDescent="0.25">
      <c r="A107" s="2" t="s">
        <v>1565</v>
      </c>
      <c r="B107" s="2" t="s">
        <v>785</v>
      </c>
      <c r="C107" s="1" t="s">
        <v>1615</v>
      </c>
      <c r="D107" s="2" t="s">
        <v>1566</v>
      </c>
      <c r="E107" s="2" t="s">
        <v>1567</v>
      </c>
      <c r="F107" s="2" t="s">
        <v>1568</v>
      </c>
      <c r="G107" s="2" t="s">
        <v>1758</v>
      </c>
    </row>
    <row r="108" spans="1:7" ht="330" x14ac:dyDescent="0.25">
      <c r="A108" s="2" t="s">
        <v>1569</v>
      </c>
      <c r="B108" s="2" t="s">
        <v>785</v>
      </c>
      <c r="C108" s="1" t="s">
        <v>1570</v>
      </c>
      <c r="D108" s="2" t="s">
        <v>1571</v>
      </c>
      <c r="E108" s="2" t="s">
        <v>1572</v>
      </c>
      <c r="F108" s="2" t="s">
        <v>1573</v>
      </c>
      <c r="G108" s="2" t="s">
        <v>1574</v>
      </c>
    </row>
    <row r="109" spans="1:7" ht="285" x14ac:dyDescent="0.25">
      <c r="A109" s="2" t="s">
        <v>1575</v>
      </c>
      <c r="B109" s="2" t="s">
        <v>785</v>
      </c>
      <c r="C109" s="1" t="s">
        <v>1576</v>
      </c>
      <c r="D109" s="2" t="s">
        <v>1577</v>
      </c>
      <c r="E109" s="2" t="s">
        <v>1578</v>
      </c>
      <c r="F109" s="2" t="s">
        <v>1579</v>
      </c>
      <c r="G109" s="2" t="s">
        <v>1759</v>
      </c>
    </row>
    <row r="110" spans="1:7" ht="180" x14ac:dyDescent="0.25">
      <c r="A110" s="2" t="s">
        <v>1580</v>
      </c>
      <c r="B110" s="2" t="s">
        <v>785</v>
      </c>
      <c r="C110" s="1" t="s">
        <v>1581</v>
      </c>
      <c r="D110" s="2" t="s">
        <v>1582</v>
      </c>
      <c r="E110" s="2" t="s">
        <v>1583</v>
      </c>
      <c r="F110" s="2" t="s">
        <v>1584</v>
      </c>
      <c r="G110" s="2" t="s">
        <v>1585</v>
      </c>
    </row>
    <row r="111" spans="1:7" ht="135" x14ac:dyDescent="0.25">
      <c r="A111" s="2" t="s">
        <v>1586</v>
      </c>
      <c r="B111" s="2" t="s">
        <v>785</v>
      </c>
      <c r="C111" s="1" t="s">
        <v>1587</v>
      </c>
      <c r="D111" s="2" t="s">
        <v>1588</v>
      </c>
      <c r="E111" s="2" t="s">
        <v>1589</v>
      </c>
      <c r="F111" s="2" t="s">
        <v>1590</v>
      </c>
      <c r="G111" s="2" t="s">
        <v>1591</v>
      </c>
    </row>
    <row r="112" spans="1:7" ht="165" x14ac:dyDescent="0.25">
      <c r="A112" s="2" t="s">
        <v>786</v>
      </c>
      <c r="B112" s="2" t="s">
        <v>624</v>
      </c>
      <c r="C112" s="1" t="s">
        <v>795</v>
      </c>
      <c r="D112" s="2"/>
      <c r="E112" s="2" t="s">
        <v>787</v>
      </c>
      <c r="F112" s="2" t="s">
        <v>788</v>
      </c>
      <c r="G112" s="2" t="s">
        <v>789</v>
      </c>
    </row>
    <row r="113" spans="1:7" ht="345" x14ac:dyDescent="0.25">
      <c r="A113" s="2" t="s">
        <v>790</v>
      </c>
      <c r="B113" s="2" t="s">
        <v>624</v>
      </c>
      <c r="C113" s="1" t="s">
        <v>1685</v>
      </c>
      <c r="D113" s="2"/>
      <c r="E113" s="2" t="s">
        <v>1686</v>
      </c>
      <c r="F113" s="2" t="s">
        <v>1687</v>
      </c>
      <c r="G113" s="2" t="s">
        <v>1760</v>
      </c>
    </row>
    <row r="114" spans="1:7" ht="135" x14ac:dyDescent="0.25">
      <c r="A114" s="2" t="s">
        <v>791</v>
      </c>
      <c r="B114" s="2" t="s">
        <v>624</v>
      </c>
      <c r="C114" s="1" t="s">
        <v>796</v>
      </c>
      <c r="D114" s="2"/>
      <c r="E114" s="2" t="s">
        <v>792</v>
      </c>
      <c r="F114" s="2" t="s">
        <v>793</v>
      </c>
      <c r="G114" s="2" t="s">
        <v>1761</v>
      </c>
    </row>
    <row r="115" spans="1:7" ht="409.5" x14ac:dyDescent="0.25">
      <c r="A115" s="2" t="s">
        <v>1762</v>
      </c>
      <c r="B115" s="2" t="s">
        <v>624</v>
      </c>
      <c r="C115" s="1" t="s">
        <v>1860</v>
      </c>
      <c r="D115" s="2"/>
      <c r="E115" s="2" t="s">
        <v>1861</v>
      </c>
      <c r="F115" s="2" t="s">
        <v>1688</v>
      </c>
      <c r="G115" s="2" t="s">
        <v>1862</v>
      </c>
    </row>
    <row r="116" spans="1:7" ht="375" x14ac:dyDescent="0.25">
      <c r="A116" s="2" t="s">
        <v>794</v>
      </c>
      <c r="B116" s="2" t="s">
        <v>624</v>
      </c>
      <c r="C116" s="1" t="s">
        <v>1863</v>
      </c>
      <c r="D116" s="2"/>
      <c r="E116" s="2" t="s">
        <v>1864</v>
      </c>
      <c r="F116" s="2" t="s">
        <v>1689</v>
      </c>
      <c r="G116" s="2" t="s">
        <v>1763</v>
      </c>
    </row>
    <row r="117" spans="1:7" ht="409.5" x14ac:dyDescent="0.25">
      <c r="A117" s="2" t="s">
        <v>1690</v>
      </c>
      <c r="B117" s="2" t="s">
        <v>624</v>
      </c>
      <c r="C117" s="1" t="s">
        <v>1865</v>
      </c>
      <c r="D117" s="2"/>
      <c r="E117" s="2" t="s">
        <v>1866</v>
      </c>
      <c r="F117" s="2" t="s">
        <v>1691</v>
      </c>
      <c r="G117" s="2" t="s">
        <v>1764</v>
      </c>
    </row>
    <row r="118" spans="1:7" ht="255" x14ac:dyDescent="0.25">
      <c r="A118" s="2" t="s">
        <v>841</v>
      </c>
      <c r="B118" s="2" t="s">
        <v>624</v>
      </c>
      <c r="C118" s="1" t="s">
        <v>842</v>
      </c>
      <c r="D118" s="2"/>
      <c r="E118" s="2" t="s">
        <v>843</v>
      </c>
      <c r="F118" s="2" t="s">
        <v>844</v>
      </c>
      <c r="G118" s="2" t="s">
        <v>845</v>
      </c>
    </row>
    <row r="119" spans="1:7" ht="360" x14ac:dyDescent="0.25">
      <c r="A119" s="2" t="s">
        <v>846</v>
      </c>
      <c r="B119" s="2" t="s">
        <v>624</v>
      </c>
      <c r="C119" s="1" t="s">
        <v>847</v>
      </c>
      <c r="D119" s="2"/>
      <c r="E119" s="2" t="s">
        <v>848</v>
      </c>
      <c r="F119" s="2" t="s">
        <v>849</v>
      </c>
      <c r="G119" s="2" t="s">
        <v>850</v>
      </c>
    </row>
    <row r="120" spans="1:7" ht="390" x14ac:dyDescent="0.25">
      <c r="A120" s="2" t="s">
        <v>1592</v>
      </c>
      <c r="B120" s="2" t="s">
        <v>624</v>
      </c>
      <c r="C120" s="1" t="s">
        <v>1593</v>
      </c>
      <c r="D120" s="2"/>
      <c r="E120" s="2" t="s">
        <v>1594</v>
      </c>
      <c r="F120" s="2" t="s">
        <v>1595</v>
      </c>
      <c r="G120" s="2" t="s">
        <v>1765</v>
      </c>
    </row>
    <row r="121" spans="1:7" ht="330" x14ac:dyDescent="0.25">
      <c r="A121" s="2" t="s">
        <v>1596</v>
      </c>
      <c r="B121" s="2" t="s">
        <v>624</v>
      </c>
      <c r="C121" s="1" t="s">
        <v>1597</v>
      </c>
      <c r="D121" s="2"/>
      <c r="E121" s="2" t="s">
        <v>1598</v>
      </c>
      <c r="F121" s="2" t="s">
        <v>1599</v>
      </c>
      <c r="G121" s="2" t="s">
        <v>1766</v>
      </c>
    </row>
    <row r="122" spans="1:7" ht="405" x14ac:dyDescent="0.25">
      <c r="A122" s="2" t="s">
        <v>1767</v>
      </c>
      <c r="B122" s="2" t="s">
        <v>624</v>
      </c>
      <c r="C122" s="1" t="s">
        <v>1600</v>
      </c>
      <c r="D122" s="2"/>
      <c r="E122" s="2" t="s">
        <v>1601</v>
      </c>
      <c r="F122" s="2" t="s">
        <v>1602</v>
      </c>
      <c r="G122" s="2" t="s">
        <v>1768</v>
      </c>
    </row>
    <row r="123" spans="1:7" ht="405" x14ac:dyDescent="0.25">
      <c r="A123" s="2" t="s">
        <v>1769</v>
      </c>
      <c r="B123" s="2" t="s">
        <v>624</v>
      </c>
      <c r="C123" s="1" t="s">
        <v>1844</v>
      </c>
      <c r="D123" s="2"/>
      <c r="E123" s="2" t="s">
        <v>1770</v>
      </c>
      <c r="F123" s="2" t="s">
        <v>1603</v>
      </c>
      <c r="G123" s="2" t="s">
        <v>1771</v>
      </c>
    </row>
    <row r="124" spans="1:7" ht="409.5" x14ac:dyDescent="0.25">
      <c r="A124" s="2" t="s">
        <v>851</v>
      </c>
      <c r="B124" s="2" t="s">
        <v>624</v>
      </c>
      <c r="C124" s="1" t="s">
        <v>1772</v>
      </c>
      <c r="D124" s="2"/>
      <c r="E124" s="2" t="s">
        <v>1773</v>
      </c>
      <c r="F124" s="2" t="s">
        <v>852</v>
      </c>
      <c r="G124" s="2" t="s">
        <v>1774</v>
      </c>
    </row>
    <row r="125" spans="1:7" ht="409.5" x14ac:dyDescent="0.25">
      <c r="A125" s="2" t="s">
        <v>853</v>
      </c>
      <c r="B125" s="2" t="s">
        <v>624</v>
      </c>
      <c r="C125" s="1" t="s">
        <v>854</v>
      </c>
      <c r="D125" s="2"/>
      <c r="E125" s="2" t="s">
        <v>855</v>
      </c>
      <c r="F125" s="2" t="s">
        <v>856</v>
      </c>
      <c r="G125" s="2" t="s">
        <v>857</v>
      </c>
    </row>
    <row r="126" spans="1:7" ht="315" x14ac:dyDescent="0.25">
      <c r="A126" s="2" t="s">
        <v>858</v>
      </c>
      <c r="B126" s="2" t="s">
        <v>624</v>
      </c>
      <c r="C126" s="1" t="s">
        <v>859</v>
      </c>
      <c r="D126" s="2"/>
      <c r="E126" s="2" t="s">
        <v>860</v>
      </c>
      <c r="F126" s="2" t="s">
        <v>861</v>
      </c>
      <c r="G126" s="2" t="s">
        <v>872</v>
      </c>
    </row>
    <row r="127" spans="1:7" ht="255" x14ac:dyDescent="0.25">
      <c r="A127" s="2" t="s">
        <v>862</v>
      </c>
      <c r="B127" s="2" t="s">
        <v>624</v>
      </c>
      <c r="C127" s="1" t="s">
        <v>863</v>
      </c>
      <c r="D127" s="2"/>
      <c r="E127" s="2" t="s">
        <v>864</v>
      </c>
      <c r="F127" s="2" t="s">
        <v>865</v>
      </c>
      <c r="G127" s="2" t="s">
        <v>866</v>
      </c>
    </row>
    <row r="128" spans="1:7" ht="409.5" x14ac:dyDescent="0.25">
      <c r="A128" s="2" t="s">
        <v>1939</v>
      </c>
      <c r="B128" s="2" t="s">
        <v>624</v>
      </c>
      <c r="C128" s="1" t="s">
        <v>1940</v>
      </c>
      <c r="D128" s="2"/>
      <c r="E128" s="2" t="s">
        <v>1941</v>
      </c>
      <c r="F128" s="2" t="s">
        <v>1942</v>
      </c>
      <c r="G128" s="2" t="s">
        <v>1943</v>
      </c>
    </row>
    <row r="129" spans="1:7" ht="225" x14ac:dyDescent="0.25">
      <c r="A129" s="2" t="s">
        <v>1813</v>
      </c>
      <c r="B129" s="2" t="s">
        <v>785</v>
      </c>
      <c r="C129" s="1" t="s">
        <v>1814</v>
      </c>
      <c r="D129" s="2" t="s">
        <v>1815</v>
      </c>
      <c r="E129" s="2" t="s">
        <v>1816</v>
      </c>
      <c r="F129" s="2" t="s">
        <v>1817</v>
      </c>
      <c r="G129" s="2" t="s">
        <v>1818</v>
      </c>
    </row>
    <row r="130" spans="1:7" ht="60" x14ac:dyDescent="0.25">
      <c r="A130" s="2" t="s">
        <v>1819</v>
      </c>
      <c r="B130" s="2" t="s">
        <v>785</v>
      </c>
      <c r="C130" s="1" t="s">
        <v>1820</v>
      </c>
      <c r="D130" s="2" t="s">
        <v>1821</v>
      </c>
      <c r="E130" s="2" t="s">
        <v>1822</v>
      </c>
      <c r="F130" s="2" t="s">
        <v>1823</v>
      </c>
      <c r="G130" s="2" t="s">
        <v>1824</v>
      </c>
    </row>
    <row r="131" spans="1:7" ht="60" x14ac:dyDescent="0.25">
      <c r="A131" s="2" t="s">
        <v>1825</v>
      </c>
      <c r="B131" s="2" t="s">
        <v>785</v>
      </c>
      <c r="C131" s="1" t="s">
        <v>1826</v>
      </c>
      <c r="D131" s="2" t="s">
        <v>1827</v>
      </c>
      <c r="E131" s="2" t="s">
        <v>1828</v>
      </c>
      <c r="F131" s="2" t="s">
        <v>1829</v>
      </c>
      <c r="G131" s="2" t="s">
        <v>1830</v>
      </c>
    </row>
    <row r="132" spans="1:7" ht="60" x14ac:dyDescent="0.25">
      <c r="A132" s="2" t="s">
        <v>1831</v>
      </c>
      <c r="B132" s="2" t="s">
        <v>785</v>
      </c>
      <c r="C132" s="1" t="s">
        <v>1832</v>
      </c>
      <c r="D132" s="2" t="s">
        <v>1833</v>
      </c>
      <c r="E132" s="2" t="s">
        <v>1834</v>
      </c>
      <c r="F132" s="2" t="s">
        <v>1835</v>
      </c>
      <c r="G132" s="2" t="s">
        <v>1836</v>
      </c>
    </row>
    <row r="133" spans="1:7" ht="60" x14ac:dyDescent="0.25">
      <c r="A133" s="2" t="s">
        <v>1837</v>
      </c>
      <c r="B133" s="2" t="s">
        <v>785</v>
      </c>
      <c r="C133" s="1" t="s">
        <v>1838</v>
      </c>
      <c r="D133" s="2" t="s">
        <v>1839</v>
      </c>
      <c r="E133" s="2" t="s">
        <v>1840</v>
      </c>
      <c r="F133" s="2" t="s">
        <v>1841</v>
      </c>
      <c r="G133" s="2" t="s">
        <v>1842</v>
      </c>
    </row>
    <row r="134" spans="1:7" ht="315" x14ac:dyDescent="0.25">
      <c r="A134" s="2" t="s">
        <v>1873</v>
      </c>
      <c r="B134" s="2" t="s">
        <v>785</v>
      </c>
      <c r="C134" s="1" t="s">
        <v>1874</v>
      </c>
      <c r="D134" s="2" t="s">
        <v>1875</v>
      </c>
      <c r="E134" s="2" t="s">
        <v>1876</v>
      </c>
      <c r="F134" s="2" t="s">
        <v>1877</v>
      </c>
      <c r="G134" s="2" t="s">
        <v>1878</v>
      </c>
    </row>
    <row r="135" spans="1:7" ht="360" x14ac:dyDescent="0.25">
      <c r="A135" s="2" t="s">
        <v>1879</v>
      </c>
      <c r="B135" s="2" t="s">
        <v>785</v>
      </c>
      <c r="C135" s="1" t="s">
        <v>1880</v>
      </c>
      <c r="D135" s="2" t="s">
        <v>1881</v>
      </c>
      <c r="E135" s="2" t="s">
        <v>1882</v>
      </c>
      <c r="F135" s="2" t="s">
        <v>1883</v>
      </c>
      <c r="G135" s="2" t="s">
        <v>1884</v>
      </c>
    </row>
    <row r="136" spans="1:7" ht="409.5" x14ac:dyDescent="0.25">
      <c r="A136" s="2" t="s">
        <v>1885</v>
      </c>
      <c r="B136" s="2" t="s">
        <v>785</v>
      </c>
      <c r="C136" s="1" t="s">
        <v>1918</v>
      </c>
      <c r="D136" s="2" t="s">
        <v>1886</v>
      </c>
      <c r="E136" s="2" t="s">
        <v>1887</v>
      </c>
      <c r="F136" s="2" t="s">
        <v>1888</v>
      </c>
      <c r="G136" s="2" t="s">
        <v>1919</v>
      </c>
    </row>
    <row r="137" spans="1:7" ht="300" x14ac:dyDescent="0.25">
      <c r="A137" s="2" t="s">
        <v>1920</v>
      </c>
      <c r="B137" s="2" t="s">
        <v>785</v>
      </c>
      <c r="C137" s="1" t="s">
        <v>1921</v>
      </c>
      <c r="D137" s="2" t="s">
        <v>1922</v>
      </c>
      <c r="E137" s="2" t="s">
        <v>1923</v>
      </c>
      <c r="F137" s="2" t="s">
        <v>1924</v>
      </c>
      <c r="G137" s="2" t="s">
        <v>1925</v>
      </c>
    </row>
    <row r="138" spans="1:7" ht="375" x14ac:dyDescent="0.25">
      <c r="A138" s="2" t="s">
        <v>1889</v>
      </c>
      <c r="B138" s="2" t="s">
        <v>785</v>
      </c>
      <c r="C138" s="1" t="s">
        <v>1926</v>
      </c>
      <c r="D138" s="2" t="s">
        <v>1927</v>
      </c>
      <c r="E138" s="2" t="s">
        <v>1890</v>
      </c>
      <c r="F138" s="2" t="s">
        <v>1891</v>
      </c>
      <c r="G138" s="2" t="s">
        <v>1928</v>
      </c>
    </row>
    <row r="139" spans="1:7" ht="409.5" x14ac:dyDescent="0.25">
      <c r="A139" s="2" t="s">
        <v>1892</v>
      </c>
      <c r="B139" s="2" t="s">
        <v>785</v>
      </c>
      <c r="C139" s="1" t="s">
        <v>1929</v>
      </c>
      <c r="D139" s="2" t="s">
        <v>1930</v>
      </c>
      <c r="E139" s="2" t="s">
        <v>1893</v>
      </c>
      <c r="F139" s="2" t="s">
        <v>1894</v>
      </c>
      <c r="G139" s="2" t="s">
        <v>1931</v>
      </c>
    </row>
    <row r="140" spans="1:7" ht="375" x14ac:dyDescent="0.25">
      <c r="A140" s="2" t="s">
        <v>1895</v>
      </c>
      <c r="B140" s="2" t="s">
        <v>785</v>
      </c>
      <c r="C140" s="1" t="s">
        <v>1896</v>
      </c>
      <c r="D140" s="2" t="s">
        <v>1932</v>
      </c>
      <c r="E140" s="2" t="s">
        <v>1897</v>
      </c>
      <c r="F140" s="2" t="s">
        <v>1898</v>
      </c>
      <c r="G140" s="2" t="s">
        <v>1899</v>
      </c>
    </row>
    <row r="141" spans="1:7" ht="375" x14ac:dyDescent="0.25">
      <c r="A141" s="2" t="s">
        <v>1900</v>
      </c>
      <c r="B141" s="2" t="s">
        <v>785</v>
      </c>
      <c r="C141" s="1" t="s">
        <v>1933</v>
      </c>
      <c r="D141" s="2" t="s">
        <v>1927</v>
      </c>
      <c r="E141" s="2" t="s">
        <v>1901</v>
      </c>
      <c r="F141" s="2" t="s">
        <v>1902</v>
      </c>
      <c r="G141" s="2" t="s">
        <v>1934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2026-06-22T19:13:42Z</dcterms:created>
  <dcterms:modified xsi:type="dcterms:W3CDTF">2026-08-05T17:02:08Z</dcterms:modified>
</cp:coreProperties>
</file>