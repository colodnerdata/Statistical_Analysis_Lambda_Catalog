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13_ncr:1_{9EE285A3-B26D-47FF-AB2D-13DD7EF1B1AA}" xr6:coauthVersionLast="47" xr6:coauthVersionMax="47" xr10:uidLastSave="{00000000-0000-0000-0000-000000000000}"/>
  <bookViews>
    <workbookView xWindow="-120" yWindow="-120" windowWidth="29040" windowHeight="15720" activeTab="5" xr2:uid="{92D0E1A5-8335-431C-B56C-E9E74C0E0410}"/>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s>
  <definedNames>
    <definedName name="Adjusted_R_Squared"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Total_Degrees_Of_Freedom(_xlpm.Y,_xlpm.allow_arg,_xlpm.filt_arg)/Residual_Degrees_Of_Freedom(_xlpm.X_s,_xlpm.Y,_xlpm.allow_arg,_xlpm.filt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 comment="Akaike Information Criterion = n·ln(SSR/n) + 2p. Lower = better. Use to compare models fitted to the same dataset.">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+2*_xlpm.p))</definedName>
    <definedName name="AICc" comment="AIC with a small-sample correction (+2p(p+1)/(n−p−1)). Preferred when n/p &lt; 40; converges to AIC as n → ∞.">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aic,_xlpm.n*LN(_xlpm.ssr/_xlpm.n)+2*_xlpm.p,_xlpm.aic+2*_xlpm.p*(_xlpm.p+1)/(_xlpm.n-_xlpm.p-1)))</definedName>
    <definedName name="Allow_Intercept" localSheetId="5">Regression!$C$2</definedName>
    <definedName name="alpha" localSheetId="5">Regression!$Y$12</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s,_xlpm.Y,_xlpm.group,_xlpm.seq,_xlop.delta,_xlop.Allow_Intercept,_xlop.Include,_xlfn.LET(_xlpm.allow_arg,IF(_xlfn.ISOMITTED(_xlpm.Allow_Intercept),TRUE,_xlpm.Allow_Intercept),_xlpm.filt_arg,IF(_xlfn.ISOMITTED(_xlpm.Include),TRUE,_xlpm.Include),_xlpm.step,IF(_xlfn.ISOMITTED(_xlpm.delta),Base_Period_Delta(),_xlpm.delta),_xlpm.e,Residuals(_xlpm.X_s,_xlpm.Y,_xlpm.allow_arg,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 comment="Named wrapper for CHOOSECOLS: picks non-contiguous predictor columns by index. Returns an array suitable for X_s.">_xlfn.LAMBDA(_xlpm.table,_xlpm.col_nums,_xlfn.CHOOSECOLS(_xlpm.table,_xlpm.col_nums))</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Confidence_Interval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fidence_Interval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hdrs,_xlfn.TOROW(Regression!Header_Names),_xlpm.built,_xlfn.REDUCE("",_xlfn.SEQUENCE(_xlpm.n_c),_xlfn.LAMBDA(_xlpm.acc,_xlpm.j,IF(OR(INDEX(_xlpm.rl,_xlpm.j)&lt;&gt;"Predictor (x)",INDEX(_xlpm.inc,_xlpm.j)&lt;&gt;TRUE),_xlpm.acc,_xlfn.LET(_xlpm.h,INDEX(_xlpm.hdrs,1,_xlpm.j),IF(INDEX(_xlpm.typ,_xlpm.j)&lt;&gt;"Categorical",_xlfn.HSTACK(_xlpm.acc,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oks_Distance" comment="Influence measure Dᵢ = rᵢ²·hᵢ / ((1−hᵢ)·p). Combines outlier size and leverage. Values &gt; 4/n or &gt; 1 flag influential rows.">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pendent_Var" comment="Filtered Y column in the order the model uses it. Companion to Predictions and Residuals for scatter plots.">_xlfn.LAMBDA(_xlpm.Y,_xlop.Include,_xlfn._xlws.FILTER(_xlpm.Y,IF(_xlfn.ISOMITTED(_xlpm.Include),TRUE,_xlpm.Include)))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s,_xlpm.Y,_xlpm.seq,_xlop.Allow_Intercept,_xlop.Include,_xlfn.LET(_xlpm.allow_arg,IF(_xlfn.ISOMITTED(_xlpm.Allow_Intercept),TRUE,_xlpm.Allow_Intercept),_xlpm.filt_arg,IF(_xlfn.ISOMITTED(_xlpm.Include),TRUE,_xlpm.Include),_xlpm.e,Residuals(_xlpm.X_s,_xlpm.Y,_xlpm.allow_arg,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_Statistic"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SS_Residual(_xlpm.X_s,_xlpm.Y,_xlpm.allow_arg,_xlpm.filt_arg)/Residual_Degrees_Of_Freedom(_xlpm.X_s,_xlpm.Y,_xlpm.allow_arg,_xlpm.filt_arg))))</definedName>
    <definedName name="F_Statistic_P_Value"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istic(_xlpm.X_s,_xlpm.Y,_xlpm.allow_arg,_xlpm.filt_arg),Regression_Degrees_Of_Freedom(_xlpm.X_s),Residual_Degrees_Of_Freedom(_xlpm.X_s,_xlpm.Y,_xlpm.allow_arg,_xlpm.filt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_xlpm.e/(1-_xlpm.h)))</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_xlfn.LAMBDA(_xlpm.X_s,_xlpm.Y,_xlop.Allow_Intercept,_xlop.Include,_xlfn.LET(_xlpm.allow_arg,IF(_xlfn.ISOMITTED(_xlpm.Allow_Intercept),TRUE,_xlpm.Allow_Intercept),_xlpm.filt_arg,IF(_xlfn.ISOMITTED(_xlpm.Include),TRUE,_xlpm.Include),SS_Residual(_xlpm.X_s,_xlpm.Y,_xlpm.allow_arg,_xlpm.filt_arg)/Residual_Degrees_Of_Freedom(_xlpm.X_s,_xlpm.Y,_xlpm.allow_arg,_xlpm.filt_arg)))</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 comment="Two-tailed p-values per coefficient testing H₀: true effect = 0. Same order as Coefficients. Values &lt; alpha are significant.">_xlfn.LAMBDA(_xlpm.X_s,_xlpm.Y,_xlop.Allow_Intercept,_xlop.Include,_xlfn.LET(_xlpm.allow_arg,IF(_xlfn.ISOMITTED(_xlpm.Allow_Intercept),TRUE,_xlpm.Allow_Intercept),_xlpm.filt_arg,IF(_xlfn.ISOMITTED(_xlpm.Include),TRUE,_xlpm.Include),_xlfn.T.DIST.2T(ABS(T_Statistics(_xlpm.X_s,_xlpm.Y,_xlpm.allow_arg,_xlpm.filt_arg)),Residual_Degrees_Of_Freedom(_xlpm.X_s,_xlpm.Y,_xlpm.allow_arg,_xlpm.filt_arg))))</definedName>
    <definedName name="Partial_Correlation" comment="Sign-preserving partial correlation between Y and each predictor after removing all other predictor effects. Range [−1,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SQRT(_xlpm.t^2+_xlpm.df)))</definedName>
    <definedName name="Partial_R_Squared"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2/(_xlpm.t^2+_xlpm.df)))</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Interval" comment="6-element vector: point estimate, SE_prediction, t-critical, lower PI bound, upper PI bound, confidence leve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Residual_Degrees_Of_Freedom(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QQ_Correlation" comment="Filliben Q-Q correlation between ranked scaled residuals and normal quantiles. Values near 1 indicate approximately normal residuals.">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OFFSET(Regression!$AL$2,1,0,MAX(IFERROR(Regression!$Y$8,1),1),1)</definedName>
    <definedName name="RegChartCookDist" comment="Cook's Distance chart: bar values" localSheetId="5">OFFSET(Regression!$AR$2,1,0,MAX(IFERROR(Regression!$Y$8,1),1),1)</definedName>
    <definedName name="RegChartFitY" comment="Predicted Y: X values for the Residuals vs. Fitted, Actual vs. Predicted, and Scale-Location charts" localSheetId="5">OFFSET(Regression!$AM$2,1,0,MAX(IFERROR(Regression!$Y$8,1),1),1)</definedName>
    <definedName name="RegChartLeverage" comment="Studentized Residuals vs. Leverage chart: X values (Hat Diagonal)" localSheetId="5">OFFSET(Regression!$AP$2,1,0,MAX(IFERROR(Regression!$Y$8,1),1),1)</definedName>
    <definedName name="RegChartPRESSResid" comment="PRESS Residuals chart: bar values" localSheetId="5">OFFSET(Regression!$AV$2,1,0,MAX(IFERROR(Regression!$Y$8,1),1),1)</definedName>
    <definedName name="RegChartQQX" comment="Normal Q-Q chart: X values (theoretical quantiles, Normal Scores Ranked)" localSheetId="5">OFFSET(Regression!$AS$2,1,0,MAX(IFERROR(Regression!$Y$8,1),1),1)</definedName>
    <definedName name="RegChartQQY" comment="Normal Q-Q chart: Y values (Studentized Residuals Ranked)" localSheetId="5">OFFSET(Regression!$AT$2,1,0,MAX(IFERROR(Regression!$Y$8,1),1),1)</definedName>
    <definedName name="RegChartResid" comment="Residuals vs. Fitted chart: Y values (Residuals)" localSheetId="5">OFFSET(Regression!$AN$2,1,0,MAX(IFERROR(Regression!$Y$8,1),1),1)</definedName>
    <definedName name="RegChartScaleLoc" comment="Scale-Location chart: Y values (sqrt of abs Studentized Residual)" localSheetId="5">OFFSET(Regression!$AU$2,1,0,MAX(IFERROR(Regression!$Y$8,1),1),1)</definedName>
    <definedName name="RegChartStudResid" comment="Studentized Residuals vs. Leverage chart: Y values" localSheetId="5">OFFSET(Regression!$AQ$2,1,0,MAX(IFERROR(Regression!$Y$8,1),1),1)</definedName>
    <definedName name="Regression_Degrees_Of_Freedom" comment="Degrees of freedom for regression = number of predictors k (= COLUMNS(X_s)). Used as the numerator df in the F-test.">_xlfn.LAMBDA(_xlpm.X_s,COLUMNS(_xlpm.X_s))</definedName>
    <definedName name="Residual_Degrees_Of_Freedom" comment="Residual degrees of freedom = Total_Degrees_Of_Freedom − Regression_Degrees_Of_Freedom. Denominator df in the F-test and the penalty term in Adjusted R².">_xlfn.LAMBDA(_xlpm.X_s,_xlpm.Y,_xlop.Allow_Intercept,_xlop.Include,_xlfn.LET(_xlpm.allow_arg,IF(_xlfn.ISOMITTED(_xlpm.Allow_Intercept),TRUE,_xlpm.Allow_Intercept),_xlpm.filt_arg,IF(_xlfn.ISOMITTED(_xlpm.Include),TRUE,_xlpm.Include),Total_Degrees_Of_Freedom(_xlpm.Y,_xlpm.allow_arg,_xlpm.filt_arg)-Regression_Degrees_Of_Freedom(_xlpm.X_s)))</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Response_Column" localSheetId="5">_xlfn.LAMBDA(_xlfn.LET(_xlpm.n_c,COLUMNS(Regression!Source_Data),_xlpm.rl,_xlfn.TAKE(Regression!Spec_Role,_xlpm.n_c),INDEX(Regression!Source_Data,0,_xlfn.XMATCH("Response (y)",_xlpm.rl))))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ample_Include">_xlfn.LAMBDA(_xlfn.LET(_xlpm.n_c,COLUMNS([0]!Source_Data),_xlpm.rl,_xlfn.TAKE([0]!Spec_Role,_xlpm.n_c),_xlpm.inc,_xlfn.TAKE([0]!Spec_Include,_xlpm.n_c),_xlpm.typ,_xlfn.TAKE([0]!Spec_Type,_xlpm.n_c),_xlpm.seed,_xlfn.SEQUENCE(ROWS([0]!Source_Data),1,1,0),_xlpm.prod,_xlfn.REDUCE(_xlpm.seed,_xlfn.SEQUENCE(_xlpm.n_c),_xlfn.LAMBDA(_xlpm.acc,_xlpm.j,_xlfn.LET(_xlpm.col,INDEX([0]!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contrast with Studentized_Residuals for outlier detection.">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Scaled_Residuals_Ranked" comment="Scaled residuals sorted ascending. Paired with Normal_Scores for a standard Q-Q residual plot.">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same order as Coefficients. Smaller values = more precise estimate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 comment="Standard error of the regression (root MSE = √(SS_Residual / df_residual)). Typical prediction error in Y units.">_xlfn.LAMBDA(_xlpm.X_s,_xlpm.Y,_xlop.Allow_Intercept,_xlop.Include,_xlfn.LET(_xlpm.allow_arg,IF(_xlfn.ISOMITTED(_xlpm.Allow_Intercept),TRUE,_xlpm.Allow_Intercept),_xlpm.filt_arg,IF(_xlfn.ISOMITTED(_xlpm.Include),TRUE,_xlpm.Include),SQRT(SS_Residual(_xlpm.X_s,_xlpm.Y,_xlpm.allow_arg,_xlpm.filt_arg)/Residual_Degrees_Of_Freedom(_xlpm.X_s,_xlpm.Y,_xlpm.allow_arg,_xlpm.fil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 — v2.6+","none")))</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Source_Data" localSheetId="5">_xlfn.DROP(Regression!Source_Table,1)</definedName>
    <definedName name="Source_Data">#REF!</definedName>
    <definedName name="Source_Table" localSheetId="5">LifeExpectancyData[#All]</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Regression!$I$4:$I$16000</definedName>
    <definedName name="Spec_Include" localSheetId="5">SpecTable[[#Data],[Include]]</definedName>
    <definedName name="Spec_Include">#REF!</definedName>
    <definedName name="Spec_Order" localSheetId="5">SpecTable[[#Data],[Order]]</definedName>
    <definedName name="Spec_Period_In_Use" localSheetId="5">SpecTable[[#Data],[Period In Use]]</definedName>
    <definedName name="Spec_Reference" localSheetId="5">SpecTable[[#Data],[Reference Level]]</definedName>
    <definedName name="Spec_Reference">#REF!</definedName>
    <definedName name="Spec_Role" localSheetId="5">SpecTable[[#Data],[Role]]</definedName>
    <definedName name="Spec_Role">#REF!</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pec_Type">#REF!</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 comment="Internally studentized residuals rᵢ = eᵢ / (s√(1−hᵢ)). Leverage-adjusted. Values beyond ±2 flag outliers; ±3 are probable outlier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 comment="Studentized residuals sorted ascending. Paired with Normal_Scores for a leverage-corrected Q-Q residual plot.">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FD_Beta_Expected" comment="Freedman-Diaconis Method histogram chart: Beta overlay line (expected counts = bin probability × n)">OFFSET(#REF!,1,0,MAX(IFERROR(Number_Of_Histogram_Bins([0]!UV_Data,#REF!,[0]!UV_Include),1),1),1)*#REF!</definedName>
    <definedName name="UV_FD_BetaPERT_Expected" comment="Freedman-Diaconis Method histogram chart: BetaPERT overlay line (expected counts = bin probability × n)">OFFSET(#REF!,1,0,MAX(IFERROR(Number_Of_Histogram_Bins([0]!UV_Data,#REF!,[0]!UV_Include),1),1),1)*#REF!</definedName>
    <definedName name="UV_FD_Counts" comment="Freedman-Diaconis Method histogram chart: bar values (bin counts)">OFFSET(#REF!,1,0,MAX(IFERROR(Number_Of_Histogram_Bins([0]!UV_Data,#REF!,[0]!UV_Include),1),1),1)</definedName>
    <definedName name="UV_FD_Edges">OFFSET(#REF!,1,0,MAX(IFERROR(num_histogram_bins([0]!UV_Data,#REF!,[0]!UV_Include),1),1),1)</definedName>
    <definedName name="UV_FD_Exponential_Expected" comment="Freedman-Diaconis Method histogram chart: Exponential overlay line (expected counts = bin probability × n)">OFFSET(#REF!,1,0,MAX(IFERROR(Number_Of_Histogram_Bins([0]!UV_Data,#REF!,[0]!UV_Include),1),1),1)*#REF!</definedName>
    <definedName name="UV_FD_Gamma_Expected" comment="Freedman-Diaconis Method histogram chart: Gamma overlay line (expected counts = bin probability × n)">OFFSET(#REF!,1,0,MAX(IFERROR(Number_Of_Histogram_Bins([0]!UV_Data,#REF!,[0]!UV_Include),1),1),1)*#REF!</definedName>
    <definedName name="UV_FD_Lognormal_Expected" comment="Freedman-Diaconis Method histogram chart: Lognormal overlay line (expected counts = bin probability × n)">OFFSET(#REF!,1,0,MAX(IFERROR(Number_Of_Histogram_Bins([0]!UV_Data,#REF!,[0]!UV_Include),1),1),1)*#REF!</definedName>
    <definedName name="UV_FD_Normal_Expected" comment="Freedman-Diaconis Method histogram chart: Normal overlay line (expected counts = bin probability × n)">OFFSET(#REF!,1,0,MAX(IFERROR(Number_Of_Histogram_Bins([0]!UV_Data,#REF!,[0]!UV_Include),1),1),1)*#REF!</definedName>
    <definedName name="UV_FD_Triangular_Expected" comment="Freedman-Diaconis Method histogram chart: Triangular overlay line (expected counts = bin probability × n)">OFFSET(#REF!,1,0,MAX(IFERROR(Number_Of_Histogram_Bins([0]!UV_Data,#REF!,[0]!UV_Include),1),1),1)*#REF!</definedName>
    <definedName name="UV_FD_Upper_Edges" comment="Freedman-Diaconis Method histogram chart: category (X) axis bin edges">OFFSET(#REF!,1,0,MAX(IFERROR(Number_Of_Histogram_Bins([0]!UV_Data,#REF!,[0]!UV_Include),1),1),1)</definedName>
    <definedName name="UV_FD_Weibull_Expected" comment="Freedman-Diaconis Method histogram chart: Weibull overlay line (expected counts = bin probability × n)">OFFSET(#REF!,1,0,MAX(IFERROR(Number_Of_Histogram_Bins([0]!UV_Data,#REF!,[0]!UV_Include),1),1),1)*#REF!</definedName>
    <definedName name="UV_QQ_Beta" comment="Beta Q-Q plot: theoretical quantiles (X axis)">OFFSET(#REF!,1,0,MAX(IFERROR(#REF!,1),1),1)</definedName>
    <definedName name="UV_QQ_BetaPERT" comment="BetaPERT Q-Q plot: theoretical quantiles (X axis)">OFFSET(#REF!,1,0,MAX(IFERROR(#REF!,1),1),1)</definedName>
    <definedName name="UV_QQ_Exponential" comment="Exponential Q-Q plot: theoretical quantiles (X axis)">OFFSET(#REF!,1,0,MAX(IFERROR(#REF!,1),1),1)</definedName>
    <definedName name="UV_QQ_Gamma" comment="Gamma Q-Q plot: theoretical quantiles (X axis)">OFFSET(#REF!,1,0,MAX(IFERROR(#REF!,1),1),1)</definedName>
    <definedName name="UV_QQ_Lognormal" comment="Lognormal Q-Q plot: theoretical quantiles (X axis)">OFFSET(#REF!,1,0,MAX(IFERROR(#REF!,1),1),1)</definedName>
    <definedName name="UV_QQ_Normal" comment="Normal Q-Q plot: theoretical quantiles (X axis)">OFFSET(#REF!,1,0,MAX(IFERROR(#REF!,1),1),1)</definedName>
    <definedName name="UV_QQ_Sample" comment="Q-Q plots: sorted sample values (Y axis, shared by all eight charts)">OFFSET(#REF!,1,0,MAX(IFERROR(#REF!,1),1),1)</definedName>
    <definedName name="UV_QQ_Triangular" comment="Triangular Q-Q plot: theoretical quantiles (X axis)">OFFSET(#REF!,1,0,MAX(IFERROR(#REF!,1),1),1)</definedName>
    <definedName name="UV_QQ_Weibull" comment="Weibull Q-Q plot: theoretical quantiles (X axis)">OFFSET(#REF!,1,0,MAX(IFERROR(#REF!,1),1),1)</definedName>
    <definedName name="UV_Scott_Beta_Expected" comment="Scott Method histogram chart: Beta overlay line (expected counts = bin probability × n)">OFFSET(#REF!,1,0,MAX(IFERROR(Number_Of_Histogram_Bins([0]!UV_Data,#REF!,[0]!UV_Include),1),1),1)*#REF!</definedName>
    <definedName name="UV_Scott_BetaPERT_Expected" comment="Scott Method histogram chart: BetaPERT overlay line (expected counts = bin probability × n)">OFFSET(#REF!,1,0,MAX(IFERROR(Number_Of_Histogram_Bins([0]!UV_Data,#REF!,[0]!UV_Include),1),1),1)*#REF!</definedName>
    <definedName name="UV_Scott_Counts" comment="Scott Method histogram chart: bar values (bin counts)">OFFSET(#REF!,1,0,MAX(IFERROR(Number_Of_Histogram_Bins([0]!UV_Data,#REF!,[0]!UV_Include),1),1),1)</definedName>
    <definedName name="UV_Scott_Edges">OFFSET(#REF!,1,0,MAX(IFERROR(num_histogram_bins([0]!UV_Data,#REF!,[0]!UV_Include),1),1),1)</definedName>
    <definedName name="UV_Scott_Exponential_Expected" comment="Scott Method histogram chart: Exponential overlay line (expected counts = bin probability × n)">OFFSET(#REF!,1,0,MAX(IFERROR(Number_Of_Histogram_Bins([0]!UV_Data,#REF!,[0]!UV_Include),1),1),1)*#REF!</definedName>
    <definedName name="UV_Scott_Gamma_Expected" comment="Scott Method histogram chart: Gamma overlay line (expected counts = bin probability × n)">OFFSET(#REF!,1,0,MAX(IFERROR(Number_Of_Histogram_Bins([0]!UV_Data,#REF!,[0]!UV_Include),1),1),1)*#REF!</definedName>
    <definedName name="UV_Scott_Lognormal_Expected" comment="Scott Method histogram chart: Lognormal overlay line (expected counts = bin probability × n)">OFFSET(#REF!,1,0,MAX(IFERROR(Number_Of_Histogram_Bins([0]!UV_Data,#REF!,[0]!UV_Include),1),1),1)*#REF!</definedName>
    <definedName name="UV_Scott_Normal_Expected" comment="Scott Method histogram chart: Normal overlay line (expected counts = bin probability × n)">OFFSET(#REF!,1,0,MAX(IFERROR(Number_Of_Histogram_Bins([0]!UV_Data,#REF!,[0]!UV_Include),1),1),1)*#REF!</definedName>
    <definedName name="UV_Scott_Triangular_Expected" comment="Scott Method histogram chart: Triangular overlay line (expected counts = bin probability × n)">OFFSET(#REF!,1,0,MAX(IFERROR(Number_Of_Histogram_Bins([0]!UV_Data,#REF!,[0]!UV_Include),1),1),1)*#REF!</definedName>
    <definedName name="UV_Scott_Upper_Edges" comment="Scott Method histogram chart: category (X) axis bin edges">OFFSET(#REF!,1,0,MAX(IFERROR(Number_Of_Histogram_Bins([0]!UV_Data,#REF!,[0]!UV_Include),1),1),1)</definedName>
    <definedName name="UV_Scott_Weibull_Expected" comment="Scott Method histogram chart: Weibull overlay line (expected counts = bin probability × n)">OFFSET(#REF!,1,0,MAX(IFERROR(Number_Of_Histogram_Bins([0]!UV_Data,#REF!,[0]!UV_Include),1),1),1)*#REF!</definedName>
    <definedName name="UV_Sturges_Beta_Expected" comment="Sturges Method histogram chart: Beta overlay line (expected counts = bin probability × n)">OFFSET(#REF!,1,0,MAX(IFERROR(Number_Of_Histogram_Bins([0]!UV_Data,#REF!,[0]!UV_Include),1),1),1)*#REF!</definedName>
    <definedName name="UV_Sturges_BetaPERT_Expected" comment="Sturges Method histogram chart: BetaPERT overlay line (expected counts = bin probability × n)">OFFSET(#REF!,1,0,MAX(IFERROR(Number_Of_Histogram_Bins([0]!UV_Data,#REF!,[0]!UV_Include),1),1),1)*#REF!</definedName>
    <definedName name="UV_Sturges_Counts" comment="Sturges Method histogram chart: bar values (bin counts)">OFFSET(#REF!,1,0,MAX(IFERROR(Number_Of_Histogram_Bins([0]!UV_Data,#REF!,[0]!UV_Include),1),1),1)</definedName>
    <definedName name="UV_Sturges_Edges">OFFSET(#REF!,1,0,MAX(IFERROR(num_histogram_bins([0]!UV_Data,#REF!,[0]!UV_Include),1),1),1)</definedName>
    <definedName name="UV_Sturges_Exponential_Expected" comment="Sturges Method histogram chart: Exponential overlay line (expected counts = bin probability × n)">OFFSET(#REF!,1,0,MAX(IFERROR(Number_Of_Histogram_Bins([0]!UV_Data,#REF!,[0]!UV_Include),1),1),1)*#REF!</definedName>
    <definedName name="UV_Sturges_Gamma_Expected" comment="Sturges Method histogram chart: Gamma overlay line (expected counts = bin probability × n)">OFFSET(#REF!,1,0,MAX(IFERROR(Number_Of_Histogram_Bins([0]!UV_Data,#REF!,[0]!UV_Include),1),1),1)*#REF!</definedName>
    <definedName name="UV_Sturges_Lognormal_Expected" comment="Sturges Method histogram chart: Lognormal overlay line (expected counts = bin probability × n)">OFFSET(#REF!,1,0,MAX(IFERROR(Number_Of_Histogram_Bins([0]!UV_Data,#REF!,[0]!UV_Include),1),1),1)*#REF!</definedName>
    <definedName name="UV_Sturges_Normal_Expected" comment="Sturges Method histogram chart: Normal overlay line (expected counts = bin probability × n)">OFFSET(#REF!,1,0,MAX(IFERROR(Number_Of_Histogram_Bins([0]!UV_Data,#REF!,[0]!UV_Include),1),1),1)*#REF!</definedName>
    <definedName name="UV_Sturges_Triangular_Expected" comment="Sturges Method histogram chart: Triangular overlay line (expected counts = bin probability × n)">OFFSET(#REF!,1,0,MAX(IFERROR(Number_Of_Histogram_Bins([0]!UV_Data,#REF!,[0]!UV_Include),1),1),1)*#REF!</definedName>
    <definedName name="UV_Sturges_Upper_Edges" comment="Sturges Method histogram chart: category (X) axis bin edges">OFFSET(#REF!,1,0,MAX(IFERROR(Number_Of_Histogram_Bins([0]!UV_Data,#REF!,[0]!UV_Include),1),1),1)</definedName>
    <definedName name="UV_Sturges_Weibull_Expected" comment="Sturges Method histogram chart: Weibull overlay line (expected counts = bin probability × n)">OFFSET(#REF!,1,0,MAX(IFERROR(Number_Of_Histogram_Bins([0]!UV_Data,#REF!,[0]!UV_Include),1),1),1)*#REF!</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_xlpm.col),_xlfn.LET(_xlpm.d,INDEX(_xlpm.refs,_xlpm.j),_xlpm.r,IF(LEN(_xlpm.d&amp;"")=0,"",_xlpm.d),_xlpm.lv,Dummy_Levels(_xlpm.col,_xlpm.r,Regression!Sample_Include()),IF(ISNA(INDEX(_xlpm.lv,1,1)),_xlpm.acc,_xlfn.HSTACK(_xlpm.acc,--(_xlpm.col=_xlpm.lv))))))))),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Zero_Predictors_Selected" localSheetId="5">_xlfn.LAMBDA(IFERROR(COLUMNS(Regression!X_s()),0)=0)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U3" i="7" l="1" a="1"/>
  <c r="V3" i="7" a="1"/>
  <c r="K5" i="7" a="1"/>
  <c r="K6" i="7" a="1"/>
  <c r="K7" i="7" a="1"/>
  <c r="K8" i="7" a="1"/>
  <c r="K9" i="7" a="1"/>
  <c r="K10" i="7" a="1"/>
  <c r="K11" i="7" a="1"/>
  <c r="K12" i="7" a="1"/>
  <c r="K13" i="7" a="1"/>
  <c r="K14" i="7" a="1"/>
  <c r="K15" i="7" a="1"/>
  <c r="K16" i="7" a="1"/>
  <c r="K17" i="7" a="1"/>
  <c r="K18" i="7" a="1"/>
  <c r="K19" i="7" a="1"/>
  <c r="K20" i="7" a="1"/>
  <c r="K21" i="7" a="1"/>
  <c r="K22" i="7" a="1"/>
  <c r="K23" i="7" a="1"/>
  <c r="K24" i="7" a="1"/>
  <c r="K25" i="7" a="1"/>
  <c r="K26" i="7" a="1"/>
  <c r="K27" i="7" a="1"/>
  <c r="X2" i="2"/>
  <c r="X3" i="2"/>
  <c r="X4" i="2"/>
  <c r="X5" i="2"/>
  <c r="X6" i="2"/>
  <c r="X7" i="2"/>
  <c r="X8" i="2"/>
  <c r="X9" i="2"/>
  <c r="X10" i="2"/>
  <c r="X11" i="2"/>
  <c r="X12" i="2"/>
  <c r="X13" i="2"/>
  <c r="X14" i="2"/>
  <c r="X15" i="2"/>
  <c r="X16" i="2"/>
  <c r="X17" i="2"/>
  <c r="X18" i="2"/>
  <c r="X19" i="2"/>
  <c r="X20" i="2"/>
  <c r="X21" i="2"/>
  <c r="X22" i="2"/>
  <c r="X23" i="2"/>
  <c r="X24" i="2"/>
  <c r="X25" i="2"/>
  <c r="X26" i="2"/>
  <c r="X27" i="2"/>
  <c r="X28" i="2"/>
  <c r="X29" i="2"/>
  <c r="X30" i="2"/>
  <c r="X31" i="2"/>
  <c r="X32" i="2"/>
  <c r="X33" i="2"/>
  <c r="X34" i="2"/>
  <c r="X35" i="2"/>
  <c r="X36" i="2"/>
  <c r="X37" i="2"/>
  <c r="X38" i="2"/>
  <c r="X39" i="2"/>
  <c r="X40" i="2"/>
  <c r="X41" i="2"/>
  <c r="X42" i="2"/>
  <c r="X43" i="2"/>
  <c r="X44" i="2"/>
  <c r="X45" i="2"/>
  <c r="X46" i="2"/>
  <c r="X47" i="2"/>
  <c r="X48" i="2"/>
  <c r="X49" i="2"/>
  <c r="X50" i="2"/>
  <c r="X51" i="2"/>
  <c r="X52" i="2"/>
  <c r="X53" i="2"/>
  <c r="X54" i="2"/>
  <c r="X55" i="2"/>
  <c r="X56" i="2"/>
  <c r="X57" i="2"/>
  <c r="X58" i="2"/>
  <c r="X59" i="2"/>
  <c r="X60" i="2"/>
  <c r="X61" i="2"/>
  <c r="X62" i="2"/>
  <c r="X63" i="2"/>
  <c r="X64" i="2"/>
  <c r="X65" i="2"/>
  <c r="X66" i="2"/>
  <c r="X67" i="2"/>
  <c r="X68" i="2"/>
  <c r="X69" i="2"/>
  <c r="X70" i="2"/>
  <c r="X71" i="2"/>
  <c r="X72" i="2"/>
  <c r="X73" i="2"/>
  <c r="X74"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115" i="2"/>
  <c r="X116" i="2"/>
  <c r="X117" i="2"/>
  <c r="X118" i="2"/>
  <c r="X119" i="2"/>
  <c r="X120" i="2"/>
  <c r="X121" i="2"/>
  <c r="X122" i="2"/>
  <c r="T3" i="7" s="1" a="1"/>
  <c r="X123" i="2"/>
  <c r="X124" i="2"/>
  <c r="X125" i="2"/>
  <c r="X126" i="2"/>
  <c r="X127" i="2"/>
  <c r="X128" i="2"/>
  <c r="X129" i="2"/>
  <c r="X130" i="2"/>
  <c r="X131" i="2"/>
  <c r="X132" i="2"/>
  <c r="X133" i="2"/>
  <c r="X134" i="2"/>
  <c r="X135" i="2"/>
  <c r="X136" i="2"/>
  <c r="X137" i="2"/>
  <c r="X138" i="2"/>
  <c r="X139" i="2"/>
  <c r="X140" i="2"/>
  <c r="X141" i="2"/>
  <c r="X142" i="2"/>
  <c r="X143" i="2"/>
  <c r="X144" i="2"/>
  <c r="X145" i="2"/>
  <c r="X146" i="2"/>
  <c r="X147" i="2"/>
  <c r="X148" i="2"/>
  <c r="X149" i="2"/>
  <c r="X150" i="2"/>
  <c r="X151" i="2"/>
  <c r="X152" i="2"/>
  <c r="X153" i="2"/>
  <c r="X154" i="2"/>
  <c r="X155" i="2"/>
  <c r="X156" i="2"/>
  <c r="X157" i="2"/>
  <c r="X158" i="2"/>
  <c r="X159" i="2"/>
  <c r="X160" i="2"/>
  <c r="X161" i="2"/>
  <c r="X162" i="2"/>
  <c r="X163" i="2"/>
  <c r="X164" i="2"/>
  <c r="X165" i="2"/>
  <c r="X166" i="2"/>
  <c r="X167" i="2"/>
  <c r="X168" i="2"/>
  <c r="X169" i="2"/>
  <c r="X170" i="2"/>
  <c r="X171" i="2"/>
  <c r="X172" i="2"/>
  <c r="X173" i="2"/>
  <c r="X174" i="2"/>
  <c r="X175" i="2"/>
  <c r="X176" i="2"/>
  <c r="X177" i="2"/>
  <c r="X178" i="2"/>
  <c r="X179" i="2"/>
  <c r="X180" i="2"/>
  <c r="X181" i="2"/>
  <c r="X182" i="2"/>
  <c r="X183" i="2"/>
  <c r="X184" i="2"/>
  <c r="X185" i="2"/>
  <c r="X186" i="2"/>
  <c r="X187" i="2"/>
  <c r="X188" i="2"/>
  <c r="X189" i="2"/>
  <c r="X190" i="2"/>
  <c r="X191" i="2"/>
  <c r="X192" i="2"/>
  <c r="X193" i="2"/>
  <c r="X194" i="2"/>
  <c r="X195" i="2"/>
  <c r="X196" i="2"/>
  <c r="X197" i="2"/>
  <c r="X198" i="2"/>
  <c r="X199" i="2"/>
  <c r="X200" i="2"/>
  <c r="X201" i="2"/>
  <c r="X202" i="2"/>
  <c r="X203" i="2"/>
  <c r="X204" i="2"/>
  <c r="X205" i="2"/>
  <c r="X206" i="2"/>
  <c r="X207" i="2"/>
  <c r="X208" i="2"/>
  <c r="X209" i="2"/>
  <c r="X210" i="2"/>
  <c r="X211" i="2"/>
  <c r="X212" i="2"/>
  <c r="X213" i="2"/>
  <c r="X214" i="2"/>
  <c r="X215" i="2"/>
  <c r="X216" i="2"/>
  <c r="X217" i="2"/>
  <c r="X218" i="2"/>
  <c r="X219" i="2"/>
  <c r="X220" i="2"/>
  <c r="X221" i="2"/>
  <c r="X222" i="2"/>
  <c r="X223" i="2"/>
  <c r="X224" i="2"/>
  <c r="X225" i="2"/>
  <c r="X226" i="2"/>
  <c r="X227" i="2"/>
  <c r="X228" i="2"/>
  <c r="X229" i="2"/>
  <c r="X230" i="2"/>
  <c r="X231" i="2"/>
  <c r="X232" i="2"/>
  <c r="X233" i="2"/>
  <c r="X234" i="2"/>
  <c r="X235" i="2"/>
  <c r="X236" i="2"/>
  <c r="X237" i="2"/>
  <c r="X238" i="2"/>
  <c r="X239" i="2"/>
  <c r="X240" i="2"/>
  <c r="X241" i="2"/>
  <c r="X242" i="2"/>
  <c r="X243" i="2"/>
  <c r="X244" i="2"/>
  <c r="X245" i="2"/>
  <c r="X246" i="2"/>
  <c r="X247" i="2"/>
  <c r="X248" i="2"/>
  <c r="X249" i="2"/>
  <c r="X250" i="2"/>
  <c r="X251" i="2"/>
  <c r="X252" i="2"/>
  <c r="X253" i="2"/>
  <c r="X254" i="2"/>
  <c r="X255" i="2"/>
  <c r="X256" i="2"/>
  <c r="X257" i="2"/>
  <c r="X258" i="2"/>
  <c r="X259" i="2"/>
  <c r="X260" i="2"/>
  <c r="X261" i="2"/>
  <c r="X262" i="2"/>
  <c r="X263" i="2"/>
  <c r="X264" i="2"/>
  <c r="X265" i="2"/>
  <c r="X266" i="2"/>
  <c r="X267" i="2"/>
  <c r="X268" i="2"/>
  <c r="X269" i="2"/>
  <c r="X270" i="2"/>
  <c r="X271" i="2"/>
  <c r="X272" i="2"/>
  <c r="X273" i="2"/>
  <c r="X274" i="2"/>
  <c r="X275" i="2"/>
  <c r="X276" i="2"/>
  <c r="X277" i="2"/>
  <c r="X278" i="2"/>
  <c r="X279" i="2"/>
  <c r="X280" i="2"/>
  <c r="X281" i="2"/>
  <c r="X282" i="2"/>
  <c r="X283" i="2"/>
  <c r="X284" i="2"/>
  <c r="X285" i="2"/>
  <c r="X286" i="2"/>
  <c r="X287" i="2"/>
  <c r="X288" i="2"/>
  <c r="X289" i="2"/>
  <c r="X290" i="2"/>
  <c r="X291" i="2"/>
  <c r="X292" i="2"/>
  <c r="X293" i="2"/>
  <c r="X294" i="2"/>
  <c r="X295" i="2"/>
  <c r="X296" i="2"/>
  <c r="X297" i="2"/>
  <c r="X298" i="2"/>
  <c r="X299" i="2"/>
  <c r="X300" i="2"/>
  <c r="X301" i="2"/>
  <c r="X302" i="2"/>
  <c r="X303" i="2"/>
  <c r="X304" i="2"/>
  <c r="X305" i="2"/>
  <c r="X306" i="2"/>
  <c r="X307" i="2"/>
  <c r="X308" i="2"/>
  <c r="X309" i="2"/>
  <c r="X310" i="2"/>
  <c r="X311" i="2"/>
  <c r="X312" i="2"/>
  <c r="X313" i="2"/>
  <c r="X314" i="2"/>
  <c r="X315" i="2"/>
  <c r="X316" i="2"/>
  <c r="X317" i="2"/>
  <c r="X318" i="2"/>
  <c r="X319" i="2"/>
  <c r="X320" i="2"/>
  <c r="X321" i="2"/>
  <c r="X322" i="2"/>
  <c r="X323" i="2"/>
  <c r="X324" i="2"/>
  <c r="X325" i="2"/>
  <c r="X326" i="2"/>
  <c r="X327" i="2"/>
  <c r="X328" i="2"/>
  <c r="X329" i="2"/>
  <c r="X330" i="2"/>
  <c r="X331" i="2"/>
  <c r="X332" i="2"/>
  <c r="X333" i="2"/>
  <c r="X334" i="2"/>
  <c r="X335" i="2"/>
  <c r="X336" i="2"/>
  <c r="X337" i="2"/>
  <c r="X338" i="2"/>
  <c r="X339" i="2"/>
  <c r="X340" i="2"/>
  <c r="X341" i="2"/>
  <c r="X342" i="2"/>
  <c r="X343" i="2"/>
  <c r="X344" i="2"/>
  <c r="X345" i="2"/>
  <c r="X346" i="2"/>
  <c r="X347" i="2"/>
  <c r="X348" i="2"/>
  <c r="X349" i="2"/>
  <c r="X350" i="2"/>
  <c r="X351" i="2"/>
  <c r="X352" i="2"/>
  <c r="X353" i="2"/>
  <c r="X354" i="2"/>
  <c r="X355" i="2"/>
  <c r="X356" i="2"/>
  <c r="X357" i="2"/>
  <c r="X358" i="2"/>
  <c r="X359" i="2"/>
  <c r="X360" i="2"/>
  <c r="X361" i="2"/>
  <c r="X362" i="2"/>
  <c r="X363" i="2"/>
  <c r="X364" i="2"/>
  <c r="X365" i="2"/>
  <c r="X366" i="2"/>
  <c r="X367" i="2"/>
  <c r="X368" i="2"/>
  <c r="X369" i="2"/>
  <c r="X370" i="2"/>
  <c r="X371" i="2"/>
  <c r="X372" i="2"/>
  <c r="X373" i="2"/>
  <c r="X374" i="2"/>
  <c r="X375" i="2"/>
  <c r="X376" i="2"/>
  <c r="X377" i="2"/>
  <c r="X378" i="2"/>
  <c r="X379" i="2"/>
  <c r="X380" i="2"/>
  <c r="X381" i="2"/>
  <c r="X382" i="2"/>
  <c r="X383" i="2"/>
  <c r="X384" i="2"/>
  <c r="X385" i="2"/>
  <c r="X386" i="2"/>
  <c r="X387" i="2"/>
  <c r="X388" i="2"/>
  <c r="X389" i="2"/>
  <c r="X390" i="2"/>
  <c r="X391" i="2"/>
  <c r="X392" i="2"/>
  <c r="X393" i="2"/>
  <c r="X394" i="2"/>
  <c r="X395" i="2"/>
  <c r="X396" i="2"/>
  <c r="X397" i="2"/>
  <c r="X398" i="2"/>
  <c r="X399" i="2"/>
  <c r="X400" i="2"/>
  <c r="X401" i="2"/>
  <c r="X402" i="2"/>
  <c r="X403" i="2"/>
  <c r="X404" i="2"/>
  <c r="X405" i="2"/>
  <c r="X406" i="2"/>
  <c r="X407" i="2"/>
  <c r="X408" i="2"/>
  <c r="X409" i="2"/>
  <c r="X410" i="2"/>
  <c r="X411" i="2"/>
  <c r="X412" i="2"/>
  <c r="X413" i="2"/>
  <c r="X414" i="2"/>
  <c r="X415" i="2"/>
  <c r="X416" i="2"/>
  <c r="X417" i="2"/>
  <c r="X418" i="2"/>
  <c r="X419" i="2"/>
  <c r="X420" i="2"/>
  <c r="X421" i="2"/>
  <c r="X422" i="2"/>
  <c r="X423" i="2"/>
  <c r="X424" i="2"/>
  <c r="X425" i="2"/>
  <c r="X426" i="2"/>
  <c r="X427" i="2"/>
  <c r="X428" i="2"/>
  <c r="X429" i="2"/>
  <c r="X430" i="2"/>
  <c r="X431" i="2"/>
  <c r="X432" i="2"/>
  <c r="X433" i="2"/>
  <c r="X434" i="2"/>
  <c r="X435" i="2"/>
  <c r="X436" i="2"/>
  <c r="X437" i="2"/>
  <c r="X438" i="2"/>
  <c r="X439" i="2"/>
  <c r="X440" i="2"/>
  <c r="X441" i="2"/>
  <c r="X442" i="2"/>
  <c r="X443" i="2"/>
  <c r="X444" i="2"/>
  <c r="X445" i="2"/>
  <c r="X446" i="2"/>
  <c r="X447" i="2"/>
  <c r="X448" i="2"/>
  <c r="X449" i="2"/>
  <c r="X450" i="2"/>
  <c r="X451" i="2"/>
  <c r="X452" i="2"/>
  <c r="X453" i="2"/>
  <c r="X454" i="2"/>
  <c r="X455" i="2"/>
  <c r="X456" i="2"/>
  <c r="X457" i="2"/>
  <c r="X458" i="2"/>
  <c r="X459" i="2"/>
  <c r="X460" i="2"/>
  <c r="X461" i="2"/>
  <c r="X462" i="2"/>
  <c r="X463" i="2"/>
  <c r="X464" i="2"/>
  <c r="X465" i="2"/>
  <c r="X466" i="2"/>
  <c r="X467" i="2"/>
  <c r="X468" i="2"/>
  <c r="X469" i="2"/>
  <c r="X470" i="2"/>
  <c r="X471" i="2"/>
  <c r="X472" i="2"/>
  <c r="X473" i="2"/>
  <c r="X474" i="2"/>
  <c r="X475" i="2"/>
  <c r="X476" i="2"/>
  <c r="X477" i="2"/>
  <c r="X478" i="2"/>
  <c r="X479" i="2"/>
  <c r="X480" i="2"/>
  <c r="X481" i="2"/>
  <c r="X482" i="2"/>
  <c r="X483" i="2"/>
  <c r="X484" i="2"/>
  <c r="X485" i="2"/>
  <c r="X486" i="2"/>
  <c r="X487" i="2"/>
  <c r="X488" i="2"/>
  <c r="X489" i="2"/>
  <c r="X490" i="2"/>
  <c r="X491" i="2"/>
  <c r="X492" i="2"/>
  <c r="X493" i="2"/>
  <c r="X494" i="2"/>
  <c r="X495" i="2"/>
  <c r="X496" i="2"/>
  <c r="X497" i="2"/>
  <c r="X498" i="2"/>
  <c r="X499" i="2"/>
  <c r="X500" i="2"/>
  <c r="X501" i="2"/>
  <c r="X502" i="2"/>
  <c r="X503" i="2"/>
  <c r="X504" i="2"/>
  <c r="X505" i="2"/>
  <c r="X506" i="2"/>
  <c r="X507" i="2"/>
  <c r="X508" i="2"/>
  <c r="X509" i="2"/>
  <c r="X510" i="2"/>
  <c r="X511" i="2"/>
  <c r="X512" i="2"/>
  <c r="X513" i="2"/>
  <c r="X514" i="2"/>
  <c r="X515" i="2"/>
  <c r="X516" i="2"/>
  <c r="X517" i="2"/>
  <c r="X518" i="2"/>
  <c r="X519" i="2"/>
  <c r="X520" i="2"/>
  <c r="X521" i="2"/>
  <c r="X522" i="2"/>
  <c r="X523" i="2"/>
  <c r="X524" i="2"/>
  <c r="X525" i="2"/>
  <c r="X526" i="2"/>
  <c r="X527" i="2"/>
  <c r="X528" i="2"/>
  <c r="X529" i="2"/>
  <c r="X530" i="2"/>
  <c r="X531" i="2"/>
  <c r="X532" i="2"/>
  <c r="X533" i="2"/>
  <c r="X534" i="2"/>
  <c r="X535" i="2"/>
  <c r="X536" i="2"/>
  <c r="X537" i="2"/>
  <c r="X538" i="2"/>
  <c r="X539" i="2"/>
  <c r="X540" i="2"/>
  <c r="X541" i="2"/>
  <c r="X542" i="2"/>
  <c r="X543" i="2"/>
  <c r="X544" i="2"/>
  <c r="X545" i="2"/>
  <c r="X546" i="2"/>
  <c r="X547" i="2"/>
  <c r="X548" i="2"/>
  <c r="X549" i="2"/>
  <c r="X550" i="2"/>
  <c r="X551" i="2"/>
  <c r="X552" i="2"/>
  <c r="X553" i="2"/>
  <c r="X554" i="2"/>
  <c r="X555" i="2"/>
  <c r="X556" i="2"/>
  <c r="X557" i="2"/>
  <c r="X558" i="2"/>
  <c r="X559" i="2"/>
  <c r="X560" i="2"/>
  <c r="X561" i="2"/>
  <c r="X562" i="2"/>
  <c r="X563" i="2"/>
  <c r="X564" i="2"/>
  <c r="X565" i="2"/>
  <c r="X566" i="2"/>
  <c r="X567" i="2"/>
  <c r="X568" i="2"/>
  <c r="X569" i="2"/>
  <c r="X570" i="2"/>
  <c r="X571" i="2"/>
  <c r="X572" i="2"/>
  <c r="X573" i="2"/>
  <c r="X574" i="2"/>
  <c r="X575" i="2"/>
  <c r="X576" i="2"/>
  <c r="X577" i="2"/>
  <c r="X578" i="2"/>
  <c r="X579" i="2"/>
  <c r="X580" i="2"/>
  <c r="X581" i="2"/>
  <c r="X582" i="2"/>
  <c r="X583" i="2"/>
  <c r="X584" i="2"/>
  <c r="X585" i="2"/>
  <c r="X586" i="2"/>
  <c r="X587" i="2"/>
  <c r="X588" i="2"/>
  <c r="X589" i="2"/>
  <c r="X590" i="2"/>
  <c r="X591" i="2"/>
  <c r="X592" i="2"/>
  <c r="X593" i="2"/>
  <c r="X594" i="2"/>
  <c r="X595" i="2"/>
  <c r="X596" i="2"/>
  <c r="X597" i="2"/>
  <c r="X598" i="2"/>
  <c r="X599" i="2"/>
  <c r="X600" i="2"/>
  <c r="X601" i="2"/>
  <c r="X602" i="2"/>
  <c r="X603" i="2"/>
  <c r="X604" i="2"/>
  <c r="X605" i="2"/>
  <c r="X606" i="2"/>
  <c r="X607" i="2"/>
  <c r="X608" i="2"/>
  <c r="X609" i="2"/>
  <c r="X610" i="2"/>
  <c r="X611" i="2"/>
  <c r="X612" i="2"/>
  <c r="X613" i="2"/>
  <c r="X614" i="2"/>
  <c r="X615" i="2"/>
  <c r="X616" i="2"/>
  <c r="X617" i="2"/>
  <c r="X618" i="2"/>
  <c r="X619" i="2"/>
  <c r="X620" i="2"/>
  <c r="X621" i="2"/>
  <c r="X622" i="2"/>
  <c r="X623" i="2"/>
  <c r="X624" i="2"/>
  <c r="X625" i="2"/>
  <c r="X626" i="2"/>
  <c r="X627" i="2"/>
  <c r="X628" i="2"/>
  <c r="X629" i="2"/>
  <c r="X630" i="2"/>
  <c r="X631" i="2"/>
  <c r="X632" i="2"/>
  <c r="X633" i="2"/>
  <c r="X634" i="2"/>
  <c r="X635" i="2"/>
  <c r="X636" i="2"/>
  <c r="X637" i="2"/>
  <c r="X638" i="2"/>
  <c r="X639" i="2"/>
  <c r="X640" i="2"/>
  <c r="X641" i="2"/>
  <c r="X642" i="2"/>
  <c r="X643" i="2"/>
  <c r="X644" i="2"/>
  <c r="X645" i="2"/>
  <c r="X646" i="2"/>
  <c r="X647" i="2"/>
  <c r="X648" i="2"/>
  <c r="X649" i="2"/>
  <c r="X650" i="2"/>
  <c r="X651" i="2"/>
  <c r="X652" i="2"/>
  <c r="X653" i="2"/>
  <c r="X654" i="2"/>
  <c r="X655" i="2"/>
  <c r="X656" i="2"/>
  <c r="X657" i="2"/>
  <c r="X658" i="2"/>
  <c r="X659" i="2"/>
  <c r="X660" i="2"/>
  <c r="X661" i="2"/>
  <c r="X662" i="2"/>
  <c r="X663" i="2"/>
  <c r="X664" i="2"/>
  <c r="X665" i="2"/>
  <c r="X666" i="2"/>
  <c r="X667" i="2"/>
  <c r="X668" i="2"/>
  <c r="X669" i="2"/>
  <c r="X670" i="2"/>
  <c r="X671" i="2"/>
  <c r="X672" i="2"/>
  <c r="X673" i="2"/>
  <c r="X674" i="2"/>
  <c r="X675" i="2"/>
  <c r="X676" i="2"/>
  <c r="X677" i="2"/>
  <c r="X678" i="2"/>
  <c r="X679" i="2"/>
  <c r="X680" i="2"/>
  <c r="X681" i="2"/>
  <c r="X682" i="2"/>
  <c r="X683" i="2"/>
  <c r="X684" i="2"/>
  <c r="X685" i="2"/>
  <c r="X686" i="2"/>
  <c r="X687" i="2"/>
  <c r="X688" i="2"/>
  <c r="X689" i="2"/>
  <c r="X690" i="2"/>
  <c r="X691" i="2"/>
  <c r="X692" i="2"/>
  <c r="X693" i="2"/>
  <c r="X694" i="2"/>
  <c r="X695" i="2"/>
  <c r="X696" i="2"/>
  <c r="X697" i="2"/>
  <c r="X698" i="2"/>
  <c r="X699" i="2"/>
  <c r="X700" i="2"/>
  <c r="X701" i="2"/>
  <c r="X702" i="2"/>
  <c r="X703" i="2"/>
  <c r="X704" i="2"/>
  <c r="X705" i="2"/>
  <c r="X706" i="2"/>
  <c r="X707" i="2"/>
  <c r="X708" i="2"/>
  <c r="X709" i="2"/>
  <c r="X710" i="2"/>
  <c r="X711" i="2"/>
  <c r="X712" i="2"/>
  <c r="X713" i="2"/>
  <c r="X714" i="2"/>
  <c r="X715" i="2"/>
  <c r="X716" i="2"/>
  <c r="X717" i="2"/>
  <c r="X718" i="2"/>
  <c r="X719" i="2"/>
  <c r="X720" i="2"/>
  <c r="X721" i="2"/>
  <c r="X722" i="2"/>
  <c r="X723" i="2"/>
  <c r="X724" i="2"/>
  <c r="X725" i="2"/>
  <c r="X726" i="2"/>
  <c r="X727" i="2"/>
  <c r="X728" i="2"/>
  <c r="X729" i="2"/>
  <c r="X730" i="2"/>
  <c r="X731" i="2"/>
  <c r="X732" i="2"/>
  <c r="X733" i="2"/>
  <c r="X734" i="2"/>
  <c r="X735" i="2"/>
  <c r="X736" i="2"/>
  <c r="X737" i="2"/>
  <c r="X738" i="2"/>
  <c r="X739" i="2"/>
  <c r="X740" i="2"/>
  <c r="X741" i="2"/>
  <c r="X742" i="2"/>
  <c r="X743" i="2"/>
  <c r="X744" i="2"/>
  <c r="X745" i="2"/>
  <c r="X746" i="2"/>
  <c r="X747" i="2"/>
  <c r="X748" i="2"/>
  <c r="X749" i="2"/>
  <c r="X750" i="2"/>
  <c r="X751" i="2"/>
  <c r="X752" i="2"/>
  <c r="X753" i="2"/>
  <c r="X754" i="2"/>
  <c r="X755" i="2"/>
  <c r="X756" i="2"/>
  <c r="X757" i="2"/>
  <c r="X758" i="2"/>
  <c r="X759" i="2"/>
  <c r="X760" i="2"/>
  <c r="X761" i="2"/>
  <c r="X762" i="2"/>
  <c r="X763" i="2"/>
  <c r="X764" i="2"/>
  <c r="X765" i="2"/>
  <c r="X766" i="2"/>
  <c r="X767" i="2"/>
  <c r="X768" i="2"/>
  <c r="X769" i="2"/>
  <c r="X770" i="2"/>
  <c r="X771" i="2"/>
  <c r="X772" i="2"/>
  <c r="X773" i="2"/>
  <c r="X774" i="2"/>
  <c r="X775" i="2"/>
  <c r="X776" i="2"/>
  <c r="X777" i="2"/>
  <c r="X778" i="2"/>
  <c r="X779" i="2"/>
  <c r="X780" i="2"/>
  <c r="X781" i="2"/>
  <c r="X782" i="2"/>
  <c r="X783" i="2"/>
  <c r="X784" i="2"/>
  <c r="X785" i="2"/>
  <c r="X786" i="2"/>
  <c r="X787" i="2"/>
  <c r="X788" i="2"/>
  <c r="X789" i="2"/>
  <c r="X790" i="2"/>
  <c r="X791" i="2"/>
  <c r="X792" i="2"/>
  <c r="X793" i="2"/>
  <c r="X794" i="2"/>
  <c r="X795" i="2"/>
  <c r="X796" i="2"/>
  <c r="X797" i="2"/>
  <c r="X798" i="2"/>
  <c r="X799" i="2"/>
  <c r="X800" i="2"/>
  <c r="X801" i="2"/>
  <c r="X802" i="2"/>
  <c r="X803" i="2"/>
  <c r="X804" i="2"/>
  <c r="X805" i="2"/>
  <c r="X806" i="2"/>
  <c r="X807" i="2"/>
  <c r="X808" i="2"/>
  <c r="X809" i="2"/>
  <c r="X810" i="2"/>
  <c r="X811" i="2"/>
  <c r="X812" i="2"/>
  <c r="X813" i="2"/>
  <c r="X814" i="2"/>
  <c r="X815" i="2"/>
  <c r="X816" i="2"/>
  <c r="X817" i="2"/>
  <c r="X818" i="2"/>
  <c r="X819" i="2"/>
  <c r="X820" i="2"/>
  <c r="X821" i="2"/>
  <c r="X822" i="2"/>
  <c r="X823" i="2"/>
  <c r="X824" i="2"/>
  <c r="X825" i="2"/>
  <c r="X826" i="2"/>
  <c r="X827" i="2"/>
  <c r="X828" i="2"/>
  <c r="X829" i="2"/>
  <c r="X830" i="2"/>
  <c r="X831" i="2"/>
  <c r="X832" i="2"/>
  <c r="X833" i="2"/>
  <c r="X834" i="2"/>
  <c r="X835" i="2"/>
  <c r="X836" i="2"/>
  <c r="X837" i="2"/>
  <c r="X838" i="2"/>
  <c r="X839" i="2"/>
  <c r="X840" i="2"/>
  <c r="X841" i="2"/>
  <c r="X842" i="2"/>
  <c r="X843" i="2"/>
  <c r="X844" i="2"/>
  <c r="X845" i="2"/>
  <c r="X846" i="2"/>
  <c r="X847" i="2"/>
  <c r="X848" i="2"/>
  <c r="X849" i="2"/>
  <c r="X850" i="2"/>
  <c r="X851" i="2"/>
  <c r="X852" i="2"/>
  <c r="X853" i="2"/>
  <c r="X854" i="2"/>
  <c r="X855" i="2"/>
  <c r="X856" i="2"/>
  <c r="X857" i="2"/>
  <c r="X858" i="2"/>
  <c r="X859" i="2"/>
  <c r="X860" i="2"/>
  <c r="X861" i="2"/>
  <c r="X862" i="2"/>
  <c r="X863" i="2"/>
  <c r="X864" i="2"/>
  <c r="X865" i="2"/>
  <c r="X866" i="2"/>
  <c r="X867" i="2"/>
  <c r="X868" i="2"/>
  <c r="X869" i="2"/>
  <c r="X870" i="2"/>
  <c r="X871" i="2"/>
  <c r="X872" i="2"/>
  <c r="X873" i="2"/>
  <c r="X874" i="2"/>
  <c r="X875" i="2"/>
  <c r="X876" i="2"/>
  <c r="X877" i="2"/>
  <c r="X878" i="2"/>
  <c r="X879" i="2"/>
  <c r="X880" i="2"/>
  <c r="X881" i="2"/>
  <c r="X882" i="2"/>
  <c r="X883" i="2"/>
  <c r="X884" i="2"/>
  <c r="X885" i="2"/>
  <c r="X886" i="2"/>
  <c r="X887" i="2"/>
  <c r="X888" i="2"/>
  <c r="X889" i="2"/>
  <c r="X890" i="2"/>
  <c r="X891" i="2"/>
  <c r="X892" i="2"/>
  <c r="X893" i="2"/>
  <c r="X894" i="2"/>
  <c r="X895" i="2"/>
  <c r="X896" i="2"/>
  <c r="X897" i="2"/>
  <c r="X898" i="2"/>
  <c r="X899" i="2"/>
  <c r="X900" i="2"/>
  <c r="X901" i="2"/>
  <c r="X902" i="2"/>
  <c r="X903" i="2"/>
  <c r="X904" i="2"/>
  <c r="X905" i="2"/>
  <c r="X906" i="2"/>
  <c r="X907" i="2"/>
  <c r="X908" i="2"/>
  <c r="X909" i="2"/>
  <c r="X910" i="2"/>
  <c r="X911" i="2"/>
  <c r="X912" i="2"/>
  <c r="X913" i="2"/>
  <c r="X914" i="2"/>
  <c r="X915" i="2"/>
  <c r="X916" i="2"/>
  <c r="X917" i="2"/>
  <c r="X918" i="2"/>
  <c r="X919" i="2"/>
  <c r="X920" i="2"/>
  <c r="X921" i="2"/>
  <c r="X922" i="2"/>
  <c r="X923" i="2"/>
  <c r="X924" i="2"/>
  <c r="X925" i="2"/>
  <c r="X926" i="2"/>
  <c r="X927" i="2"/>
  <c r="X928" i="2"/>
  <c r="X929" i="2"/>
  <c r="X930" i="2"/>
  <c r="X931" i="2"/>
  <c r="X932" i="2"/>
  <c r="X933" i="2"/>
  <c r="X934" i="2"/>
  <c r="X935" i="2"/>
  <c r="X936" i="2"/>
  <c r="X937" i="2"/>
  <c r="X938" i="2"/>
  <c r="X939" i="2"/>
  <c r="X940" i="2"/>
  <c r="X941" i="2"/>
  <c r="X942" i="2"/>
  <c r="X943" i="2"/>
  <c r="X944" i="2"/>
  <c r="X945" i="2"/>
  <c r="X946" i="2"/>
  <c r="X947" i="2"/>
  <c r="X948" i="2"/>
  <c r="X949" i="2"/>
  <c r="X950" i="2"/>
  <c r="X951" i="2"/>
  <c r="X952" i="2"/>
  <c r="X953" i="2"/>
  <c r="X954" i="2"/>
  <c r="X955" i="2"/>
  <c r="X956" i="2"/>
  <c r="X957" i="2"/>
  <c r="X958" i="2"/>
  <c r="X959" i="2"/>
  <c r="X960" i="2"/>
  <c r="X961" i="2"/>
  <c r="X962" i="2"/>
  <c r="X963" i="2"/>
  <c r="X964" i="2"/>
  <c r="X965" i="2"/>
  <c r="X966" i="2"/>
  <c r="X967" i="2"/>
  <c r="X968" i="2"/>
  <c r="X969" i="2"/>
  <c r="X970" i="2"/>
  <c r="X971" i="2"/>
  <c r="X972" i="2"/>
  <c r="X973" i="2"/>
  <c r="X974" i="2"/>
  <c r="X975" i="2"/>
  <c r="X976" i="2"/>
  <c r="X977" i="2"/>
  <c r="X978" i="2"/>
  <c r="X979" i="2"/>
  <c r="X980" i="2"/>
  <c r="X981" i="2"/>
  <c r="X982" i="2"/>
  <c r="X983" i="2"/>
  <c r="X984" i="2"/>
  <c r="X985" i="2"/>
  <c r="X986" i="2"/>
  <c r="X987" i="2"/>
  <c r="X988" i="2"/>
  <c r="X989" i="2"/>
  <c r="X990" i="2"/>
  <c r="X991" i="2"/>
  <c r="X992" i="2"/>
  <c r="X993" i="2"/>
  <c r="X994" i="2"/>
  <c r="X995" i="2"/>
  <c r="X996" i="2"/>
  <c r="X997" i="2"/>
  <c r="X998" i="2"/>
  <c r="X999" i="2"/>
  <c r="X1000" i="2"/>
  <c r="X1001" i="2"/>
  <c r="X1002" i="2"/>
  <c r="X1003" i="2"/>
  <c r="X1004" i="2"/>
  <c r="X1005" i="2"/>
  <c r="X1006" i="2"/>
  <c r="X1007" i="2"/>
  <c r="X1008" i="2"/>
  <c r="X1009" i="2"/>
  <c r="X1010" i="2"/>
  <c r="X1011" i="2"/>
  <c r="X1012" i="2"/>
  <c r="X1013" i="2"/>
  <c r="X1014" i="2"/>
  <c r="X1015" i="2"/>
  <c r="X1016" i="2"/>
  <c r="X1017" i="2"/>
  <c r="X1018" i="2"/>
  <c r="X1019" i="2"/>
  <c r="X1020" i="2"/>
  <c r="X1021" i="2"/>
  <c r="X1022" i="2"/>
  <c r="X1023" i="2"/>
  <c r="X1024" i="2"/>
  <c r="X1025" i="2"/>
  <c r="X1026" i="2"/>
  <c r="X1027" i="2"/>
  <c r="X1028" i="2"/>
  <c r="X1029" i="2"/>
  <c r="X1030" i="2"/>
  <c r="X1031" i="2"/>
  <c r="X1032" i="2"/>
  <c r="X1033" i="2"/>
  <c r="X1034" i="2"/>
  <c r="X1035" i="2"/>
  <c r="X1036" i="2"/>
  <c r="X1037" i="2"/>
  <c r="X1038" i="2"/>
  <c r="X1039" i="2"/>
  <c r="X1040" i="2"/>
  <c r="X1041" i="2"/>
  <c r="X1042" i="2"/>
  <c r="X1043" i="2"/>
  <c r="X1044" i="2"/>
  <c r="X1045" i="2"/>
  <c r="X1046" i="2"/>
  <c r="X1047" i="2"/>
  <c r="X1048" i="2"/>
  <c r="X1049" i="2"/>
  <c r="X1050" i="2"/>
  <c r="X1051" i="2"/>
  <c r="X1052" i="2"/>
  <c r="X1053" i="2"/>
  <c r="X1054" i="2"/>
  <c r="X1055" i="2"/>
  <c r="X1056" i="2"/>
  <c r="X1057" i="2"/>
  <c r="X1058" i="2"/>
  <c r="X1059" i="2"/>
  <c r="X1060" i="2"/>
  <c r="X1061" i="2"/>
  <c r="X1062" i="2"/>
  <c r="X1063" i="2"/>
  <c r="X1064" i="2"/>
  <c r="X1065" i="2"/>
  <c r="X1066" i="2"/>
  <c r="X1067" i="2"/>
  <c r="X1068" i="2"/>
  <c r="X1069" i="2"/>
  <c r="X1070" i="2"/>
  <c r="X1071" i="2"/>
  <c r="X1072" i="2"/>
  <c r="X1073" i="2"/>
  <c r="X1074" i="2"/>
  <c r="X1075" i="2"/>
  <c r="X1076" i="2"/>
  <c r="X1077" i="2"/>
  <c r="X1078" i="2"/>
  <c r="X1079" i="2"/>
  <c r="X1080" i="2"/>
  <c r="X1081" i="2"/>
  <c r="X1082" i="2"/>
  <c r="X1083" i="2"/>
  <c r="X1084" i="2"/>
  <c r="X1085" i="2"/>
  <c r="X1086" i="2"/>
  <c r="X1087" i="2"/>
  <c r="X1088" i="2"/>
  <c r="X1089" i="2"/>
  <c r="X1090" i="2"/>
  <c r="X1091" i="2"/>
  <c r="X1092" i="2"/>
  <c r="X1093" i="2"/>
  <c r="X1094" i="2"/>
  <c r="X1095" i="2"/>
  <c r="X1096" i="2"/>
  <c r="X1097" i="2"/>
  <c r="X1098" i="2"/>
  <c r="X1099" i="2"/>
  <c r="X1100" i="2"/>
  <c r="X1101" i="2"/>
  <c r="X1102" i="2"/>
  <c r="X1103" i="2"/>
  <c r="X1104" i="2"/>
  <c r="X1105" i="2"/>
  <c r="X1106" i="2"/>
  <c r="X1107" i="2"/>
  <c r="X1108" i="2"/>
  <c r="X1109" i="2"/>
  <c r="X1110" i="2"/>
  <c r="X1111" i="2"/>
  <c r="X1112" i="2"/>
  <c r="X1113" i="2"/>
  <c r="X1114" i="2"/>
  <c r="X1115" i="2"/>
  <c r="X1116" i="2"/>
  <c r="X1117" i="2"/>
  <c r="X1118" i="2"/>
  <c r="X1119" i="2"/>
  <c r="X1120" i="2"/>
  <c r="X1121" i="2"/>
  <c r="X1122" i="2"/>
  <c r="X1123" i="2"/>
  <c r="X1124" i="2"/>
  <c r="X1125" i="2"/>
  <c r="X1126" i="2"/>
  <c r="X1127" i="2"/>
  <c r="X1128" i="2"/>
  <c r="X1129" i="2"/>
  <c r="X1130" i="2"/>
  <c r="X1131" i="2"/>
  <c r="X1132" i="2"/>
  <c r="X1133" i="2"/>
  <c r="X1134" i="2"/>
  <c r="X1135" i="2"/>
  <c r="X1136" i="2"/>
  <c r="X1137" i="2"/>
  <c r="X1138" i="2"/>
  <c r="X1139" i="2"/>
  <c r="X1140" i="2"/>
  <c r="X1141" i="2"/>
  <c r="X1142" i="2"/>
  <c r="X1143" i="2"/>
  <c r="X1144" i="2"/>
  <c r="X1145" i="2"/>
  <c r="X1146" i="2"/>
  <c r="X1147" i="2"/>
  <c r="X1148" i="2"/>
  <c r="X1149" i="2"/>
  <c r="X1150" i="2"/>
  <c r="X1151" i="2"/>
  <c r="X1152" i="2"/>
  <c r="X1153" i="2"/>
  <c r="X1154" i="2"/>
  <c r="X1155" i="2"/>
  <c r="X1156" i="2"/>
  <c r="X1157" i="2"/>
  <c r="X1158" i="2"/>
  <c r="X1159" i="2"/>
  <c r="X1160" i="2"/>
  <c r="X1161" i="2"/>
  <c r="X1162" i="2"/>
  <c r="X1163" i="2"/>
  <c r="X1164" i="2"/>
  <c r="X1165" i="2"/>
  <c r="X1166" i="2"/>
  <c r="X1167" i="2"/>
  <c r="X1168" i="2"/>
  <c r="X1169" i="2"/>
  <c r="X1170" i="2"/>
  <c r="X1171" i="2"/>
  <c r="X1172" i="2"/>
  <c r="X1173" i="2"/>
  <c r="X1174" i="2"/>
  <c r="X1175" i="2"/>
  <c r="X1176" i="2"/>
  <c r="X1177" i="2"/>
  <c r="X1178" i="2"/>
  <c r="X1179" i="2"/>
  <c r="X1180" i="2"/>
  <c r="X1181" i="2"/>
  <c r="X1182" i="2"/>
  <c r="X1183" i="2"/>
  <c r="X1184" i="2"/>
  <c r="X1185" i="2"/>
  <c r="X1186" i="2"/>
  <c r="X1187" i="2"/>
  <c r="X1188" i="2"/>
  <c r="X1189" i="2"/>
  <c r="X1190" i="2"/>
  <c r="X1191" i="2"/>
  <c r="X1192" i="2"/>
  <c r="X1193" i="2"/>
  <c r="X1194" i="2"/>
  <c r="X1195" i="2"/>
  <c r="X1196" i="2"/>
  <c r="X1197" i="2"/>
  <c r="X1198" i="2"/>
  <c r="X1199" i="2"/>
  <c r="X1200" i="2"/>
  <c r="X1201" i="2"/>
  <c r="X1202" i="2"/>
  <c r="X1203" i="2"/>
  <c r="X1204" i="2"/>
  <c r="X1205" i="2"/>
  <c r="X1206" i="2"/>
  <c r="X1207" i="2"/>
  <c r="X1208" i="2"/>
  <c r="X1209" i="2"/>
  <c r="X1210" i="2"/>
  <c r="X1211" i="2"/>
  <c r="X1212" i="2"/>
  <c r="X1213" i="2"/>
  <c r="X1214" i="2"/>
  <c r="X1215" i="2"/>
  <c r="X1216" i="2"/>
  <c r="X1217" i="2"/>
  <c r="X1218" i="2"/>
  <c r="X1219" i="2"/>
  <c r="X1220" i="2"/>
  <c r="X1221" i="2"/>
  <c r="X1222" i="2"/>
  <c r="X1223" i="2"/>
  <c r="X1224" i="2"/>
  <c r="X1225" i="2"/>
  <c r="X1226" i="2"/>
  <c r="X1227" i="2"/>
  <c r="X1228" i="2"/>
  <c r="X1229" i="2"/>
  <c r="X1230" i="2"/>
  <c r="X1231" i="2"/>
  <c r="X1232" i="2"/>
  <c r="X1233" i="2"/>
  <c r="X1234" i="2"/>
  <c r="X1235" i="2"/>
  <c r="X1236" i="2"/>
  <c r="X1237" i="2"/>
  <c r="X1238" i="2"/>
  <c r="X1239" i="2"/>
  <c r="X1240" i="2"/>
  <c r="X1241" i="2"/>
  <c r="X1242" i="2"/>
  <c r="X1243" i="2"/>
  <c r="X1244" i="2"/>
  <c r="X1245" i="2"/>
  <c r="X1246" i="2"/>
  <c r="X1247" i="2"/>
  <c r="X1248" i="2"/>
  <c r="X1249" i="2"/>
  <c r="X1250" i="2"/>
  <c r="X1251" i="2"/>
  <c r="X1252" i="2"/>
  <c r="X1253" i="2"/>
  <c r="X1254" i="2"/>
  <c r="X1255" i="2"/>
  <c r="X1256" i="2"/>
  <c r="X1257" i="2"/>
  <c r="X1258" i="2"/>
  <c r="X1259" i="2"/>
  <c r="X1260" i="2"/>
  <c r="X1261" i="2"/>
  <c r="X1262" i="2"/>
  <c r="X1263" i="2"/>
  <c r="X1264" i="2"/>
  <c r="X1265" i="2"/>
  <c r="X1266" i="2"/>
  <c r="X1267" i="2"/>
  <c r="X1268" i="2"/>
  <c r="X1269" i="2"/>
  <c r="X1270" i="2"/>
  <c r="X1271" i="2"/>
  <c r="X1272" i="2"/>
  <c r="X1273" i="2"/>
  <c r="X1274" i="2"/>
  <c r="X1275" i="2"/>
  <c r="X1276" i="2"/>
  <c r="X1277" i="2"/>
  <c r="X1278" i="2"/>
  <c r="X1279" i="2"/>
  <c r="X1280" i="2"/>
  <c r="X1281" i="2"/>
  <c r="X1282" i="2"/>
  <c r="X1283" i="2"/>
  <c r="X1284" i="2"/>
  <c r="X1285" i="2"/>
  <c r="X1286" i="2"/>
  <c r="X1287" i="2"/>
  <c r="X1288" i="2"/>
  <c r="X1289" i="2"/>
  <c r="X1290" i="2"/>
  <c r="X1291" i="2"/>
  <c r="X1292" i="2"/>
  <c r="X1293" i="2"/>
  <c r="X1294" i="2"/>
  <c r="X1295" i="2"/>
  <c r="X1296" i="2"/>
  <c r="X1297" i="2"/>
  <c r="X1298" i="2"/>
  <c r="X1299" i="2"/>
  <c r="X1300" i="2"/>
  <c r="X1301" i="2"/>
  <c r="X1302" i="2"/>
  <c r="X1303" i="2"/>
  <c r="X1304" i="2"/>
  <c r="X1305" i="2"/>
  <c r="X1306" i="2"/>
  <c r="X1307" i="2"/>
  <c r="X1308" i="2"/>
  <c r="X1309" i="2"/>
  <c r="X1310" i="2"/>
  <c r="X1311" i="2"/>
  <c r="X1312" i="2"/>
  <c r="X1313" i="2"/>
  <c r="X1314" i="2"/>
  <c r="X1315" i="2"/>
  <c r="X1316" i="2"/>
  <c r="X1317" i="2"/>
  <c r="X1318" i="2"/>
  <c r="X1319" i="2"/>
  <c r="X1320" i="2"/>
  <c r="X1321" i="2"/>
  <c r="X1322" i="2"/>
  <c r="X1323" i="2"/>
  <c r="X1324" i="2"/>
  <c r="X1325" i="2"/>
  <c r="X1326" i="2"/>
  <c r="X1327" i="2"/>
  <c r="X1328" i="2"/>
  <c r="X1329" i="2"/>
  <c r="X1330" i="2"/>
  <c r="X1331" i="2"/>
  <c r="X1332" i="2"/>
  <c r="X1333" i="2"/>
  <c r="X1334" i="2"/>
  <c r="X1335" i="2"/>
  <c r="X1336" i="2"/>
  <c r="X1337" i="2"/>
  <c r="X1338" i="2"/>
  <c r="X1339" i="2"/>
  <c r="X1340" i="2"/>
  <c r="X1341" i="2"/>
  <c r="X1342" i="2"/>
  <c r="X1343" i="2"/>
  <c r="X1344" i="2"/>
  <c r="X1345" i="2"/>
  <c r="X1346" i="2"/>
  <c r="X1347" i="2"/>
  <c r="X1348" i="2"/>
  <c r="X1349" i="2"/>
  <c r="X1350" i="2"/>
  <c r="X1351" i="2"/>
  <c r="X1352" i="2"/>
  <c r="X1353" i="2"/>
  <c r="X1354" i="2"/>
  <c r="X1355" i="2"/>
  <c r="X1356" i="2"/>
  <c r="X1357" i="2"/>
  <c r="X1358" i="2"/>
  <c r="X1359" i="2"/>
  <c r="X1360" i="2"/>
  <c r="X1361" i="2"/>
  <c r="X1362" i="2"/>
  <c r="X1363" i="2"/>
  <c r="X1364" i="2"/>
  <c r="X1365" i="2"/>
  <c r="X1366" i="2"/>
  <c r="X1367" i="2"/>
  <c r="X1368" i="2"/>
  <c r="X1369" i="2"/>
  <c r="X1370" i="2"/>
  <c r="X1371" i="2"/>
  <c r="X1372" i="2"/>
  <c r="X1373" i="2"/>
  <c r="X1374" i="2"/>
  <c r="X1375" i="2"/>
  <c r="X1376" i="2"/>
  <c r="X1377" i="2"/>
  <c r="X1378" i="2"/>
  <c r="X1379" i="2"/>
  <c r="X1380" i="2"/>
  <c r="X1381" i="2"/>
  <c r="X1382" i="2"/>
  <c r="X1383" i="2"/>
  <c r="X1384" i="2"/>
  <c r="X1385" i="2"/>
  <c r="X1386" i="2"/>
  <c r="X1387" i="2"/>
  <c r="X1388" i="2"/>
  <c r="X1389" i="2"/>
  <c r="X1390" i="2"/>
  <c r="X1391" i="2"/>
  <c r="X1392" i="2"/>
  <c r="X1393" i="2"/>
  <c r="X1394" i="2"/>
  <c r="X1395" i="2"/>
  <c r="X1396" i="2"/>
  <c r="X1397" i="2"/>
  <c r="X1398" i="2"/>
  <c r="X1399" i="2"/>
  <c r="X1400" i="2"/>
  <c r="X1401" i="2"/>
  <c r="X1402" i="2"/>
  <c r="X1403" i="2"/>
  <c r="X1404" i="2"/>
  <c r="X1405" i="2"/>
  <c r="X1406" i="2"/>
  <c r="X1407" i="2"/>
  <c r="X1408" i="2"/>
  <c r="X1409" i="2"/>
  <c r="X1410" i="2"/>
  <c r="X1411" i="2"/>
  <c r="X1412" i="2"/>
  <c r="X1413" i="2"/>
  <c r="X1414" i="2"/>
  <c r="X1415" i="2"/>
  <c r="X1416" i="2"/>
  <c r="X1417" i="2"/>
  <c r="X1418" i="2"/>
  <c r="X1419" i="2"/>
  <c r="X1420" i="2"/>
  <c r="X1421" i="2"/>
  <c r="X1422" i="2"/>
  <c r="X1423" i="2"/>
  <c r="X1424" i="2"/>
  <c r="X1425" i="2"/>
  <c r="X1426" i="2"/>
  <c r="X1427" i="2"/>
  <c r="X1428" i="2"/>
  <c r="X1429" i="2"/>
  <c r="X1430" i="2"/>
  <c r="X1431" i="2"/>
  <c r="X1432" i="2"/>
  <c r="X1433" i="2"/>
  <c r="X1434" i="2"/>
  <c r="X1435" i="2"/>
  <c r="X1436" i="2"/>
  <c r="X1437" i="2"/>
  <c r="X1438" i="2"/>
  <c r="X1439" i="2"/>
  <c r="X1440" i="2"/>
  <c r="X1441" i="2"/>
  <c r="X1442" i="2"/>
  <c r="X1443" i="2"/>
  <c r="X1444" i="2"/>
  <c r="X1445" i="2"/>
  <c r="X1446" i="2"/>
  <c r="X1447" i="2"/>
  <c r="X1448" i="2"/>
  <c r="X1449" i="2"/>
  <c r="X1450" i="2"/>
  <c r="X1451" i="2"/>
  <c r="X1452" i="2"/>
  <c r="X1453" i="2"/>
  <c r="X1454" i="2"/>
  <c r="X1455" i="2"/>
  <c r="X1456" i="2"/>
  <c r="X1457" i="2"/>
  <c r="X1458" i="2"/>
  <c r="X1459" i="2"/>
  <c r="X1460" i="2"/>
  <c r="X1461" i="2"/>
  <c r="X1462" i="2"/>
  <c r="X1463" i="2"/>
  <c r="X1464" i="2"/>
  <c r="X1465" i="2"/>
  <c r="X1466" i="2"/>
  <c r="X1467" i="2"/>
  <c r="X1468" i="2"/>
  <c r="X1469" i="2"/>
  <c r="X1470" i="2"/>
  <c r="X1471" i="2"/>
  <c r="X1472" i="2"/>
  <c r="X1473" i="2"/>
  <c r="X1474" i="2"/>
  <c r="X1475" i="2"/>
  <c r="X1476" i="2"/>
  <c r="X1477" i="2"/>
  <c r="X1478" i="2"/>
  <c r="X1479" i="2"/>
  <c r="X1480" i="2"/>
  <c r="X1481" i="2"/>
  <c r="X1482" i="2"/>
  <c r="X1483" i="2"/>
  <c r="X1484" i="2"/>
  <c r="X1485" i="2"/>
  <c r="X1486" i="2"/>
  <c r="X1487" i="2"/>
  <c r="X1488" i="2"/>
  <c r="X1489" i="2"/>
  <c r="X1490" i="2"/>
  <c r="X1491" i="2"/>
  <c r="X1492" i="2"/>
  <c r="X1493" i="2"/>
  <c r="X1494" i="2"/>
  <c r="X1495" i="2"/>
  <c r="X1496" i="2"/>
  <c r="X1497" i="2"/>
  <c r="X1498" i="2"/>
  <c r="X1499" i="2"/>
  <c r="X1500" i="2"/>
  <c r="X1501" i="2"/>
  <c r="X1502" i="2"/>
  <c r="X1503" i="2"/>
  <c r="X1504" i="2"/>
  <c r="X1505" i="2"/>
  <c r="X1506" i="2"/>
  <c r="X1507" i="2"/>
  <c r="X1508" i="2"/>
  <c r="X1509" i="2"/>
  <c r="X1510" i="2"/>
  <c r="X1511" i="2"/>
  <c r="X1512" i="2"/>
  <c r="X1513" i="2"/>
  <c r="X1514" i="2"/>
  <c r="X1515" i="2"/>
  <c r="X1516" i="2"/>
  <c r="X1517" i="2"/>
  <c r="X1518" i="2"/>
  <c r="X1519" i="2"/>
  <c r="X1520" i="2"/>
  <c r="X1521" i="2"/>
  <c r="X1522" i="2"/>
  <c r="X1523" i="2"/>
  <c r="X1524" i="2"/>
  <c r="X1525" i="2"/>
  <c r="X1526" i="2"/>
  <c r="X1527" i="2"/>
  <c r="X1528" i="2"/>
  <c r="X1529" i="2"/>
  <c r="X1530" i="2"/>
  <c r="X1531" i="2"/>
  <c r="X1532" i="2"/>
  <c r="X1533" i="2"/>
  <c r="X1534" i="2"/>
  <c r="X1535" i="2"/>
  <c r="X1536" i="2"/>
  <c r="X1537" i="2"/>
  <c r="X1538" i="2"/>
  <c r="X1539" i="2"/>
  <c r="X1540" i="2"/>
  <c r="X1541" i="2"/>
  <c r="X1542" i="2"/>
  <c r="X1543" i="2"/>
  <c r="X1544" i="2"/>
  <c r="X1545" i="2"/>
  <c r="X1546" i="2"/>
  <c r="X1547" i="2"/>
  <c r="X1548" i="2"/>
  <c r="X1549" i="2"/>
  <c r="X1550" i="2"/>
  <c r="X1551" i="2"/>
  <c r="X1552" i="2"/>
  <c r="X1553" i="2"/>
  <c r="X1554" i="2"/>
  <c r="X1555" i="2"/>
  <c r="X1556" i="2"/>
  <c r="X1557" i="2"/>
  <c r="X1558" i="2"/>
  <c r="X1559" i="2"/>
  <c r="X1560" i="2"/>
  <c r="X1561" i="2"/>
  <c r="X1562" i="2"/>
  <c r="X1563" i="2"/>
  <c r="X1564" i="2"/>
  <c r="X1565" i="2"/>
  <c r="X1566" i="2"/>
  <c r="X1567" i="2"/>
  <c r="X1568" i="2"/>
  <c r="X1569" i="2"/>
  <c r="X1570" i="2"/>
  <c r="X1571" i="2"/>
  <c r="X1572" i="2"/>
  <c r="X1573" i="2"/>
  <c r="X1574" i="2"/>
  <c r="X1575" i="2"/>
  <c r="X1576" i="2"/>
  <c r="X1577" i="2"/>
  <c r="X1578" i="2"/>
  <c r="X1579" i="2"/>
  <c r="X1580" i="2"/>
  <c r="X1581" i="2"/>
  <c r="X1582" i="2"/>
  <c r="X1583" i="2"/>
  <c r="X1584" i="2"/>
  <c r="X1585" i="2"/>
  <c r="X1586" i="2"/>
  <c r="X1587" i="2"/>
  <c r="X1588" i="2"/>
  <c r="X1589" i="2"/>
  <c r="X1590" i="2"/>
  <c r="X1591" i="2"/>
  <c r="X1592" i="2"/>
  <c r="X1593" i="2"/>
  <c r="X1594" i="2"/>
  <c r="X1595" i="2"/>
  <c r="X1596" i="2"/>
  <c r="X1597" i="2"/>
  <c r="X1598" i="2"/>
  <c r="X1599" i="2"/>
  <c r="X1600" i="2"/>
  <c r="X1601" i="2"/>
  <c r="X1602" i="2"/>
  <c r="X1603" i="2"/>
  <c r="X1604" i="2"/>
  <c r="X1605" i="2"/>
  <c r="X1606" i="2"/>
  <c r="X1607" i="2"/>
  <c r="X1608" i="2"/>
  <c r="X1609" i="2"/>
  <c r="X1610" i="2"/>
  <c r="X1611" i="2"/>
  <c r="X1612" i="2"/>
  <c r="X1613" i="2"/>
  <c r="X1614" i="2"/>
  <c r="X1615" i="2"/>
  <c r="X1616" i="2"/>
  <c r="X1617" i="2"/>
  <c r="X1618" i="2"/>
  <c r="X1619" i="2"/>
  <c r="X1620" i="2"/>
  <c r="X1621" i="2"/>
  <c r="X1622" i="2"/>
  <c r="X1623" i="2"/>
  <c r="X1624" i="2"/>
  <c r="X1625" i="2"/>
  <c r="X1626" i="2"/>
  <c r="X1627" i="2"/>
  <c r="X1628" i="2"/>
  <c r="X1629" i="2"/>
  <c r="X1630" i="2"/>
  <c r="X1631" i="2"/>
  <c r="X1632" i="2"/>
  <c r="X1633" i="2"/>
  <c r="X1634" i="2"/>
  <c r="X1635" i="2"/>
  <c r="X1636" i="2"/>
  <c r="X1637" i="2"/>
  <c r="X1638" i="2"/>
  <c r="X1639" i="2"/>
  <c r="X1640" i="2"/>
  <c r="X1641" i="2"/>
  <c r="X1642" i="2"/>
  <c r="X1643" i="2"/>
  <c r="X1644" i="2"/>
  <c r="X1645" i="2"/>
  <c r="X1646" i="2"/>
  <c r="X1647" i="2"/>
  <c r="X1648" i="2"/>
  <c r="X1649" i="2"/>
  <c r="X1650" i="2"/>
  <c r="X1651" i="2"/>
  <c r="X1652" i="2"/>
  <c r="X1653" i="2"/>
  <c r="X1654" i="2"/>
  <c r="X1655" i="2"/>
  <c r="X1656" i="2"/>
  <c r="X1657" i="2"/>
  <c r="X1658" i="2"/>
  <c r="X1659" i="2"/>
  <c r="X1660" i="2"/>
  <c r="X1661" i="2"/>
  <c r="X1662" i="2"/>
  <c r="X1663" i="2"/>
  <c r="X1664" i="2"/>
  <c r="X1665" i="2"/>
  <c r="X1666" i="2"/>
  <c r="X1667" i="2"/>
  <c r="X1668" i="2"/>
  <c r="X1669" i="2"/>
  <c r="X1670" i="2"/>
  <c r="X1671" i="2"/>
  <c r="X1672" i="2"/>
  <c r="X1673" i="2"/>
  <c r="X1674" i="2"/>
  <c r="X1675" i="2"/>
  <c r="X1676" i="2"/>
  <c r="X1677" i="2"/>
  <c r="X1678" i="2"/>
  <c r="X1679" i="2"/>
  <c r="X1680" i="2"/>
  <c r="X1681" i="2"/>
  <c r="X1682" i="2"/>
  <c r="X1683" i="2"/>
  <c r="X1684" i="2"/>
  <c r="X1685" i="2"/>
  <c r="X1686" i="2"/>
  <c r="X1687" i="2"/>
  <c r="X1688" i="2"/>
  <c r="X1689" i="2"/>
  <c r="X1690" i="2"/>
  <c r="X1691" i="2"/>
  <c r="X1692" i="2"/>
  <c r="X1693" i="2"/>
  <c r="X1694" i="2"/>
  <c r="X1695" i="2"/>
  <c r="X1696" i="2"/>
  <c r="X1697" i="2"/>
  <c r="X1698" i="2"/>
  <c r="X1699" i="2"/>
  <c r="X1700" i="2"/>
  <c r="X1701" i="2"/>
  <c r="X1702" i="2"/>
  <c r="X1703" i="2"/>
  <c r="X1704" i="2"/>
  <c r="X1705" i="2"/>
  <c r="X1706" i="2"/>
  <c r="X1707" i="2"/>
  <c r="X1708" i="2"/>
  <c r="X1709" i="2"/>
  <c r="X1710" i="2"/>
  <c r="X1711" i="2"/>
  <c r="X1712" i="2"/>
  <c r="X1713" i="2"/>
  <c r="X1714" i="2"/>
  <c r="X1715" i="2"/>
  <c r="X1716" i="2"/>
  <c r="X1717" i="2"/>
  <c r="X1718" i="2"/>
  <c r="X1719" i="2"/>
  <c r="X1720" i="2"/>
  <c r="X1721" i="2"/>
  <c r="X1722" i="2"/>
  <c r="X1723" i="2"/>
  <c r="X1724" i="2"/>
  <c r="X1725" i="2"/>
  <c r="X1726" i="2"/>
  <c r="X1727" i="2"/>
  <c r="X1728" i="2"/>
  <c r="X1729" i="2"/>
  <c r="X1730" i="2"/>
  <c r="X1731" i="2"/>
  <c r="X1732" i="2"/>
  <c r="X1733" i="2"/>
  <c r="X1734" i="2"/>
  <c r="X1735" i="2"/>
  <c r="X1736" i="2"/>
  <c r="X1737" i="2"/>
  <c r="X1738" i="2"/>
  <c r="X1739" i="2"/>
  <c r="X1740" i="2"/>
  <c r="X1741" i="2"/>
  <c r="X1742" i="2"/>
  <c r="X1743" i="2"/>
  <c r="X1744" i="2"/>
  <c r="X1745" i="2"/>
  <c r="X1746" i="2"/>
  <c r="X1747" i="2"/>
  <c r="X1748" i="2"/>
  <c r="X1749" i="2"/>
  <c r="X1750" i="2"/>
  <c r="X1751" i="2"/>
  <c r="X1752" i="2"/>
  <c r="X1753" i="2"/>
  <c r="X1754" i="2"/>
  <c r="X1755" i="2"/>
  <c r="X1756" i="2"/>
  <c r="X1757" i="2"/>
  <c r="X1758" i="2"/>
  <c r="X1759" i="2"/>
  <c r="X1760" i="2"/>
  <c r="X1761" i="2"/>
  <c r="X1762" i="2"/>
  <c r="X1763" i="2"/>
  <c r="X1764" i="2"/>
  <c r="X1765" i="2"/>
  <c r="X1766" i="2"/>
  <c r="X1767" i="2"/>
  <c r="X1768" i="2"/>
  <c r="X1769" i="2"/>
  <c r="X1770" i="2"/>
  <c r="X1771" i="2"/>
  <c r="X1772" i="2"/>
  <c r="X1773" i="2"/>
  <c r="X1774" i="2"/>
  <c r="X1775" i="2"/>
  <c r="X1776" i="2"/>
  <c r="X1777" i="2"/>
  <c r="X1778" i="2"/>
  <c r="X1779" i="2"/>
  <c r="X1780" i="2"/>
  <c r="X1781" i="2"/>
  <c r="X1782" i="2"/>
  <c r="X1783" i="2"/>
  <c r="X1784" i="2"/>
  <c r="X1785" i="2"/>
  <c r="X1786" i="2"/>
  <c r="X1787" i="2"/>
  <c r="X1788" i="2"/>
  <c r="X1789" i="2"/>
  <c r="X1790" i="2"/>
  <c r="X1791" i="2"/>
  <c r="X1792" i="2"/>
  <c r="X1793" i="2"/>
  <c r="X1794" i="2"/>
  <c r="X1795" i="2"/>
  <c r="X1796" i="2"/>
  <c r="X1797" i="2"/>
  <c r="X1798" i="2"/>
  <c r="X1799" i="2"/>
  <c r="X1800" i="2"/>
  <c r="X1801" i="2"/>
  <c r="X1802" i="2"/>
  <c r="X1803" i="2"/>
  <c r="X1804" i="2"/>
  <c r="X1805" i="2"/>
  <c r="X1806" i="2"/>
  <c r="X1807" i="2"/>
  <c r="X1808" i="2"/>
  <c r="X1809" i="2"/>
  <c r="X1810" i="2"/>
  <c r="X1811" i="2"/>
  <c r="X1812" i="2"/>
  <c r="X1813" i="2"/>
  <c r="X1814" i="2"/>
  <c r="X1815" i="2"/>
  <c r="X1816" i="2"/>
  <c r="X1817" i="2"/>
  <c r="X1818" i="2"/>
  <c r="X1819" i="2"/>
  <c r="X1820" i="2"/>
  <c r="X1821" i="2"/>
  <c r="X1822" i="2"/>
  <c r="X1823" i="2"/>
  <c r="X1824" i="2"/>
  <c r="X1825" i="2"/>
  <c r="X1826" i="2"/>
  <c r="X1827" i="2"/>
  <c r="X1828" i="2"/>
  <c r="X1829" i="2"/>
  <c r="X1830" i="2"/>
  <c r="X1831" i="2"/>
  <c r="X1832" i="2"/>
  <c r="X1833" i="2"/>
  <c r="X1834" i="2"/>
  <c r="X1835" i="2"/>
  <c r="X1836" i="2"/>
  <c r="X1837" i="2"/>
  <c r="X1838" i="2"/>
  <c r="X1839" i="2"/>
  <c r="X1840" i="2"/>
  <c r="X1841" i="2"/>
  <c r="X1842" i="2"/>
  <c r="X1843" i="2"/>
  <c r="X1844" i="2"/>
  <c r="X1845" i="2"/>
  <c r="X1846" i="2"/>
  <c r="X1847" i="2"/>
  <c r="X1848" i="2"/>
  <c r="X1849" i="2"/>
  <c r="X1850" i="2"/>
  <c r="X1851" i="2"/>
  <c r="X1852" i="2"/>
  <c r="X1853" i="2"/>
  <c r="X1854" i="2"/>
  <c r="X1855" i="2"/>
  <c r="X1856" i="2"/>
  <c r="X1857" i="2"/>
  <c r="X1858" i="2"/>
  <c r="X1859" i="2"/>
  <c r="X1860" i="2"/>
  <c r="X1861" i="2"/>
  <c r="X1862" i="2"/>
  <c r="X1863" i="2"/>
  <c r="X1864" i="2"/>
  <c r="X1865" i="2"/>
  <c r="X1866" i="2"/>
  <c r="X1867" i="2"/>
  <c r="X1868" i="2"/>
  <c r="X1869" i="2"/>
  <c r="X1870" i="2"/>
  <c r="X1871" i="2"/>
  <c r="X1872" i="2"/>
  <c r="X1873" i="2"/>
  <c r="X1874" i="2"/>
  <c r="X1875" i="2"/>
  <c r="X1876" i="2"/>
  <c r="X1877" i="2"/>
  <c r="X1878" i="2"/>
  <c r="X1879" i="2"/>
  <c r="X1880" i="2"/>
  <c r="X1881" i="2"/>
  <c r="X1882" i="2"/>
  <c r="X1883" i="2"/>
  <c r="X1884" i="2"/>
  <c r="X1885" i="2"/>
  <c r="X1886" i="2"/>
  <c r="X1887" i="2"/>
  <c r="X1888" i="2"/>
  <c r="X1889" i="2"/>
  <c r="X1890" i="2"/>
  <c r="X1891" i="2"/>
  <c r="X1892" i="2"/>
  <c r="X1893" i="2"/>
  <c r="X1894" i="2"/>
  <c r="X1895" i="2"/>
  <c r="X1896" i="2"/>
  <c r="X1897" i="2"/>
  <c r="X1898" i="2"/>
  <c r="X1899" i="2"/>
  <c r="X1900" i="2"/>
  <c r="X1901" i="2"/>
  <c r="X1902" i="2"/>
  <c r="X1903" i="2"/>
  <c r="X1904" i="2"/>
  <c r="X1905" i="2"/>
  <c r="X1906" i="2"/>
  <c r="X1907" i="2"/>
  <c r="X1908" i="2"/>
  <c r="X1909" i="2"/>
  <c r="X1910" i="2"/>
  <c r="X1911" i="2"/>
  <c r="X1912" i="2"/>
  <c r="X1913" i="2"/>
  <c r="X1914" i="2"/>
  <c r="X1915" i="2"/>
  <c r="X1916" i="2"/>
  <c r="X1917" i="2"/>
  <c r="X1918" i="2"/>
  <c r="X1919" i="2"/>
  <c r="X1920" i="2"/>
  <c r="X1921" i="2"/>
  <c r="X1922" i="2"/>
  <c r="X1923" i="2"/>
  <c r="X1924" i="2"/>
  <c r="X1925" i="2"/>
  <c r="X1926" i="2"/>
  <c r="X1927" i="2"/>
  <c r="X1928" i="2"/>
  <c r="X1929" i="2"/>
  <c r="X1930" i="2"/>
  <c r="X1931" i="2"/>
  <c r="X1932" i="2"/>
  <c r="X1933" i="2"/>
  <c r="X1934" i="2"/>
  <c r="X1935" i="2"/>
  <c r="X1936" i="2"/>
  <c r="X1937" i="2"/>
  <c r="X1938" i="2"/>
  <c r="X1939" i="2"/>
  <c r="X1940" i="2"/>
  <c r="X1941" i="2"/>
  <c r="X1942" i="2"/>
  <c r="X1943" i="2"/>
  <c r="X1944" i="2"/>
  <c r="X1945" i="2"/>
  <c r="X1946" i="2"/>
  <c r="X1947" i="2"/>
  <c r="X1948" i="2"/>
  <c r="X1949" i="2"/>
  <c r="X1950" i="2"/>
  <c r="X1951" i="2"/>
  <c r="X1952" i="2"/>
  <c r="X1953" i="2"/>
  <c r="X1954" i="2"/>
  <c r="X1955" i="2"/>
  <c r="X1956" i="2"/>
  <c r="X1957" i="2"/>
  <c r="X1958" i="2"/>
  <c r="X1959" i="2"/>
  <c r="X1960" i="2"/>
  <c r="X1961" i="2"/>
  <c r="X1962" i="2"/>
  <c r="X1963" i="2"/>
  <c r="X1964" i="2"/>
  <c r="X1965" i="2"/>
  <c r="X1966" i="2"/>
  <c r="X1967" i="2"/>
  <c r="X1968" i="2"/>
  <c r="X1969" i="2"/>
  <c r="X1970" i="2"/>
  <c r="X1971" i="2"/>
  <c r="X1972" i="2"/>
  <c r="X1973" i="2"/>
  <c r="X1974" i="2"/>
  <c r="X1975" i="2"/>
  <c r="X1976" i="2"/>
  <c r="X1977" i="2"/>
  <c r="X1978" i="2"/>
  <c r="X1979" i="2"/>
  <c r="X1980" i="2"/>
  <c r="X1981" i="2"/>
  <c r="X1982" i="2"/>
  <c r="X1983" i="2"/>
  <c r="X1984" i="2"/>
  <c r="X1985" i="2"/>
  <c r="X1986" i="2"/>
  <c r="X1987" i="2"/>
  <c r="X1988" i="2"/>
  <c r="X1989" i="2"/>
  <c r="X1990" i="2"/>
  <c r="X1991" i="2"/>
  <c r="X1992" i="2"/>
  <c r="X1993" i="2"/>
  <c r="X1994" i="2"/>
  <c r="X1995" i="2"/>
  <c r="X1996" i="2"/>
  <c r="X1997" i="2"/>
  <c r="X1998" i="2"/>
  <c r="X1999" i="2"/>
  <c r="X2000" i="2"/>
  <c r="X2001" i="2"/>
  <c r="X2002" i="2"/>
  <c r="X2003" i="2"/>
  <c r="X2004" i="2"/>
  <c r="X2005" i="2"/>
  <c r="X2006" i="2"/>
  <c r="X2007" i="2"/>
  <c r="X2008" i="2"/>
  <c r="X2009" i="2"/>
  <c r="X2010" i="2"/>
  <c r="X2011" i="2"/>
  <c r="X2012" i="2"/>
  <c r="X2013" i="2"/>
  <c r="X2014" i="2"/>
  <c r="X2015" i="2"/>
  <c r="X2016" i="2"/>
  <c r="X2017" i="2"/>
  <c r="X2018" i="2"/>
  <c r="X2019" i="2"/>
  <c r="X2020" i="2"/>
  <c r="X2021" i="2"/>
  <c r="X2022" i="2"/>
  <c r="X2023" i="2"/>
  <c r="X2024" i="2"/>
  <c r="X2025" i="2"/>
  <c r="X2026" i="2"/>
  <c r="X2027" i="2"/>
  <c r="X2028" i="2"/>
  <c r="X2029" i="2"/>
  <c r="X2030" i="2"/>
  <c r="X2031" i="2"/>
  <c r="X2032" i="2"/>
  <c r="X2033" i="2"/>
  <c r="X2034" i="2"/>
  <c r="X2035" i="2"/>
  <c r="X2036" i="2"/>
  <c r="X2037" i="2"/>
  <c r="X2038" i="2"/>
  <c r="X2039" i="2"/>
  <c r="X2040" i="2"/>
  <c r="X2041" i="2"/>
  <c r="X2042" i="2"/>
  <c r="X2043" i="2"/>
  <c r="X2044" i="2"/>
  <c r="X2045" i="2"/>
  <c r="X2046" i="2"/>
  <c r="X2047" i="2"/>
  <c r="X2048" i="2"/>
  <c r="X2049" i="2"/>
  <c r="X2050" i="2"/>
  <c r="X2051" i="2"/>
  <c r="X2052" i="2"/>
  <c r="X2053" i="2"/>
  <c r="X2054" i="2"/>
  <c r="X2055" i="2"/>
  <c r="X2056" i="2"/>
  <c r="X2057" i="2"/>
  <c r="X2058" i="2"/>
  <c r="X2059" i="2"/>
  <c r="X2060" i="2"/>
  <c r="X2061" i="2"/>
  <c r="X2062" i="2"/>
  <c r="X2063" i="2"/>
  <c r="X2064" i="2"/>
  <c r="X2065" i="2"/>
  <c r="X2066" i="2"/>
  <c r="X2067" i="2"/>
  <c r="X2068" i="2"/>
  <c r="X2069" i="2"/>
  <c r="X2070" i="2"/>
  <c r="X2071" i="2"/>
  <c r="X2072" i="2"/>
  <c r="X2073" i="2"/>
  <c r="X2074" i="2"/>
  <c r="X2075" i="2"/>
  <c r="X2076" i="2"/>
  <c r="X2077" i="2"/>
  <c r="X2078" i="2"/>
  <c r="X2079" i="2"/>
  <c r="X2080" i="2"/>
  <c r="X2081" i="2"/>
  <c r="X2082" i="2"/>
  <c r="X2083" i="2"/>
  <c r="X2084" i="2"/>
  <c r="X2085" i="2"/>
  <c r="X2086" i="2"/>
  <c r="X2087" i="2"/>
  <c r="X2088" i="2"/>
  <c r="X2089" i="2"/>
  <c r="X2090" i="2"/>
  <c r="X2091" i="2"/>
  <c r="X2092" i="2"/>
  <c r="X2093" i="2"/>
  <c r="X2094" i="2"/>
  <c r="X2095" i="2"/>
  <c r="X2096" i="2"/>
  <c r="X2097" i="2"/>
  <c r="X2098" i="2"/>
  <c r="X2099" i="2"/>
  <c r="X2100" i="2"/>
  <c r="X2101" i="2"/>
  <c r="X2102" i="2"/>
  <c r="X2103" i="2"/>
  <c r="X2104" i="2"/>
  <c r="X2105" i="2"/>
  <c r="X2106" i="2"/>
  <c r="X2107" i="2"/>
  <c r="X2108" i="2"/>
  <c r="X2109" i="2"/>
  <c r="X2110" i="2"/>
  <c r="X2111" i="2"/>
  <c r="X2112" i="2"/>
  <c r="X2113" i="2"/>
  <c r="X2114" i="2"/>
  <c r="X2115" i="2"/>
  <c r="X2116" i="2"/>
  <c r="X2117" i="2"/>
  <c r="X2118" i="2"/>
  <c r="X2119" i="2"/>
  <c r="X2120" i="2"/>
  <c r="X2121" i="2"/>
  <c r="X2122" i="2"/>
  <c r="X2123" i="2"/>
  <c r="X2124" i="2"/>
  <c r="X2125" i="2"/>
  <c r="X2126" i="2"/>
  <c r="X2127" i="2"/>
  <c r="X2128" i="2"/>
  <c r="X2129" i="2"/>
  <c r="X2130" i="2"/>
  <c r="X2131" i="2"/>
  <c r="X2132" i="2"/>
  <c r="X2133" i="2"/>
  <c r="X2134" i="2"/>
  <c r="X2135" i="2"/>
  <c r="X2136" i="2"/>
  <c r="X2137" i="2"/>
  <c r="X2138" i="2"/>
  <c r="X2139" i="2"/>
  <c r="X2140" i="2"/>
  <c r="X2141" i="2"/>
  <c r="X2142" i="2"/>
  <c r="X2143" i="2"/>
  <c r="X2144" i="2"/>
  <c r="X2145" i="2"/>
  <c r="X2146" i="2"/>
  <c r="X2147" i="2"/>
  <c r="X2148" i="2"/>
  <c r="X2149" i="2"/>
  <c r="X2150" i="2"/>
  <c r="X2151" i="2"/>
  <c r="X2152" i="2"/>
  <c r="X2153" i="2"/>
  <c r="X2154" i="2"/>
  <c r="X2155" i="2"/>
  <c r="X2156" i="2"/>
  <c r="X2157" i="2"/>
  <c r="X2158" i="2"/>
  <c r="X2159" i="2"/>
  <c r="X2160" i="2"/>
  <c r="X2161" i="2"/>
  <c r="X2162" i="2"/>
  <c r="X2163" i="2"/>
  <c r="X2164" i="2"/>
  <c r="X2165" i="2"/>
  <c r="X2166" i="2"/>
  <c r="X2167" i="2"/>
  <c r="X2168" i="2"/>
  <c r="X2169" i="2"/>
  <c r="X2170" i="2"/>
  <c r="X2171" i="2"/>
  <c r="X2172" i="2"/>
  <c r="X2173" i="2"/>
  <c r="X2174" i="2"/>
  <c r="X2175" i="2"/>
  <c r="X2176" i="2"/>
  <c r="X2177" i="2"/>
  <c r="X2178" i="2"/>
  <c r="X2179" i="2"/>
  <c r="X2180" i="2"/>
  <c r="X2181" i="2"/>
  <c r="X2182" i="2"/>
  <c r="X2183" i="2"/>
  <c r="X2184" i="2"/>
  <c r="X2185" i="2"/>
  <c r="X2186" i="2"/>
  <c r="X2187" i="2"/>
  <c r="X2188" i="2"/>
  <c r="X2189" i="2"/>
  <c r="X2190" i="2"/>
  <c r="X2191" i="2"/>
  <c r="X2192" i="2"/>
  <c r="X2193" i="2"/>
  <c r="X2194" i="2"/>
  <c r="X2195" i="2"/>
  <c r="X2196" i="2"/>
  <c r="X2197" i="2"/>
  <c r="X2198" i="2"/>
  <c r="X2199" i="2"/>
  <c r="X2200" i="2"/>
  <c r="X2201" i="2"/>
  <c r="X2202" i="2"/>
  <c r="X2203" i="2"/>
  <c r="X2204" i="2"/>
  <c r="X2205" i="2"/>
  <c r="X2206" i="2"/>
  <c r="X2207" i="2"/>
  <c r="X2208" i="2"/>
  <c r="X2209" i="2"/>
  <c r="X2210" i="2"/>
  <c r="X2211" i="2"/>
  <c r="X2212" i="2"/>
  <c r="X2213" i="2"/>
  <c r="X2214" i="2"/>
  <c r="X2215" i="2"/>
  <c r="X2216" i="2"/>
  <c r="X2217" i="2"/>
  <c r="X2218" i="2"/>
  <c r="X2219" i="2"/>
  <c r="X2220" i="2"/>
  <c r="X2221" i="2"/>
  <c r="X2222" i="2"/>
  <c r="X2223" i="2"/>
  <c r="X2224" i="2"/>
  <c r="X2225" i="2"/>
  <c r="X2226" i="2"/>
  <c r="X2227" i="2"/>
  <c r="X2228" i="2"/>
  <c r="X2229" i="2"/>
  <c r="X2230" i="2"/>
  <c r="X2231" i="2"/>
  <c r="X2232" i="2"/>
  <c r="X2233" i="2"/>
  <c r="X2234" i="2"/>
  <c r="X2235" i="2"/>
  <c r="X2236" i="2"/>
  <c r="X2237" i="2"/>
  <c r="X2238" i="2"/>
  <c r="X2239" i="2"/>
  <c r="X2240" i="2"/>
  <c r="X2241" i="2"/>
  <c r="X2242" i="2"/>
  <c r="X2243" i="2"/>
  <c r="X2244" i="2"/>
  <c r="X2245" i="2"/>
  <c r="X2246" i="2"/>
  <c r="X2247" i="2"/>
  <c r="X2248" i="2"/>
  <c r="X2249" i="2"/>
  <c r="X2250" i="2"/>
  <c r="X2251" i="2"/>
  <c r="X2252" i="2"/>
  <c r="X2253" i="2"/>
  <c r="X2254" i="2"/>
  <c r="X2255" i="2"/>
  <c r="X2256" i="2"/>
  <c r="X2257" i="2"/>
  <c r="X2258" i="2"/>
  <c r="X2259" i="2"/>
  <c r="X2260" i="2"/>
  <c r="X2261" i="2"/>
  <c r="X2262" i="2"/>
  <c r="X2263" i="2"/>
  <c r="X2264" i="2"/>
  <c r="X2265" i="2"/>
  <c r="X2266" i="2"/>
  <c r="X2267" i="2"/>
  <c r="X2268" i="2"/>
  <c r="X2269" i="2"/>
  <c r="X2270" i="2"/>
  <c r="X2271" i="2"/>
  <c r="X2272" i="2"/>
  <c r="X2273" i="2"/>
  <c r="X2274" i="2"/>
  <c r="X2275" i="2"/>
  <c r="X2276" i="2"/>
  <c r="X2277" i="2"/>
  <c r="X2278" i="2"/>
  <c r="X2279" i="2"/>
  <c r="X2280" i="2"/>
  <c r="X2281" i="2"/>
  <c r="X2282" i="2"/>
  <c r="X2283" i="2"/>
  <c r="X2284" i="2"/>
  <c r="X2285" i="2"/>
  <c r="X2286" i="2"/>
  <c r="X2287" i="2"/>
  <c r="X2288" i="2"/>
  <c r="X2289" i="2"/>
  <c r="X2290" i="2"/>
  <c r="X2291" i="2"/>
  <c r="X2292" i="2"/>
  <c r="X2293" i="2"/>
  <c r="X2294" i="2"/>
  <c r="X2295" i="2"/>
  <c r="X2296" i="2"/>
  <c r="X2297" i="2"/>
  <c r="X2298" i="2"/>
  <c r="X2299" i="2"/>
  <c r="X2300" i="2"/>
  <c r="X2301" i="2"/>
  <c r="X2302" i="2"/>
  <c r="X2303" i="2"/>
  <c r="X2304" i="2"/>
  <c r="X2305" i="2"/>
  <c r="X2306" i="2"/>
  <c r="X2307" i="2"/>
  <c r="X2308" i="2"/>
  <c r="X2309" i="2"/>
  <c r="X2310" i="2"/>
  <c r="X2311" i="2"/>
  <c r="X2312" i="2"/>
  <c r="X2313" i="2"/>
  <c r="X2314" i="2"/>
  <c r="X2315" i="2"/>
  <c r="X2316" i="2"/>
  <c r="X2317" i="2"/>
  <c r="X2318" i="2"/>
  <c r="X2319" i="2"/>
  <c r="X2320" i="2"/>
  <c r="X2321" i="2"/>
  <c r="X2322" i="2"/>
  <c r="X2323" i="2"/>
  <c r="X2324" i="2"/>
  <c r="X2325" i="2"/>
  <c r="X2326" i="2"/>
  <c r="X2327" i="2"/>
  <c r="X2328" i="2"/>
  <c r="X2329" i="2"/>
  <c r="X2330" i="2"/>
  <c r="X2331" i="2"/>
  <c r="X2332" i="2"/>
  <c r="X2333" i="2"/>
  <c r="X2334" i="2"/>
  <c r="X2335" i="2"/>
  <c r="X2336" i="2"/>
  <c r="X2337" i="2"/>
  <c r="X2338" i="2"/>
  <c r="X2339" i="2"/>
  <c r="X2340" i="2"/>
  <c r="X2341" i="2"/>
  <c r="X2342" i="2"/>
  <c r="X2343" i="2"/>
  <c r="X2344" i="2"/>
  <c r="X2345" i="2"/>
  <c r="X2346" i="2"/>
  <c r="X2347" i="2"/>
  <c r="X2348" i="2"/>
  <c r="X2349" i="2"/>
  <c r="X2350" i="2"/>
  <c r="X2351" i="2"/>
  <c r="X2352" i="2"/>
  <c r="X2353" i="2"/>
  <c r="X2354" i="2"/>
  <c r="X2355" i="2"/>
  <c r="X2356" i="2"/>
  <c r="X2357" i="2"/>
  <c r="X2358" i="2"/>
  <c r="X2359" i="2"/>
  <c r="X2360" i="2"/>
  <c r="X2361" i="2"/>
  <c r="X2362" i="2"/>
  <c r="X2363" i="2"/>
  <c r="X2364" i="2"/>
  <c r="X2365" i="2"/>
  <c r="X2366" i="2"/>
  <c r="X2367" i="2"/>
  <c r="X2368" i="2"/>
  <c r="X2369" i="2"/>
  <c r="X2370" i="2"/>
  <c r="X2371" i="2"/>
  <c r="X2372" i="2"/>
  <c r="X2373" i="2"/>
  <c r="X2374" i="2"/>
  <c r="X2375" i="2"/>
  <c r="X2376" i="2"/>
  <c r="X2377" i="2"/>
  <c r="X2378" i="2"/>
  <c r="X2379" i="2"/>
  <c r="X2380" i="2"/>
  <c r="X2381" i="2"/>
  <c r="X2382" i="2"/>
  <c r="X2383" i="2"/>
  <c r="X2384" i="2"/>
  <c r="X2385" i="2"/>
  <c r="X2386" i="2"/>
  <c r="X2387" i="2"/>
  <c r="X2388" i="2"/>
  <c r="X2389" i="2"/>
  <c r="X2390" i="2"/>
  <c r="X2391" i="2"/>
  <c r="X2392" i="2"/>
  <c r="X2393" i="2"/>
  <c r="X2394" i="2"/>
  <c r="X2395" i="2"/>
  <c r="X2396" i="2"/>
  <c r="X2397" i="2"/>
  <c r="X2398" i="2"/>
  <c r="X2399" i="2"/>
  <c r="X2400" i="2"/>
  <c r="X2401" i="2"/>
  <c r="X2402" i="2"/>
  <c r="X2403" i="2"/>
  <c r="X2404" i="2"/>
  <c r="X2405" i="2"/>
  <c r="X2406" i="2"/>
  <c r="X2407" i="2"/>
  <c r="X2408" i="2"/>
  <c r="X2409" i="2"/>
  <c r="X2410" i="2"/>
  <c r="X2411" i="2"/>
  <c r="X2412" i="2"/>
  <c r="X2413" i="2"/>
  <c r="X2414" i="2"/>
  <c r="X2415" i="2"/>
  <c r="X2416" i="2"/>
  <c r="X2417" i="2"/>
  <c r="X2418" i="2"/>
  <c r="X2419" i="2"/>
  <c r="X2420" i="2"/>
  <c r="X2421" i="2"/>
  <c r="X2422" i="2"/>
  <c r="X2423" i="2"/>
  <c r="X2424" i="2"/>
  <c r="X2425" i="2"/>
  <c r="X2426" i="2"/>
  <c r="X2427" i="2"/>
  <c r="X2428" i="2"/>
  <c r="X2429" i="2"/>
  <c r="X2430" i="2"/>
  <c r="X2431" i="2"/>
  <c r="X2432" i="2"/>
  <c r="X2433" i="2"/>
  <c r="X2434" i="2"/>
  <c r="X2435" i="2"/>
  <c r="X2436" i="2"/>
  <c r="X2437" i="2"/>
  <c r="X2438" i="2"/>
  <c r="X2439" i="2"/>
  <c r="X2440" i="2"/>
  <c r="X2441" i="2"/>
  <c r="X2442" i="2"/>
  <c r="X2443" i="2"/>
  <c r="X2444" i="2"/>
  <c r="X2445" i="2"/>
  <c r="X2446" i="2"/>
  <c r="X2447" i="2"/>
  <c r="X2448" i="2"/>
  <c r="X2449" i="2"/>
  <c r="X2450" i="2"/>
  <c r="X2451" i="2"/>
  <c r="X2452" i="2"/>
  <c r="X2453" i="2"/>
  <c r="X2454" i="2"/>
  <c r="X2455" i="2"/>
  <c r="X2456" i="2"/>
  <c r="X2457" i="2"/>
  <c r="X2458" i="2"/>
  <c r="X2459" i="2"/>
  <c r="X2460" i="2"/>
  <c r="X2461" i="2"/>
  <c r="X2462" i="2"/>
  <c r="X2463" i="2"/>
  <c r="X2464" i="2"/>
  <c r="X2465" i="2"/>
  <c r="X2466" i="2"/>
  <c r="X2467" i="2"/>
  <c r="X2468" i="2"/>
  <c r="X2469" i="2"/>
  <c r="X2470" i="2"/>
  <c r="X2471" i="2"/>
  <c r="X2472" i="2"/>
  <c r="X2473" i="2"/>
  <c r="X2474" i="2"/>
  <c r="X2475" i="2"/>
  <c r="X2476" i="2"/>
  <c r="X2477" i="2"/>
  <c r="X2478" i="2"/>
  <c r="X2479" i="2"/>
  <c r="X2480" i="2"/>
  <c r="X2481" i="2"/>
  <c r="X2482" i="2"/>
  <c r="X2483" i="2"/>
  <c r="X2484" i="2"/>
  <c r="X2485" i="2"/>
  <c r="X2486" i="2"/>
  <c r="X2487" i="2"/>
  <c r="X2488" i="2"/>
  <c r="X2489" i="2"/>
  <c r="X2490" i="2"/>
  <c r="X2491" i="2"/>
  <c r="X2492" i="2"/>
  <c r="X2493" i="2"/>
  <c r="X2494" i="2"/>
  <c r="X2495" i="2"/>
  <c r="X2496" i="2"/>
  <c r="X2497" i="2"/>
  <c r="X2498" i="2"/>
  <c r="X2499" i="2"/>
  <c r="X2500" i="2"/>
  <c r="X2501" i="2"/>
  <c r="X2502" i="2"/>
  <c r="X2503" i="2"/>
  <c r="X2504" i="2"/>
  <c r="X2505" i="2"/>
  <c r="X2506" i="2"/>
  <c r="X2507" i="2"/>
  <c r="X2508" i="2"/>
  <c r="X2509" i="2"/>
  <c r="X2510" i="2"/>
  <c r="X2511" i="2"/>
  <c r="X2512" i="2"/>
  <c r="X2513" i="2"/>
  <c r="X2514" i="2"/>
  <c r="X2515" i="2"/>
  <c r="X2516" i="2"/>
  <c r="X2517" i="2"/>
  <c r="X2518" i="2"/>
  <c r="X2519" i="2"/>
  <c r="X2520" i="2"/>
  <c r="X2521" i="2"/>
  <c r="X2522" i="2"/>
  <c r="X2523" i="2"/>
  <c r="X2524" i="2"/>
  <c r="X2525" i="2"/>
  <c r="X2526" i="2"/>
  <c r="X2527" i="2"/>
  <c r="X2528" i="2"/>
  <c r="X2529" i="2"/>
  <c r="X2530" i="2"/>
  <c r="X2531" i="2"/>
  <c r="X2532" i="2"/>
  <c r="X2533" i="2"/>
  <c r="X2534" i="2"/>
  <c r="X2535" i="2"/>
  <c r="X2536" i="2"/>
  <c r="X2537" i="2"/>
  <c r="X2538" i="2"/>
  <c r="X2539" i="2"/>
  <c r="X2540" i="2"/>
  <c r="X2541" i="2"/>
  <c r="X2542" i="2"/>
  <c r="X2543" i="2"/>
  <c r="X2544" i="2"/>
  <c r="X2545" i="2"/>
  <c r="X2546" i="2"/>
  <c r="X2547" i="2"/>
  <c r="X2548" i="2"/>
  <c r="X2549" i="2"/>
  <c r="X2550" i="2"/>
  <c r="X2551" i="2"/>
  <c r="X2552" i="2"/>
  <c r="X2553" i="2"/>
  <c r="X2554" i="2"/>
  <c r="X2555" i="2"/>
  <c r="X2556" i="2"/>
  <c r="X2557" i="2"/>
  <c r="X2558" i="2"/>
  <c r="X2559" i="2"/>
  <c r="X2560" i="2"/>
  <c r="X2561" i="2"/>
  <c r="X2562" i="2"/>
  <c r="X2563" i="2"/>
  <c r="X2564" i="2"/>
  <c r="X2565" i="2"/>
  <c r="X2566" i="2"/>
  <c r="X2567" i="2"/>
  <c r="X2568" i="2"/>
  <c r="X2569" i="2"/>
  <c r="X2570" i="2"/>
  <c r="X2571" i="2"/>
  <c r="X2572" i="2"/>
  <c r="X2573" i="2"/>
  <c r="X2574" i="2"/>
  <c r="X2575" i="2"/>
  <c r="X2576" i="2"/>
  <c r="X2577" i="2"/>
  <c r="X2578" i="2"/>
  <c r="X2579" i="2"/>
  <c r="X2580" i="2"/>
  <c r="X2581" i="2"/>
  <c r="X2582" i="2"/>
  <c r="X2583" i="2"/>
  <c r="X2584" i="2"/>
  <c r="X2585" i="2"/>
  <c r="X2586" i="2"/>
  <c r="X2587" i="2"/>
  <c r="X2588" i="2"/>
  <c r="X2589" i="2"/>
  <c r="X2590" i="2"/>
  <c r="X2591" i="2"/>
  <c r="X2592" i="2"/>
  <c r="X2593" i="2"/>
  <c r="X2594" i="2"/>
  <c r="X2595" i="2"/>
  <c r="X2596" i="2"/>
  <c r="X2597" i="2"/>
  <c r="X2598" i="2"/>
  <c r="X2599" i="2"/>
  <c r="X2600" i="2"/>
  <c r="X2601" i="2"/>
  <c r="X2602" i="2"/>
  <c r="X2603" i="2"/>
  <c r="X2604" i="2"/>
  <c r="X2605" i="2"/>
  <c r="X2606" i="2"/>
  <c r="X2607" i="2"/>
  <c r="X2608" i="2"/>
  <c r="X2609" i="2"/>
  <c r="X2610" i="2"/>
  <c r="X2611" i="2"/>
  <c r="X2612" i="2"/>
  <c r="X2613" i="2"/>
  <c r="X2614" i="2"/>
  <c r="X2615" i="2"/>
  <c r="X2616" i="2"/>
  <c r="X2617" i="2"/>
  <c r="X2618" i="2"/>
  <c r="X2619" i="2"/>
  <c r="X2620" i="2"/>
  <c r="X2621" i="2"/>
  <c r="X2622" i="2"/>
  <c r="X2623" i="2"/>
  <c r="X2624" i="2"/>
  <c r="X2625" i="2"/>
  <c r="X2626" i="2"/>
  <c r="X2627" i="2"/>
  <c r="X2628" i="2"/>
  <c r="X2629" i="2"/>
  <c r="X2630" i="2"/>
  <c r="X2631" i="2"/>
  <c r="X2632" i="2"/>
  <c r="X2633" i="2"/>
  <c r="X2634" i="2"/>
  <c r="X2635" i="2"/>
  <c r="X2636" i="2"/>
  <c r="X2637" i="2"/>
  <c r="X2638" i="2"/>
  <c r="X2639" i="2"/>
  <c r="X2640" i="2"/>
  <c r="X2641" i="2"/>
  <c r="X2642" i="2"/>
  <c r="X2643" i="2"/>
  <c r="X2644" i="2"/>
  <c r="X2645" i="2"/>
  <c r="X2646" i="2"/>
  <c r="X2647" i="2"/>
  <c r="X2648" i="2"/>
  <c r="X2649" i="2"/>
  <c r="X2650" i="2"/>
  <c r="X2651" i="2"/>
  <c r="X2652" i="2"/>
  <c r="X2653" i="2"/>
  <c r="X2654" i="2"/>
  <c r="X2655" i="2"/>
  <c r="X2656" i="2"/>
  <c r="X2657" i="2"/>
  <c r="X2658" i="2"/>
  <c r="X2659" i="2"/>
  <c r="X2660" i="2"/>
  <c r="X2661" i="2"/>
  <c r="X2662" i="2"/>
  <c r="X2663" i="2"/>
  <c r="X2664" i="2"/>
  <c r="X2665" i="2"/>
  <c r="X2666" i="2"/>
  <c r="X2667" i="2"/>
  <c r="X2668" i="2"/>
  <c r="X2669" i="2"/>
  <c r="X2670" i="2"/>
  <c r="X2671" i="2"/>
  <c r="X2672" i="2"/>
  <c r="X2673" i="2"/>
  <c r="X2674" i="2"/>
  <c r="X2675" i="2"/>
  <c r="X2676" i="2"/>
  <c r="X2677" i="2"/>
  <c r="X2678" i="2"/>
  <c r="X2679" i="2"/>
  <c r="X2680" i="2"/>
  <c r="X2681" i="2"/>
  <c r="X2682" i="2"/>
  <c r="X2683" i="2"/>
  <c r="X2684" i="2"/>
  <c r="X2685" i="2"/>
  <c r="X2686" i="2"/>
  <c r="X2687" i="2"/>
  <c r="X2688" i="2"/>
  <c r="X2689" i="2"/>
  <c r="X2690" i="2"/>
  <c r="X2691" i="2"/>
  <c r="X2692" i="2"/>
  <c r="X2693" i="2"/>
  <c r="X2694" i="2"/>
  <c r="X2695" i="2"/>
  <c r="X2696" i="2"/>
  <c r="X2697" i="2"/>
  <c r="X2698" i="2"/>
  <c r="X2699" i="2"/>
  <c r="X2700" i="2"/>
  <c r="X2701" i="2"/>
  <c r="X2702" i="2"/>
  <c r="X2703" i="2"/>
  <c r="X2704" i="2"/>
  <c r="X2705" i="2"/>
  <c r="X2706" i="2"/>
  <c r="X2707" i="2"/>
  <c r="X2708" i="2"/>
  <c r="X2709" i="2"/>
  <c r="X2710" i="2"/>
  <c r="X2711" i="2"/>
  <c r="X2712" i="2"/>
  <c r="X2713" i="2"/>
  <c r="X2714" i="2"/>
  <c r="X2715" i="2"/>
  <c r="X2716" i="2"/>
  <c r="X2717" i="2"/>
  <c r="X2718" i="2"/>
  <c r="X2719" i="2"/>
  <c r="X2720" i="2"/>
  <c r="X2721" i="2"/>
  <c r="X2722" i="2"/>
  <c r="X2723" i="2"/>
  <c r="X2724" i="2"/>
  <c r="X2725" i="2"/>
  <c r="X2726" i="2"/>
  <c r="X2727" i="2"/>
  <c r="X2728" i="2"/>
  <c r="X2729" i="2"/>
  <c r="X2730" i="2"/>
  <c r="X2731" i="2"/>
  <c r="X2732" i="2"/>
  <c r="X2733" i="2"/>
  <c r="X2734" i="2"/>
  <c r="X2735" i="2"/>
  <c r="X2736" i="2"/>
  <c r="X2737" i="2"/>
  <c r="X2738" i="2"/>
  <c r="X2739" i="2"/>
  <c r="X2740" i="2"/>
  <c r="X2741" i="2"/>
  <c r="X2742" i="2"/>
  <c r="X2743" i="2"/>
  <c r="X2744" i="2"/>
  <c r="X2745" i="2"/>
  <c r="X2746" i="2"/>
  <c r="X2747" i="2"/>
  <c r="X2748" i="2"/>
  <c r="X2749" i="2"/>
  <c r="X2750" i="2"/>
  <c r="X2751" i="2"/>
  <c r="X2752" i="2"/>
  <c r="X2753" i="2"/>
  <c r="X2754" i="2"/>
  <c r="X2755" i="2"/>
  <c r="X2756" i="2"/>
  <c r="X2757" i="2"/>
  <c r="X2758" i="2"/>
  <c r="X2759" i="2"/>
  <c r="X2760" i="2"/>
  <c r="X2761" i="2"/>
  <c r="X2762" i="2"/>
  <c r="X2763" i="2"/>
  <c r="X2764" i="2"/>
  <c r="X2765" i="2"/>
  <c r="X2766" i="2"/>
  <c r="X2767" i="2"/>
  <c r="X2768" i="2"/>
  <c r="X2769" i="2"/>
  <c r="X2770" i="2"/>
  <c r="X2771" i="2"/>
  <c r="X2772" i="2"/>
  <c r="X2773" i="2"/>
  <c r="X2774" i="2"/>
  <c r="X2775" i="2"/>
  <c r="X2776" i="2"/>
  <c r="X2777" i="2"/>
  <c r="X2778" i="2"/>
  <c r="X2779" i="2"/>
  <c r="X2780" i="2"/>
  <c r="X2781" i="2"/>
  <c r="X2782" i="2"/>
  <c r="X2783" i="2"/>
  <c r="X2784" i="2"/>
  <c r="X2785" i="2"/>
  <c r="X2786" i="2"/>
  <c r="X2787" i="2"/>
  <c r="X2788" i="2"/>
  <c r="X2789" i="2"/>
  <c r="X2790" i="2"/>
  <c r="X2791" i="2"/>
  <c r="X2792" i="2"/>
  <c r="X2793" i="2"/>
  <c r="X2794" i="2"/>
  <c r="X2795" i="2"/>
  <c r="X2796" i="2"/>
  <c r="X2797" i="2"/>
  <c r="X2798" i="2"/>
  <c r="X2799" i="2"/>
  <c r="X2800" i="2"/>
  <c r="X2801" i="2"/>
  <c r="X2802" i="2"/>
  <c r="X2803" i="2"/>
  <c r="X2804" i="2"/>
  <c r="X2805" i="2"/>
  <c r="X2806" i="2"/>
  <c r="X2807" i="2"/>
  <c r="X2808" i="2"/>
  <c r="X2809" i="2"/>
  <c r="X2810" i="2"/>
  <c r="X2811" i="2"/>
  <c r="X2812" i="2"/>
  <c r="X2813" i="2"/>
  <c r="X2814" i="2"/>
  <c r="X2815" i="2"/>
  <c r="X2816" i="2"/>
  <c r="X2817" i="2"/>
  <c r="X2818" i="2"/>
  <c r="X2819" i="2"/>
  <c r="X2820" i="2"/>
  <c r="X2821" i="2"/>
  <c r="X2822" i="2"/>
  <c r="X2823" i="2"/>
  <c r="X2824" i="2"/>
  <c r="X2825" i="2"/>
  <c r="X2826" i="2"/>
  <c r="X2827" i="2"/>
  <c r="X2828" i="2"/>
  <c r="X2829" i="2"/>
  <c r="X2830" i="2"/>
  <c r="X2831" i="2"/>
  <c r="X2832" i="2"/>
  <c r="X2833" i="2"/>
  <c r="X2834" i="2"/>
  <c r="X2835" i="2"/>
  <c r="X2836" i="2"/>
  <c r="X2837" i="2"/>
  <c r="X2838" i="2"/>
  <c r="X2839" i="2"/>
  <c r="X2840" i="2"/>
  <c r="X2841" i="2"/>
  <c r="X2842" i="2"/>
  <c r="X2843" i="2"/>
  <c r="X2844" i="2"/>
  <c r="X2845" i="2"/>
  <c r="X2846" i="2"/>
  <c r="X2847" i="2"/>
  <c r="X2848" i="2"/>
  <c r="X2849" i="2"/>
  <c r="X2850" i="2"/>
  <c r="X2851" i="2"/>
  <c r="X2852" i="2"/>
  <c r="X2853" i="2"/>
  <c r="X2854" i="2"/>
  <c r="X2855" i="2"/>
  <c r="X2856" i="2"/>
  <c r="X2857" i="2"/>
  <c r="X2858" i="2"/>
  <c r="X2859" i="2"/>
  <c r="X2860" i="2"/>
  <c r="X2861" i="2"/>
  <c r="X2862" i="2"/>
  <c r="X2863" i="2"/>
  <c r="X2864" i="2"/>
  <c r="X2865" i="2"/>
  <c r="X2866" i="2"/>
  <c r="X2867" i="2"/>
  <c r="X2868" i="2"/>
  <c r="X2869" i="2"/>
  <c r="X2870" i="2"/>
  <c r="X2871" i="2"/>
  <c r="X2872" i="2"/>
  <c r="X2873" i="2"/>
  <c r="X2874" i="2"/>
  <c r="X2875" i="2"/>
  <c r="X2876" i="2"/>
  <c r="X2877" i="2"/>
  <c r="X2878" i="2"/>
  <c r="X2879" i="2"/>
  <c r="X2880" i="2"/>
  <c r="X2881" i="2"/>
  <c r="X2882" i="2"/>
  <c r="X2883" i="2"/>
  <c r="X2884" i="2"/>
  <c r="X2885" i="2"/>
  <c r="X2886" i="2"/>
  <c r="X2887" i="2"/>
  <c r="X2888" i="2"/>
  <c r="X2889" i="2"/>
  <c r="X2890" i="2"/>
  <c r="X2891" i="2"/>
  <c r="X2892" i="2"/>
  <c r="X2893" i="2"/>
  <c r="X2894" i="2"/>
  <c r="X2895" i="2"/>
  <c r="X2896" i="2"/>
  <c r="X2897" i="2"/>
  <c r="X2898" i="2"/>
  <c r="X2899" i="2"/>
  <c r="X2900" i="2"/>
  <c r="X2901" i="2"/>
  <c r="X2902" i="2"/>
  <c r="X2903" i="2"/>
  <c r="X2904" i="2"/>
  <c r="X2905" i="2"/>
  <c r="X2906" i="2"/>
  <c r="X2907" i="2"/>
  <c r="X2908" i="2"/>
  <c r="X2909" i="2"/>
  <c r="X2910" i="2"/>
  <c r="X2911" i="2"/>
  <c r="X2912" i="2"/>
  <c r="X2913" i="2"/>
  <c r="X2914" i="2"/>
  <c r="X2915" i="2"/>
  <c r="X2916" i="2"/>
  <c r="X2917" i="2"/>
  <c r="X2918" i="2"/>
  <c r="X2919" i="2"/>
  <c r="X2920" i="2"/>
  <c r="X2921" i="2"/>
  <c r="X2922" i="2"/>
  <c r="X2923" i="2"/>
  <c r="X2924" i="2"/>
  <c r="X2925" i="2"/>
  <c r="X2926" i="2"/>
  <c r="X2927" i="2"/>
  <c r="X2928" i="2"/>
  <c r="X2929" i="2"/>
  <c r="X2930" i="2"/>
  <c r="X2931" i="2"/>
  <c r="X2932" i="2"/>
  <c r="X2933" i="2"/>
  <c r="X2934" i="2"/>
  <c r="X2935" i="2"/>
  <c r="X2936" i="2"/>
  <c r="X2937" i="2"/>
  <c r="X2938" i="2"/>
  <c r="X2939" i="2"/>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26" i="7"/>
  <c r="J26" i="7"/>
  <c r="L25" i="7"/>
  <c r="J25" i="7"/>
  <c r="L24" i="7"/>
  <c r="J24" i="7"/>
  <c r="L23" i="7"/>
  <c r="J23" i="7"/>
  <c r="L22" i="7"/>
  <c r="J22" i="7"/>
  <c r="L21" i="7"/>
  <c r="J21" i="7"/>
  <c r="L20" i="7"/>
  <c r="J20" i="7"/>
  <c r="L19" i="7"/>
  <c r="J19" i="7"/>
  <c r="L18" i="7"/>
  <c r="J18" i="7"/>
  <c r="L17" i="7"/>
  <c r="J17" i="7"/>
  <c r="L16" i="7"/>
  <c r="J16" i="7"/>
  <c r="L15" i="7"/>
  <c r="J15" i="7"/>
  <c r="L14" i="7"/>
  <c r="J14" i="7"/>
  <c r="L13" i="7"/>
  <c r="J13" i="7"/>
  <c r="AH12" i="7"/>
  <c r="AB12" i="7" a="1"/>
  <c r="L12" i="7"/>
  <c r="J12" i="7"/>
  <c r="L11" i="7"/>
  <c r="J11" i="7"/>
  <c r="L10" i="7"/>
  <c r="J10" i="7"/>
  <c r="L9" i="7"/>
  <c r="J9" i="7"/>
  <c r="L8" i="7"/>
  <c r="J8" i="7"/>
  <c r="L7" i="7"/>
  <c r="J7" i="7"/>
  <c r="J6" i="7"/>
  <c r="L5" i="7"/>
  <c r="J5" i="7"/>
  <c r="J4" i="7"/>
  <c r="A4" i="7" a="1"/>
  <c r="AL3" i="7" a="1"/>
  <c r="AK3" i="7" a="1"/>
  <c r="S3" i="7" a="1"/>
  <c r="R3" i="7" a="1"/>
  <c r="Q3" i="7" a="1"/>
  <c r="AC2" i="7" a="1"/>
  <c r="E1" i="7" a="1"/>
  <c r="K4" i="7" l="1" a="1"/>
  <c r="AB6" i="7" a="1"/>
  <c r="AQ3" i="7" a="1"/>
  <c r="Y7" i="7" a="1"/>
  <c r="AV3" i="7" a="1"/>
  <c r="AM3" i="7" a="1"/>
  <c r="Y6" i="7" a="1"/>
  <c r="AS3" i="7" a="1"/>
  <c r="AB7" i="7" a="1"/>
  <c r="AB4" i="7" a="1"/>
  <c r="AO3" i="7" a="1"/>
  <c r="M2" i="7" a="1"/>
  <c r="Y8" i="7" a="1"/>
  <c r="Y5" i="7" a="1"/>
  <c r="AP3" i="7" a="1"/>
  <c r="AB11" i="7" a="1"/>
  <c r="L4" i="7"/>
  <c r="AB9" i="7" a="1"/>
  <c r="AR3" i="7" a="1"/>
  <c r="AB10" i="7" a="1"/>
  <c r="L6" i="7"/>
  <c r="AU3" i="7" a="1"/>
  <c r="AB5" i="7" a="1"/>
  <c r="Y4" i="7" a="1"/>
  <c r="AN3" i="7" a="1"/>
  <c r="AB8" i="7" a="1"/>
  <c r="AT3" i="7" a="1"/>
  <c r="L27" i="7"/>
  <c r="J27" i="7"/>
  <c r="I2" i="7" s="1" a="1"/>
  <c r="P3" i="7" a="1"/>
  <c r="Z21" i="7" a="1"/>
  <c r="AA15" i="7" a="1"/>
  <c r="AA21" i="7" a="1"/>
  <c r="Y15" i="7" a="1"/>
  <c r="X21" i="7" a="1"/>
  <c r="Z15" i="7" a="1"/>
  <c r="Y21" i="7" a="1"/>
  <c r="Y16" i="7" a="1"/>
  <c r="AB21" i="7" a="1"/>
  <c r="AB15" i="7" a="1"/>
  <c r="Y17" i="7" a="1"/>
  <c r="AG13" i="7" a="1"/>
  <c r="AE21" i="7" a="1"/>
  <c r="AA16" i="7" a="1"/>
  <c r="AD21" i="7" a="1"/>
  <c r="Z16" i="7" a="1"/>
  <c r="Z17" i="7" a="1"/>
  <c r="AI13" i="7" a="1"/>
  <c r="AC21" i="7" a="1"/>
  <c r="AC15" i="7" a="1"/>
  <c r="AH16" i="7" l="1" a="1"/>
  <c r="AH14" i="7" a="1"/>
  <c r="AH13" i="7" a="1"/>
  <c r="AH3" i="7" s="1" a="1"/>
  <c r="AH20" i="7" a="1"/>
  <c r="AH18" i="7" a="1"/>
  <c r="AH17" i="7" a="1"/>
  <c r="AH15" i="7" a="1"/>
  <c r="AH62" i="7" a="1"/>
  <c r="AH61" i="7" a="1"/>
  <c r="AH60" i="7" a="1"/>
  <c r="AH59" i="7" a="1"/>
  <c r="AH58" i="7" a="1"/>
  <c r="AH57" i="7" a="1"/>
  <c r="AH56" i="7" a="1"/>
  <c r="AH55" i="7" a="1"/>
  <c r="AH54" i="7" a="1"/>
  <c r="AH53" i="7" a="1"/>
  <c r="AH52" i="7" a="1"/>
  <c r="AH51" i="7" a="1"/>
  <c r="AH50" i="7" a="1"/>
  <c r="AH49" i="7" a="1"/>
  <c r="AH48" i="7" a="1"/>
  <c r="AH47" i="7" a="1"/>
  <c r="AH46" i="7" a="1"/>
  <c r="AH45" i="7" a="1"/>
  <c r="AH44" i="7" a="1"/>
  <c r="AH43" i="7" a="1"/>
  <c r="AH42" i="7" a="1"/>
  <c r="AH41" i="7" a="1"/>
  <c r="AH40" i="7" a="1"/>
  <c r="AH39" i="7" a="1"/>
  <c r="AH38" i="7" a="1"/>
  <c r="AH37" i="7" a="1"/>
  <c r="AH36" i="7" a="1"/>
  <c r="AH35" i="7" a="1"/>
  <c r="AH34" i="7" a="1"/>
  <c r="AH32" i="7" a="1"/>
  <c r="AH31" i="7" a="1"/>
  <c r="AH30" i="7" a="1"/>
  <c r="AH29" i="7" a="1"/>
  <c r="AH19" i="7" a="1"/>
  <c r="AH33" i="7" a="1"/>
  <c r="AH28" i="7" a="1"/>
  <c r="AH27" i="7" a="1"/>
  <c r="AH26" i="7" a="1"/>
  <c r="AH25" i="7" a="1"/>
  <c r="AH24" i="7" a="1"/>
  <c r="AH23" i="7" a="1"/>
  <c r="AH22" i="7" a="1"/>
  <c r="AH21" i="7"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Q2" authorId="0" shapeId="0" xr:uid="{CE04CEB5-F74E-4762-8A2F-9CDA4F5A6024}">
      <text>
        <r>
          <rPr>
            <b/>
            <sz val="9"/>
            <color indexed="81"/>
            <rFont val="Tahoma"/>
            <family val="2"/>
          </rPr>
          <t>Measures the straight-line relationship between a predictor and Y. Values near 1 or -1 mean a strong linear relationship; values near 0 mean little linear pattern.</t>
        </r>
      </text>
    </comment>
    <comment ref="R2" authorId="0" shapeId="0" xr:uid="{2B3B6D5D-8C2B-433A-BA6F-E8443EA70EE0}">
      <text>
        <r>
          <rPr>
            <b/>
            <sz val="9"/>
            <color indexed="81"/>
            <rFont val="Tahoma"/>
            <family val="2"/>
          </rPr>
          <t>Measures whether higher X tends to go with higher or lower Y after converting both to ranks. It is useful when the relationship is ordered but curved instead of perfectly linear.</t>
        </r>
      </text>
    </comment>
    <comment ref="S2" authorId="0" shapeId="0" xr:uid="{10A57826-C1E9-4357-9FB2-6D15435D0BAE}">
      <text>
        <r>
          <rPr>
            <b/>
            <sz val="9"/>
            <color indexed="81"/>
            <rFont val="Tahoma"/>
            <family val="2"/>
          </rPr>
          <t>Shows whether the data have a longer tail on one side. Positive means a longer right tail; negative means a longer left tail.</t>
        </r>
      </text>
    </comment>
    <comment ref="T2" authorId="0" shapeId="0" xr:uid="{C9137E17-5C8B-44FA-8823-3D69B154D82B}">
      <text>
        <r>
          <rPr>
            <b/>
            <sz val="9"/>
            <color indexed="81"/>
            <rFont val="Tahoma"/>
            <family val="2"/>
          </rPr>
          <t>Shows how heavy the tails are relative to a normal bell curve. Positive values mean heavier tails with more frequent extremes; values near 0 match a normal distribution.</t>
        </r>
      </text>
    </comment>
    <comment ref="U2" authorId="0" shapeId="0" xr:uid="{7C1872C2-EE1B-445D-AA45-CA96F3D3F2A2}">
      <text>
        <r>
          <rPr>
            <b/>
            <sz val="9"/>
            <color indexed="81"/>
            <rFont val="Tahoma"/>
            <family val="2"/>
          </rPr>
          <t>A measure of collinearity with the other predictors. A value of 1 means no overlap; above 5 warrants review, above 10 indicates a problem.</t>
        </r>
      </text>
    </comment>
    <comment ref="V2" authorId="0" shapeId="0" xr:uid="{59D93DC0-79DB-4515-8E43-9F6789365C94}">
      <text>
        <r>
          <rPr>
            <b/>
            <sz val="9"/>
            <color indexed="81"/>
            <rFont val="Tahoma"/>
            <family val="2"/>
          </rPr>
          <t>The fraction of a predictor's variation not explained by the other predictors. Values below 0.2 warrant review; below 0.1 indicate strong collinearity.</t>
        </r>
      </text>
    </comment>
    <comment ref="AL2" authorId="0" shapeId="0" xr:uid="{B64DBDBE-0F4F-46B7-B9F5-AC4637D201EB}">
      <text>
        <r>
          <rPr>
            <b/>
            <sz val="9"/>
            <color indexed="81"/>
            <rFont val="Tahoma"/>
            <family val="2"/>
          </rPr>
          <t>The actual observed outcome values.</t>
        </r>
      </text>
    </comment>
    <comment ref="AM2" authorId="0" shapeId="0" xr:uid="{E599EDE4-4326-4375-BF1F-7FBB56791E6B}">
      <text>
        <r>
          <rPr>
            <b/>
            <sz val="9"/>
            <color indexed="81"/>
            <rFont val="Tahoma"/>
            <family val="2"/>
          </rPr>
          <t>The fitted outcome values produced by the model.</t>
        </r>
      </text>
    </comment>
    <comment ref="AN2" authorId="0" shapeId="0" xr:uid="{9471B236-D5E0-4668-B837-26CD0924C5BB}">
      <text>
        <r>
          <rPr>
            <b/>
            <sz val="9"/>
            <color indexed="81"/>
            <rFont val="Tahoma"/>
            <family val="2"/>
          </rPr>
          <t>Actual Y minus predicted Y. Positive means the row came in above the model's prediction; negative means below.</t>
        </r>
      </text>
    </comment>
    <comment ref="AO2" authorId="0" shapeId="0" xr:uid="{3CCD4C19-4570-4D7A-A283-9C1BBBBC0B56}">
      <text>
        <r>
          <rPr>
            <b/>
            <sz val="9"/>
            <color indexed="81"/>
            <rFont val="Tahoma"/>
            <family val="2"/>
          </rPr>
          <t>The prediction error for a row when that row is left out of the fitting step.</t>
        </r>
      </text>
    </comment>
    <comment ref="AP2" authorId="0" shapeId="0" xr:uid="{B8AC2820-6418-48B6-AB22-1CCEEB1856C3}">
      <text>
        <r>
          <rPr>
            <b/>
            <sz val="9"/>
            <color indexed="81"/>
            <rFont val="Tahoma"/>
            <family val="2"/>
          </rPr>
          <t>Leverage. It shows how unusual a row's predictor values are relative to the rest of the data.</t>
        </r>
      </text>
    </comment>
    <comment ref="AQ2" authorId="0" shapeId="0" xr:uid="{F5678F42-46F6-404F-931A-52D56B55C650}">
      <text>
        <r>
          <rPr>
            <b/>
            <sz val="9"/>
            <color indexed="81"/>
            <rFont val="Tahoma"/>
            <family val="2"/>
          </rPr>
          <t>Residuals scaled to account for overall error size and leverage, making outliers easier to compare fairly.</t>
        </r>
      </text>
    </comment>
    <comment ref="AR2" authorId="0" shapeId="0" xr:uid="{10681E07-48D1-4567-9C8C-95B327728ACD}">
      <text>
        <r>
          <rPr>
            <b/>
            <sz val="9"/>
            <color indexed="81"/>
            <rFont val="Tahoma"/>
            <family val="2"/>
          </rPr>
          <t>How much a single row can pull the fitted coefficients and predictions around.</t>
        </r>
      </text>
    </comment>
    <comment ref="AS2" authorId="0" shapeId="0" xr:uid="{245278B5-C999-4080-9CBB-7EF189CD7FC9}">
      <text>
        <r>
          <rPr>
            <b/>
            <sz val="9"/>
            <color indexed="81"/>
            <rFont val="Tahoma"/>
            <family val="2"/>
          </rPr>
          <t>Expected bell-curve quantiles used for the Q-Q comparison.</t>
        </r>
      </text>
    </comment>
    <comment ref="AT2" authorId="0" shapeId="0" xr:uid="{5F670E54-B299-47CF-A622-85719BD87454}">
      <text>
        <r>
          <rPr>
            <b/>
            <sz val="9"/>
            <color indexed="81"/>
            <rFont val="Tahoma"/>
            <family val="2"/>
          </rPr>
          <t>Studentized residuals sorted from smallest to largest for the Q-Q plot.</t>
        </r>
      </text>
    </comment>
    <comment ref="AU2" authorId="0" shapeId="0" xr:uid="{378BB84B-FF0B-49C0-83FE-8C05927DAFE5}">
      <text>
        <r>
          <rPr>
            <b/>
            <sz val="9"/>
            <color indexed="81"/>
            <rFont val="Tahoma"/>
            <family val="2"/>
          </rPr>
          <t>The square root of the absolute studentized residual. A flat pattern suggests stable error spread.</t>
        </r>
      </text>
    </comment>
    <comment ref="AV2" authorId="0" shapeId="0" xr:uid="{B1E235D0-2684-485A-BEED-301969BD431D}">
      <text>
        <r>
          <rPr>
            <b/>
            <sz val="9"/>
            <color indexed="81"/>
            <rFont val="Tahoma"/>
            <family val="2"/>
          </rPr>
          <t>A leverage-adjusted residual used to show how much a row affects out-of-sample prediction error.</t>
        </r>
      </text>
    </comment>
    <comment ref="AG3" authorId="0" shapeId="0" xr:uid="{394DC215-C894-4816-AACD-E3B0B131B9B1}">
      <text>
        <r>
          <rPr>
            <b/>
            <sz val="9"/>
            <color indexed="81"/>
            <rFont val="Tahoma"/>
            <family val="2"/>
          </rPr>
          <t>The model's single best predicted Y value for the inputs you entered.</t>
        </r>
      </text>
    </comment>
    <comment ref="F4" authorId="0" shapeId="0" xr:uid="{30210FA1-BA40-483D-8982-65ACC737B41D}">
      <text>
        <r>
          <rPr>
            <b/>
            <sz val="9"/>
            <color indexed="81"/>
            <rFont val="Tahoma"/>
            <family val="2"/>
          </rPr>
          <t>Reserved for a future release — not yet used by any formula.</t>
        </r>
      </text>
    </comment>
    <comment ref="G4" authorId="0" shapeId="0" xr:uid="{2DE77AE1-170B-4555-A1DB-992DCB6F3122}">
      <text>
        <r>
          <rPr>
            <b/>
            <sz val="9"/>
            <color indexed="81"/>
            <rFont val="Tahoma"/>
            <family val="2"/>
          </rPr>
          <t>Reserved for a future release — not yet used by any formula.</t>
        </r>
      </text>
    </comment>
    <comment ref="H4" authorId="0" shapeId="0" xr:uid="{E467EFD2-DB5B-4EC2-9C8C-166234D324F1}">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68C05B2A-33EB-4E58-ABE6-947D44CB2D81}">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X4" authorId="0" shapeId="0" xr:uid="{81002E18-1161-438A-9494-81338B669FA6}">
      <text>
        <r>
          <rPr>
            <b/>
            <sz val="9"/>
            <color indexed="81"/>
            <rFont val="Tahoma"/>
            <family val="2"/>
          </rPr>
          <t>How closely the model's predicted Y values track the actual Y values overall.</t>
        </r>
      </text>
    </comment>
    <comment ref="AA4" authorId="0" shapeId="0" xr:uid="{43E74E47-A761-405E-B13A-1BAFFFC33A2C}">
      <text>
        <r>
          <rPr>
            <b/>
            <sz val="9"/>
            <color indexed="81"/>
            <rFont val="Tahoma"/>
            <family val="2"/>
          </rPr>
          <t>A leave-one-out prediction error score. Lower is better because it means the model predicts unseen rows more accurately.</t>
        </r>
      </text>
    </comment>
    <comment ref="AG4" authorId="0" shapeId="0" xr:uid="{BA4C9003-963E-4586-A18E-0C3813F191E8}">
      <text>
        <r>
          <rPr>
            <b/>
            <sz val="9"/>
            <color indexed="81"/>
            <rFont val="Tahoma"/>
            <family val="2"/>
          </rPr>
          <t>The standard error for a new prediction. It reflects both model uncertainty and ordinary row-to-row noise.</t>
        </r>
      </text>
    </comment>
    <comment ref="X5" authorId="0" shapeId="0" xr:uid="{FCF01A03-9B30-4A4D-92B6-00125744DB15}">
      <text>
        <r>
          <rPr>
            <b/>
            <sz val="9"/>
            <color indexed="81"/>
            <rFont val="Tahoma"/>
            <family val="2"/>
          </rPr>
          <t>The share of the outcome's variation explained by the model.</t>
        </r>
      </text>
    </comment>
    <comment ref="AA5" authorId="0" shapeId="0" xr:uid="{4B6ACA5F-E610-4054-8BDD-CDFBAB24EBB6}">
      <text>
        <r>
          <rPr>
            <b/>
            <sz val="9"/>
            <color indexed="81"/>
            <rFont val="Tahoma"/>
            <family val="2"/>
          </rPr>
          <t>An out-of-sample version of R Square based on leave-one-out prediction. Negative values mean the model predicts worse than just using the average Y.</t>
        </r>
      </text>
    </comment>
    <comment ref="AG5" authorId="0" shapeId="0" xr:uid="{78D7B552-5956-44FB-97AD-2D40492DB110}">
      <text>
        <r>
          <rPr>
            <b/>
            <sz val="9"/>
            <color indexed="81"/>
            <rFont val="Tahoma"/>
            <family val="2"/>
          </rPr>
          <t>The t-distribution cutoff at the chosen confidence level. Multiply by SE Prediction to get the prediction interval half-width.</t>
        </r>
      </text>
    </comment>
    <comment ref="X6" authorId="0" shapeId="0" xr:uid="{AAB8DBEB-548B-4A6F-9FF0-29E8969A1BA4}">
      <text>
        <r>
          <rPr>
            <b/>
            <sz val="9"/>
            <color indexed="81"/>
            <rFont val="Tahoma"/>
            <family val="2"/>
          </rPr>
          <t>R Square with a penalty for adding predictors that do not help enough.</t>
        </r>
      </text>
    </comment>
    <comment ref="AA6" authorId="0" shapeId="0" xr:uid="{0F1B175C-41F7-4E40-B005-24DF700BFB0E}">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G6" authorId="0" shapeId="0" xr:uid="{4CABD52E-D817-4841-BE1C-FB64EB1624BD}">
      <text>
        <r>
          <rPr>
            <b/>
            <sz val="9"/>
            <color indexed="81"/>
            <rFont val="Tahoma"/>
            <family val="2"/>
          </rPr>
          <t>The lower bound of the 95% confidence interval.</t>
        </r>
      </text>
    </comment>
    <comment ref="X7" authorId="0" shapeId="0" xr:uid="{BD669B11-76F5-4D2D-A076-14C39C4EA6DE}">
      <text>
        <r>
          <rPr>
            <b/>
            <sz val="9"/>
            <color indexed="81"/>
            <rFont val="Tahoma"/>
            <family val="2"/>
          </rPr>
          <t>The typical size of the model's prediction errors, measured in the same units as Y.</t>
        </r>
      </text>
    </comment>
    <comment ref="AA7" authorId="0" shapeId="0" xr:uid="{2B38B7CA-7E9A-44C4-B4DA-327F83F3DEDF}">
      <text>
        <r>
          <rPr>
            <b/>
            <sz val="9"/>
            <color indexed="81"/>
            <rFont val="Tahoma"/>
            <family val="2"/>
          </rPr>
          <t>A model-comparison score that balances fit against complexity. Lower is better when comparing models on the same data.</t>
        </r>
      </text>
    </comment>
    <comment ref="AG7" authorId="0" shapeId="0" xr:uid="{484B868F-6144-4C98-959A-26CE7B6B8E4F}">
      <text>
        <r>
          <rPr>
            <b/>
            <sz val="9"/>
            <color indexed="81"/>
            <rFont val="Tahoma"/>
            <family val="2"/>
          </rPr>
          <t>The upper bound of the 95% confidence interval.</t>
        </r>
      </text>
    </comment>
    <comment ref="X8" authorId="0" shapeId="0" xr:uid="{1D5ED479-B9A8-4753-959B-A62B13911417}">
      <text>
        <r>
          <rPr>
            <b/>
            <sz val="9"/>
            <color indexed="81"/>
            <rFont val="Tahoma"/>
            <family val="2"/>
          </rPr>
          <t>The number of rows actually used in the regression after filtering.</t>
        </r>
      </text>
    </comment>
    <comment ref="AA8" authorId="0" shapeId="0" xr:uid="{7B6849A7-03BB-4BFF-92EE-368B2FDF1FDA}">
      <text>
        <r>
          <rPr>
            <b/>
            <sz val="9"/>
            <color indexed="81"/>
            <rFont val="Tahoma"/>
            <family val="2"/>
          </rPr>
          <t>Another model-comparison score like AIC, but it penalizes extra predictors more strongly.</t>
        </r>
      </text>
    </comment>
    <comment ref="AG8" authorId="0" shapeId="0" xr:uid="{3B71E1C2-46ED-4CEA-AC61-87E55F112155}">
      <text>
        <r>
          <rPr>
            <b/>
            <sz val="9"/>
            <color indexed="81"/>
            <rFont val="Tahoma"/>
            <family val="2"/>
          </rPr>
          <t>The probability level associated with the interval. With alpha 0.05, this is 95%.</t>
        </r>
      </text>
    </comment>
    <comment ref="AA9" authorId="0" shapeId="0" xr:uid="{D310FD8A-93C0-418C-86F5-B0EF59EFD7AA}">
      <text>
        <r>
          <rPr>
            <b/>
            <sz val="9"/>
            <color indexed="81"/>
            <rFont val="Tahoma"/>
            <family val="2"/>
          </rPr>
          <t>AIC with an extra correction for small samples.</t>
        </r>
      </text>
    </comment>
    <comment ref="AA10" authorId="0" shapeId="0" xr:uid="{7836E292-C855-49AD-8BCC-3277ABAF4332}">
      <text>
        <r>
          <rPr>
            <b/>
            <sz val="9"/>
            <color indexed="81"/>
            <rFont val="Tahoma"/>
            <family val="2"/>
          </rPr>
          <t>A numeric check of how close the residuals are to a normal bell shape. Values closer to 1 are better.</t>
        </r>
      </text>
    </comment>
    <comment ref="AA11" authorId="0" shapeId="0" xr:uid="{4E54A816-1880-4B93-8B68-4B41687C4D01}">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X12" authorId="0" shapeId="0" xr:uid="{57E0CBD0-5E1A-41CC-80F7-B3AEBD8D5D0F}">
      <text>
        <r>
          <rPr>
            <b/>
            <sz val="9"/>
            <color indexed="81"/>
            <rFont val="Tahoma"/>
            <family val="2"/>
          </rPr>
          <t>The cutoff for statistical significance. At 0.05, results with p-values below 0.05 are treated as statistically significant.</t>
        </r>
      </text>
    </comment>
    <comment ref="AA12" authorId="0" shapeId="0" xr:uid="{1681B843-26CE-4714-B9D5-E86DEDC7D6AD}">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Y14" authorId="0" shapeId="0" xr:uid="{B6A3ED54-0E1E-473F-9044-FA8EDB8D0B54}">
      <text>
        <r>
          <rPr>
            <b/>
            <sz val="9"/>
            <color indexed="81"/>
            <rFont val="Tahoma"/>
            <family val="2"/>
          </rPr>
          <t>The number of independent data points available to estimate each part of the model — total rows minus one for each estimated parameter.</t>
        </r>
      </text>
    </comment>
    <comment ref="Z14" authorId="0" shapeId="0" xr:uid="{81B8BF47-22A1-415E-9F66-12D94E4FBAB6}">
      <text>
        <r>
          <rPr>
            <b/>
            <sz val="9"/>
            <color indexed="81"/>
            <rFont val="Tahoma"/>
            <family val="2"/>
          </rPr>
          <t>The total variation attributed to that source — regression, residual, or total. The raw material from which MS and F are calculated.</t>
        </r>
      </text>
    </comment>
    <comment ref="AA14" authorId="0" shapeId="0" xr:uid="{0E711DFD-F025-4D31-B918-0C0FE65C45D0}">
      <text>
        <r>
          <rPr>
            <b/>
            <sz val="9"/>
            <color indexed="81"/>
            <rFont val="Tahoma"/>
            <family val="2"/>
          </rPr>
          <t>Sum of squares averaged over its degrees of freedom — a per-unit measure of variation for that source.</t>
        </r>
      </text>
    </comment>
    <comment ref="AB14" authorId="0" shapeId="0" xr:uid="{D786027B-488C-4FBC-93A0-79CA20A8EB3E}">
      <text>
        <r>
          <rPr>
            <b/>
            <sz val="9"/>
            <color indexed="81"/>
            <rFont val="Tahoma"/>
            <family val="2"/>
          </rPr>
          <t>The model-vs-noise ratio used in the overall regression significance test.</t>
        </r>
      </text>
    </comment>
    <comment ref="AC14" authorId="0" shapeId="0" xr:uid="{C5F4626D-F3AD-4B8A-A6CB-2F33CCA002E1}">
      <text>
        <r>
          <rPr>
            <b/>
            <sz val="9"/>
            <color indexed="81"/>
            <rFont val="Tahoma"/>
            <family val="2"/>
          </rPr>
          <t>The p-value for the overall F test. Small values mean the model as a whole is unlikely to be pure noise.</t>
        </r>
      </text>
    </comment>
    <comment ref="X15" authorId="0" shapeId="0" xr:uid="{3D99D3E9-9752-4F9D-B437-4F9BB35EB774}">
      <text>
        <r>
          <rPr>
            <b/>
            <sz val="9"/>
            <color indexed="81"/>
            <rFont val="Tahoma"/>
            <family val="2"/>
          </rPr>
          <t>The variation explained by the predictors taken together.</t>
        </r>
      </text>
    </comment>
    <comment ref="X16" authorId="0" shapeId="0" xr:uid="{57997AE3-9694-46F2-B9C0-8444AE5FF91D}">
      <text>
        <r>
          <rPr>
            <b/>
            <sz val="9"/>
            <color indexed="81"/>
            <rFont val="Tahoma"/>
            <family val="2"/>
          </rPr>
          <t>The variation the model does not explain.</t>
        </r>
      </text>
    </comment>
    <comment ref="X17" authorId="0" shapeId="0" xr:uid="{D93AB02B-1D96-473E-A048-D7E72CAB8E9E}">
      <text>
        <r>
          <rPr>
            <b/>
            <sz val="9"/>
            <color indexed="81"/>
            <rFont val="Tahoma"/>
            <family val="2"/>
          </rPr>
          <t>All variation in the outcome before splitting it into explained and unexplained parts.</t>
        </r>
      </text>
    </comment>
    <comment ref="Y20" authorId="0" shapeId="0" xr:uid="{62EACBB2-7786-4173-94B3-A31CCCB89EC9}">
      <text>
        <r>
          <rPr>
            <b/>
            <sz val="9"/>
            <color indexed="81"/>
            <rFont val="Tahoma"/>
            <family val="2"/>
          </rPr>
          <t>The fitted weights used to turn predictor values into predictions.</t>
        </r>
      </text>
    </comment>
    <comment ref="Z20" authorId="0" shapeId="0" xr:uid="{354F41C8-520D-44E0-9250-969848F780C2}">
      <text>
        <r>
          <rPr>
            <b/>
            <sz val="9"/>
            <color indexed="81"/>
            <rFont val="Tahoma"/>
            <family val="2"/>
          </rPr>
          <t>How uncertain each coefficient estimate is.</t>
        </r>
      </text>
    </comment>
    <comment ref="AA20" authorId="0" shapeId="0" xr:uid="{DC03DD2B-96F8-4706-96D8-C7A8BC97ADFF}">
      <text>
        <r>
          <rPr>
            <b/>
            <sz val="9"/>
            <color indexed="81"/>
            <rFont val="Tahoma"/>
            <family val="2"/>
          </rPr>
          <t>How many standard errors the coefficient is away from zero.</t>
        </r>
      </text>
    </comment>
    <comment ref="AB20" authorId="0" shapeId="0" xr:uid="{FC94CD70-74AE-4C39-A7D5-0DE6F6D1D868}">
      <text>
        <r>
          <rPr>
            <b/>
            <sz val="9"/>
            <color indexed="81"/>
            <rFont val="Tahoma"/>
            <family val="2"/>
          </rPr>
          <t>How surprising this coefficient would be if its true effect were zero. Smaller values mean stronger evidence of a real effect.</t>
        </r>
      </text>
    </comment>
    <comment ref="AC20" authorId="0" shapeId="0" xr:uid="{4BB2C554-6810-4BCB-B3C9-2F5F0340E99F}">
      <text>
        <r>
          <rPr>
            <b/>
            <sz val="9"/>
            <color indexed="81"/>
            <rFont val="Tahoma"/>
            <family val="2"/>
          </rPr>
          <t>The lower bound of the 95% confidence interval.</t>
        </r>
      </text>
    </comment>
    <comment ref="AD20" authorId="0" shapeId="0" xr:uid="{7B07B8D0-B151-4241-886D-C33D21C45CDC}">
      <text>
        <r>
          <rPr>
            <b/>
            <sz val="9"/>
            <color indexed="81"/>
            <rFont val="Tahoma"/>
            <family val="2"/>
          </rPr>
          <t>The upper bound of the 95% confidence interval.</t>
        </r>
      </text>
    </comment>
    <comment ref="AE20" authorId="0" shapeId="0" xr:uid="{A9634FC2-7E63-448A-B0C6-159C7DC01ADF}">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<sst xmlns="http://schemas.openxmlformats.org/spreadsheetml/2006/main" count="6976" uniqueCount="1027">
  <si>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</si>
  <si>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</si>
  <si>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</si>
  <si>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</si>
  <si>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</si>
  <si>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</si>
  <si>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</si>
  <si>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</si>
  <si>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</si>
  <si>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</si>
  <si>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</si>
  <si>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</si>
  <si>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</si>
  <si>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</si>
  <si>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</si>
  <si>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</si>
  <si>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</si>
  <si>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</si>
  <si>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</si>
  <si>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</si>
  <si>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</si>
  <si>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</si>
  <si>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</si>
  <si>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</si>
  <si>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</si>
  <si>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</si>
  <si>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df_residual (n-k-1 with intercept, n-k without) as a scalar integer</t>
  </si>
  <si>
    <t>How much data is left to estimate random error after fitting the model.</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</si>
  <si>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</si>
  <si>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</si>
  <si>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</si>
  <si>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</si>
  <si>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</si>
  <si>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</si>
  <si>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</si>
  <si>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</si>
  <si>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</si>
  <si>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</si>
  <si>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</si>
  <si>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</si>
  <si>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</si>
  <si>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</si>
  <si>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</si>
  <si>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</si>
  <si>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</si>
  <si>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</si>
  <si>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</si>
  <si>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</si>
  <si>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</si>
  <si>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</si>
  <si>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</si>
  <si>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</si>
  <si>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</si>
  <si>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</si>
  <si>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</si>
  <si>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</si>
  <si>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</si>
  <si>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</si>
  <si>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</si>
  <si>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</si>
  <si>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</si>
  <si>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</si>
  <si>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</si>
  <si>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</si>
  <si>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</si>
  <si>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</si>
  <si>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</si>
  <si>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</si>
  <si>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</si>
  <si>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</si>
  <si>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</si>
  <si>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</si>
  <si>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</si>
  <si>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</si>
  <si>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</si>
  <si>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</si>
  <si>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</si>
  <si>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</si>
  <si>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</si>
  <si>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</si>
  <si>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</si>
  <si>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</si>
  <si>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</si>
  <si>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</si>
  <si>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</si>
  <si>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</si>
  <si>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</si>
  <si>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</si>
  <si>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</si>
  <si>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</si>
  <si>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</si>
  <si>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</si>
  <si>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</si>
  <si>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</si>
  <si>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</si>
  <si>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vertical array of two-tailed p-values for each coefficient</t>
  </si>
  <si>
    <t>How surprising each coefficient would be if its true effect were zero.</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</si>
  <si>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</si>
  <si>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</si>
  <si>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</si>
  <si>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</si>
  <si>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</si>
  <si>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</si>
  <si>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</si>
  <si>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</si>
  <si>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</si>
  <si>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</si>
  <si>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</si>
  <si>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</si>
  <si>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</si>
  <si>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</si>
  <si>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</si>
  <si>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</si>
  <si>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</si>
  <si>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</si>
  <si>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</si>
  <si>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</si>
  <si>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</si>
  <si>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</si>
  <si>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</si>
  <si>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</si>
  <si>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</si>
  <si>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</si>
  <si>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</si>
  <si>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</si>
  <si>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</si>
  <si>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</si>
  <si>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</si>
  <si>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</si>
  <si>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</si>
  <si>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</si>
  <si>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</si>
  <si>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</si>
  <si>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</si>
  <si>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</si>
  <si>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</si>
  <si>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</si>
  <si>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</si>
  <si>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</si>
  <si>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</si>
  <si>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</si>
  <si>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</si>
  <si>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</si>
  <si>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</si>
  <si>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</si>
  <si>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</si>
  <si>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</si>
  <si>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</si>
  <si>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</si>
  <si>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</si>
  <si>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</si>
  <si>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</si>
  <si>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</si>
  <si>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</si>
  <si>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</si>
  <si>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</si>
  <si>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</si>
  <si>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</si>
  <si>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</si>
  <si>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</si>
  <si>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</si>
  <si>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</si>
  <si>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</si>
  <si>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</si>
  <si>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</si>
  <si>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</si>
  <si>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</si>
  <si>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</si>
  <si>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</si>
  <si>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</si>
  <si>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</si>
  <si>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</si>
  <si>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</si>
  <si>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</si>
  <si>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</si>
  <si>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</si>
  <si>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</si>
  <si>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</si>
  <si>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</si>
  <si>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</si>
  <si>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</si>
  <si>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</si>
  <si>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</si>
  <si>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</si>
  <si>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</si>
  <si>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</si>
  <si>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</si>
  <si>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</si>
  <si>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</si>
  <si>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</si>
  <si>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</si>
  <si>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</si>
  <si>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</si>
  <si>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</si>
  <si>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</si>
  <si>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</si>
  <si>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</si>
  <si>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</si>
  <si>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</si>
  <si>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</si>
  <si>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</si>
  <si>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</si>
  <si>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</si>
  <si>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</si>
  <si>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</si>
  <si>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</si>
  <si>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</si>
  <si>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</si>
  <si>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</si>
  <si>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</si>
  <si>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</si>
  <si>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</si>
  <si>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</si>
  <si>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</si>
  <si>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</si>
  <si>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</si>
  <si>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</si>
  <si>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</si>
  <si>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</si>
  <si>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</si>
  <si>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</si>
  <si>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</si>
  <si>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</si>
  <si>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</si>
  <si>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</si>
  <si>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</si>
  <si>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</si>
  <si>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</si>
  <si>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</si>
  <si>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</si>
  <si>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</si>
  <si>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</si>
  <si>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</si>
  <si>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</si>
  <si>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</si>
  <si>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</si>
  <si>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</si>
  <si>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</si>
  <si>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</si>
  <si>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</si>
  <si>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</si>
  <si>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</si>
  <si>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</si>
  <si>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</si>
  <si>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</si>
  <si>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</si>
  <si>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</si>
  <si>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</si>
  <si>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</si>
  <si>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</si>
  <si>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</si>
  <si>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</si>
  <si>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</si>
  <si>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</si>
  <si>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</si>
  <si>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</si>
  <si>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</si>
  <si>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</si>
  <si>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</si>
  <si>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</si>
  <si>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</si>
  <si>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</si>
  <si>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</si>
  <si>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</si>
  <si>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</si>
  <si>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</si>
  <si>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</si>
  <si>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</si>
  <si>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</si>
  <si>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</si>
  <si>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</si>
  <si>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</si>
  <si>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</si>
  <si>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</si>
  <si>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</si>
  <si>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</si>
  <si>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</si>
  <si>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</si>
  <si>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</si>
  <si>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</si>
  <si>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</si>
  <si>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</si>
  <si>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</si>
  <si>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</si>
  <si>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</si>
  <si>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</si>
  <si>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</si>
  <si>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</si>
  <si>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</si>
  <si>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</si>
  <si>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</si>
  <si>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</si>
  <si>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</si>
  <si>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</si>
  <si>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</si>
  <si>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</si>
  <si>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</si>
  <si>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</si>
  <si>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</si>
  <si>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</si>
  <si>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</si>
  <si>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</si>
  <si>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</si>
  <si>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</si>
  <si>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</si>
  <si>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</si>
  <si>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</si>
  <si>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</si>
  <si>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</si>
  <si>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</si>
  <si>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</si>
  <si>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</si>
  <si>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</si>
  <si>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</si>
  <si>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</si>
  <si>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</si>
  <si>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</si>
  <si>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</si>
  <si>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</si>
  <si>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</si>
  <si>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</si>
  <si>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</si>
  <si>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</si>
  <si>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</si>
  <si>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</si>
  <si>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</si>
  <si>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</si>
  <si>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</si>
  <si>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</si>
  <si>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</si>
  <si>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</si>
  <si>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</si>
  <si>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</si>
  <si>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</si>
  <si>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</si>
  <si>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</si>
  <si>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</si>
  <si>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</si>
  <si>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</si>
  <si>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</si>
  <si>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</si>
  <si>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</si>
  <si>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</si>
  <si>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</si>
  <si>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</si>
  <si>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</si>
  <si>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</si>
  <si>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</si>
  <si>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</si>
  <si>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</si>
  <si>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</si>
  <si>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</si>
  <si>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</si>
  <si>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</si>
  <si>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</si>
  <si>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</si>
  <si>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</si>
  <si>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</si>
  <si>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</si>
  <si>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</si>
  <si>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</si>
  <si>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</si>
  <si>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</si>
  <si>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</si>
  <si>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</si>
  <si>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</si>
  <si>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</si>
  <si>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</si>
  <si>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</si>
  <si>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</si>
  <si>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</si>
  <si>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</si>
  <si>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</si>
  <si>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</si>
  <si>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</si>
  <si>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</si>
  <si>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</si>
  <si>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</si>
  <si>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</si>
  <si>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</si>
  <si>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</si>
  <si>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</si>
  <si>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</si>
  <si>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</si>
  <si>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</si>
  <si>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</si>
  <si>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</si>
  <si>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</si>
  <si>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</si>
  <si>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</si>
  <si>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</si>
  <si>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</si>
  <si>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</si>
  <si>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</si>
  <si>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</si>
  <si>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</si>
  <si>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</si>
  <si>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</si>
  <si>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</si>
  <si>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</si>
  <si>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</si>
  <si>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</si>
  <si>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</si>
  <si>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</si>
  <si>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</si>
  <si>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</si>
  <si>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</si>
  <si>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</si>
  <si>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</si>
  <si>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</si>
  <si>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</si>
  <si>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</si>
  <si>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</si>
  <si>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</si>
  <si>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</si>
  <si>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</si>
  <si>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</si>
  <si>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</si>
  <si>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</si>
  <si>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</si>
  <si>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</si>
  <si>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</si>
  <si>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</si>
  <si>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</si>
  <si>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</si>
  <si>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</si>
  <si>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</si>
  <si>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</si>
  <si>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</si>
  <si>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</si>
  <si>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</si>
  <si>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</si>
  <si>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</si>
  <si>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</si>
  <si>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</si>
  <si>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</si>
  <si>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</si>
  <si>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</si>
  <si>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</si>
  <si>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</si>
  <si>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</si>
  <si>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</si>
  <si>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</si>
  <si>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</si>
  <si>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</si>
  <si>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</si>
  <si>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</si>
  <si>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</si>
  <si>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</si>
  <si>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</si>
  <si>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</si>
  <si>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</si>
  <si>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</si>
  <si>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</si>
  <si>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</si>
  <si>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</si>
  <si>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</si>
  <si>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</si>
  <si>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</si>
  <si>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</si>
  <si>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</si>
  <si>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</si>
  <si>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</si>
  <si>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</si>
  <si>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</si>
  <si>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</si>
  <si>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</si>
  <si>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</si>
  <si>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</si>
  <si>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</si>
  <si>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</si>
  <si>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</si>
  <si>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</si>
  <si>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</si>
  <si>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</si>
  <si>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</si>
  <si>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</si>
  <si>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</si>
  <si>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</si>
  <si>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</si>
  <si>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</si>
  <si>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</si>
  <si>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</si>
  <si>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</si>
  <si>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</si>
  <si>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</si>
  <si>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</si>
  <si>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</si>
  <si>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</si>
  <si>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</si>
  <si>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</si>
  <si>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</si>
  <si>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</si>
  <si>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</si>
  <si>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</si>
  <si>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</si>
  <si>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</si>
  <si>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</si>
  <si>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</si>
  <si>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</si>
  <si>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</si>
  <si>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</si>
  <si>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</si>
  <si>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</si>
  <si>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</si>
  <si>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</si>
  <si>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</si>
  <si>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</si>
  <si>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</si>
  <si>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</si>
  <si>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</si>
  <si>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</si>
  <si>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</si>
  <si>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</si>
  <si>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</si>
  <si>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</si>
  <si>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</si>
  <si>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</si>
  <si>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</si>
  <si>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</si>
  <si>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</si>
  <si>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</si>
  <si>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</si>
  <si>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</si>
  <si>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</si>
  <si>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</si>
  <si>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</si>
  <si>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</si>
  <si>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</si>
  <si>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</si>
  <si>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</si>
  <si>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</si>
  <si>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</si>
  <si>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</si>
  <si>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</si>
  <si>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</si>
  <si>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</si>
  <si>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</si>
  <si>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</si>
  <si>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</si>
  <si>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</si>
  <si>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</si>
  <si>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</si>
  <si>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</si>
  <si>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</si>
  <si>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</si>
  <si>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</si>
  <si>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</si>
  <si>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</si>
  <si>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</si>
  <si>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</si>
  <si>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</si>
  <si>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</si>
  <si>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</si>
  <si>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</si>
  <si>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</si>
  <si>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</si>
  <si>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</si>
  <si>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</si>
  <si>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</si>
  <si>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</si>
  <si>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</si>
  <si>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</si>
  <si>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</si>
  <si>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</si>
  <si>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</si>
  <si>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</si>
  <si>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</si>
  <si>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</si>
  <si>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</si>
  <si>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</si>
  <si>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</si>
  <si>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</si>
  <si>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</si>
  <si>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</si>
  <si>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</si>
  <si>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</si>
  <si>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</si>
  <si>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</si>
  <si>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</si>
  <si>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</si>
  <si>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</si>
  <si>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</si>
  <si>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</si>
  <si>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</si>
  <si>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</si>
  <si>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</si>
  <si>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</si>
  <si>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</si>
  <si>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</si>
  <si>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</si>
  <si>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</si>
  <si>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</si>
  <si>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</si>
  <si>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</si>
  <si>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</si>
  <si>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</si>
  <si>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</si>
  <si>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</si>
  <si>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</si>
  <si>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</si>
  <si>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</si>
  <si>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</si>
  <si>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</si>
  <si>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</si>
  <si>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</si>
  <si>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</si>
  <si>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</si>
  <si>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</si>
  <si>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</si>
  <si>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</si>
  <si>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</si>
  <si>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</si>
  <si>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</si>
  <si>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</si>
  <si>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</si>
  <si>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</si>
  <si>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</si>
  <si>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</si>
  <si>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</si>
  <si>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</si>
  <si>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</si>
  <si>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</si>
  <si>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</si>
  <si>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</si>
  <si>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</si>
  <si>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</si>
  <si>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</si>
  <si>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</si>
  <si>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</si>
  <si>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</si>
  <si>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</si>
  <si>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</si>
  <si>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</si>
  <si>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</si>
  <si>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</si>
  <si>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</si>
  <si>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</si>
  <si>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</si>
  <si>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</si>
  <si>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</si>
  <si>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</si>
  <si>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</si>
  <si>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</si>
  <si>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</si>
  <si>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</si>
  <si>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</si>
  <si>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</si>
  <si>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</si>
  <si>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</si>
  <si>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</si>
  <si>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</si>
  <si>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</si>
  <si>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</si>
  <si>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</si>
  <si>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</si>
  <si>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</si>
  <si>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</si>
  <si>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</si>
  <si>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</si>
  <si>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</si>
  <si>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</si>
  <si>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</si>
  <si>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</si>
  <si>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</si>
  <si>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</si>
  <si>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</si>
  <si>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</si>
  <si>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</si>
  <si>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</si>
  <si>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</si>
  <si>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</si>
  <si>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</si>
  <si>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</si>
  <si>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</si>
  <si>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</si>
  <si>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</si>
  <si>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</si>
  <si>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</si>
  <si>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</si>
  <si>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</si>
  <si>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</si>
  <si>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</si>
  <si>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</si>
  <si>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</si>
  <si>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</si>
  <si>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</si>
  <si>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</si>
  <si>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</si>
  <si>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</si>
  <si>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</si>
  <si>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</si>
  <si>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</si>
  <si>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</si>
  <si>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</si>
  <si>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</si>
  <si>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</si>
  <si>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</si>
  <si>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</si>
  <si>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</si>
  <si>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</si>
  <si>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</si>
  <si>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</si>
  <si>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</si>
  <si>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</si>
  <si>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</si>
  <si>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</si>
  <si>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</si>
  <si>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</si>
  <si>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</si>
  <si>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</si>
  <si>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</si>
  <si>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</si>
  <si>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</si>
  <si>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</si>
  <si>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</si>
  <si>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</si>
  <si>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</si>
  <si>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</si>
  <si>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</si>
  <si>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</si>
  <si>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</si>
  <si>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</si>
  <si>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</si>
  <si>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</si>
  <si>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</si>
  <si>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</si>
  <si>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</si>
  <si>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</si>
  <si>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</si>
  <si>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</si>
  <si>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</si>
  <si>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</si>
  <si>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</si>
  <si>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</si>
  <si>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</si>
  <si>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</si>
  <si>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</si>
  <si>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</si>
  <si>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</si>
  <si>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</si>
  <si>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</si>
  <si>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</si>
  <si>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</si>
  <si>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</si>
  <si>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</si>
  <si>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</si>
  <si>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</si>
  <si>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</si>
  <si>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</si>
  <si>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</si>
  <si>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</si>
  <si>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</si>
  <si>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</si>
  <si>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</si>
  <si>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</si>
  <si>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</si>
  <si>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</si>
  <si>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</si>
  <si>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</si>
  <si>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</si>
  <si>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</si>
  <si>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</si>
  <si>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</si>
  <si>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</si>
  <si>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</si>
  <si>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</si>
  <si>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</si>
  <si>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</si>
  <si>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</si>
  <si>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</si>
  <si>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</si>
  <si>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</si>
  <si>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</si>
  <si>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</si>
  <si>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</si>
  <si>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</si>
  <si>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</si>
  <si>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</si>
  <si>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</si>
  <si>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</si>
  <si>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</si>
  <si>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</si>
  <si>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</si>
  <si>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</si>
  <si>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</si>
  <si>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</si>
  <si>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</si>
  <si>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</si>
  <si>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</si>
  <si>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</si>
  <si>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</si>
  <si>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</si>
  <si>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</si>
  <si>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</si>
  <si>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</si>
  <si>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</si>
  <si>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</si>
  <si>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</si>
  <si>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</si>
  <si>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Total_Degrees_Of_Freedom(Y, allow_arg, filt_arg) - Regression_Degrees_Of_Freedom(X_s)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</si>
  <si>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</si>
  <si>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</si>
  <si>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</si>
  <si>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</si>
  <si>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1 - (1 - R_Squared(X_s, Y, allow_arg, filt_arg))
      * Total_Degrees_Of_Freedom(Y, allow_arg, filt_arg)
      / Residual_Degrees_Of_Freedom(X_s, Y, allow_arg, filt_arg)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</si>
  <si>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</si>
  <si>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</si>
  <si>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</si>
  <si>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</si>
  <si>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</si>
  <si>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</si>
  <si>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=LAMBDA(X_s, Y, [Allow_Intercept], [Include],
  LET(
    allow_arg, IF(ISOMITTED(Allow_Intercept), TRUE, Allow_Intercept),
    filt_arg,  IF(ISOMITTED(Include),          TRUE, Include),
    SS_Residual(X_s, Y, allow_arg, filt_arg) / Residual_Degrees_Of_Freedom(X_s, Y, allow_arg, filt_arg)
  ))</t>
  </si>
  <si>
    <t>=LAMBDA(X_s, Y, [Allow_Intercept], [Include],
  LET(
    allow_arg, IF(ISOMITTED(Allow_Intercept), TRUE, Allow_Intercept),
    filt_arg,  IF(ISOMITTED(Include),          TRUE, Include),
    SQRT(SS_Residual(X_s, Y, allow_arg, filt_arg) / Residual_Degrees_Of_Freedom(X_s, Y, allow_arg, filt_arg))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</si>
  <si>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t>
  </si>
  <si>
    <t>=LAMBDA(X_s, Y, [Allow_Intercept], [Include],
  LET(
    allow_arg, IF(ISOMITTED(Allow_Intercept), TRUE, Allow_Intercept),
    filt_arg,  IF(ISOMITTED(Include), TRUE, Include),
    n,   Observations(Y, filt_arg),
    ssr, SS_Residual(X_s, Y, allow_arg, filt_arg),
    p,   Regression_Degrees_Of_Freedom(X_s) + IF(allow_arg, 1, 0),
    n * LN(ssr / n) + 2 * p
  ))</t>
  </si>
  <si>
    <t>=LAMBDA(X_s, Y, [Allow_Intercept], [Include],
  LET(
    allow_arg, IF(ISOMITTED(Allow_Intercept), TRUE, Allow_Intercept),
    filt_arg,  IF(ISOMITTED(Include), TRUE, Include),
    n,   Observations(Y, filt_arg),
    ssr, SS_Residual(X_s, Y, allow_arg, filt_arg),
    p,   Regression_Degrees_Of_Freedom(X_s) + IF(allow_arg, 1, 0),
    n * LN(ssr / n) + p * LN(n)
  ))</t>
  </si>
  <si>
    <t>=LAMBDA(X_s, Y, [Allow_Intercept], [Include],
  LET(
    allow_arg, IF(ISOMITTED(Allow_Intercept), TRUE, Allow_Intercept),
    filt_arg,  IF(ISOMITTED(Include), TRUE, Include),
    n,   Observations(Y, filt_arg),
    ssr, SS_Residual(X_s, Y, allow_arg, filt_arg),
    p,   Regression_Degrees_Of_Freedom(X_s) + IF(allow_arg, 1, 0),
    aic, n * LN(ssr / n) + 2 * p,
    aic + 2 * p * (p + 1) / (n - p - 1)
  ))</t>
  </si>
  <si>
    <t>T_Statistics</t>
  </si>
  <si>
    <t>=LAMBDA(X_s, Y, [Allow_Intercept], [Include],
  LET(
    allow_arg, IF(ISOMITTED(Allow_Intercept), TRUE, Allow_Intercept),
    filt_arg,  IF(ISOMITTED(Include),          TRUE, Include),
    T.DIST.2T(ABS(T_Statistics(X_s, Y, allow_arg, filt_arg)), Residual_Degrees_Of_Freedom(X_s, Y, allow_arg, filt_arg))
  ))</t>
  </si>
  <si>
    <t>Returns a vertical spill array of two-tailed p-values for each OLS coefficient, testing the null hypothesis that the true coefficient equals zero.
Computed as T.DIST.2T(ABS(T_Statistics(...)), Residual_Degrees_Of_Freedom(...)).</t>
  </si>
  <si>
    <t>Confidence_Interval_Lower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</si>
  <si>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</si>
  <si>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t>
  </si>
  <si>
    <t>Confidence_Interval_Upper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</si>
  <si>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</si>
  <si>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t>
  </si>
  <si>
    <t>Partial_R_Squared</t>
  </si>
  <si>
    <t>=LAMBDA(X_s, Y, [Allow_Intercept], [Include],
  LET(
    allow_arg, IF(ISOMITTED(Allow_Intercept), TRUE, Allow_Intercept),
    filt_arg,  IF(ISOMITTED(Include),          TRUE, Include),
    t,         T_Statistics(X_s, Y, allow_arg, filt_arg),
    df,        Residual_Degrees_Of_Freedom(X_s, Y, allow_arg, filt_arg),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</si>
  <si>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t>
  </si>
  <si>
    <t>=LAMBDA(X_s, Y, [Allow_Intercept], [Include],
  LET(
    allow_arg, IF(ISOMITTED(Allow_Intercept), TRUE, Allow_Intercept),
    filt_arg,  IF(ISOMITTED(Include),          TRUE, Include),
    t,         T_Statistics(X_s, Y, allow_arg, filt_arg),
    df,        Residual_Degrees_Of_Freedom(X_s, Y, allow_arg, filt_arg),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</si>
  <si>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t>
  </si>
  <si>
    <t>=LAMBDA(X_s, [Allow_Intercept], [Include],
  LET(
    filt_arg, IF(ISOMITTED(Include), TRUE, Include),
    k,        COLUMNS(X_s),
    IF(k = 1,
      1,
      LET(
        col_idx, SEQUENCE(1, k),
        R2_vec,  MAKEARRAY(k, 1, LAMBDA(j, _,
          R_Squared(
            CHOOSECOLS(X_s, FILTER(col_idx, col_idx &lt;&gt; j)),
            CHOOSECOLS(X_s, j),
            TRUE,
            filt_arg
          )
        )),
        1 / (1 - R2_vec)
      )
    )
  ))</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</si>
  <si>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Residual_Degrees_Of_Freedom(X_s,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</si>
  <si>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</si>
  <si>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</si>
  <si>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</si>
  <si>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</si>
  <si>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</si>
  <si>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</si>
  <si>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</si>
  <si>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</si>
  <si>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</si>
  <si>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</si>
  <si>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</si>
  <si>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</si>
  <si>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</si>
  <si>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</si>
  <si>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</si>
  <si>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</si>
  <si>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</si>
  <si>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</si>
  <si>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</si>
  <si>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</si>
  <si>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=LAMBDA(X_s, Y, [Allow_Intercept], [Include],
  LET(
    allow_arg, IF(ISOMITTED(Allow_Intercept), TRUE, Allow_Intercept),
    filt_arg,  IF(ISOMITTED(Include),          TRUE, Include),
    SS_Regression(X_s, Y, allow_arg, filt_arg) / Regression_Degrees_Of_Freedom(X_s) /
    (SS_Residual(X_s, Y, allow_arg, filt_arg) / Residual_Degrees_Of_Freedom(X_s, Y, allow_arg, filt_arg))
  ))</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</si>
  <si>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t>
  </si>
  <si>
    <t>F_Statistic_P_Value</t>
  </si>
  <si>
    <t>=LAMBDA(X_s, Y, [Allow_Intercept], [Include],
  LET(
    allow_arg, IF(ISOMITTED(Allow_Intercept), TRUE, Allow_Intercept),
    filt_arg,  IF(ISOMITTED(Include),          TRUE, Include),
    F.DIST.RT(
      F_Statistic(X_s, Y, allow_arg, filt_arg),
      Regression_Degrees_Of_Freedom(X_s),
      Residual_Degrees_Of_Freedom(X_s, Y, allow_arg, filt_arg)
    )
  ))</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</si>
  <si>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</si>
  <si>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</si>
  <si>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</si>
  <si>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</si>
  <si>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</si>
  <si>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</si>
  <si>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</si>
  <si>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</si>
  <si>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</si>
  <si>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</si>
  <si>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</si>
  <si>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</si>
  <si>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</si>
  <si>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</si>
  <si>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=LAMBDA(X_s, Y, [Allow_Intercept], [Include],
  LET(
    allow_arg, IF(ISOMITTED(Allow_Intercept), TRUE, Allow_Intercept),
    filt_arg,  IF(ISOMITTED(Include),          TRUE, Include),
    e,         Residuals(X_s, Y, allow_arg, filt_arg),
    h,         Hat_Diagonal(X_s, allow_arg, filt_arg),
    e / (1 - h)
  )
)</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</si>
  <si>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</si>
  <si>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</si>
  <si>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</si>
  <si>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</si>
  <si>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</si>
  <si>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</si>
  <si>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</si>
  <si>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</si>
  <si>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</si>
  <si>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</si>
  <si>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</si>
  <si>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</si>
  <si>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</si>
  <si>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</si>
  <si>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</si>
  <si>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</si>
  <si>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</si>
  <si>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</si>
  <si>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</si>
  <si>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</si>
  <si>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</si>
  <si>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</si>
  <si>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</si>
  <si>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</si>
  <si>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</si>
  <si>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None</t>
  </si>
  <si>
    <t>Categorical</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</si>
  <si>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</si>
  <si>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</si>
  <si>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</si>
  <si>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</si>
  <si>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</si>
  <si>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</si>
  <si>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</si>
  <si>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</si>
  <si>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</si>
  <si>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The single Role=Response data column, full height; #N/A when no row is declared Response.</t>
  </si>
  <si>
    <t>The y column — whichever variable is marked Response in the spec.</t>
  </si>
  <si>
    <t>Sheet-scoped derived response for the Model Construction sheet. Returns the data column of the first spec row whose Role is Response, via XMATCH over the trimmed role vector. Full-height; consumers wrap it in IFERROR to absorb the no-Response and multiple-Response states, which the audit strip's responses count flags separately.</t>
  </si>
  <si>
    <t>Row_Labels</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</si>
  <si>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</si>
  <si>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</si>
  <si>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</si>
  <si>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</si>
  <si>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The constructed design matrix in spec order: continuous predictors passed through, categoricals reference-dropped one-hot; full height.</t>
  </si>
  <si>
    <t>The design matrix built from the spec — continuous columns as-is, categorical columns turned into reference-dropped dummies.</t>
  </si>
  <si>
    <t>Constructed_Column_Names</t>
  </si>
  <si>
    <t>Horizontal header row of level-qualified names for X_s(); always the same width as COLUMNS(X_s()).</t>
  </si>
  <si>
    <t>The column headings for the design matrix — like 'Status: Developing' or 'Year: 2001', one per X_s column.</t>
  </si>
  <si>
    <t>Sheet-scoped design-matrix constructor for the Model Construction sheet. A REDUCE assembles columns in spec order for rows where Role=Predictor and Include=TRUE: a Continuous predictor is passed through as its raw column;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Reads Sample_Include only to fix categorical level sets;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</si>
  <si>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Sheet-scoped header strip for the Model Construction sheet: the structural twin of X_s. Same iteration, same Predictor-AND-Include predicate, same Dummy_Levels skip conditions, emitting a name per contributed column — the bare header for a Continuous predictor, 'Header: level' for each retained Categorical level.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</si>
  <si>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</si>
  <si>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=LAMBDA(LET(n_c,COLUMNS(Source_Data),rl,TAKE(Spec_Role,n_c),INDEX(Source_Data,0,XMATCH("Response (y)",rl))))</t>
  </si>
  <si>
    <t>=LAMBDA(LET(n_c,COLUMNS(Source_Data),rl,TAKE(Spec_Role,n_c),ids,IFERROR(TRANSPOSE(FILTER(TRANSPOSE(Source_Data),rl="Identifier (Row Label)")),NA()),IF(SUM(--(rl="Identifier (Row Label)"))=0,"Obs. "&amp;SEQUENCE(ROWS(Source_Data)),BYROW(ids,LAMBDA(r,TEXTJOIN("|",FALSE,r))))))</t>
  </si>
  <si>
    <t>=LAMBDA(LET(n_c,COLUMNS(Source_Data),rl,TAKE(Spec_Role,n_c),inc,TAKE(Spec_Include,n_c),typ,TAKE(Spec_Type,n_c),refs,TAKE(Spec_Reference,n_c),seed,SEQUENCE(ROWS(Source_Data),1,0,0),built,REDUCE(seed,SEQUENCE(n_c),LAMBDA(acc,j,IF(OR(INDEX(rl,j)&lt;&gt;"Predictor (x)",INDEX(inc,j)&lt;&gt;TRUE),acc,LET(col,INDEX(Source_Data,0,j),IF(INDEX(typ,j)&lt;&gt;"Categorical",HSTACK(acc,col),LET(d,INDEX(refs,j),r,IF(LEN(d&amp;"")=0,"",d),lv,Dummy_Levels(col,r,Sample_Include()),IF(ISNA(INDEX(lv,1,1)),acc,HSTACK(acc,--(col=lv))))))))),DROP(built,,1)))</t>
  </si>
  <si>
    <t>=LAMBDA(LET(n_c,COLUMNS(Source_Data),rl,TAKE(Spec_Role,n_c),inc,TAKE(Spec_Include,n_c),typ,TAKE(Spec_Type,n_c),refs,TAKE(Spec_Reference,n_c),hdrs,TOROW(Header_Names),built,REDUCE("",SEQUENCE(n_c),LAMBDA(acc,j,IF(OR(INDEX(rl,j)&lt;&gt;"Predictor (x)",INDEX(inc,j)&lt;&gt;TRUE),acc,LET(h,INDEX(hdrs,1,j),IF(INDEX(typ,j)&lt;&gt;"Categorical",HSTACK(acc,h),LET(col,INDEX(Source_Data,0,j),d,INDEX(refs,j),r,IF(LEN(d&amp;"")=0,"",d),lv,Dummy_Levels(col,r,Sample_Include()),IF(ISNA(INDEX(lv,1,1)),acc,HSTACK(acc,h&amp;": "&amp;lv)))))))),DROP(built,,1)))</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</si>
  <si>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</si>
  <si>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</si>
  <si>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</si>
  <si>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</si>
  <si>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</si>
  <si>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</si>
  <si>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</si>
  <si>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</si>
  <si>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</si>
  <si>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</si>
  <si>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</si>
  <si>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</si>
  <si>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</si>
  <si>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</si>
  <si>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</si>
  <si>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Enter a value for each design-matrix column in the orange cells under PREDICTION INPUTS (column AC) — one row per constructed column, including one per dummy (use 1 for the scenario's level, 0 for its siblings). The Training Mean column beside the inputs shows each column's mean over the analysis sample, which is also the prefilled default — so the untouched prediction is at the data's center and the SE prediction equals the SE of the regression. Results appear in the PREDICTION OUTPUTS box above; the confidence level is controlled by the Alpha cell (T12) in REGRESSION OUTPUTS.</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</si>
  <si>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</si>
  <si>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</si>
  <si>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</si>
  <si>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</si>
  <si>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</si>
  <si>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</si>
  <si>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</si>
  <si>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</si>
  <si>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Define your model in the MODEL SPECIFICATION block (columns A–K):</t>
  </si>
  <si>
    <t>Sequence</t>
  </si>
  <si>
    <t>Durbin_Watson_By</t>
  </si>
  <si>
    <t>=LAMBDA(X_s, Y, seq, [Allow_Intercept], [Include],
  LET(
    allow_arg, IF(ISOMITTED(Allow_Intercept), TRUE, Allow_Intercept),
    filt_arg,  IF(ISOMITTED(Include),          TRUE, Include),
    e,         Residuals(X_s, Y, allow_arg, filt_arg),
    ord,       FILTER(seq, filt_arg),
    es,        SORTBY(e, ord, 1),
    SUM((DROP(es, 1) - DROP(es, -1))^2) / SUM(es^2)
  ))</t>
  </si>
  <si>
    <t>X_s: column range of predictors (single or multi-column)
Y: single-column outcome range
seq: single-column ordering axis (the declared Sequence column, e.g. Year) — residuals are sorted by this before differencing, so the result does not depend on physical row order
[Allow_Intercept]: TRUE/FALSE — fit intercept? Default TRUE
[Include]: boolean array — TRUE includes the row, FALSE excludes it</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</si>
  <si>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</si>
  <si>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</si>
  <si>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</si>
  <si>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</si>
  <si>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=LAMBDA(X_s, Y, group, seq, [delta], [Allow_Intercept], [Include],
  LET(
    allow_arg, IF(ISOMITTED(Allow_Intercept), TRUE, Allow_Intercept),
    filt_arg,  IF(ISOMITTED(Include),          TRUE, Include),
    step,      IF(ISOMITTED(delta), Base_Period_Delta(), delta),
    e,         Residuals(X_s, Y, allow_arg, filt_arg),
    g_f,       FILTER(group, filt_arg),
    t_f,       FILTER(seq, filt_arg),
    d,         Difference_By(e, g_f, t_f, step),
    n_terms,   SUMPRODUCT(N(ISNUMBER(d))),
    IF(n_terms = 0, NA(),
      SUMPRODUCT(IFERROR(d, 0)^2) / SUMPRODUCT(e^2))
  ))</t>
  </si>
  <si>
    <t>X_s: column range of predictors (single or multi-column)
Y: single-column outcome range
group: single-column panel-unit identifiers (the Fixed Effects variable, e.g. Country) — residual differences never cross a group boundary
seq: single-column numeric time index (the declared Sequence column, e.g. Year) — the within-group lookup key, not the row order
[delta]: base period Δ: differences pair û(i,t) with û(i,t−delta) by exact time value; when omitted, the spec's Base Period Δ (Base_Period_Delta()) is used — never a silent 1
[Allow_Intercept]: TRUE/FALSE — fit intercept? Default TRUE
[Include]: boolean array — TRUE includes the row, FALSE excludes it</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</si>
  <si>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</si>
  <si>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</si>
  <si>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</si>
  <si>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</si>
  <si>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</si>
  <si>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</si>
  <si>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</si>
  <si>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</si>
  <si>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</si>
  <si>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</si>
  <si>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</si>
  <si>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</si>
  <si>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</si>
  <si>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</si>
  <si>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</si>
  <si>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</si>
  <si>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</si>
  <si>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</si>
  <si>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</si>
  <si>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</si>
  <si>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</si>
  <si>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</si>
  <si>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</si>
  <si>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</si>
  <si>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</si>
  <si>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</si>
  <si>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</si>
  <si>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</si>
  <si>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=LAMBDA(LET(
    roles, TAKE(Spec_Role, COLUMNS(Source_Data)),
    key, IFS(
        SUMPRODUCT(N(roles = "Fixed Effects")) &gt; 0, "Fixed Effects",
        SUMPRODUCT(N(roles = "Cluster")) &gt; 0, "Cluster",
        TRUE, "none"
    ),
    SWITCH(key,
        "Fixed Effects", Fixed_Effects_Column(),
        "Cluster", "n/a — Cluster grouping RESERVED — v2.6+",
        "none"
    )
))</t>
  </si>
  <si>
    <t>The grouping-key column for serial-correlation diagnostics: the Fixed Effects data column when a Role="Fixed Effects" row is declared; the token "n/a — Cluster grouping RESERVED — v2.6+" when only a Cluster role is declared; the sentinel "none" when no grouping role exists (ordinary DW path).</t>
  </si>
  <si>
    <t>Which column groups the residuals for the serial-correlation checks — the Fixed Effects variable today, with a reserved slot for the future Cluster role.</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</si>
  <si>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v2.6+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v2.6+"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</si>
  <si>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</si>
  <si>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</si>
  <si>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</si>
  <si>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</si>
  <si>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</si>
  <si>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</si>
  <si>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</si>
  <si>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</si>
  <si>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</si>
  <si>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</si>
  <si>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</si>
  <si>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</si>
  <si>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</si>
  <si>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</si>
  <si>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</si>
  <si>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</si>
  <si>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</si>
  <si>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</si>
  <si>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</si>
  <si>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</si>
  <si>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</si>
  <si>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</si>
  <si>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read column J when their [delta] argument is omitted — never a silent 1. The Sequence Spacing block under the spec shows the spacing spectrum and warns about gaps, off-grid spacings, and calendar-date axes (prefer an integer period index like YEAR over raw dates).</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</si>
  <si>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</si>
  <si>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</si>
  <si>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</si>
  <si>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</si>
  <si>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</si>
  <si>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</si>
  <si>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Column1</t>
  </si>
  <si>
    <t>Filter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</si>
</sst>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1">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64" fontId="0" fillId="0" borderId="5" xfId="0" applyNumberFormat="1" applyBorder="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0" fontId="1" fillId="2" borderId="6" xfId="0" applyFont="1" applyFill="1" applyBorder="1"/>
    <xf numFmtId="0" fontId="0" fillId="0" borderId="7" xfId="0" applyBorder="1"/>
    <xf numFmtId="1" fontId="0" fillId="0" borderId="0" xfId="0" applyNumberFormat="1"/>
    <xf numFmtId="165" fontId="0" fillId="0" borderId="0" xfId="0" applyNumberFormat="1"/>
    <xf numFmtId="0" fontId="1" fillId="2" borderId="8" xfId="0" applyFont="1" applyFill="1" applyBorder="1"/>
    <xf numFmtId="0" fontId="0" fillId="0" borderId="9" xfId="0" applyBorder="1"/>
    <xf numFmtId="0" fontId="0" fillId="0" borderId="10" xfId="0" applyBorder="1"/>
    <xf numFmtId="0" fontId="0" fillId="0" borderId="0" xfId="0" applyNumberFormat="1"/>
  </cellXfs>
  <cellStyles count="1">
    <cellStyle name="Normal" xfId="0" builtinId="0"/>
  </cellStyles>
  <dxfs count="50">
    <dxf>
      <numFmt numFmtId="0" formatCode="General"/>
    </dxf>
    <dxf>
      <font>
        <color rgb="FF969696"/>
      </font>
    </dxf>
    <dxf>
      <font>
        <color rgb="FF9C0006"/>
      </font>
      <fill>
        <patternFill>
          <bgColor rgb="FFFFC7CE"/>
        </patternFill>
      </fill>
    </dxf>
    <dxf>
      <font>
        <color rgb="FF969696"/>
      </font>
    </dxf>
    <dxf>
      <font>
        <color rgb="FF9C0006"/>
      </font>
      <fill>
        <patternFill>
          <bgColor rgb="FFFFC7CE"/>
        </patternFill>
      </fill>
    </dxf>
    <dxf>
      <font>
        <color rgb="FF9C0006"/>
      </font>
      <fill>
        <patternFill>
          <bgColor rgb="FFFFC7CE"/>
        </patternFill>
      </fill>
    </dxf>
    <dxf>
      <font>
        <color rgb="FF969696"/>
      </font>
    </dxf>
    <dxf>
      <numFmt numFmtId="19" formatCode="m/d/yyyy"/>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69696"/>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6969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69696"/>
      </font>
    </dxf>
    <dxf>
      <font>
        <color rgb="FF969696"/>
      </font>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0</c:v>
                </c:pt>
              </c:numCache>
            </c:numRef>
          </c:xVal>
          <c:yVal>
            <c:numRef>
              <c:f>Regression!RegChartResid</c:f>
              <c:numCache>
                <c:formatCode>0.0000</c:formatCode>
                <c:ptCount val="164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numCache>
            </c:numRef>
          </c:yVal>
          <c:smooth val="0"/>
          <c:extLst>
            <c:ext xmlns:c16="http://schemas.microsoft.com/office/drawing/2014/chart" uri="{C3380CC4-5D6E-409C-BE32-E72D297353CC}">
              <c16:uniqueId val="{00000001-CEFD-4892-BF2F-5974E807489A}"/>
            </c:ext>
          </c:extLst>
        </c:ser>
        <c:dLbls>
          <c:showLegendKey val="0"/>
          <c:showVal val="0"/>
          <c:showCatName val="0"/>
          <c:showSerName val="0"/>
          <c:showPercent val="0"/>
          <c:showBubbleSize val="0"/>
        </c:dLbls>
        <c:axId val="258993407"/>
        <c:axId val="141418543"/>
      </c:scatterChart>
      <c:valAx>
        <c:axId val="258993407"/>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41418543"/>
        <c:crosses val="autoZero"/>
        <c:crossBetween val="midCat"/>
      </c:valAx>
      <c:valAx>
        <c:axId val="141418543"/>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25899340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numCache>
            </c:numRef>
          </c:yVal>
          <c:smooth val="0"/>
          <c:extLst>
            <c:ext xmlns:c16="http://schemas.microsoft.com/office/drawing/2014/chart" uri="{C3380CC4-5D6E-409C-BE32-E72D297353CC}">
              <c16:uniqueId val="{00000001-B5EC-402C-A0B6-DC46EA4CDA42}"/>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yVal>
          <c:smooth val="0"/>
          <c:extLst>
            <c:ext xmlns:c16="http://schemas.microsoft.com/office/drawing/2014/chart" uri="{C3380CC4-5D6E-409C-BE32-E72D297353CC}">
              <c16:uniqueId val="{00000002-B5EC-402C-A0B6-DC46EA4CDA42}"/>
            </c:ext>
          </c:extLst>
        </c:ser>
        <c:dLbls>
          <c:showLegendKey val="0"/>
          <c:showVal val="0"/>
          <c:showCatName val="0"/>
          <c:showSerName val="0"/>
          <c:showPercent val="0"/>
          <c:showBubbleSize val="0"/>
        </c:dLbls>
        <c:axId val="258994335"/>
        <c:axId val="141411343"/>
      </c:scatterChart>
      <c:valAx>
        <c:axId val="258994335"/>
        <c:scaling>
          <c:orientation val="minMax"/>
          <c:max val="4.4986658078114568"/>
          <c:min val="-5.0435871657225961"/>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41411343"/>
        <c:crosses val="autoZero"/>
        <c:crossBetween val="midCat"/>
      </c:valAx>
      <c:valAx>
        <c:axId val="141411343"/>
        <c:scaling>
          <c:orientation val="minMax"/>
          <c:max val="4.4986658078114568"/>
          <c:min val="-5.0435871657225961"/>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25899433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0</c:v>
                </c:pt>
              </c:numCache>
            </c:numRef>
          </c:xVal>
          <c:yVal>
            <c:numRef>
              <c:f>Regression!RegChartActY</c:f>
              <c:numCache>
                <c:formatCode>0.0000</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7B2E-4F7E-BC1B-3CB17626A850}"/>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1649"/>
                <c:pt idx="0">
                  <c:v>0</c:v>
                </c:pt>
              </c:numCache>
            </c:numRef>
          </c:xVal>
          <c:yVal>
            <c:numRef>
              <c:f>Regression!RegChartFitY</c:f>
              <c:numCache>
                <c:formatCode>0.0000</c:formatCode>
                <c:ptCount val="1649"/>
                <c:pt idx="0">
                  <c:v>0</c:v>
                </c:pt>
              </c:numCache>
            </c:numRef>
          </c:yVal>
          <c:smooth val="0"/>
          <c:extLst>
            <c:ext xmlns:c16="http://schemas.microsoft.com/office/drawing/2014/chart" uri="{C3380CC4-5D6E-409C-BE32-E72D297353CC}">
              <c16:uniqueId val="{00000002-7B2E-4F7E-BC1B-3CB17626A850}"/>
            </c:ext>
          </c:extLst>
        </c:ser>
        <c:dLbls>
          <c:showLegendKey val="0"/>
          <c:showVal val="0"/>
          <c:showCatName val="0"/>
          <c:showSerName val="0"/>
          <c:showPercent val="0"/>
          <c:showBubbleSize val="0"/>
        </c:dLbls>
        <c:axId val="784891216"/>
        <c:axId val="141428623"/>
      </c:scatterChart>
      <c:valAx>
        <c:axId val="784891216"/>
        <c:scaling>
          <c:orientation val="minMax"/>
          <c:max val="90.786952994729077"/>
          <c:min val="36.29999999999999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41428623"/>
        <c:crosses val="autoZero"/>
        <c:crossBetween val="midCat"/>
      </c:valAx>
      <c:valAx>
        <c:axId val="141428623"/>
        <c:scaling>
          <c:orientation val="minMax"/>
          <c:max val="90.786952994729077"/>
          <c:min val="36.29999999999999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78489121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0</c:v>
                </c:pt>
              </c:numCache>
            </c:numRef>
          </c:xVal>
          <c:yVal>
            <c:numRef>
              <c:f>Regression!RegChartScaleLoc</c:f>
              <c:numCache>
                <c:formatCode>0.0000</c:formatCode>
                <c:ptCount val="164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numCache>
            </c:numRef>
          </c:yVal>
          <c:smooth val="0"/>
          <c:extLst>
            <c:ext xmlns:c16="http://schemas.microsoft.com/office/drawing/2014/chart" uri="{C3380CC4-5D6E-409C-BE32-E72D297353CC}">
              <c16:uniqueId val="{00000001-4691-41AE-B857-81EF0348E8CE}"/>
            </c:ext>
          </c:extLst>
        </c:ser>
        <c:dLbls>
          <c:showLegendKey val="0"/>
          <c:showVal val="0"/>
          <c:showCatName val="0"/>
          <c:showSerName val="0"/>
          <c:showPercent val="0"/>
          <c:showBubbleSize val="0"/>
        </c:dLbls>
        <c:axId val="784885648"/>
        <c:axId val="141435823"/>
      </c:scatterChart>
      <c:valAx>
        <c:axId val="784885648"/>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41435823"/>
        <c:crosses val="autoZero"/>
        <c:crossBetween val="midCat"/>
      </c:valAx>
      <c:valAx>
        <c:axId val="141435823"/>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78488564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numCache>
            </c:numRef>
          </c:val>
          <c:extLst>
            <c:ext xmlns:c16="http://schemas.microsoft.com/office/drawing/2014/chart" uri="{C3380CC4-5D6E-409C-BE32-E72D297353CC}">
              <c16:uniqueId val="{00000001-6FB6-4361-B84B-B86746610021}"/>
            </c:ext>
          </c:extLst>
        </c:ser>
        <c:dLbls>
          <c:showLegendKey val="0"/>
          <c:showVal val="0"/>
          <c:showCatName val="0"/>
          <c:showSerName val="0"/>
          <c:showPercent val="0"/>
          <c:showBubbleSize val="0"/>
        </c:dLbls>
        <c:gapWidth val="150"/>
        <c:axId val="304921855"/>
        <c:axId val="141442063"/>
      </c:barChart>
      <c:catAx>
        <c:axId val="304921855"/>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41442063"/>
        <c:crosses val="autoZero"/>
        <c:auto val="1"/>
        <c:lblAlgn val="ctr"/>
        <c:lblOffset val="100"/>
        <c:noMultiLvlLbl val="0"/>
      </c:catAx>
      <c:valAx>
        <c:axId val="141442063"/>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304921855"/>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7.2149082327699343E-2</c:v>
                </c:pt>
                <c:pt idx="1">
                  <c:v>6.5777038246361261E-2</c:v>
                </c:pt>
                <c:pt idx="2">
                  <c:v>6.577255712809188E-2</c:v>
                </c:pt>
                <c:pt idx="3">
                  <c:v>6.5881799916934894E-2</c:v>
                </c:pt>
                <c:pt idx="4">
                  <c:v>6.5144473484130758E-2</c:v>
                </c:pt>
                <c:pt idx="5">
                  <c:v>6.4469389680657324E-2</c:v>
                </c:pt>
                <c:pt idx="6">
                  <c:v>6.4262506027977381E-2</c:v>
                </c:pt>
                <c:pt idx="7">
                  <c:v>6.4051468352435581E-2</c:v>
                </c:pt>
                <c:pt idx="8">
                  <c:v>6.4773465009613992E-2</c:v>
                </c:pt>
                <c:pt idx="9">
                  <c:v>6.4078321271349242E-2</c:v>
                </c:pt>
                <c:pt idx="10">
                  <c:v>6.4354396055408297E-2</c:v>
                </c:pt>
                <c:pt idx="11">
                  <c:v>7.51853075939906E-2</c:v>
                </c:pt>
                <c:pt idx="12">
                  <c:v>6.8590915943170377E-2</c:v>
                </c:pt>
                <c:pt idx="13">
                  <c:v>0.15966152978137585</c:v>
                </c:pt>
                <c:pt idx="14">
                  <c:v>0.13331362871295699</c:v>
                </c:pt>
                <c:pt idx="15">
                  <c:v>0.13572845799617711</c:v>
                </c:pt>
                <c:pt idx="16">
                  <c:v>-0.59898145446319762</c:v>
                </c:pt>
                <c:pt idx="17">
                  <c:v>-0.59911134427289647</c:v>
                </c:pt>
                <c:pt idx="18">
                  <c:v>-0.59879824056087028</c:v>
                </c:pt>
                <c:pt idx="19">
                  <c:v>-0.59838321849112586</c:v>
                </c:pt>
                <c:pt idx="20">
                  <c:v>-0.60226906055657625</c:v>
                </c:pt>
                <c:pt idx="21">
                  <c:v>-0.60354438372245311</c:v>
                </c:pt>
                <c:pt idx="22">
                  <c:v>-0.60368683960514824</c:v>
                </c:pt>
                <c:pt idx="23">
                  <c:v>-0.60390769580931913</c:v>
                </c:pt>
                <c:pt idx="24">
                  <c:v>-0.60364353834876139</c:v>
                </c:pt>
                <c:pt idx="25">
                  <c:v>-0.5956941762126472</c:v>
                </c:pt>
                <c:pt idx="26">
                  <c:v>-0.60173457965234511</c:v>
                </c:pt>
                <c:pt idx="27">
                  <c:v>-0.6022660250924835</c:v>
                </c:pt>
                <c:pt idx="28">
                  <c:v>-0.60160699226461889</c:v>
                </c:pt>
                <c:pt idx="29">
                  <c:v>-0.60106420388151138</c:v>
                </c:pt>
                <c:pt idx="30">
                  <c:v>-0.60106800182733355</c:v>
                </c:pt>
                <c:pt idx="31">
                  <c:v>-0.5998998864631927</c:v>
                </c:pt>
                <c:pt idx="32">
                  <c:v>-0.407130861404772</c:v>
                </c:pt>
                <c:pt idx="33">
                  <c:v>-0.40832511625967416</c:v>
                </c:pt>
                <c:pt idx="34">
                  <c:v>-0.40883651635361207</c:v>
                </c:pt>
                <c:pt idx="35">
                  <c:v>-0.41025929465849675</c:v>
                </c:pt>
                <c:pt idx="36">
                  <c:v>-0.41080013764943307</c:v>
                </c:pt>
                <c:pt idx="37">
                  <c:v>-0.41097581799709909</c:v>
                </c:pt>
                <c:pt idx="38">
                  <c:v>-0.41045350850746937</c:v>
                </c:pt>
                <c:pt idx="39">
                  <c:v>-0.39444741830705582</c:v>
                </c:pt>
                <c:pt idx="40">
                  <c:v>-0.40066142532189192</c:v>
                </c:pt>
                <c:pt idx="41">
                  <c:v>-0.40893376980460749</c:v>
                </c:pt>
                <c:pt idx="42">
                  <c:v>-0.40723452692730294</c:v>
                </c:pt>
                <c:pt idx="43">
                  <c:v>0.96518146507091729</c:v>
                </c:pt>
                <c:pt idx="44">
                  <c:v>0.96514088931925113</c:v>
                </c:pt>
                <c:pt idx="45">
                  <c:v>0.95891645386611735</c:v>
                </c:pt>
                <c:pt idx="46">
                  <c:v>0.95786368543784051</c:v>
                </c:pt>
                <c:pt idx="47">
                  <c:v>0.95950025339908829</c:v>
                </c:pt>
                <c:pt idx="48">
                  <c:v>0.96806392971645949</c:v>
                </c:pt>
                <c:pt idx="49">
                  <c:v>0.96113420118161041</c:v>
                </c:pt>
                <c:pt idx="50">
                  <c:v>0.96342950266046867</c:v>
                </c:pt>
                <c:pt idx="51">
                  <c:v>-0.15793612405255963</c:v>
                </c:pt>
                <c:pt idx="52">
                  <c:v>-0.15890999389136767</c:v>
                </c:pt>
                <c:pt idx="53">
                  <c:v>-0.15947856927049034</c:v>
                </c:pt>
                <c:pt idx="54">
                  <c:v>-0.15120378176122551</c:v>
                </c:pt>
                <c:pt idx="55">
                  <c:v>-0.16240953510169051</c:v>
                </c:pt>
                <c:pt idx="56">
                  <c:v>-0.1619513652803177</c:v>
                </c:pt>
                <c:pt idx="57">
                  <c:v>-0.15233989788674024</c:v>
                </c:pt>
                <c:pt idx="58">
                  <c:v>-0.16314597735930567</c:v>
                </c:pt>
                <c:pt idx="59">
                  <c:v>-0.16282947371532161</c:v>
                </c:pt>
                <c:pt idx="60">
                  <c:v>-0.16231336115537717</c:v>
                </c:pt>
                <c:pt idx="61">
                  <c:v>-0.16131283196247084</c:v>
                </c:pt>
                <c:pt idx="62">
                  <c:v>-0.16045779965408694</c:v>
                </c:pt>
                <c:pt idx="63">
                  <c:v>-0.15965076506124584</c:v>
                </c:pt>
                <c:pt idx="64">
                  <c:v>0.50802145184575598</c:v>
                </c:pt>
                <c:pt idx="65">
                  <c:v>0.50675889366345439</c:v>
                </c:pt>
                <c:pt idx="66">
                  <c:v>0.50618258975820041</c:v>
                </c:pt>
                <c:pt idx="67">
                  <c:v>0.50634516423699105</c:v>
                </c:pt>
                <c:pt idx="68">
                  <c:v>0.5052495134784083</c:v>
                </c:pt>
                <c:pt idx="69">
                  <c:v>0.51136525854988857</c:v>
                </c:pt>
                <c:pt idx="70">
                  <c:v>0.51319214172331251</c:v>
                </c:pt>
                <c:pt idx="71">
                  <c:v>0.52036667410945825</c:v>
                </c:pt>
                <c:pt idx="72">
                  <c:v>0.50501344452889918</c:v>
                </c:pt>
                <c:pt idx="73">
                  <c:v>0.52625003298023632</c:v>
                </c:pt>
                <c:pt idx="74">
                  <c:v>0.50551298771754716</c:v>
                </c:pt>
                <c:pt idx="75">
                  <c:v>0.50626051193682753</c:v>
                </c:pt>
                <c:pt idx="76">
                  <c:v>0.50651127022998776</c:v>
                </c:pt>
                <c:pt idx="77">
                  <c:v>0.50817877981469495</c:v>
                </c:pt>
                <c:pt idx="78">
                  <c:v>0.51104502193082879</c:v>
                </c:pt>
                <c:pt idx="79">
                  <c:v>0.14547925788045127</c:v>
                </c:pt>
                <c:pt idx="80">
                  <c:v>0.14999733141564942</c:v>
                </c:pt>
                <c:pt idx="81">
                  <c:v>0.14960352986986161</c:v>
                </c:pt>
                <c:pt idx="82">
                  <c:v>0.14675979136018844</c:v>
                </c:pt>
                <c:pt idx="83">
                  <c:v>0.13740347052959906</c:v>
                </c:pt>
                <c:pt idx="84">
                  <c:v>0.13544376184376739</c:v>
                </c:pt>
                <c:pt idx="85">
                  <c:v>0.13726407883857342</c:v>
                </c:pt>
                <c:pt idx="86">
                  <c:v>0.1495622129828077</c:v>
                </c:pt>
                <c:pt idx="87">
                  <c:v>0.13257074682243553</c:v>
                </c:pt>
                <c:pt idx="88">
                  <c:v>0.14861535347424051</c:v>
                </c:pt>
                <c:pt idx="89">
                  <c:v>0.15816073683704193</c:v>
                </c:pt>
                <c:pt idx="90">
                  <c:v>0.14725872634063686</c:v>
                </c:pt>
                <c:pt idx="91">
                  <c:v>0.15272573101019671</c:v>
                </c:pt>
                <c:pt idx="92">
                  <c:v>0.14375044322800673</c:v>
                </c:pt>
                <c:pt idx="93">
                  <c:v>2.7226159395556407E-2</c:v>
                </c:pt>
                <c:pt idx="94">
                  <c:v>3.8765040347105428E-2</c:v>
                </c:pt>
                <c:pt idx="95">
                  <c:v>2.5067242076239605E-2</c:v>
                </c:pt>
                <c:pt idx="96">
                  <c:v>1.7888017809742689E-2</c:v>
                </c:pt>
                <c:pt idx="97">
                  <c:v>2.3237087286639396E-2</c:v>
                </c:pt>
                <c:pt idx="98">
                  <c:v>2.593814231154427E-2</c:v>
                </c:pt>
                <c:pt idx="99">
                  <c:v>1.8291078158224013E-2</c:v>
                </c:pt>
                <c:pt idx="100">
                  <c:v>1.6353371057903285E-2</c:v>
                </c:pt>
                <c:pt idx="101">
                  <c:v>2.6930422399935809E-2</c:v>
                </c:pt>
                <c:pt idx="102">
                  <c:v>1.3759027446217783E-2</c:v>
                </c:pt>
                <c:pt idx="103">
                  <c:v>1.5162563503540281E-2</c:v>
                </c:pt>
                <c:pt idx="104">
                  <c:v>2.4229509435044472E-2</c:v>
                </c:pt>
                <c:pt idx="105">
                  <c:v>2.0204680326024502E-2</c:v>
                </c:pt>
                <c:pt idx="106">
                  <c:v>2.6479843118981654E-2</c:v>
                </c:pt>
                <c:pt idx="107">
                  <c:v>2.7238508336082538E-2</c:v>
                </c:pt>
                <c:pt idx="108">
                  <c:v>0.2536098625788652</c:v>
                </c:pt>
                <c:pt idx="109">
                  <c:v>0.26031781101316526</c:v>
                </c:pt>
                <c:pt idx="110">
                  <c:v>0.25237955463618034</c:v>
                </c:pt>
                <c:pt idx="111">
                  <c:v>0.25203783004389613</c:v>
                </c:pt>
                <c:pt idx="112">
                  <c:v>0.2566668757377305</c:v>
                </c:pt>
                <c:pt idx="113">
                  <c:v>0.25140315627709253</c:v>
                </c:pt>
                <c:pt idx="114">
                  <c:v>0.25044542628542976</c:v>
                </c:pt>
                <c:pt idx="115">
                  <c:v>0.25095659383103908</c:v>
                </c:pt>
                <c:pt idx="116">
                  <c:v>0.25979238348309946</c:v>
                </c:pt>
                <c:pt idx="117">
                  <c:v>0.25131213914523615</c:v>
                </c:pt>
                <c:pt idx="118">
                  <c:v>0.25666056864116893</c:v>
                </c:pt>
                <c:pt idx="119">
                  <c:v>0.25132897362626239</c:v>
                </c:pt>
                <c:pt idx="120">
                  <c:v>0.26364994995826729</c:v>
                </c:pt>
                <c:pt idx="121">
                  <c:v>0.11145098683394702</c:v>
                </c:pt>
                <c:pt idx="122">
                  <c:v>0.11757609265066028</c:v>
                </c:pt>
                <c:pt idx="123">
                  <c:v>0.11075055241766049</c:v>
                </c:pt>
                <c:pt idx="124">
                  <c:v>0.11710362187512643</c:v>
                </c:pt>
                <c:pt idx="125">
                  <c:v>0.1101178183906639</c:v>
                </c:pt>
                <c:pt idx="126">
                  <c:v>0.1118128903473036</c:v>
                </c:pt>
                <c:pt idx="127">
                  <c:v>0.11123912066072118</c:v>
                </c:pt>
                <c:pt idx="128">
                  <c:v>0.15331479665997561</c:v>
                </c:pt>
                <c:pt idx="129">
                  <c:v>0.15351321419913444</c:v>
                </c:pt>
                <c:pt idx="130">
                  <c:v>0.15878801188495473</c:v>
                </c:pt>
                <c:pt idx="131">
                  <c:v>0.16237813752622698</c:v>
                </c:pt>
                <c:pt idx="132">
                  <c:v>0.17034835745929602</c:v>
                </c:pt>
                <c:pt idx="133">
                  <c:v>0.12436571770909069</c:v>
                </c:pt>
                <c:pt idx="134">
                  <c:v>0.1278615537715585</c:v>
                </c:pt>
                <c:pt idx="135">
                  <c:v>0.13828066995771585</c:v>
                </c:pt>
                <c:pt idx="136">
                  <c:v>0.12865533739868706</c:v>
                </c:pt>
                <c:pt idx="137">
                  <c:v>0.12343275191564636</c:v>
                </c:pt>
                <c:pt idx="138">
                  <c:v>0.12259554717372199</c:v>
                </c:pt>
                <c:pt idx="139">
                  <c:v>0.1226606766274351</c:v>
                </c:pt>
                <c:pt idx="140">
                  <c:v>0.1380912994777643</c:v>
                </c:pt>
                <c:pt idx="141">
                  <c:v>0.12216311605568149</c:v>
                </c:pt>
                <c:pt idx="142">
                  <c:v>0.12469388911600283</c:v>
                </c:pt>
                <c:pt idx="143">
                  <c:v>0.12350602796404152</c:v>
                </c:pt>
                <c:pt idx="144">
                  <c:v>0.14177430648941691</c:v>
                </c:pt>
                <c:pt idx="145">
                  <c:v>0.12451742749251238</c:v>
                </c:pt>
                <c:pt idx="146">
                  <c:v>0.12757258319792431</c:v>
                </c:pt>
                <c:pt idx="147">
                  <c:v>0.13908077651358192</c:v>
                </c:pt>
                <c:pt idx="148">
                  <c:v>5.3234836549288206E-2</c:v>
                </c:pt>
                <c:pt idx="149">
                  <c:v>4.5963374915524983E-2</c:v>
                </c:pt>
                <c:pt idx="150">
                  <c:v>4.3927518420205314E-2</c:v>
                </c:pt>
                <c:pt idx="151">
                  <c:v>4.3649970702295968E-2</c:v>
                </c:pt>
                <c:pt idx="152">
                  <c:v>4.4160341166120061E-2</c:v>
                </c:pt>
                <c:pt idx="153">
                  <c:v>4.3687867877308217E-2</c:v>
                </c:pt>
                <c:pt idx="154">
                  <c:v>4.7752875348268289E-2</c:v>
                </c:pt>
                <c:pt idx="155">
                  <c:v>4.6032638545266666E-2</c:v>
                </c:pt>
                <c:pt idx="156">
                  <c:v>4.8143631825929539E-2</c:v>
                </c:pt>
                <c:pt idx="157">
                  <c:v>4.6893759720205458E-2</c:v>
                </c:pt>
                <c:pt idx="158">
                  <c:v>5.1250297027349137E-2</c:v>
                </c:pt>
                <c:pt idx="159">
                  <c:v>4.909803010494504E-2</c:v>
                </c:pt>
                <c:pt idx="160">
                  <c:v>5.8503614399539675E-2</c:v>
                </c:pt>
                <c:pt idx="161">
                  <c:v>5.5326983601792543E-2</c:v>
                </c:pt>
                <c:pt idx="162">
                  <c:v>5.4850908059688161E-2</c:v>
                </c:pt>
                <c:pt idx="163">
                  <c:v>3.0856822695367991E-2</c:v>
                </c:pt>
                <c:pt idx="164">
                  <c:v>2.5273704456903121E-2</c:v>
                </c:pt>
                <c:pt idx="165">
                  <c:v>2.3948665133119315E-2</c:v>
                </c:pt>
                <c:pt idx="166">
                  <c:v>2.335335158188066E-2</c:v>
                </c:pt>
                <c:pt idx="167">
                  <c:v>2.2454570502952916E-2</c:v>
                </c:pt>
                <c:pt idx="168">
                  <c:v>2.1568763016934719E-2</c:v>
                </c:pt>
                <c:pt idx="169">
                  <c:v>2.2026067724187616E-2</c:v>
                </c:pt>
                <c:pt idx="170">
                  <c:v>2.2339903150709925E-2</c:v>
                </c:pt>
                <c:pt idx="171">
                  <c:v>2.1133703317800036E-2</c:v>
                </c:pt>
                <c:pt idx="172">
                  <c:v>2.2138561370641317E-2</c:v>
                </c:pt>
                <c:pt idx="173">
                  <c:v>2.2215365561723793E-2</c:v>
                </c:pt>
                <c:pt idx="174">
                  <c:v>2.4704368986150645E-2</c:v>
                </c:pt>
                <c:pt idx="175">
                  <c:v>2.3344753032501955E-2</c:v>
                </c:pt>
                <c:pt idx="176">
                  <c:v>2.646798607489239E-2</c:v>
                </c:pt>
                <c:pt idx="177">
                  <c:v>2.9802209964577074E-2</c:v>
                </c:pt>
                <c:pt idx="178">
                  <c:v>0.13136517110332729</c:v>
                </c:pt>
                <c:pt idx="179">
                  <c:v>0.12995822159463022</c:v>
                </c:pt>
                <c:pt idx="180">
                  <c:v>0.1402665444221545</c:v>
                </c:pt>
                <c:pt idx="181">
                  <c:v>0.12880472927696507</c:v>
                </c:pt>
                <c:pt idx="182">
                  <c:v>0.1283035171732014</c:v>
                </c:pt>
                <c:pt idx="183">
                  <c:v>0.13816920957894094</c:v>
                </c:pt>
                <c:pt idx="184">
                  <c:v>0.12805582037109753</c:v>
                </c:pt>
                <c:pt idx="185">
                  <c:v>0.12869400601974459</c:v>
                </c:pt>
                <c:pt idx="186">
                  <c:v>0.12818622711830338</c:v>
                </c:pt>
                <c:pt idx="187">
                  <c:v>0.14007155695217255</c:v>
                </c:pt>
                <c:pt idx="188">
                  <c:v>0.13043371623536659</c:v>
                </c:pt>
                <c:pt idx="189">
                  <c:v>0.13048444710196977</c:v>
                </c:pt>
                <c:pt idx="190">
                  <c:v>0.13678202479922499</c:v>
                </c:pt>
                <c:pt idx="191">
                  <c:v>0.13471833031150138</c:v>
                </c:pt>
                <c:pt idx="192">
                  <c:v>0.13511394380789007</c:v>
                </c:pt>
                <c:pt idx="193">
                  <c:v>0.13391317599795882</c:v>
                </c:pt>
                <c:pt idx="194">
                  <c:v>0.1313180243995711</c:v>
                </c:pt>
                <c:pt idx="195">
                  <c:v>0.1159931332321716</c:v>
                </c:pt>
                <c:pt idx="196">
                  <c:v>0.11349491267590189</c:v>
                </c:pt>
                <c:pt idx="197">
                  <c:v>0.11254362096615027</c:v>
                </c:pt>
                <c:pt idx="198">
                  <c:v>0.11178187325856373</c:v>
                </c:pt>
                <c:pt idx="199">
                  <c:v>0.11159802384279452</c:v>
                </c:pt>
                <c:pt idx="200">
                  <c:v>0.11231031932442949</c:v>
                </c:pt>
                <c:pt idx="201">
                  <c:v>0.12740741778135278</c:v>
                </c:pt>
                <c:pt idx="202">
                  <c:v>0.11463294243698788</c:v>
                </c:pt>
                <c:pt idx="203">
                  <c:v>0.11727161873087194</c:v>
                </c:pt>
                <c:pt idx="204">
                  <c:v>0.12302966743144358</c:v>
                </c:pt>
                <c:pt idx="205">
                  <c:v>0.12111999837672599</c:v>
                </c:pt>
                <c:pt idx="206">
                  <c:v>-6.797482847834671E-2</c:v>
                </c:pt>
                <c:pt idx="207">
                  <c:v>-6.8119920351508684E-2</c:v>
                </c:pt>
                <c:pt idx="208">
                  <c:v>-6.8606075724785748E-2</c:v>
                </c:pt>
                <c:pt idx="209">
                  <c:v>-6.9153434709929545E-2</c:v>
                </c:pt>
                <c:pt idx="210">
                  <c:v>-5.6925227558742283E-2</c:v>
                </c:pt>
                <c:pt idx="211">
                  <c:v>-5.2691855953923381E-2</c:v>
                </c:pt>
                <c:pt idx="212">
                  <c:v>-6.8357135631516908E-2</c:v>
                </c:pt>
                <c:pt idx="213">
                  <c:v>-6.7246735532335788E-2</c:v>
                </c:pt>
                <c:pt idx="214">
                  <c:v>-5.9333144597799724E-2</c:v>
                </c:pt>
                <c:pt idx="215">
                  <c:v>-2.491904775669003E-2</c:v>
                </c:pt>
                <c:pt idx="216">
                  <c:v>-3.0164541661940762E-2</c:v>
                </c:pt>
                <c:pt idx="217">
                  <c:v>0.1262931881303396</c:v>
                </c:pt>
                <c:pt idx="218">
                  <c:v>0.12497971981278891</c:v>
                </c:pt>
                <c:pt idx="219">
                  <c:v>0.13662909196781908</c:v>
                </c:pt>
                <c:pt idx="220">
                  <c:v>0.11610473157339951</c:v>
                </c:pt>
                <c:pt idx="221">
                  <c:v>0.1147106321997028</c:v>
                </c:pt>
                <c:pt idx="222">
                  <c:v>0.10913089372780559</c:v>
                </c:pt>
                <c:pt idx="223">
                  <c:v>0.10652376509531436</c:v>
                </c:pt>
                <c:pt idx="224">
                  <c:v>0.10601612993874143</c:v>
                </c:pt>
                <c:pt idx="225">
                  <c:v>0.10711238405203108</c:v>
                </c:pt>
                <c:pt idx="226">
                  <c:v>0.12820611524341735</c:v>
                </c:pt>
                <c:pt idx="227">
                  <c:v>0.12979154097366524</c:v>
                </c:pt>
                <c:pt idx="228">
                  <c:v>0.14732203161294113</c:v>
                </c:pt>
                <c:pt idx="229">
                  <c:v>0.13131311944859175</c:v>
                </c:pt>
                <c:pt idx="230">
                  <c:v>0.14091991218793798</c:v>
                </c:pt>
                <c:pt idx="231">
                  <c:v>0.14214810447521176</c:v>
                </c:pt>
                <c:pt idx="232">
                  <c:v>0.15408418936641322</c:v>
                </c:pt>
                <c:pt idx="233">
                  <c:v>0.15451961778048193</c:v>
                </c:pt>
                <c:pt idx="234">
                  <c:v>0.15369870394586341</c:v>
                </c:pt>
                <c:pt idx="235">
                  <c:v>0.15687133091036728</c:v>
                </c:pt>
                <c:pt idx="236">
                  <c:v>0.15526391682735585</c:v>
                </c:pt>
                <c:pt idx="237">
                  <c:v>0.15353435995854031</c:v>
                </c:pt>
                <c:pt idx="238">
                  <c:v>0.15835582508308629</c:v>
                </c:pt>
                <c:pt idx="239">
                  <c:v>0.14979131896030864</c:v>
                </c:pt>
                <c:pt idx="240">
                  <c:v>0.15015779192260004</c:v>
                </c:pt>
                <c:pt idx="241">
                  <c:v>0.15100633331509708</c:v>
                </c:pt>
                <c:pt idx="242">
                  <c:v>0.15241718370524943</c:v>
                </c:pt>
                <c:pt idx="243">
                  <c:v>0.15519687039614616</c:v>
                </c:pt>
                <c:pt idx="244">
                  <c:v>0.15887410181811834</c:v>
                </c:pt>
                <c:pt idx="245">
                  <c:v>0.16112264234164286</c:v>
                </c:pt>
                <c:pt idx="246">
                  <c:v>0.15824592657505587</c:v>
                </c:pt>
                <c:pt idx="247">
                  <c:v>7.4228919286593226E-2</c:v>
                </c:pt>
                <c:pt idx="248">
                  <c:v>7.3679402810842773E-2</c:v>
                </c:pt>
                <c:pt idx="249">
                  <c:v>6.9532100829281518E-2</c:v>
                </c:pt>
                <c:pt idx="250">
                  <c:v>6.90761354079307E-2</c:v>
                </c:pt>
                <c:pt idx="251">
                  <c:v>7.5273149237140707E-2</c:v>
                </c:pt>
                <c:pt idx="252">
                  <c:v>6.865839858534134E-2</c:v>
                </c:pt>
                <c:pt idx="253">
                  <c:v>7.0635567784153211E-2</c:v>
                </c:pt>
                <c:pt idx="254">
                  <c:v>7.7786259234690514E-2</c:v>
                </c:pt>
                <c:pt idx="255">
                  <c:v>7.8037095466321718E-2</c:v>
                </c:pt>
                <c:pt idx="256">
                  <c:v>7.0154843734659134E-2</c:v>
                </c:pt>
                <c:pt idx="257">
                  <c:v>6.8985459048506156E-2</c:v>
                </c:pt>
                <c:pt idx="258">
                  <c:v>6.9660451568589854E-2</c:v>
                </c:pt>
                <c:pt idx="259">
                  <c:v>7.0122619283823628E-2</c:v>
                </c:pt>
                <c:pt idx="260">
                  <c:v>7.1535721588596418E-2</c:v>
                </c:pt>
                <c:pt idx="261">
                  <c:v>7.2525381291236063E-2</c:v>
                </c:pt>
                <c:pt idx="262">
                  <c:v>9.0419240143942495E-2</c:v>
                </c:pt>
                <c:pt idx="263">
                  <c:v>8.7800026571495521E-2</c:v>
                </c:pt>
                <c:pt idx="264">
                  <c:v>9.7754399907144102E-2</c:v>
                </c:pt>
                <c:pt idx="265">
                  <c:v>9.0317652263210604E-2</c:v>
                </c:pt>
                <c:pt idx="266">
                  <c:v>8.9796433303919176E-2</c:v>
                </c:pt>
                <c:pt idx="267">
                  <c:v>0.11492440902321818</c:v>
                </c:pt>
                <c:pt idx="268">
                  <c:v>8.3706930820370964E-2</c:v>
                </c:pt>
                <c:pt idx="269">
                  <c:v>8.594180994226458E-2</c:v>
                </c:pt>
                <c:pt idx="270">
                  <c:v>0.11688558596837284</c:v>
                </c:pt>
                <c:pt idx="271">
                  <c:v>0.15885056788885984</c:v>
                </c:pt>
                <c:pt idx="272">
                  <c:v>0.16243146458092875</c:v>
                </c:pt>
                <c:pt idx="273">
                  <c:v>0.15795965083538099</c:v>
                </c:pt>
                <c:pt idx="274">
                  <c:v>0.15319417874751565</c:v>
                </c:pt>
                <c:pt idx="275">
                  <c:v>0.15529837239046407</c:v>
                </c:pt>
                <c:pt idx="276">
                  <c:v>0.14934197636015217</c:v>
                </c:pt>
                <c:pt idx="277">
                  <c:v>0.15395014066681406</c:v>
                </c:pt>
                <c:pt idx="278">
                  <c:v>0.16149384908044706</c:v>
                </c:pt>
                <c:pt idx="279">
                  <c:v>0.16129478425643895</c:v>
                </c:pt>
                <c:pt idx="280">
                  <c:v>0.16184441281214032</c:v>
                </c:pt>
                <c:pt idx="281">
                  <c:v>0.16421360207822019</c:v>
                </c:pt>
                <c:pt idx="282">
                  <c:v>4.5315786835037092E-2</c:v>
                </c:pt>
                <c:pt idx="283">
                  <c:v>4.3881512776805347E-2</c:v>
                </c:pt>
                <c:pt idx="284">
                  <c:v>4.2181794636259033E-2</c:v>
                </c:pt>
                <c:pt idx="285">
                  <c:v>6.064815878203552E-2</c:v>
                </c:pt>
                <c:pt idx="286">
                  <c:v>3.8762238637918799E-2</c:v>
                </c:pt>
                <c:pt idx="287">
                  <c:v>3.8410442277265137E-2</c:v>
                </c:pt>
                <c:pt idx="288">
                  <c:v>3.8293729084486819E-2</c:v>
                </c:pt>
                <c:pt idx="289">
                  <c:v>3.912667974146531E-2</c:v>
                </c:pt>
                <c:pt idx="290">
                  <c:v>3.8269241984715464E-2</c:v>
                </c:pt>
                <c:pt idx="291">
                  <c:v>3.9356925931719945E-2</c:v>
                </c:pt>
                <c:pt idx="292">
                  <c:v>4.1040628896272996E-2</c:v>
                </c:pt>
                <c:pt idx="293">
                  <c:v>3.9278421861897159E-2</c:v>
                </c:pt>
                <c:pt idx="294">
                  <c:v>5.0503155885392656E-2</c:v>
                </c:pt>
                <c:pt idx="295">
                  <c:v>0.1407728964728204</c:v>
                </c:pt>
                <c:pt idx="296">
                  <c:v>0.1170742920108731</c:v>
                </c:pt>
                <c:pt idx="297">
                  <c:v>0.11648116234207075</c:v>
                </c:pt>
                <c:pt idx="298">
                  <c:v>0.11770416855332526</c:v>
                </c:pt>
                <c:pt idx="299">
                  <c:v>0.11604987220149791</c:v>
                </c:pt>
                <c:pt idx="300">
                  <c:v>0.11699964791212343</c:v>
                </c:pt>
                <c:pt idx="301">
                  <c:v>0.11669234280817795</c:v>
                </c:pt>
                <c:pt idx="302">
                  <c:v>0.11866791512068026</c:v>
                </c:pt>
                <c:pt idx="303">
                  <c:v>0.13199566876670721</c:v>
                </c:pt>
                <c:pt idx="304">
                  <c:v>0.11545350881944122</c:v>
                </c:pt>
                <c:pt idx="305">
                  <c:v>0.11550032442314848</c:v>
                </c:pt>
                <c:pt idx="306">
                  <c:v>0.11567305880854262</c:v>
                </c:pt>
                <c:pt idx="307">
                  <c:v>0.12403099455680534</c:v>
                </c:pt>
                <c:pt idx="308">
                  <c:v>0.11804276123781517</c:v>
                </c:pt>
                <c:pt idx="309">
                  <c:v>0.12394790600009715</c:v>
                </c:pt>
                <c:pt idx="310">
                  <c:v>0.11074417724019045</c:v>
                </c:pt>
                <c:pt idx="311">
                  <c:v>0.11240152887569572</c:v>
                </c:pt>
                <c:pt idx="312">
                  <c:v>0.11107267630719778</c:v>
                </c:pt>
                <c:pt idx="313">
                  <c:v>0.13280707269476461</c:v>
                </c:pt>
                <c:pt idx="314">
                  <c:v>8.5169178344921465E-2</c:v>
                </c:pt>
                <c:pt idx="315">
                  <c:v>7.9694157470713109E-2</c:v>
                </c:pt>
                <c:pt idx="316">
                  <c:v>7.9129897797714538E-2</c:v>
                </c:pt>
                <c:pt idx="317">
                  <c:v>7.557513628137863E-2</c:v>
                </c:pt>
                <c:pt idx="318">
                  <c:v>7.13156321666049E-2</c:v>
                </c:pt>
                <c:pt idx="319">
                  <c:v>7.559595958363971E-2</c:v>
                </c:pt>
                <c:pt idx="320">
                  <c:v>7.0565124336302451E-2</c:v>
                </c:pt>
                <c:pt idx="321">
                  <c:v>7.8250287075688277E-2</c:v>
                </c:pt>
                <c:pt idx="322">
                  <c:v>7.3418503661297901E-2</c:v>
                </c:pt>
                <c:pt idx="323">
                  <c:v>6.2208858624999051E-2</c:v>
                </c:pt>
                <c:pt idx="324">
                  <c:v>7.0552232844543872E-2</c:v>
                </c:pt>
                <c:pt idx="325">
                  <c:v>7.1798316666916329E-2</c:v>
                </c:pt>
                <c:pt idx="326">
                  <c:v>-4.61216512566235E-3</c:v>
                </c:pt>
                <c:pt idx="327">
                  <c:v>-3.84516220909589E-3</c:v>
                </c:pt>
                <c:pt idx="328">
                  <c:v>-5.0773888937787077E-3</c:v>
                </c:pt>
                <c:pt idx="329">
                  <c:v>-4.6668379640614766E-3</c:v>
                </c:pt>
                <c:pt idx="330">
                  <c:v>-4.5632423609126413E-3</c:v>
                </c:pt>
                <c:pt idx="331">
                  <c:v>-4.946303961148717E-3</c:v>
                </c:pt>
                <c:pt idx="332">
                  <c:v>0.46704698330784178</c:v>
                </c:pt>
                <c:pt idx="333">
                  <c:v>0.46709311950538135</c:v>
                </c:pt>
                <c:pt idx="334">
                  <c:v>0.47055724907202062</c:v>
                </c:pt>
                <c:pt idx="335">
                  <c:v>0.46926032157239056</c:v>
                </c:pt>
                <c:pt idx="336">
                  <c:v>0.46673615156290527</c:v>
                </c:pt>
                <c:pt idx="337">
                  <c:v>0.47541946391195095</c:v>
                </c:pt>
                <c:pt idx="338">
                  <c:v>0.46896071970721653</c:v>
                </c:pt>
                <c:pt idx="339">
                  <c:v>0.11623015655502054</c:v>
                </c:pt>
                <c:pt idx="340">
                  <c:v>0.13520661095959957</c:v>
                </c:pt>
                <c:pt idx="341">
                  <c:v>0.13106816199851765</c:v>
                </c:pt>
                <c:pt idx="342">
                  <c:v>0.11487620944461879</c:v>
                </c:pt>
                <c:pt idx="343">
                  <c:v>0.12427251755713255</c:v>
                </c:pt>
                <c:pt idx="344">
                  <c:v>0.11500901162712363</c:v>
                </c:pt>
                <c:pt idx="345">
                  <c:v>0.11520966886167594</c:v>
                </c:pt>
                <c:pt idx="346">
                  <c:v>0.11603050409406503</c:v>
                </c:pt>
                <c:pt idx="347">
                  <c:v>0.11610789326483835</c:v>
                </c:pt>
                <c:pt idx="348">
                  <c:v>0.13869447667803503</c:v>
                </c:pt>
                <c:pt idx="349">
                  <c:v>0.14439249920745156</c:v>
                </c:pt>
                <c:pt idx="350">
                  <c:v>0.15797487196328475</c:v>
                </c:pt>
                <c:pt idx="351">
                  <c:v>0.14577765633654363</c:v>
                </c:pt>
                <c:pt idx="352">
                  <c:v>0.1056124784289256</c:v>
                </c:pt>
                <c:pt idx="353">
                  <c:v>9.1626765133644275E-2</c:v>
                </c:pt>
                <c:pt idx="354">
                  <c:v>0.15104711613028121</c:v>
                </c:pt>
                <c:pt idx="355">
                  <c:v>0.11057483470581661</c:v>
                </c:pt>
                <c:pt idx="356">
                  <c:v>9.9088845656167907E-2</c:v>
                </c:pt>
                <c:pt idx="357">
                  <c:v>0.13178276812640208</c:v>
                </c:pt>
                <c:pt idx="358">
                  <c:v>9.5787883823300848E-2</c:v>
                </c:pt>
                <c:pt idx="359">
                  <c:v>0.10760393379361158</c:v>
                </c:pt>
                <c:pt idx="360">
                  <c:v>0.12750214747877975</c:v>
                </c:pt>
                <c:pt idx="361">
                  <c:v>0.13831856468383036</c:v>
                </c:pt>
                <c:pt idx="362">
                  <c:v>0.15641417108081163</c:v>
                </c:pt>
                <c:pt idx="363">
                  <c:v>5.7407778338305342E-2</c:v>
                </c:pt>
                <c:pt idx="364">
                  <c:v>3.7375210105975255E-2</c:v>
                </c:pt>
                <c:pt idx="365">
                  <c:v>3.7199848298725878E-2</c:v>
                </c:pt>
                <c:pt idx="366">
                  <c:v>3.9926602371844831E-2</c:v>
                </c:pt>
                <c:pt idx="367">
                  <c:v>3.6777708787526689E-2</c:v>
                </c:pt>
                <c:pt idx="368">
                  <c:v>3.6592550462162948E-2</c:v>
                </c:pt>
                <c:pt idx="369">
                  <c:v>3.5434818723681517E-2</c:v>
                </c:pt>
                <c:pt idx="370">
                  <c:v>3.5365084936470587E-2</c:v>
                </c:pt>
                <c:pt idx="371">
                  <c:v>3.6041021272142815E-2</c:v>
                </c:pt>
                <c:pt idx="372">
                  <c:v>4.4297606525746859E-2</c:v>
                </c:pt>
                <c:pt idx="373">
                  <c:v>3.6105197394189818E-2</c:v>
                </c:pt>
                <c:pt idx="374">
                  <c:v>3.7444203337377899E-2</c:v>
                </c:pt>
                <c:pt idx="375">
                  <c:v>3.5870918004425295E-2</c:v>
                </c:pt>
                <c:pt idx="376">
                  <c:v>5.0699739517395162E-2</c:v>
                </c:pt>
                <c:pt idx="377">
                  <c:v>3.7719069398239886E-2</c:v>
                </c:pt>
                <c:pt idx="378">
                  <c:v>8.5973570944941152E-2</c:v>
                </c:pt>
                <c:pt idx="379">
                  <c:v>8.1103081952816056E-2</c:v>
                </c:pt>
                <c:pt idx="380">
                  <c:v>8.1148655117885687E-2</c:v>
                </c:pt>
                <c:pt idx="381">
                  <c:v>8.0126476273890454E-2</c:v>
                </c:pt>
                <c:pt idx="382">
                  <c:v>7.9998905659772981E-2</c:v>
                </c:pt>
                <c:pt idx="383">
                  <c:v>8.0290917543707013E-2</c:v>
                </c:pt>
                <c:pt idx="384">
                  <c:v>8.0811620326469047E-2</c:v>
                </c:pt>
                <c:pt idx="385">
                  <c:v>8.1118047159714296E-2</c:v>
                </c:pt>
                <c:pt idx="386">
                  <c:v>8.0154365633310451E-2</c:v>
                </c:pt>
                <c:pt idx="387">
                  <c:v>8.0715122919515742E-2</c:v>
                </c:pt>
                <c:pt idx="388">
                  <c:v>9.5876716465541995E-2</c:v>
                </c:pt>
                <c:pt idx="389">
                  <c:v>0.10608574846981961</c:v>
                </c:pt>
                <c:pt idx="390">
                  <c:v>6.2477318629482664E-2</c:v>
                </c:pt>
                <c:pt idx="391">
                  <c:v>6.1794947486590965E-2</c:v>
                </c:pt>
                <c:pt idx="392">
                  <c:v>7.3075855926858377E-2</c:v>
                </c:pt>
                <c:pt idx="393">
                  <c:v>6.217203596388076E-2</c:v>
                </c:pt>
                <c:pt idx="394">
                  <c:v>6.3516704933120477E-2</c:v>
                </c:pt>
                <c:pt idx="395">
                  <c:v>7.0286990679379199E-2</c:v>
                </c:pt>
                <c:pt idx="396">
                  <c:v>8.0390014650488811E-2</c:v>
                </c:pt>
                <c:pt idx="397">
                  <c:v>5.9742056422697226E-2</c:v>
                </c:pt>
                <c:pt idx="398">
                  <c:v>5.9316174490393718E-2</c:v>
                </c:pt>
                <c:pt idx="399">
                  <c:v>7.8485488768107237E-2</c:v>
                </c:pt>
                <c:pt idx="400">
                  <c:v>7.8111660886746842E-2</c:v>
                </c:pt>
                <c:pt idx="401">
                  <c:v>6.0361741703849031E-2</c:v>
                </c:pt>
                <c:pt idx="402">
                  <c:v>6.1897239609039194E-2</c:v>
                </c:pt>
                <c:pt idx="403">
                  <c:v>7.3930199588421674E-2</c:v>
                </c:pt>
                <c:pt idx="404">
                  <c:v>7.258618083668969E-2</c:v>
                </c:pt>
                <c:pt idx="405">
                  <c:v>0.13919787340588533</c:v>
                </c:pt>
                <c:pt idx="406">
                  <c:v>0.13883557213940417</c:v>
                </c:pt>
                <c:pt idx="407">
                  <c:v>0.13873922844443978</c:v>
                </c:pt>
                <c:pt idx="408">
                  <c:v>0.13875925174081122</c:v>
                </c:pt>
                <c:pt idx="409">
                  <c:v>0.1460961413551681</c:v>
                </c:pt>
                <c:pt idx="410">
                  <c:v>0.14501002399012228</c:v>
                </c:pt>
                <c:pt idx="411">
                  <c:v>0.13922014580142716</c:v>
                </c:pt>
                <c:pt idx="412">
                  <c:v>0.1389708559085511</c:v>
                </c:pt>
                <c:pt idx="413">
                  <c:v>9.5289078910237218E-2</c:v>
                </c:pt>
                <c:pt idx="414">
                  <c:v>6.4523993654897374E-2</c:v>
                </c:pt>
                <c:pt idx="415">
                  <c:v>6.1333903163290363E-2</c:v>
                </c:pt>
                <c:pt idx="416">
                  <c:v>6.4079406235574968E-2</c:v>
                </c:pt>
                <c:pt idx="417">
                  <c:v>6.2493785162438642E-2</c:v>
                </c:pt>
                <c:pt idx="418">
                  <c:v>6.1494525055650472E-2</c:v>
                </c:pt>
                <c:pt idx="419">
                  <c:v>6.1429643508858739E-2</c:v>
                </c:pt>
                <c:pt idx="420">
                  <c:v>6.9009548722629946E-2</c:v>
                </c:pt>
                <c:pt idx="421">
                  <c:v>6.327968608247507E-2</c:v>
                </c:pt>
                <c:pt idx="422">
                  <c:v>6.1792709410145197E-2</c:v>
                </c:pt>
                <c:pt idx="423">
                  <c:v>6.1196437107272711E-2</c:v>
                </c:pt>
                <c:pt idx="424">
                  <c:v>6.0920109485186558E-2</c:v>
                </c:pt>
                <c:pt idx="425">
                  <c:v>5.6633742611154489E-2</c:v>
                </c:pt>
                <c:pt idx="426">
                  <c:v>6.2384976833229216E-2</c:v>
                </c:pt>
                <c:pt idx="427">
                  <c:v>5.7904234908745453E-2</c:v>
                </c:pt>
                <c:pt idx="428">
                  <c:v>0.18823444406072165</c:v>
                </c:pt>
                <c:pt idx="429">
                  <c:v>0.17851348192726138</c:v>
                </c:pt>
                <c:pt idx="430">
                  <c:v>0.17849792844013712</c:v>
                </c:pt>
                <c:pt idx="431">
                  <c:v>0.17785210656095946</c:v>
                </c:pt>
                <c:pt idx="432">
                  <c:v>0.17800990645588083</c:v>
                </c:pt>
                <c:pt idx="433">
                  <c:v>0.17795620474187332</c:v>
                </c:pt>
                <c:pt idx="434">
                  <c:v>0.17844110848516384</c:v>
                </c:pt>
                <c:pt idx="435">
                  <c:v>0.18632916054566903</c:v>
                </c:pt>
                <c:pt idx="436">
                  <c:v>8.1571630997973682E-2</c:v>
                </c:pt>
                <c:pt idx="437">
                  <c:v>7.6629858464879477E-2</c:v>
                </c:pt>
                <c:pt idx="438">
                  <c:v>6.7315432753563137E-2</c:v>
                </c:pt>
                <c:pt idx="439">
                  <c:v>7.6111271949106551E-2</c:v>
                </c:pt>
                <c:pt idx="440">
                  <c:v>6.6375225484534006E-2</c:v>
                </c:pt>
                <c:pt idx="441">
                  <c:v>7.3305238626953206E-2</c:v>
                </c:pt>
                <c:pt idx="442">
                  <c:v>6.6366645645439634E-2</c:v>
                </c:pt>
                <c:pt idx="443">
                  <c:v>7.4548186207031644E-2</c:v>
                </c:pt>
                <c:pt idx="444">
                  <c:v>6.652869930357562E-2</c:v>
                </c:pt>
                <c:pt idx="445">
                  <c:v>6.8513619247407426E-2</c:v>
                </c:pt>
                <c:pt idx="446">
                  <c:v>6.7937325583584729E-2</c:v>
                </c:pt>
                <c:pt idx="447">
                  <c:v>6.9465334722585564E-2</c:v>
                </c:pt>
                <c:pt idx="448">
                  <c:v>6.6918931753858588E-2</c:v>
                </c:pt>
                <c:pt idx="449">
                  <c:v>6.8154812042795443E-2</c:v>
                </c:pt>
                <c:pt idx="450">
                  <c:v>6.878185856339547E-2</c:v>
                </c:pt>
                <c:pt idx="451">
                  <c:v>6.6899120730519221E-2</c:v>
                </c:pt>
                <c:pt idx="452">
                  <c:v>6.2832149441117494E-2</c:v>
                </c:pt>
                <c:pt idx="453">
                  <c:v>6.208130852822355E-2</c:v>
                </c:pt>
                <c:pt idx="454">
                  <c:v>6.1294724242221529E-2</c:v>
                </c:pt>
                <c:pt idx="455">
                  <c:v>7.6648543073331965E-2</c:v>
                </c:pt>
                <c:pt idx="456">
                  <c:v>6.6597721288705766E-2</c:v>
                </c:pt>
                <c:pt idx="457">
                  <c:v>6.0728674359840001E-2</c:v>
                </c:pt>
                <c:pt idx="458">
                  <c:v>6.2132618587241215E-2</c:v>
                </c:pt>
                <c:pt idx="459">
                  <c:v>6.0703762518968606E-2</c:v>
                </c:pt>
                <c:pt idx="460">
                  <c:v>6.0813866526672686E-2</c:v>
                </c:pt>
                <c:pt idx="461">
                  <c:v>7.2318616301240923E-2</c:v>
                </c:pt>
                <c:pt idx="462">
                  <c:v>6.1957114887731146E-2</c:v>
                </c:pt>
                <c:pt idx="463">
                  <c:v>6.1529547360046316E-2</c:v>
                </c:pt>
                <c:pt idx="464">
                  <c:v>7.3654103022916528E-2</c:v>
                </c:pt>
                <c:pt idx="465">
                  <c:v>6.632876927520609E-2</c:v>
                </c:pt>
                <c:pt idx="466">
                  <c:v>6.7424780351431415E-2</c:v>
                </c:pt>
                <c:pt idx="467">
                  <c:v>6.6091926424252614E-2</c:v>
                </c:pt>
                <c:pt idx="468">
                  <c:v>6.5793014714486286E-2</c:v>
                </c:pt>
                <c:pt idx="469">
                  <c:v>7.8329601406866928E-2</c:v>
                </c:pt>
                <c:pt idx="470">
                  <c:v>6.4690091985487475E-2</c:v>
                </c:pt>
                <c:pt idx="471">
                  <c:v>6.6068375744134711E-2</c:v>
                </c:pt>
                <c:pt idx="472">
                  <c:v>6.5891013854573188E-2</c:v>
                </c:pt>
                <c:pt idx="473">
                  <c:v>7.3127511658203498E-2</c:v>
                </c:pt>
                <c:pt idx="474">
                  <c:v>7.1506372123127632E-2</c:v>
                </c:pt>
                <c:pt idx="475">
                  <c:v>6.4908284076755321E-2</c:v>
                </c:pt>
                <c:pt idx="476">
                  <c:v>8.3608427467020588E-2</c:v>
                </c:pt>
                <c:pt idx="477">
                  <c:v>6.7068202640072322E-2</c:v>
                </c:pt>
                <c:pt idx="478">
                  <c:v>6.7492139335630114E-2</c:v>
                </c:pt>
                <c:pt idx="479">
                  <c:v>6.7149779009176278E-2</c:v>
                </c:pt>
                <c:pt idx="480">
                  <c:v>6.8070832745718318E-2</c:v>
                </c:pt>
                <c:pt idx="481">
                  <c:v>1.0347948674981073</c:v>
                </c:pt>
                <c:pt idx="482">
                  <c:v>0.10094996499092369</c:v>
                </c:pt>
                <c:pt idx="483">
                  <c:v>0.11929187753046379</c:v>
                </c:pt>
                <c:pt idx="484">
                  <c:v>9.9995655265017205E-2</c:v>
                </c:pt>
                <c:pt idx="485">
                  <c:v>0.10047138578663928</c:v>
                </c:pt>
                <c:pt idx="486">
                  <c:v>0.10058672405108819</c:v>
                </c:pt>
                <c:pt idx="487">
                  <c:v>0.10111992474803004</c:v>
                </c:pt>
                <c:pt idx="488">
                  <c:v>0.11345293775027979</c:v>
                </c:pt>
                <c:pt idx="489">
                  <c:v>0.10530519515114709</c:v>
                </c:pt>
                <c:pt idx="490">
                  <c:v>0.10417372426791754</c:v>
                </c:pt>
                <c:pt idx="491">
                  <c:v>0.11801748249966854</c:v>
                </c:pt>
                <c:pt idx="492">
                  <c:v>0.12113517045518914</c:v>
                </c:pt>
                <c:pt idx="493">
                  <c:v>0.12131353285078639</c:v>
                </c:pt>
                <c:pt idx="494">
                  <c:v>0.12082690575000883</c:v>
                </c:pt>
                <c:pt idx="495">
                  <c:v>0.12125396670385383</c:v>
                </c:pt>
                <c:pt idx="496">
                  <c:v>9.4889579721897627E-2</c:v>
                </c:pt>
                <c:pt idx="497">
                  <c:v>9.4879996652228432E-2</c:v>
                </c:pt>
                <c:pt idx="498">
                  <c:v>0.1036939844266182</c:v>
                </c:pt>
                <c:pt idx="499">
                  <c:v>0.10640800585263469</c:v>
                </c:pt>
                <c:pt idx="500">
                  <c:v>0.10795105705070361</c:v>
                </c:pt>
                <c:pt idx="501">
                  <c:v>9.7705378701321788E-2</c:v>
                </c:pt>
                <c:pt idx="502">
                  <c:v>0.10764666205181142</c:v>
                </c:pt>
                <c:pt idx="503">
                  <c:v>0.13940832717631266</c:v>
                </c:pt>
                <c:pt idx="504">
                  <c:v>0.1381721678767367</c:v>
                </c:pt>
                <c:pt idx="505">
                  <c:v>0.13642198149961807</c:v>
                </c:pt>
                <c:pt idx="506">
                  <c:v>0.13574033494036253</c:v>
                </c:pt>
                <c:pt idx="507">
                  <c:v>0.13855033368348649</c:v>
                </c:pt>
                <c:pt idx="508">
                  <c:v>0.13811047549830865</c:v>
                </c:pt>
                <c:pt idx="509">
                  <c:v>0.13943042015010515</c:v>
                </c:pt>
                <c:pt idx="510">
                  <c:v>0.15801679277924224</c:v>
                </c:pt>
                <c:pt idx="511">
                  <c:v>8.1473934662572023E-2</c:v>
                </c:pt>
                <c:pt idx="512">
                  <c:v>8.0303113611145477E-2</c:v>
                </c:pt>
                <c:pt idx="513">
                  <c:v>8.8188161293600006E-2</c:v>
                </c:pt>
                <c:pt idx="514">
                  <c:v>7.9085373521733324E-2</c:v>
                </c:pt>
                <c:pt idx="515">
                  <c:v>7.9502173752709265E-2</c:v>
                </c:pt>
                <c:pt idx="516">
                  <c:v>7.8600066344897135E-2</c:v>
                </c:pt>
                <c:pt idx="517">
                  <c:v>7.8414083947455471E-2</c:v>
                </c:pt>
                <c:pt idx="518">
                  <c:v>7.8162454714686039E-2</c:v>
                </c:pt>
                <c:pt idx="519">
                  <c:v>7.810800757533487E-2</c:v>
                </c:pt>
                <c:pt idx="520">
                  <c:v>7.8217160232311914E-2</c:v>
                </c:pt>
                <c:pt idx="521">
                  <c:v>7.8466906327985364E-2</c:v>
                </c:pt>
                <c:pt idx="522">
                  <c:v>7.9005356395191767E-2</c:v>
                </c:pt>
                <c:pt idx="523">
                  <c:v>7.9515221252208806E-2</c:v>
                </c:pt>
                <c:pt idx="524">
                  <c:v>7.9761618126889727E-2</c:v>
                </c:pt>
                <c:pt idx="525">
                  <c:v>0.11025948414490802</c:v>
                </c:pt>
                <c:pt idx="526">
                  <c:v>7.7985207592548469E-2</c:v>
                </c:pt>
                <c:pt idx="527">
                  <c:v>7.6611501093417855E-2</c:v>
                </c:pt>
                <c:pt idx="528">
                  <c:v>8.0281390930139418E-2</c:v>
                </c:pt>
                <c:pt idx="529">
                  <c:v>8.9366976880371193E-2</c:v>
                </c:pt>
                <c:pt idx="530">
                  <c:v>8.7803562436112995E-2</c:v>
                </c:pt>
                <c:pt idx="531">
                  <c:v>7.3212614287299055E-2</c:v>
                </c:pt>
                <c:pt idx="532">
                  <c:v>7.6156262539743336E-2</c:v>
                </c:pt>
                <c:pt idx="533">
                  <c:v>7.8909241981227271E-2</c:v>
                </c:pt>
                <c:pt idx="534">
                  <c:v>7.3590192444705466E-2</c:v>
                </c:pt>
                <c:pt idx="535">
                  <c:v>7.3085042018918051E-2</c:v>
                </c:pt>
                <c:pt idx="536">
                  <c:v>7.2626614571222159E-2</c:v>
                </c:pt>
                <c:pt idx="537">
                  <c:v>7.3291939627843306E-2</c:v>
                </c:pt>
                <c:pt idx="538">
                  <c:v>7.3865031130298381E-2</c:v>
                </c:pt>
                <c:pt idx="539">
                  <c:v>7.244942102799512E-2</c:v>
                </c:pt>
                <c:pt idx="540">
                  <c:v>7.3354441913742227E-2</c:v>
                </c:pt>
                <c:pt idx="541">
                  <c:v>0.12828669729650416</c:v>
                </c:pt>
                <c:pt idx="542">
                  <c:v>0.10231296690464567</c:v>
                </c:pt>
                <c:pt idx="543">
                  <c:v>0.10801632815780246</c:v>
                </c:pt>
                <c:pt idx="544">
                  <c:v>9.9430368209802514E-2</c:v>
                </c:pt>
                <c:pt idx="545">
                  <c:v>9.9326496458742558E-2</c:v>
                </c:pt>
                <c:pt idx="546">
                  <c:v>0.10314295591031439</c:v>
                </c:pt>
                <c:pt idx="547">
                  <c:v>0.10029213753608296</c:v>
                </c:pt>
                <c:pt idx="548">
                  <c:v>9.9006928712157508E-2</c:v>
                </c:pt>
                <c:pt idx="549">
                  <c:v>0.10008058547448483</c:v>
                </c:pt>
                <c:pt idx="550">
                  <c:v>0.10767077872492714</c:v>
                </c:pt>
                <c:pt idx="551">
                  <c:v>6.5797797478565775E-2</c:v>
                </c:pt>
                <c:pt idx="552">
                  <c:v>6.6166450174440505E-2</c:v>
                </c:pt>
                <c:pt idx="553">
                  <c:v>6.7353246339827991E-2</c:v>
                </c:pt>
                <c:pt idx="554">
                  <c:v>6.717493619607931E-2</c:v>
                </c:pt>
                <c:pt idx="555">
                  <c:v>7.3828580449574382E-2</c:v>
                </c:pt>
                <c:pt idx="556">
                  <c:v>7.5270288026553639E-2</c:v>
                </c:pt>
                <c:pt idx="557">
                  <c:v>8.7177898641200888E-2</c:v>
                </c:pt>
                <c:pt idx="558">
                  <c:v>6.7943314423960302E-2</c:v>
                </c:pt>
                <c:pt idx="559">
                  <c:v>6.3749289357258279E-2</c:v>
                </c:pt>
                <c:pt idx="560">
                  <c:v>6.4066854056770484E-2</c:v>
                </c:pt>
                <c:pt idx="561">
                  <c:v>6.618123941237937E-2</c:v>
                </c:pt>
                <c:pt idx="562">
                  <c:v>6.7307210373776932E-2</c:v>
                </c:pt>
                <c:pt idx="563">
                  <c:v>6.9495119969739533E-2</c:v>
                </c:pt>
                <c:pt idx="564">
                  <c:v>6.9179530583700882E-2</c:v>
                </c:pt>
                <c:pt idx="565">
                  <c:v>0.12358111862866977</c:v>
                </c:pt>
                <c:pt idx="566">
                  <c:v>8.7256668877178478E-2</c:v>
                </c:pt>
                <c:pt idx="567">
                  <c:v>8.6010504345654909E-2</c:v>
                </c:pt>
                <c:pt idx="568">
                  <c:v>8.2173672752749047E-2</c:v>
                </c:pt>
                <c:pt idx="569">
                  <c:v>8.2404613923123815E-2</c:v>
                </c:pt>
                <c:pt idx="570">
                  <c:v>8.3426771475581127E-2</c:v>
                </c:pt>
                <c:pt idx="571">
                  <c:v>8.4516432100057173E-2</c:v>
                </c:pt>
                <c:pt idx="572">
                  <c:v>7.7065240259886716E-2</c:v>
                </c:pt>
                <c:pt idx="573">
                  <c:v>7.5955283644020516E-2</c:v>
                </c:pt>
                <c:pt idx="574">
                  <c:v>6.9468818514899208E-2</c:v>
                </c:pt>
                <c:pt idx="575">
                  <c:v>7.8493946921216723E-2</c:v>
                </c:pt>
                <c:pt idx="576">
                  <c:v>6.9013143983889982E-2</c:v>
                </c:pt>
                <c:pt idx="577">
                  <c:v>8.4397480216070631E-2</c:v>
                </c:pt>
                <c:pt idx="578">
                  <c:v>7.5093400096744756E-2</c:v>
                </c:pt>
                <c:pt idx="579">
                  <c:v>6.9806827477655931E-2</c:v>
                </c:pt>
                <c:pt idx="580">
                  <c:v>9.1965592901517318E-2</c:v>
                </c:pt>
                <c:pt idx="581">
                  <c:v>8.1992725979635875E-2</c:v>
                </c:pt>
                <c:pt idx="582">
                  <c:v>9.5426832702619521E-2</c:v>
                </c:pt>
                <c:pt idx="583">
                  <c:v>7.9437724271314555E-2</c:v>
                </c:pt>
                <c:pt idx="584">
                  <c:v>7.8181116446134888E-2</c:v>
                </c:pt>
                <c:pt idx="585">
                  <c:v>7.7676764811899043E-2</c:v>
                </c:pt>
                <c:pt idx="586">
                  <c:v>7.7665100897260586E-2</c:v>
                </c:pt>
                <c:pt idx="587">
                  <c:v>7.6588150766499941E-2</c:v>
                </c:pt>
                <c:pt idx="588">
                  <c:v>7.9979718671136568E-2</c:v>
                </c:pt>
                <c:pt idx="589">
                  <c:v>7.701548929121893E-2</c:v>
                </c:pt>
                <c:pt idx="590">
                  <c:v>7.9043107762344647E-2</c:v>
                </c:pt>
                <c:pt idx="591">
                  <c:v>9.3891552312159343E-2</c:v>
                </c:pt>
                <c:pt idx="592">
                  <c:v>9.3959987962232719E-2</c:v>
                </c:pt>
                <c:pt idx="593">
                  <c:v>0.10287687473855643</c:v>
                </c:pt>
                <c:pt idx="594">
                  <c:v>6.6996345962274023E-2</c:v>
                </c:pt>
                <c:pt idx="595">
                  <c:v>6.6326044302314549E-2</c:v>
                </c:pt>
                <c:pt idx="596">
                  <c:v>6.4989915452694932E-2</c:v>
                </c:pt>
                <c:pt idx="597">
                  <c:v>6.5255582614286795E-2</c:v>
                </c:pt>
                <c:pt idx="598">
                  <c:v>6.4651827551836891E-2</c:v>
                </c:pt>
                <c:pt idx="599">
                  <c:v>6.8475155405587226E-2</c:v>
                </c:pt>
                <c:pt idx="600">
                  <c:v>6.6345075965448572E-2</c:v>
                </c:pt>
                <c:pt idx="601">
                  <c:v>6.6535304996906602E-2</c:v>
                </c:pt>
                <c:pt idx="602">
                  <c:v>6.8641790483456672E-2</c:v>
                </c:pt>
                <c:pt idx="603">
                  <c:v>7.5481386762021513E-2</c:v>
                </c:pt>
                <c:pt idx="604">
                  <c:v>9.1872822616631211E-2</c:v>
                </c:pt>
                <c:pt idx="605">
                  <c:v>6.4265762692835127E-2</c:v>
                </c:pt>
                <c:pt idx="606">
                  <c:v>6.9550252905846849E-2</c:v>
                </c:pt>
                <c:pt idx="607">
                  <c:v>8.9534017506455968E-2</c:v>
                </c:pt>
                <c:pt idx="608">
                  <c:v>7.2118669168338992E-2</c:v>
                </c:pt>
                <c:pt idx="609">
                  <c:v>9.8092851068532563E-2</c:v>
                </c:pt>
                <c:pt idx="610">
                  <c:v>9.6819256634528811E-2</c:v>
                </c:pt>
                <c:pt idx="611">
                  <c:v>9.6674493484965859E-2</c:v>
                </c:pt>
                <c:pt idx="612">
                  <c:v>9.6413383293284693E-2</c:v>
                </c:pt>
                <c:pt idx="613">
                  <c:v>9.642756427693798E-2</c:v>
                </c:pt>
                <c:pt idx="614">
                  <c:v>9.638211904834422E-2</c:v>
                </c:pt>
                <c:pt idx="615">
                  <c:v>9.8230997730284195E-2</c:v>
                </c:pt>
                <c:pt idx="616">
                  <c:v>9.6334922903946615E-2</c:v>
                </c:pt>
                <c:pt idx="617">
                  <c:v>0.11053565648809147</c:v>
                </c:pt>
                <c:pt idx="618">
                  <c:v>9.8434268417989162E-2</c:v>
                </c:pt>
                <c:pt idx="619">
                  <c:v>0.12402752558322164</c:v>
                </c:pt>
                <c:pt idx="620">
                  <c:v>0.12309569189458738</c:v>
                </c:pt>
                <c:pt idx="621">
                  <c:v>0.12286960910593114</c:v>
                </c:pt>
                <c:pt idx="622">
                  <c:v>0.12463320870163706</c:v>
                </c:pt>
                <c:pt idx="623">
                  <c:v>0.12328186967090772</c:v>
                </c:pt>
                <c:pt idx="624">
                  <c:v>0.12843850966982101</c:v>
                </c:pt>
                <c:pt idx="625">
                  <c:v>0.13250875896787764</c:v>
                </c:pt>
                <c:pt idx="626">
                  <c:v>0.12562811449989705</c:v>
                </c:pt>
                <c:pt idx="627">
                  <c:v>0.16648078144700601</c:v>
                </c:pt>
                <c:pt idx="628">
                  <c:v>0.16623921866823493</c:v>
                </c:pt>
                <c:pt idx="629">
                  <c:v>0.16628932302365354</c:v>
                </c:pt>
                <c:pt idx="630">
                  <c:v>0.16689130371971816</c:v>
                </c:pt>
                <c:pt idx="631">
                  <c:v>0.16641865273015685</c:v>
                </c:pt>
                <c:pt idx="632">
                  <c:v>0.17793522001926618</c:v>
                </c:pt>
                <c:pt idx="633">
                  <c:v>7.6061941383478382E-2</c:v>
                </c:pt>
                <c:pt idx="634">
                  <c:v>7.4151697193157909E-2</c:v>
                </c:pt>
                <c:pt idx="635">
                  <c:v>7.4039706672068606E-2</c:v>
                </c:pt>
                <c:pt idx="636">
                  <c:v>7.1137744210039877E-2</c:v>
                </c:pt>
                <c:pt idx="637">
                  <c:v>7.0765042784935492E-2</c:v>
                </c:pt>
                <c:pt idx="638">
                  <c:v>6.9690393123641087E-2</c:v>
                </c:pt>
                <c:pt idx="639">
                  <c:v>7.2842000113672548E-2</c:v>
                </c:pt>
                <c:pt idx="640">
                  <c:v>7.2972606418285554E-2</c:v>
                </c:pt>
                <c:pt idx="641">
                  <c:v>7.5114731526624318E-2</c:v>
                </c:pt>
                <c:pt idx="642">
                  <c:v>7.0667669022454305E-2</c:v>
                </c:pt>
                <c:pt idx="643">
                  <c:v>7.0221273441892315E-2</c:v>
                </c:pt>
                <c:pt idx="644">
                  <c:v>9.0963314962097835E-2</c:v>
                </c:pt>
                <c:pt idx="645">
                  <c:v>7.201885464966068E-2</c:v>
                </c:pt>
                <c:pt idx="646">
                  <c:v>8.7720415087367665E-2</c:v>
                </c:pt>
                <c:pt idx="647">
                  <c:v>0.50016524002715568</c:v>
                </c:pt>
                <c:pt idx="648">
                  <c:v>0.50016524002715568</c:v>
                </c:pt>
                <c:pt idx="649">
                  <c:v>7.1829775340180937E-2</c:v>
                </c:pt>
                <c:pt idx="650">
                  <c:v>6.6860459767303676E-2</c:v>
                </c:pt>
                <c:pt idx="651">
                  <c:v>6.5180763572304165E-2</c:v>
                </c:pt>
                <c:pt idx="652">
                  <c:v>6.4522648497890051E-2</c:v>
                </c:pt>
                <c:pt idx="653">
                  <c:v>6.3929017544485295E-2</c:v>
                </c:pt>
                <c:pt idx="654">
                  <c:v>6.3692700039653757E-2</c:v>
                </c:pt>
                <c:pt idx="655">
                  <c:v>6.3424489562405845E-2</c:v>
                </c:pt>
                <c:pt idx="656">
                  <c:v>6.4900635820659872E-2</c:v>
                </c:pt>
                <c:pt idx="657">
                  <c:v>6.3437658410855205E-2</c:v>
                </c:pt>
                <c:pt idx="658">
                  <c:v>6.3491826562611833E-2</c:v>
                </c:pt>
                <c:pt idx="659">
                  <c:v>6.3582889553171346E-2</c:v>
                </c:pt>
                <c:pt idx="660">
                  <c:v>6.390520443618937E-2</c:v>
                </c:pt>
                <c:pt idx="661">
                  <c:v>6.8996555563179476E-2</c:v>
                </c:pt>
                <c:pt idx="662">
                  <c:v>6.57194454245634E-2</c:v>
                </c:pt>
                <c:pt idx="663">
                  <c:v>6.6585620938416079E-2</c:v>
                </c:pt>
                <c:pt idx="664">
                  <c:v>0.58701138935884922</c:v>
                </c:pt>
                <c:pt idx="665">
                  <c:v>0.23827030034656904</c:v>
                </c:pt>
                <c:pt idx="666">
                  <c:v>0.30116982517440077</c:v>
                </c:pt>
                <c:pt idx="667">
                  <c:v>0.25549026034105377</c:v>
                </c:pt>
                <c:pt idx="668">
                  <c:v>0.17941676467130044</c:v>
                </c:pt>
                <c:pt idx="669">
                  <c:v>0.2215283895552311</c:v>
                </c:pt>
                <c:pt idx="670">
                  <c:v>0.35655628460101713</c:v>
                </c:pt>
                <c:pt idx="671">
                  <c:v>0.27707613283958565</c:v>
                </c:pt>
                <c:pt idx="672">
                  <c:v>0.21565003940740449</c:v>
                </c:pt>
                <c:pt idx="673">
                  <c:v>0.21973505132150328</c:v>
                </c:pt>
                <c:pt idx="674">
                  <c:v>0.33441484718329112</c:v>
                </c:pt>
                <c:pt idx="675">
                  <c:v>7.5180922642196363E-2</c:v>
                </c:pt>
                <c:pt idx="676">
                  <c:v>5.9562410139016531E-2</c:v>
                </c:pt>
                <c:pt idx="677">
                  <c:v>6.3087366751683929E-2</c:v>
                </c:pt>
                <c:pt idx="678">
                  <c:v>5.7991120965646306E-2</c:v>
                </c:pt>
                <c:pt idx="679">
                  <c:v>6.0815652500044656E-2</c:v>
                </c:pt>
                <c:pt idx="680">
                  <c:v>5.7128718039727813E-2</c:v>
                </c:pt>
                <c:pt idx="681">
                  <c:v>5.9120619522322268E-2</c:v>
                </c:pt>
                <c:pt idx="682">
                  <c:v>6.2488162107789888E-2</c:v>
                </c:pt>
                <c:pt idx="683">
                  <c:v>5.8072438842547078E-2</c:v>
                </c:pt>
                <c:pt idx="684">
                  <c:v>5.9651392050838234E-2</c:v>
                </c:pt>
                <c:pt idx="685">
                  <c:v>7.9134646780403911E-2</c:v>
                </c:pt>
                <c:pt idx="686">
                  <c:v>8.5170245066152311E-2</c:v>
                </c:pt>
                <c:pt idx="687">
                  <c:v>8.7406658818456565E-2</c:v>
                </c:pt>
                <c:pt idx="688">
                  <c:v>7.7515180361213007E-2</c:v>
                </c:pt>
                <c:pt idx="689">
                  <c:v>7.7278176983914773E-2</c:v>
                </c:pt>
                <c:pt idx="690">
                  <c:v>0.11700271673835917</c:v>
                </c:pt>
                <c:pt idx="691">
                  <c:v>0.12100680546417293</c:v>
                </c:pt>
                <c:pt idx="692">
                  <c:v>0.11858560363538066</c:v>
                </c:pt>
                <c:pt idx="693">
                  <c:v>0.11953982804138871</c:v>
                </c:pt>
                <c:pt idx="694">
                  <c:v>0.11385629308217884</c:v>
                </c:pt>
                <c:pt idx="695">
                  <c:v>0.12325981256979747</c:v>
                </c:pt>
                <c:pt idx="696">
                  <c:v>0.11319087579045871</c:v>
                </c:pt>
                <c:pt idx="697">
                  <c:v>0.11555129522633763</c:v>
                </c:pt>
                <c:pt idx="698">
                  <c:v>0.11561625633349305</c:v>
                </c:pt>
                <c:pt idx="699">
                  <c:v>0.11561437853988715</c:v>
                </c:pt>
                <c:pt idx="700">
                  <c:v>0.11625989500746309</c:v>
                </c:pt>
                <c:pt idx="701">
                  <c:v>0.20843179987025176</c:v>
                </c:pt>
                <c:pt idx="702">
                  <c:v>0.2082313930092457</c:v>
                </c:pt>
                <c:pt idx="703">
                  <c:v>0.20827011879154689</c:v>
                </c:pt>
                <c:pt idx="704">
                  <c:v>0.20215602575873781</c:v>
                </c:pt>
                <c:pt idx="705">
                  <c:v>0.21755273846883277</c:v>
                </c:pt>
                <c:pt idx="706">
                  <c:v>6.2510437502210081E-2</c:v>
                </c:pt>
                <c:pt idx="707">
                  <c:v>6.1421263226003109E-2</c:v>
                </c:pt>
                <c:pt idx="708">
                  <c:v>5.947153713750572E-2</c:v>
                </c:pt>
                <c:pt idx="709">
                  <c:v>5.9504564477902783E-2</c:v>
                </c:pt>
                <c:pt idx="710">
                  <c:v>6.3368411790456686E-2</c:v>
                </c:pt>
                <c:pt idx="711">
                  <c:v>9.1071841124839625E-2</c:v>
                </c:pt>
                <c:pt idx="712">
                  <c:v>9.9821515212408146E-2</c:v>
                </c:pt>
                <c:pt idx="713">
                  <c:v>6.3831198481473089E-2</c:v>
                </c:pt>
                <c:pt idx="714">
                  <c:v>6.0924966303992939E-2</c:v>
                </c:pt>
                <c:pt idx="715">
                  <c:v>7.1825635294912066E-2</c:v>
                </c:pt>
                <c:pt idx="716">
                  <c:v>6.6048603950512319E-2</c:v>
                </c:pt>
                <c:pt idx="717">
                  <c:v>5.8263217739110272E-2</c:v>
                </c:pt>
                <c:pt idx="718">
                  <c:v>7.7995321150625407E-2</c:v>
                </c:pt>
                <c:pt idx="719">
                  <c:v>6.4533220819643619E-2</c:v>
                </c:pt>
                <c:pt idx="720">
                  <c:v>6.3834629884170033E-2</c:v>
                </c:pt>
                <c:pt idx="721">
                  <c:v>6.9460632590723437E-2</c:v>
                </c:pt>
                <c:pt idx="722">
                  <c:v>7.2063486052871356E-2</c:v>
                </c:pt>
                <c:pt idx="723">
                  <c:v>6.7115926459924438E-2</c:v>
                </c:pt>
                <c:pt idx="724">
                  <c:v>6.8352464818389386E-2</c:v>
                </c:pt>
                <c:pt idx="725">
                  <c:v>6.7502276368125336E-2</c:v>
                </c:pt>
                <c:pt idx="726">
                  <c:v>7.7537997501482311E-2</c:v>
                </c:pt>
                <c:pt idx="727">
                  <c:v>7.0390606533014169E-2</c:v>
                </c:pt>
                <c:pt idx="728">
                  <c:v>6.7083913197219458E-2</c:v>
                </c:pt>
                <c:pt idx="729">
                  <c:v>6.873443251821755E-2</c:v>
                </c:pt>
                <c:pt idx="730">
                  <c:v>6.5810221138635772E-2</c:v>
                </c:pt>
                <c:pt idx="731">
                  <c:v>6.6244544145700718E-2</c:v>
                </c:pt>
                <c:pt idx="732">
                  <c:v>6.7602254315529256E-2</c:v>
                </c:pt>
                <c:pt idx="733">
                  <c:v>6.6647206348226837E-2</c:v>
                </c:pt>
                <c:pt idx="734">
                  <c:v>7.1566883934204933E-2</c:v>
                </c:pt>
                <c:pt idx="735">
                  <c:v>7.2159732217471753E-2</c:v>
                </c:pt>
                <c:pt idx="736">
                  <c:v>8.292749074111036E-2</c:v>
                </c:pt>
                <c:pt idx="737">
                  <c:v>8.2783895907688906E-2</c:v>
                </c:pt>
                <c:pt idx="738">
                  <c:v>8.1965556929126063E-2</c:v>
                </c:pt>
                <c:pt idx="739">
                  <c:v>8.1068391044572002E-2</c:v>
                </c:pt>
                <c:pt idx="740">
                  <c:v>8.7714204957483777E-2</c:v>
                </c:pt>
                <c:pt idx="741">
                  <c:v>0.10121488355760655</c:v>
                </c:pt>
                <c:pt idx="742">
                  <c:v>8.0945753669265277E-2</c:v>
                </c:pt>
                <c:pt idx="743">
                  <c:v>8.1077352607922468E-2</c:v>
                </c:pt>
                <c:pt idx="744">
                  <c:v>8.4157035821401049E-2</c:v>
                </c:pt>
                <c:pt idx="745">
                  <c:v>8.2316271490207121E-2</c:v>
                </c:pt>
                <c:pt idx="746">
                  <c:v>8.3934814966655141E-2</c:v>
                </c:pt>
                <c:pt idx="747">
                  <c:v>8.7773711824213063E-2</c:v>
                </c:pt>
                <c:pt idx="748">
                  <c:v>7.2314743665366971E-2</c:v>
                </c:pt>
                <c:pt idx="749">
                  <c:v>7.0040821068384607E-2</c:v>
                </c:pt>
                <c:pt idx="750">
                  <c:v>6.8816148032884397E-2</c:v>
                </c:pt>
                <c:pt idx="751">
                  <c:v>6.7111438944229718E-2</c:v>
                </c:pt>
                <c:pt idx="752">
                  <c:v>6.5945354332579323E-2</c:v>
                </c:pt>
                <c:pt idx="753">
                  <c:v>7.4295089105006346E-2</c:v>
                </c:pt>
                <c:pt idx="754">
                  <c:v>7.4031005554782231E-2</c:v>
                </c:pt>
                <c:pt idx="755">
                  <c:v>6.6529764466168526E-2</c:v>
                </c:pt>
                <c:pt idx="756">
                  <c:v>6.5900983720232426E-2</c:v>
                </c:pt>
                <c:pt idx="757">
                  <c:v>6.6419693939436808E-2</c:v>
                </c:pt>
                <c:pt idx="758">
                  <c:v>6.6821004863712855E-2</c:v>
                </c:pt>
                <c:pt idx="759">
                  <c:v>6.6323760196631082E-2</c:v>
                </c:pt>
                <c:pt idx="760">
                  <c:v>6.6937493443901291E-2</c:v>
                </c:pt>
                <c:pt idx="761">
                  <c:v>6.7161019042467865E-2</c:v>
                </c:pt>
                <c:pt idx="762">
                  <c:v>6.8064500508738107E-2</c:v>
                </c:pt>
                <c:pt idx="763">
                  <c:v>7.3918284337121096E-2</c:v>
                </c:pt>
                <c:pt idx="764">
                  <c:v>7.2826998152228498E-2</c:v>
                </c:pt>
                <c:pt idx="765">
                  <c:v>8.051964908307252E-2</c:v>
                </c:pt>
                <c:pt idx="766">
                  <c:v>7.3467533787832218E-2</c:v>
                </c:pt>
                <c:pt idx="767">
                  <c:v>6.7950665661796791E-2</c:v>
                </c:pt>
                <c:pt idx="768">
                  <c:v>6.6995041027498883E-2</c:v>
                </c:pt>
                <c:pt idx="769">
                  <c:v>6.7461581589330979E-2</c:v>
                </c:pt>
                <c:pt idx="770">
                  <c:v>6.8223679794269868E-2</c:v>
                </c:pt>
                <c:pt idx="771">
                  <c:v>6.7675450920484076E-2</c:v>
                </c:pt>
                <c:pt idx="772">
                  <c:v>7.044062596470152E-2</c:v>
                </c:pt>
                <c:pt idx="773">
                  <c:v>6.7672514370217124E-2</c:v>
                </c:pt>
                <c:pt idx="774">
                  <c:v>6.8069921075801496E-2</c:v>
                </c:pt>
                <c:pt idx="775">
                  <c:v>6.894769963210895E-2</c:v>
                </c:pt>
                <c:pt idx="776">
                  <c:v>7.0738835401551806E-2</c:v>
                </c:pt>
                <c:pt idx="777">
                  <c:v>7.1292600769077008E-2</c:v>
                </c:pt>
                <c:pt idx="778">
                  <c:v>8.0624442522927053E-2</c:v>
                </c:pt>
                <c:pt idx="779">
                  <c:v>8.1258759622132706E-2</c:v>
                </c:pt>
                <c:pt idx="780">
                  <c:v>8.0799800842184091E-2</c:v>
                </c:pt>
                <c:pt idx="781">
                  <c:v>8.005761923625257E-2</c:v>
                </c:pt>
                <c:pt idx="782">
                  <c:v>9.3061794182876745E-2</c:v>
                </c:pt>
                <c:pt idx="783">
                  <c:v>7.7501809448023359E-2</c:v>
                </c:pt>
                <c:pt idx="784">
                  <c:v>7.6807620165669901E-2</c:v>
                </c:pt>
                <c:pt idx="785">
                  <c:v>7.5995160662165717E-2</c:v>
                </c:pt>
                <c:pt idx="786">
                  <c:v>8.9614198324418581E-2</c:v>
                </c:pt>
                <c:pt idx="787">
                  <c:v>8.8696671588122375E-2</c:v>
                </c:pt>
                <c:pt idx="788">
                  <c:v>8.0327596933684964E-2</c:v>
                </c:pt>
                <c:pt idx="789">
                  <c:v>8.4202692800641799E-2</c:v>
                </c:pt>
                <c:pt idx="790">
                  <c:v>8.4280413665013848E-2</c:v>
                </c:pt>
                <c:pt idx="791">
                  <c:v>7.8530768254240713E-2</c:v>
                </c:pt>
                <c:pt idx="792">
                  <c:v>7.7937173818118599E-2</c:v>
                </c:pt>
                <c:pt idx="793">
                  <c:v>7.6659493357869493E-2</c:v>
                </c:pt>
                <c:pt idx="794">
                  <c:v>7.689976142663181E-2</c:v>
                </c:pt>
                <c:pt idx="795">
                  <c:v>7.609965329495974E-2</c:v>
                </c:pt>
                <c:pt idx="796">
                  <c:v>8.1559525154153503E-2</c:v>
                </c:pt>
                <c:pt idx="797">
                  <c:v>8.2238620383680835E-2</c:v>
                </c:pt>
                <c:pt idx="798">
                  <c:v>8.8305913844931333E-2</c:v>
                </c:pt>
                <c:pt idx="799">
                  <c:v>7.6603388689285457E-2</c:v>
                </c:pt>
                <c:pt idx="800">
                  <c:v>9.5788827052399411E-2</c:v>
                </c:pt>
                <c:pt idx="801">
                  <c:v>8.6100816235555933E-2</c:v>
                </c:pt>
                <c:pt idx="802">
                  <c:v>0.10806320385843091</c:v>
                </c:pt>
                <c:pt idx="803">
                  <c:v>8.2252602905747568E-2</c:v>
                </c:pt>
                <c:pt idx="804">
                  <c:v>8.138859130739072E-2</c:v>
                </c:pt>
                <c:pt idx="805">
                  <c:v>9.3122826149639099E-2</c:v>
                </c:pt>
                <c:pt idx="806">
                  <c:v>0.10952768087806727</c:v>
                </c:pt>
                <c:pt idx="807">
                  <c:v>9.0182305153960543E-2</c:v>
                </c:pt>
                <c:pt idx="808">
                  <c:v>9.2197707095931392E-2</c:v>
                </c:pt>
                <c:pt idx="809">
                  <c:v>7.666714838922703E-2</c:v>
                </c:pt>
                <c:pt idx="810">
                  <c:v>7.6455094187111883E-2</c:v>
                </c:pt>
                <c:pt idx="811">
                  <c:v>7.5151910025377799E-2</c:v>
                </c:pt>
                <c:pt idx="812">
                  <c:v>9.0985055414288293E-2</c:v>
                </c:pt>
                <c:pt idx="813">
                  <c:v>8.0329036180190078E-2</c:v>
                </c:pt>
                <c:pt idx="814">
                  <c:v>7.6776403746471794E-2</c:v>
                </c:pt>
                <c:pt idx="815">
                  <c:v>7.67592905728742E-2</c:v>
                </c:pt>
                <c:pt idx="816">
                  <c:v>7.7567505005094906E-2</c:v>
                </c:pt>
                <c:pt idx="817">
                  <c:v>7.7176260803287627E-2</c:v>
                </c:pt>
                <c:pt idx="818">
                  <c:v>7.6792621628793883E-2</c:v>
                </c:pt>
                <c:pt idx="819">
                  <c:v>7.8710148487089349E-2</c:v>
                </c:pt>
                <c:pt idx="820">
                  <c:v>7.9699702850170751E-2</c:v>
                </c:pt>
                <c:pt idx="821">
                  <c:v>8.2011301081489185E-2</c:v>
                </c:pt>
                <c:pt idx="822">
                  <c:v>8.0050405109656414E-2</c:v>
                </c:pt>
                <c:pt idx="823">
                  <c:v>8.1247490240762776E-2</c:v>
                </c:pt>
                <c:pt idx="824">
                  <c:v>7.8130429709434818E-2</c:v>
                </c:pt>
                <c:pt idx="825">
                  <c:v>7.7042157676763326E-2</c:v>
                </c:pt>
                <c:pt idx="826">
                  <c:v>7.7858019871624592E-2</c:v>
                </c:pt>
                <c:pt idx="827">
                  <c:v>7.8611576972413888E-2</c:v>
                </c:pt>
                <c:pt idx="828">
                  <c:v>9.3468312214141966E-2</c:v>
                </c:pt>
                <c:pt idx="829">
                  <c:v>7.848764388089087E-2</c:v>
                </c:pt>
                <c:pt idx="830">
                  <c:v>9.7952713275082676E-2</c:v>
                </c:pt>
                <c:pt idx="831">
                  <c:v>9.8475180262621184E-2</c:v>
                </c:pt>
                <c:pt idx="832">
                  <c:v>9.5859464601831479E-2</c:v>
                </c:pt>
                <c:pt idx="833">
                  <c:v>0.10438669022960834</c:v>
                </c:pt>
                <c:pt idx="834">
                  <c:v>0.11077509380508672</c:v>
                </c:pt>
                <c:pt idx="835">
                  <c:v>0.10260932055630383</c:v>
                </c:pt>
                <c:pt idx="836">
                  <c:v>0.11179115702101042</c:v>
                </c:pt>
                <c:pt idx="837">
                  <c:v>0.10377734435866762</c:v>
                </c:pt>
                <c:pt idx="838">
                  <c:v>9.4194299744711787E-2</c:v>
                </c:pt>
                <c:pt idx="839">
                  <c:v>0.11313759677543979</c:v>
                </c:pt>
                <c:pt idx="840">
                  <c:v>9.3308839484836981E-2</c:v>
                </c:pt>
                <c:pt idx="841">
                  <c:v>7.958637442301876E-2</c:v>
                </c:pt>
                <c:pt idx="842">
                  <c:v>7.9702276691850857E-2</c:v>
                </c:pt>
                <c:pt idx="843">
                  <c:v>9.2378962737474923E-2</c:v>
                </c:pt>
                <c:pt idx="844">
                  <c:v>8.9357021346400389E-2</c:v>
                </c:pt>
                <c:pt idx="845">
                  <c:v>9.1236973670711957E-2</c:v>
                </c:pt>
                <c:pt idx="846">
                  <c:v>0.10649073386986969</c:v>
                </c:pt>
                <c:pt idx="847">
                  <c:v>0.11271222989747495</c:v>
                </c:pt>
                <c:pt idx="848">
                  <c:v>0.16164287391337864</c:v>
                </c:pt>
                <c:pt idx="849">
                  <c:v>0.14437677966453308</c:v>
                </c:pt>
                <c:pt idx="850">
                  <c:v>0.16364385439182541</c:v>
                </c:pt>
                <c:pt idx="851">
                  <c:v>0.14554484634202625</c:v>
                </c:pt>
                <c:pt idx="852">
                  <c:v>0.14987077252586492</c:v>
                </c:pt>
                <c:pt idx="853">
                  <c:v>0.15262932878551888</c:v>
                </c:pt>
                <c:pt idx="854">
                  <c:v>0.1469086479247726</c:v>
                </c:pt>
                <c:pt idx="855">
                  <c:v>8.2430375280541215E-2</c:v>
                </c:pt>
                <c:pt idx="856">
                  <c:v>8.1422078758353195E-2</c:v>
                </c:pt>
                <c:pt idx="857">
                  <c:v>8.7967516634599452E-2</c:v>
                </c:pt>
                <c:pt idx="858">
                  <c:v>8.5006745335659037E-2</c:v>
                </c:pt>
                <c:pt idx="859">
                  <c:v>8.4921864729266203E-2</c:v>
                </c:pt>
                <c:pt idx="860">
                  <c:v>7.7390364267331174E-2</c:v>
                </c:pt>
                <c:pt idx="861">
                  <c:v>7.8040690787147482E-2</c:v>
                </c:pt>
                <c:pt idx="862">
                  <c:v>7.7309911340421186E-2</c:v>
                </c:pt>
                <c:pt idx="863">
                  <c:v>7.8410675518385028E-2</c:v>
                </c:pt>
                <c:pt idx="864">
                  <c:v>7.7632163515728561E-2</c:v>
                </c:pt>
                <c:pt idx="865">
                  <c:v>9.4256222258429445E-2</c:v>
                </c:pt>
                <c:pt idx="866">
                  <c:v>7.9006221181631975E-2</c:v>
                </c:pt>
                <c:pt idx="867">
                  <c:v>7.9533641573828431E-2</c:v>
                </c:pt>
                <c:pt idx="868">
                  <c:v>8.2728173417697337E-2</c:v>
                </c:pt>
                <c:pt idx="869">
                  <c:v>8.6338104674083233E-2</c:v>
                </c:pt>
                <c:pt idx="870">
                  <c:v>0.13086161370956273</c:v>
                </c:pt>
                <c:pt idx="871">
                  <c:v>0.12283422513897004</c:v>
                </c:pt>
                <c:pt idx="872">
                  <c:v>0.10154501554088669</c:v>
                </c:pt>
                <c:pt idx="873">
                  <c:v>0.10855610183519468</c:v>
                </c:pt>
                <c:pt idx="874">
                  <c:v>9.3385784312017328E-2</c:v>
                </c:pt>
                <c:pt idx="875">
                  <c:v>9.4073826107406014E-2</c:v>
                </c:pt>
                <c:pt idx="876">
                  <c:v>0.12842245973551158</c:v>
                </c:pt>
                <c:pt idx="877">
                  <c:v>0.10658856729702924</c:v>
                </c:pt>
                <c:pt idx="878">
                  <c:v>0.10113947236130016</c:v>
                </c:pt>
                <c:pt idx="879">
                  <c:v>9.7649720958724567E-2</c:v>
                </c:pt>
                <c:pt idx="880">
                  <c:v>7.9411610042301878E-2</c:v>
                </c:pt>
                <c:pt idx="881">
                  <c:v>7.2609008804680464E-2</c:v>
                </c:pt>
                <c:pt idx="882">
                  <c:v>0.1013396489552142</c:v>
                </c:pt>
                <c:pt idx="883">
                  <c:v>7.3295650973554352E-2</c:v>
                </c:pt>
                <c:pt idx="884">
                  <c:v>7.5863668020159009E-2</c:v>
                </c:pt>
                <c:pt idx="885">
                  <c:v>8.0881932042431146E-2</c:v>
                </c:pt>
                <c:pt idx="886">
                  <c:v>8.3118598511400979E-2</c:v>
                </c:pt>
                <c:pt idx="887">
                  <c:v>9.0817032950611443E-2</c:v>
                </c:pt>
                <c:pt idx="888">
                  <c:v>7.7977058212920378E-2</c:v>
                </c:pt>
                <c:pt idx="889">
                  <c:v>8.9222478889895346E-2</c:v>
                </c:pt>
                <c:pt idx="890">
                  <c:v>7.7524813992488006E-2</c:v>
                </c:pt>
                <c:pt idx="891">
                  <c:v>7.7556955173443923E-2</c:v>
                </c:pt>
                <c:pt idx="892">
                  <c:v>7.8547909825824491E-2</c:v>
                </c:pt>
                <c:pt idx="893">
                  <c:v>7.8791009672284112E-2</c:v>
                </c:pt>
                <c:pt idx="894">
                  <c:v>8.9284976562615276E-2</c:v>
                </c:pt>
                <c:pt idx="895">
                  <c:v>8.8786765738872037E-2</c:v>
                </c:pt>
                <c:pt idx="896">
                  <c:v>0.12005890948584944</c:v>
                </c:pt>
                <c:pt idx="897">
                  <c:v>7.8765869975937278E-2</c:v>
                </c:pt>
                <c:pt idx="898">
                  <c:v>8.9286320323235815E-2</c:v>
                </c:pt>
                <c:pt idx="899">
                  <c:v>9.0178288062520984E-2</c:v>
                </c:pt>
                <c:pt idx="900">
                  <c:v>9.7950286344933815E-2</c:v>
                </c:pt>
                <c:pt idx="901">
                  <c:v>8.2698804193478165E-2</c:v>
                </c:pt>
                <c:pt idx="902">
                  <c:v>0.26032574851550561</c:v>
                </c:pt>
                <c:pt idx="903">
                  <c:v>8.4191896705779937E-2</c:v>
                </c:pt>
                <c:pt idx="904">
                  <c:v>8.3293729384199849E-2</c:v>
                </c:pt>
                <c:pt idx="905">
                  <c:v>7.9382084224898175E-2</c:v>
                </c:pt>
                <c:pt idx="906">
                  <c:v>8.110471281843587E-2</c:v>
                </c:pt>
                <c:pt idx="907">
                  <c:v>9.3242699965715478E-2</c:v>
                </c:pt>
                <c:pt idx="908">
                  <c:v>8.2083277574705196E-2</c:v>
                </c:pt>
                <c:pt idx="909">
                  <c:v>8.3964766110700417E-2</c:v>
                </c:pt>
                <c:pt idx="910">
                  <c:v>9.9910197182342342E-2</c:v>
                </c:pt>
                <c:pt idx="911">
                  <c:v>6.9845916184712781E-2</c:v>
                </c:pt>
                <c:pt idx="912">
                  <c:v>6.8780671475687671E-2</c:v>
                </c:pt>
                <c:pt idx="913">
                  <c:v>6.7887706516522803E-2</c:v>
                </c:pt>
                <c:pt idx="914">
                  <c:v>6.852051936989921E-2</c:v>
                </c:pt>
                <c:pt idx="915">
                  <c:v>6.6661972801218661E-2</c:v>
                </c:pt>
                <c:pt idx="916">
                  <c:v>6.5797477506074578E-2</c:v>
                </c:pt>
                <c:pt idx="917">
                  <c:v>6.6442272349055212E-2</c:v>
                </c:pt>
                <c:pt idx="918">
                  <c:v>6.5931746739102973E-2</c:v>
                </c:pt>
                <c:pt idx="919">
                  <c:v>6.5674701088703602E-2</c:v>
                </c:pt>
                <c:pt idx="920">
                  <c:v>6.9261786017865007E-2</c:v>
                </c:pt>
                <c:pt idx="921">
                  <c:v>6.6601179779884029E-2</c:v>
                </c:pt>
                <c:pt idx="922">
                  <c:v>6.6434318713305879E-2</c:v>
                </c:pt>
                <c:pt idx="923">
                  <c:v>6.818703098018207E-2</c:v>
                </c:pt>
                <c:pt idx="924">
                  <c:v>6.7845925214701147E-2</c:v>
                </c:pt>
                <c:pt idx="925">
                  <c:v>6.8817577690962389E-2</c:v>
                </c:pt>
                <c:pt idx="926">
                  <c:v>7.8058961615349254E-2</c:v>
                </c:pt>
                <c:pt idx="927">
                  <c:v>7.0514395807771871E-2</c:v>
                </c:pt>
                <c:pt idx="928">
                  <c:v>6.7181176727186667E-2</c:v>
                </c:pt>
                <c:pt idx="929">
                  <c:v>6.7336929976055851E-2</c:v>
                </c:pt>
                <c:pt idx="930">
                  <c:v>6.6895275454422254E-2</c:v>
                </c:pt>
                <c:pt idx="931">
                  <c:v>6.6125551103006455E-2</c:v>
                </c:pt>
                <c:pt idx="932">
                  <c:v>6.6697796525081871E-2</c:v>
                </c:pt>
                <c:pt idx="933">
                  <c:v>6.5975894127577858E-2</c:v>
                </c:pt>
                <c:pt idx="934">
                  <c:v>6.5323291447553208E-2</c:v>
                </c:pt>
                <c:pt idx="935">
                  <c:v>6.623081439979972E-2</c:v>
                </c:pt>
                <c:pt idx="936">
                  <c:v>6.8056386801717605E-2</c:v>
                </c:pt>
                <c:pt idx="937">
                  <c:v>6.749009591633974E-2</c:v>
                </c:pt>
                <c:pt idx="938">
                  <c:v>6.9023939882152108E-2</c:v>
                </c:pt>
                <c:pt idx="939">
                  <c:v>6.9317109980234159E-2</c:v>
                </c:pt>
                <c:pt idx="940">
                  <c:v>6.7944907807365423E-2</c:v>
                </c:pt>
                <c:pt idx="941">
                  <c:v>8.6126425349835764E-2</c:v>
                </c:pt>
                <c:pt idx="942">
                  <c:v>9.3287687875242636E-2</c:v>
                </c:pt>
                <c:pt idx="943">
                  <c:v>8.8666376858277218E-2</c:v>
                </c:pt>
                <c:pt idx="944">
                  <c:v>8.4195773677722768E-2</c:v>
                </c:pt>
                <c:pt idx="945">
                  <c:v>8.4772858033726112E-2</c:v>
                </c:pt>
                <c:pt idx="946">
                  <c:v>8.4721510610810041E-2</c:v>
                </c:pt>
                <c:pt idx="947">
                  <c:v>8.508436872027407E-2</c:v>
                </c:pt>
                <c:pt idx="948">
                  <c:v>8.3862937702019483E-2</c:v>
                </c:pt>
                <c:pt idx="949">
                  <c:v>9.2922315763326352E-2</c:v>
                </c:pt>
                <c:pt idx="950">
                  <c:v>9.1135791709687594E-2</c:v>
                </c:pt>
                <c:pt idx="951">
                  <c:v>0.10659452599650102</c:v>
                </c:pt>
                <c:pt idx="952">
                  <c:v>0.10248183225733162</c:v>
                </c:pt>
                <c:pt idx="953">
                  <c:v>0.11277629992849195</c:v>
                </c:pt>
                <c:pt idx="954">
                  <c:v>9.7332888263812131E-2</c:v>
                </c:pt>
                <c:pt idx="955">
                  <c:v>9.550620741968785E-2</c:v>
                </c:pt>
                <c:pt idx="956">
                  <c:v>9.4966353809875434E-2</c:v>
                </c:pt>
                <c:pt idx="957">
                  <c:v>9.3417011305432104E-2</c:v>
                </c:pt>
                <c:pt idx="958">
                  <c:v>9.3810240734565203E-2</c:v>
                </c:pt>
                <c:pt idx="959">
                  <c:v>9.6374525828328853E-2</c:v>
                </c:pt>
                <c:pt idx="960">
                  <c:v>9.428551786588403E-2</c:v>
                </c:pt>
                <c:pt idx="961">
                  <c:v>9.4656185639232171E-2</c:v>
                </c:pt>
                <c:pt idx="962">
                  <c:v>9.5052431422230813E-2</c:v>
                </c:pt>
                <c:pt idx="963">
                  <c:v>9.4394303751903913E-2</c:v>
                </c:pt>
                <c:pt idx="964">
                  <c:v>9.512776970517603E-2</c:v>
                </c:pt>
                <c:pt idx="965">
                  <c:v>0.10545292397756037</c:v>
                </c:pt>
                <c:pt idx="966">
                  <c:v>0.10930260245881569</c:v>
                </c:pt>
                <c:pt idx="967">
                  <c:v>0.1087258866337171</c:v>
                </c:pt>
                <c:pt idx="968">
                  <c:v>9.9675375737195149E-2</c:v>
                </c:pt>
                <c:pt idx="969">
                  <c:v>9.8993236113437466E-2</c:v>
                </c:pt>
                <c:pt idx="970">
                  <c:v>9.9208427819486009E-2</c:v>
                </c:pt>
                <c:pt idx="971">
                  <c:v>9.9764160695844067E-2</c:v>
                </c:pt>
                <c:pt idx="972">
                  <c:v>0.10008488645916691</c:v>
                </c:pt>
                <c:pt idx="973">
                  <c:v>9.9718101802445183E-2</c:v>
                </c:pt>
                <c:pt idx="974">
                  <c:v>0.1013945506231409</c:v>
                </c:pt>
                <c:pt idx="975">
                  <c:v>6.868968679236076E-2</c:v>
                </c:pt>
                <c:pt idx="976">
                  <c:v>6.799216400477405E-2</c:v>
                </c:pt>
                <c:pt idx="977">
                  <c:v>6.7136694223578985E-2</c:v>
                </c:pt>
                <c:pt idx="978">
                  <c:v>6.4479489782922783E-2</c:v>
                </c:pt>
                <c:pt idx="979">
                  <c:v>6.7217352295315586E-2</c:v>
                </c:pt>
                <c:pt idx="980">
                  <c:v>6.5813668127881989E-2</c:v>
                </c:pt>
                <c:pt idx="981">
                  <c:v>6.4241791189611E-2</c:v>
                </c:pt>
                <c:pt idx="982">
                  <c:v>6.354635361662847E-2</c:v>
                </c:pt>
                <c:pt idx="983">
                  <c:v>6.3722579924748959E-2</c:v>
                </c:pt>
                <c:pt idx="984">
                  <c:v>6.3882351158591075E-2</c:v>
                </c:pt>
                <c:pt idx="985">
                  <c:v>6.428920859727387E-2</c:v>
                </c:pt>
                <c:pt idx="986">
                  <c:v>6.4602948014372136E-2</c:v>
                </c:pt>
                <c:pt idx="987">
                  <c:v>6.5010011144745555E-2</c:v>
                </c:pt>
                <c:pt idx="988">
                  <c:v>6.6356982954265162E-2</c:v>
                </c:pt>
                <c:pt idx="989">
                  <c:v>6.6865118456997719E-2</c:v>
                </c:pt>
                <c:pt idx="990">
                  <c:v>6.7439178982876297E-2</c:v>
                </c:pt>
                <c:pt idx="991">
                  <c:v>7.0538455745106046E-2</c:v>
                </c:pt>
                <c:pt idx="992">
                  <c:v>6.4910042493705356E-2</c:v>
                </c:pt>
                <c:pt idx="993">
                  <c:v>7.2164309369282378E-2</c:v>
                </c:pt>
                <c:pt idx="994">
                  <c:v>7.4203829472149374E-2</c:v>
                </c:pt>
                <c:pt idx="995">
                  <c:v>6.4029196474462369E-2</c:v>
                </c:pt>
                <c:pt idx="996">
                  <c:v>6.8784215101747537E-2</c:v>
                </c:pt>
                <c:pt idx="997">
                  <c:v>6.5417930326871765E-2</c:v>
                </c:pt>
                <c:pt idx="998">
                  <c:v>6.3121818211670733E-2</c:v>
                </c:pt>
                <c:pt idx="999">
                  <c:v>6.3121517880967398E-2</c:v>
                </c:pt>
                <c:pt idx="1000">
                  <c:v>6.3548879361482374E-2</c:v>
                </c:pt>
                <c:pt idx="1001">
                  <c:v>6.4279058265432842E-2</c:v>
                </c:pt>
                <c:pt idx="1002">
                  <c:v>6.4639408781411445E-2</c:v>
                </c:pt>
                <c:pt idx="1003">
                  <c:v>6.4995004889004615E-2</c:v>
                </c:pt>
                <c:pt idx="1004">
                  <c:v>6.6194669225110969E-2</c:v>
                </c:pt>
                <c:pt idx="1005">
                  <c:v>7.1773801439067045E-2</c:v>
                </c:pt>
                <c:pt idx="1006">
                  <c:v>7.6942344764626538E-2</c:v>
                </c:pt>
                <c:pt idx="1007">
                  <c:v>7.2272907011547885E-2</c:v>
                </c:pt>
                <c:pt idx="1008">
                  <c:v>7.1851462189687548E-2</c:v>
                </c:pt>
                <c:pt idx="1009">
                  <c:v>7.6149747793287523E-2</c:v>
                </c:pt>
                <c:pt idx="1010">
                  <c:v>6.8003793627729361E-2</c:v>
                </c:pt>
                <c:pt idx="1011">
                  <c:v>6.6217097260992383E-2</c:v>
                </c:pt>
                <c:pt idx="1012">
                  <c:v>6.8765050903955405E-2</c:v>
                </c:pt>
                <c:pt idx="1013">
                  <c:v>6.4326934934086949E-2</c:v>
                </c:pt>
                <c:pt idx="1014">
                  <c:v>6.4726307056250362E-2</c:v>
                </c:pt>
                <c:pt idx="1015">
                  <c:v>6.6624452828390163E-2</c:v>
                </c:pt>
                <c:pt idx="1016">
                  <c:v>7.4480216161914997E-2</c:v>
                </c:pt>
                <c:pt idx="1017">
                  <c:v>7.1886274703146E-2</c:v>
                </c:pt>
                <c:pt idx="1018">
                  <c:v>7.8218353922367589E-2</c:v>
                </c:pt>
                <c:pt idx="1019">
                  <c:v>8.1848012806005371E-2</c:v>
                </c:pt>
                <c:pt idx="1020">
                  <c:v>0.11758820970210233</c:v>
                </c:pt>
                <c:pt idx="1021">
                  <c:v>0.12532377937623676</c:v>
                </c:pt>
                <c:pt idx="1022">
                  <c:v>0.12515824233306597</c:v>
                </c:pt>
                <c:pt idx="1023">
                  <c:v>0.11527975592649561</c:v>
                </c:pt>
                <c:pt idx="1024">
                  <c:v>0.11614785385817507</c:v>
                </c:pt>
                <c:pt idx="1025">
                  <c:v>0.11466646383617939</c:v>
                </c:pt>
                <c:pt idx="1026">
                  <c:v>0.11518350922497844</c:v>
                </c:pt>
                <c:pt idx="1027">
                  <c:v>0.11438051362473932</c:v>
                </c:pt>
                <c:pt idx="1028">
                  <c:v>0.12973935926906821</c:v>
                </c:pt>
                <c:pt idx="1029">
                  <c:v>6.8421463343396202E-2</c:v>
                </c:pt>
                <c:pt idx="1030">
                  <c:v>6.8331001354180645E-2</c:v>
                </c:pt>
                <c:pt idx="1031">
                  <c:v>6.668552959368701E-2</c:v>
                </c:pt>
                <c:pt idx="1032">
                  <c:v>6.6001749442037919E-2</c:v>
                </c:pt>
                <c:pt idx="1033">
                  <c:v>6.5108001201197627E-2</c:v>
                </c:pt>
                <c:pt idx="1034">
                  <c:v>6.4187288598851866E-2</c:v>
                </c:pt>
                <c:pt idx="1035">
                  <c:v>6.4002395113749874E-2</c:v>
                </c:pt>
                <c:pt idx="1036">
                  <c:v>7.1658013115312405E-2</c:v>
                </c:pt>
                <c:pt idx="1037">
                  <c:v>6.41960048417059E-2</c:v>
                </c:pt>
                <c:pt idx="1038">
                  <c:v>6.4541678098684052E-2</c:v>
                </c:pt>
                <c:pt idx="1039">
                  <c:v>6.4892445153554884E-2</c:v>
                </c:pt>
                <c:pt idx="1040">
                  <c:v>7.5962065979688659E-2</c:v>
                </c:pt>
                <c:pt idx="1041">
                  <c:v>6.713741247084172E-2</c:v>
                </c:pt>
                <c:pt idx="1042">
                  <c:v>6.746498738251952E-2</c:v>
                </c:pt>
                <c:pt idx="1043">
                  <c:v>7.3136231405296404E-2</c:v>
                </c:pt>
                <c:pt idx="1044">
                  <c:v>7.9397043911444629E-2</c:v>
                </c:pt>
                <c:pt idx="1045">
                  <c:v>7.5941459587734905E-2</c:v>
                </c:pt>
                <c:pt idx="1046">
                  <c:v>7.4773334556367033E-2</c:v>
                </c:pt>
                <c:pt idx="1047">
                  <c:v>7.5213928794948634E-2</c:v>
                </c:pt>
                <c:pt idx="1048">
                  <c:v>7.4999300470973335E-2</c:v>
                </c:pt>
                <c:pt idx="1049">
                  <c:v>7.7116816252053466E-2</c:v>
                </c:pt>
                <c:pt idx="1050">
                  <c:v>7.4085252504583671E-2</c:v>
                </c:pt>
                <c:pt idx="1051">
                  <c:v>7.3414424967791228E-2</c:v>
                </c:pt>
                <c:pt idx="1052">
                  <c:v>7.4475148212005515E-2</c:v>
                </c:pt>
                <c:pt idx="1053">
                  <c:v>8.8730313005575337E-2</c:v>
                </c:pt>
                <c:pt idx="1054">
                  <c:v>7.5365388698197033E-2</c:v>
                </c:pt>
                <c:pt idx="1055">
                  <c:v>8.3578192225160039E-2</c:v>
                </c:pt>
                <c:pt idx="1056">
                  <c:v>7.6425520343709877E-2</c:v>
                </c:pt>
                <c:pt idx="1057">
                  <c:v>8.3627892392326875E-2</c:v>
                </c:pt>
                <c:pt idx="1058">
                  <c:v>8.417735032837538E-2</c:v>
                </c:pt>
                <c:pt idx="1059">
                  <c:v>8.3158082904985955E-2</c:v>
                </c:pt>
                <c:pt idx="1060">
                  <c:v>8.4039400341533593E-2</c:v>
                </c:pt>
                <c:pt idx="1061">
                  <c:v>0.10168827733914387</c:v>
                </c:pt>
                <c:pt idx="1062">
                  <c:v>0.10148249686488278</c:v>
                </c:pt>
                <c:pt idx="1063">
                  <c:v>0.10137435847574205</c:v>
                </c:pt>
                <c:pt idx="1064">
                  <c:v>9.5482464612133278E-2</c:v>
                </c:pt>
                <c:pt idx="1065">
                  <c:v>8.2687744261885077E-2</c:v>
                </c:pt>
                <c:pt idx="1066">
                  <c:v>8.3180259559564124E-2</c:v>
                </c:pt>
                <c:pt idx="1067">
                  <c:v>8.3022996134691079E-2</c:v>
                </c:pt>
                <c:pt idx="1068">
                  <c:v>8.6123173004122561E-2</c:v>
                </c:pt>
                <c:pt idx="1069">
                  <c:v>9.0498504609319144E-2</c:v>
                </c:pt>
                <c:pt idx="1070">
                  <c:v>0.20062900518251006</c:v>
                </c:pt>
                <c:pt idx="1071">
                  <c:v>0.200860408146118</c:v>
                </c:pt>
                <c:pt idx="1072">
                  <c:v>0.2014607917168191</c:v>
                </c:pt>
                <c:pt idx="1073">
                  <c:v>0.20623596375193051</c:v>
                </c:pt>
                <c:pt idx="1074">
                  <c:v>0.21724160915528362</c:v>
                </c:pt>
                <c:pt idx="1075">
                  <c:v>8.2778632376910077E-2</c:v>
                </c:pt>
                <c:pt idx="1076">
                  <c:v>8.256210498029995E-2</c:v>
                </c:pt>
                <c:pt idx="1077">
                  <c:v>9.5651459411685902E-2</c:v>
                </c:pt>
                <c:pt idx="1078">
                  <c:v>8.203156057346353E-2</c:v>
                </c:pt>
                <c:pt idx="1079">
                  <c:v>7.898378490195096E-2</c:v>
                </c:pt>
                <c:pt idx="1080">
                  <c:v>8.0005252515709918E-2</c:v>
                </c:pt>
                <c:pt idx="1081">
                  <c:v>7.9487196224394166E-2</c:v>
                </c:pt>
                <c:pt idx="1082">
                  <c:v>7.9720712428127241E-2</c:v>
                </c:pt>
                <c:pt idx="1083">
                  <c:v>8.2327692406405403E-2</c:v>
                </c:pt>
                <c:pt idx="1084">
                  <c:v>8.263289120367262E-2</c:v>
                </c:pt>
                <c:pt idx="1085">
                  <c:v>9.3691628062183535E-2</c:v>
                </c:pt>
                <c:pt idx="1086">
                  <c:v>9.0944545064476204E-2</c:v>
                </c:pt>
                <c:pt idx="1087">
                  <c:v>0.28604354617474909</c:v>
                </c:pt>
                <c:pt idx="1088">
                  <c:v>0.26566114105387278</c:v>
                </c:pt>
                <c:pt idx="1089">
                  <c:v>0.2712110800980238</c:v>
                </c:pt>
                <c:pt idx="1090">
                  <c:v>0.38399443388420912</c:v>
                </c:pt>
                <c:pt idx="1091">
                  <c:v>6.8892549059660496E-2</c:v>
                </c:pt>
                <c:pt idx="1092">
                  <c:v>6.711512625180388E-2</c:v>
                </c:pt>
                <c:pt idx="1093">
                  <c:v>6.6694297710120698E-2</c:v>
                </c:pt>
                <c:pt idx="1094">
                  <c:v>7.1023912480354265E-2</c:v>
                </c:pt>
                <c:pt idx="1095">
                  <c:v>7.0549687971647082E-2</c:v>
                </c:pt>
                <c:pt idx="1096">
                  <c:v>6.4488062719323877E-2</c:v>
                </c:pt>
                <c:pt idx="1097">
                  <c:v>6.4305094119821979E-2</c:v>
                </c:pt>
                <c:pt idx="1098">
                  <c:v>6.4142113554821412E-2</c:v>
                </c:pt>
                <c:pt idx="1099">
                  <c:v>6.6541681443689313E-2</c:v>
                </c:pt>
                <c:pt idx="1100">
                  <c:v>6.4485965573654505E-2</c:v>
                </c:pt>
                <c:pt idx="1101">
                  <c:v>7.8390936028301703E-2</c:v>
                </c:pt>
                <c:pt idx="1102">
                  <c:v>6.503403418022688E-2</c:v>
                </c:pt>
                <c:pt idx="1103">
                  <c:v>6.5840279506876431E-2</c:v>
                </c:pt>
                <c:pt idx="1104">
                  <c:v>6.6189611086854311E-2</c:v>
                </c:pt>
                <c:pt idx="1105">
                  <c:v>6.6635947726219405E-2</c:v>
                </c:pt>
                <c:pt idx="1106">
                  <c:v>0.17578706095287439</c:v>
                </c:pt>
                <c:pt idx="1107">
                  <c:v>0.1890044944445454</c:v>
                </c:pt>
                <c:pt idx="1108">
                  <c:v>0.16840958130421985</c:v>
                </c:pt>
                <c:pt idx="1109">
                  <c:v>0.17648440285890335</c:v>
                </c:pt>
                <c:pt idx="1110">
                  <c:v>0.17932130007215033</c:v>
                </c:pt>
                <c:pt idx="1111">
                  <c:v>0.19157852652579124</c:v>
                </c:pt>
                <c:pt idx="1112">
                  <c:v>0.15993411239706334</c:v>
                </c:pt>
                <c:pt idx="1113">
                  <c:v>0.13839814793864891</c:v>
                </c:pt>
                <c:pt idx="1114">
                  <c:v>0.12349140179812901</c:v>
                </c:pt>
                <c:pt idx="1115">
                  <c:v>0.12556865010208323</c:v>
                </c:pt>
                <c:pt idx="1116">
                  <c:v>0.10556520500317956</c:v>
                </c:pt>
                <c:pt idx="1117">
                  <c:v>0.10667899985593669</c:v>
                </c:pt>
                <c:pt idx="1118">
                  <c:v>0.10864740402298351</c:v>
                </c:pt>
                <c:pt idx="1119">
                  <c:v>0.11220202628348175</c:v>
                </c:pt>
                <c:pt idx="1120">
                  <c:v>0.12334193662342229</c:v>
                </c:pt>
                <c:pt idx="1121">
                  <c:v>0.25928462246148343</c:v>
                </c:pt>
                <c:pt idx="1122">
                  <c:v>0.10064866121957261</c:v>
                </c:pt>
                <c:pt idx="1123">
                  <c:v>0.17621990044975458</c:v>
                </c:pt>
                <c:pt idx="1124">
                  <c:v>0.17523283365553971</c:v>
                </c:pt>
                <c:pt idx="1125">
                  <c:v>0.12070096227021687</c:v>
                </c:pt>
                <c:pt idx="1126">
                  <c:v>0.12015346000285936</c:v>
                </c:pt>
                <c:pt idx="1127">
                  <c:v>0.12271465043346313</c:v>
                </c:pt>
                <c:pt idx="1128">
                  <c:v>0.17781633899249888</c:v>
                </c:pt>
                <c:pt idx="1129">
                  <c:v>0.17663044704720446</c:v>
                </c:pt>
                <c:pt idx="1130">
                  <c:v>0.10031260030028137</c:v>
                </c:pt>
                <c:pt idx="1131">
                  <c:v>0.1130217109623796</c:v>
                </c:pt>
                <c:pt idx="1132">
                  <c:v>0.1038720300306869</c:v>
                </c:pt>
                <c:pt idx="1133">
                  <c:v>0.10573553851601483</c:v>
                </c:pt>
                <c:pt idx="1134">
                  <c:v>9.1026910688113444E-2</c:v>
                </c:pt>
                <c:pt idx="1135">
                  <c:v>8.8678834285145572E-2</c:v>
                </c:pt>
                <c:pt idx="1136">
                  <c:v>7.1967705854260558E-2</c:v>
                </c:pt>
                <c:pt idx="1137">
                  <c:v>7.0297893357281468E-2</c:v>
                </c:pt>
                <c:pt idx="1138">
                  <c:v>7.0115635507314117E-2</c:v>
                </c:pt>
                <c:pt idx="1139">
                  <c:v>6.8908514446468228E-2</c:v>
                </c:pt>
                <c:pt idx="1140">
                  <c:v>6.876843169776535E-2</c:v>
                </c:pt>
                <c:pt idx="1141">
                  <c:v>6.9154344157960526E-2</c:v>
                </c:pt>
                <c:pt idx="1142">
                  <c:v>6.9500142290056799E-2</c:v>
                </c:pt>
                <c:pt idx="1143">
                  <c:v>7.7451047672265891E-2</c:v>
                </c:pt>
                <c:pt idx="1144">
                  <c:v>7.0602961870148931E-2</c:v>
                </c:pt>
                <c:pt idx="1145">
                  <c:v>7.2622232090085365E-2</c:v>
                </c:pt>
                <c:pt idx="1146">
                  <c:v>7.3527211576208951E-2</c:v>
                </c:pt>
                <c:pt idx="1147">
                  <c:v>7.2781266812444234E-2</c:v>
                </c:pt>
                <c:pt idx="1148">
                  <c:v>6.8256685936852496E-2</c:v>
                </c:pt>
                <c:pt idx="1149">
                  <c:v>7.6898167291070352E-2</c:v>
                </c:pt>
                <c:pt idx="1150">
                  <c:v>6.8302125344086626E-2</c:v>
                </c:pt>
                <c:pt idx="1151">
                  <c:v>6.7607184715082994E-2</c:v>
                </c:pt>
                <c:pt idx="1152">
                  <c:v>6.7255358795032513E-2</c:v>
                </c:pt>
                <c:pt idx="1153">
                  <c:v>6.649694676980196E-2</c:v>
                </c:pt>
                <c:pt idx="1154">
                  <c:v>7.1681558558960273E-2</c:v>
                </c:pt>
                <c:pt idx="1155">
                  <c:v>6.5341502054244494E-2</c:v>
                </c:pt>
                <c:pt idx="1156">
                  <c:v>6.534725496236185E-2</c:v>
                </c:pt>
                <c:pt idx="1157">
                  <c:v>7.1261300745479553E-2</c:v>
                </c:pt>
                <c:pt idx="1158">
                  <c:v>7.6391059988257667E-2</c:v>
                </c:pt>
                <c:pt idx="1159">
                  <c:v>6.7624766157911742E-2</c:v>
                </c:pt>
                <c:pt idx="1160">
                  <c:v>7.5991668959515091E-2</c:v>
                </c:pt>
                <c:pt idx="1161">
                  <c:v>7.0252248314445057E-2</c:v>
                </c:pt>
                <c:pt idx="1162">
                  <c:v>7.2045741761166293E-2</c:v>
                </c:pt>
                <c:pt idx="1163">
                  <c:v>9.1302298446559904E-2</c:v>
                </c:pt>
                <c:pt idx="1164">
                  <c:v>0.10022129204646145</c:v>
                </c:pt>
                <c:pt idx="1165">
                  <c:v>8.7605693372941912E-2</c:v>
                </c:pt>
                <c:pt idx="1166">
                  <c:v>8.3026284437936318E-2</c:v>
                </c:pt>
                <c:pt idx="1167">
                  <c:v>8.0699207089812056E-2</c:v>
                </c:pt>
                <c:pt idx="1168">
                  <c:v>8.1204020322513226E-2</c:v>
                </c:pt>
                <c:pt idx="1169">
                  <c:v>7.9806191208958058E-2</c:v>
                </c:pt>
                <c:pt idx="1170">
                  <c:v>7.9489605861592497E-2</c:v>
                </c:pt>
                <c:pt idx="1171">
                  <c:v>8.0227092875555656E-2</c:v>
                </c:pt>
                <c:pt idx="1172">
                  <c:v>8.0832233516701713E-2</c:v>
                </c:pt>
                <c:pt idx="1173">
                  <c:v>9.1156342281234412E-2</c:v>
                </c:pt>
                <c:pt idx="1174">
                  <c:v>8.4871943400959854E-2</c:v>
                </c:pt>
                <c:pt idx="1175">
                  <c:v>8.8044582042448361E-2</c:v>
                </c:pt>
                <c:pt idx="1176">
                  <c:v>8.3740184401664919E-2</c:v>
                </c:pt>
                <c:pt idx="1177">
                  <c:v>8.2426192643645396E-2</c:v>
                </c:pt>
                <c:pt idx="1178">
                  <c:v>8.1468978608470355E-2</c:v>
                </c:pt>
                <c:pt idx="1179">
                  <c:v>8.2540780806175065E-2</c:v>
                </c:pt>
                <c:pt idx="1180">
                  <c:v>8.2156922235764901E-2</c:v>
                </c:pt>
                <c:pt idx="1181">
                  <c:v>8.6866200815298014E-2</c:v>
                </c:pt>
                <c:pt idx="1182">
                  <c:v>8.6978052095644853E-2</c:v>
                </c:pt>
                <c:pt idx="1183">
                  <c:v>8.1280270877566993E-2</c:v>
                </c:pt>
                <c:pt idx="1184">
                  <c:v>8.3087122679396941E-2</c:v>
                </c:pt>
                <c:pt idx="1185">
                  <c:v>8.2042422757864317E-2</c:v>
                </c:pt>
                <c:pt idx="1186">
                  <c:v>8.5419801945947199E-2</c:v>
                </c:pt>
                <c:pt idx="1187">
                  <c:v>0.11080453899605304</c:v>
                </c:pt>
                <c:pt idx="1188">
                  <c:v>6.8317614026728285E-2</c:v>
                </c:pt>
                <c:pt idx="1189">
                  <c:v>6.8275040598597875E-2</c:v>
                </c:pt>
                <c:pt idx="1190">
                  <c:v>6.6760163784893412E-2</c:v>
                </c:pt>
                <c:pt idx="1191">
                  <c:v>6.6290853214512391E-2</c:v>
                </c:pt>
                <c:pt idx="1192">
                  <c:v>6.542279682463463E-2</c:v>
                </c:pt>
                <c:pt idx="1193">
                  <c:v>6.5958781867560226E-2</c:v>
                </c:pt>
                <c:pt idx="1194">
                  <c:v>6.591669749079633E-2</c:v>
                </c:pt>
                <c:pt idx="1195">
                  <c:v>6.6578572578007769E-2</c:v>
                </c:pt>
                <c:pt idx="1196">
                  <c:v>7.9511616794067347E-2</c:v>
                </c:pt>
                <c:pt idx="1197">
                  <c:v>6.6766997733612901E-2</c:v>
                </c:pt>
                <c:pt idx="1198">
                  <c:v>6.653965523118191E-2</c:v>
                </c:pt>
                <c:pt idx="1199">
                  <c:v>6.6881151036028E-2</c:v>
                </c:pt>
                <c:pt idx="1200">
                  <c:v>6.8054602844248066E-2</c:v>
                </c:pt>
                <c:pt idx="1201">
                  <c:v>7.3681659050651549E-2</c:v>
                </c:pt>
                <c:pt idx="1202">
                  <c:v>8.3480336360102964E-2</c:v>
                </c:pt>
                <c:pt idx="1203">
                  <c:v>8.9891031036225963E-2</c:v>
                </c:pt>
                <c:pt idx="1204">
                  <c:v>8.0718680505536794E-2</c:v>
                </c:pt>
                <c:pt idx="1205">
                  <c:v>8.1002974180319029E-2</c:v>
                </c:pt>
                <c:pt idx="1206">
                  <c:v>7.9918022792876922E-2</c:v>
                </c:pt>
                <c:pt idx="1207">
                  <c:v>7.3742428054971165E-2</c:v>
                </c:pt>
                <c:pt idx="1208">
                  <c:v>7.6583187724313287E-2</c:v>
                </c:pt>
                <c:pt idx="1209">
                  <c:v>7.4030925314566731E-2</c:v>
                </c:pt>
                <c:pt idx="1210">
                  <c:v>7.4804576373383613E-2</c:v>
                </c:pt>
                <c:pt idx="1211">
                  <c:v>7.4551414730303009E-2</c:v>
                </c:pt>
                <c:pt idx="1212">
                  <c:v>7.5095931614992117E-2</c:v>
                </c:pt>
                <c:pt idx="1213">
                  <c:v>7.5386681232564354E-2</c:v>
                </c:pt>
                <c:pt idx="1214">
                  <c:v>7.6798637458559305E-2</c:v>
                </c:pt>
                <c:pt idx="1215">
                  <c:v>7.6974470758408797E-2</c:v>
                </c:pt>
                <c:pt idx="1216">
                  <c:v>7.7147295702487434E-2</c:v>
                </c:pt>
                <c:pt idx="1217">
                  <c:v>9.0658890694340313E-2</c:v>
                </c:pt>
                <c:pt idx="1218">
                  <c:v>8.9464989767534822E-2</c:v>
                </c:pt>
                <c:pt idx="1219">
                  <c:v>8.3045005124484372E-2</c:v>
                </c:pt>
                <c:pt idx="1220">
                  <c:v>9.1512796454028184E-2</c:v>
                </c:pt>
                <c:pt idx="1221">
                  <c:v>9.1754984020057564E-2</c:v>
                </c:pt>
                <c:pt idx="1222">
                  <c:v>9.1344918148700591E-2</c:v>
                </c:pt>
                <c:pt idx="1223">
                  <c:v>8.201066420680489E-2</c:v>
                </c:pt>
                <c:pt idx="1224">
                  <c:v>8.1818857806374268E-2</c:v>
                </c:pt>
                <c:pt idx="1225">
                  <c:v>8.1254290561787512E-2</c:v>
                </c:pt>
                <c:pt idx="1226">
                  <c:v>8.179355519912504E-2</c:v>
                </c:pt>
                <c:pt idx="1227">
                  <c:v>8.2513308814119724E-2</c:v>
                </c:pt>
                <c:pt idx="1228">
                  <c:v>8.2612672168925261E-2</c:v>
                </c:pt>
                <c:pt idx="1229">
                  <c:v>8.2199816400609832E-2</c:v>
                </c:pt>
                <c:pt idx="1230">
                  <c:v>9.734639307066098E-2</c:v>
                </c:pt>
                <c:pt idx="1231">
                  <c:v>8.8684761802803658E-2</c:v>
                </c:pt>
                <c:pt idx="1232">
                  <c:v>9.9258997575052951E-2</c:v>
                </c:pt>
                <c:pt idx="1233">
                  <c:v>7.4582065456330199E-2</c:v>
                </c:pt>
                <c:pt idx="1234">
                  <c:v>7.6114955189280312E-2</c:v>
                </c:pt>
                <c:pt idx="1235">
                  <c:v>7.7605377813986173E-2</c:v>
                </c:pt>
                <c:pt idx="1236">
                  <c:v>7.8245007411728754E-2</c:v>
                </c:pt>
                <c:pt idx="1237">
                  <c:v>7.6943395028726713E-2</c:v>
                </c:pt>
                <c:pt idx="1238">
                  <c:v>7.6471436358395969E-2</c:v>
                </c:pt>
                <c:pt idx="1239">
                  <c:v>7.3656222820306913E-2</c:v>
                </c:pt>
                <c:pt idx="1240">
                  <c:v>7.2774958338577431E-2</c:v>
                </c:pt>
                <c:pt idx="1241">
                  <c:v>7.3696033637996539E-2</c:v>
                </c:pt>
                <c:pt idx="1242">
                  <c:v>7.390307988192639E-2</c:v>
                </c:pt>
                <c:pt idx="1243">
                  <c:v>7.497134763026532E-2</c:v>
                </c:pt>
                <c:pt idx="1244">
                  <c:v>7.7244670576372979E-2</c:v>
                </c:pt>
                <c:pt idx="1245">
                  <c:v>7.865410383722457E-2</c:v>
                </c:pt>
                <c:pt idx="1246">
                  <c:v>7.9967951186955905E-2</c:v>
                </c:pt>
                <c:pt idx="1247">
                  <c:v>7.7715234760403096E-2</c:v>
                </c:pt>
                <c:pt idx="1248">
                  <c:v>7.5307759147783371E-2</c:v>
                </c:pt>
                <c:pt idx="1249">
                  <c:v>8.413638657765507E-2</c:v>
                </c:pt>
                <c:pt idx="1250">
                  <c:v>8.193816202330069E-2</c:v>
                </c:pt>
                <c:pt idx="1251">
                  <c:v>7.7112443872362629E-2</c:v>
                </c:pt>
                <c:pt idx="1252">
                  <c:v>7.6341598997321791E-2</c:v>
                </c:pt>
                <c:pt idx="1253">
                  <c:v>7.7790904732627411E-2</c:v>
                </c:pt>
                <c:pt idx="1254">
                  <c:v>7.5609014884625472E-2</c:v>
                </c:pt>
                <c:pt idx="1255">
                  <c:v>8.0998153879074844E-2</c:v>
                </c:pt>
                <c:pt idx="1256">
                  <c:v>7.6842641863460667E-2</c:v>
                </c:pt>
                <c:pt idx="1257">
                  <c:v>7.7265101507220907E-2</c:v>
                </c:pt>
                <c:pt idx="1258">
                  <c:v>7.7402836981355083E-2</c:v>
                </c:pt>
                <c:pt idx="1259">
                  <c:v>7.6447772208876649E-2</c:v>
                </c:pt>
                <c:pt idx="1260">
                  <c:v>8.5279052864536131E-2</c:v>
                </c:pt>
                <c:pt idx="1261">
                  <c:v>9.0202086422449701E-2</c:v>
                </c:pt>
                <c:pt idx="1262">
                  <c:v>8.785469565496401E-2</c:v>
                </c:pt>
                <c:pt idx="1263">
                  <c:v>8.6482658724826467E-2</c:v>
                </c:pt>
                <c:pt idx="1264">
                  <c:v>8.0467893401906673E-2</c:v>
                </c:pt>
                <c:pt idx="1265">
                  <c:v>8.2339295796585707E-2</c:v>
                </c:pt>
                <c:pt idx="1266">
                  <c:v>7.8183618246354281E-2</c:v>
                </c:pt>
                <c:pt idx="1267">
                  <c:v>7.7992136417985913E-2</c:v>
                </c:pt>
                <c:pt idx="1268">
                  <c:v>7.8654576513426944E-2</c:v>
                </c:pt>
                <c:pt idx="1269">
                  <c:v>8.4723258971602128E-2</c:v>
                </c:pt>
                <c:pt idx="1270">
                  <c:v>8.1819116395877314E-2</c:v>
                </c:pt>
                <c:pt idx="1271">
                  <c:v>8.130490982546798E-2</c:v>
                </c:pt>
                <c:pt idx="1272">
                  <c:v>8.6005557171936711E-2</c:v>
                </c:pt>
                <c:pt idx="1273">
                  <c:v>8.8973362449158822E-2</c:v>
                </c:pt>
                <c:pt idx="1274">
                  <c:v>7.2189964801070497E-2</c:v>
                </c:pt>
                <c:pt idx="1275">
                  <c:v>7.8041801430762892E-2</c:v>
                </c:pt>
                <c:pt idx="1276">
                  <c:v>6.9681129669644432E-2</c:v>
                </c:pt>
                <c:pt idx="1277">
                  <c:v>7.3853111301331778E-2</c:v>
                </c:pt>
                <c:pt idx="1278">
                  <c:v>6.6732818809863509E-2</c:v>
                </c:pt>
                <c:pt idx="1279">
                  <c:v>6.7315918355523391E-2</c:v>
                </c:pt>
                <c:pt idx="1280">
                  <c:v>7.1759952219418249E-2</c:v>
                </c:pt>
                <c:pt idx="1281">
                  <c:v>7.9074462426031333E-2</c:v>
                </c:pt>
                <c:pt idx="1282">
                  <c:v>8.0283284196190643E-2</c:v>
                </c:pt>
                <c:pt idx="1283">
                  <c:v>6.8950953257646191E-2</c:v>
                </c:pt>
                <c:pt idx="1284">
                  <c:v>6.9099179339485409E-2</c:v>
                </c:pt>
                <c:pt idx="1285">
                  <c:v>7.0142988273088153E-2</c:v>
                </c:pt>
                <c:pt idx="1286">
                  <c:v>7.056174439121729E-2</c:v>
                </c:pt>
                <c:pt idx="1287">
                  <c:v>7.1360456065702654E-2</c:v>
                </c:pt>
                <c:pt idx="1288">
                  <c:v>7.5369047122516644E-2</c:v>
                </c:pt>
                <c:pt idx="1289">
                  <c:v>9.0531169593541974E-2</c:v>
                </c:pt>
                <c:pt idx="1290">
                  <c:v>8.9154905053849487E-2</c:v>
                </c:pt>
                <c:pt idx="1291">
                  <c:v>8.7994388744745217E-2</c:v>
                </c:pt>
                <c:pt idx="1292">
                  <c:v>8.5093683543368825E-2</c:v>
                </c:pt>
                <c:pt idx="1293">
                  <c:v>8.6732900786663458E-2</c:v>
                </c:pt>
                <c:pt idx="1294">
                  <c:v>8.5195892538929285E-2</c:v>
                </c:pt>
                <c:pt idx="1295">
                  <c:v>8.3723594100609977E-2</c:v>
                </c:pt>
                <c:pt idx="1296">
                  <c:v>8.2564492201956996E-2</c:v>
                </c:pt>
                <c:pt idx="1297">
                  <c:v>8.576054347419293E-2</c:v>
                </c:pt>
                <c:pt idx="1298">
                  <c:v>9.2223349875656072E-2</c:v>
                </c:pt>
                <c:pt idx="1299">
                  <c:v>9.7355694764154788E-2</c:v>
                </c:pt>
                <c:pt idx="1300">
                  <c:v>9.2312324821192879E-2</c:v>
                </c:pt>
                <c:pt idx="1301">
                  <c:v>9.756083965355257E-2</c:v>
                </c:pt>
                <c:pt idx="1302">
                  <c:v>9.6713669345402736E-2</c:v>
                </c:pt>
                <c:pt idx="1303">
                  <c:v>0.11750539292477033</c:v>
                </c:pt>
                <c:pt idx="1304">
                  <c:v>0.1009513045295192</c:v>
                </c:pt>
                <c:pt idx="1305">
                  <c:v>9.8431467495960379E-2</c:v>
                </c:pt>
                <c:pt idx="1306">
                  <c:v>9.7869042599807443E-2</c:v>
                </c:pt>
                <c:pt idx="1307">
                  <c:v>9.8699469269451084E-2</c:v>
                </c:pt>
                <c:pt idx="1308">
                  <c:v>0.11694122242722342</c:v>
                </c:pt>
                <c:pt idx="1309">
                  <c:v>9.7950164388034319E-2</c:v>
                </c:pt>
                <c:pt idx="1310">
                  <c:v>9.929775150801913E-2</c:v>
                </c:pt>
                <c:pt idx="1311">
                  <c:v>0.10247534212250764</c:v>
                </c:pt>
                <c:pt idx="1312">
                  <c:v>9.4838923221259308E-2</c:v>
                </c:pt>
                <c:pt idx="1313">
                  <c:v>9.4331688569928268E-2</c:v>
                </c:pt>
                <c:pt idx="1314">
                  <c:v>9.2508568789943638E-2</c:v>
                </c:pt>
                <c:pt idx="1315">
                  <c:v>9.2162380394566784E-2</c:v>
                </c:pt>
                <c:pt idx="1316">
                  <c:v>9.1687403906482889E-2</c:v>
                </c:pt>
                <c:pt idx="1317">
                  <c:v>9.2351810388802219E-2</c:v>
                </c:pt>
                <c:pt idx="1318">
                  <c:v>9.2253361273572629E-2</c:v>
                </c:pt>
                <c:pt idx="1319">
                  <c:v>9.3164828786773443E-2</c:v>
                </c:pt>
                <c:pt idx="1320">
                  <c:v>9.1512483983363341E-2</c:v>
                </c:pt>
                <c:pt idx="1321">
                  <c:v>9.2622059865044029E-2</c:v>
                </c:pt>
                <c:pt idx="1322">
                  <c:v>9.2670347880571435E-2</c:v>
                </c:pt>
                <c:pt idx="1323">
                  <c:v>8.1030862878862422E-2</c:v>
                </c:pt>
                <c:pt idx="1324">
                  <c:v>7.8347278253621644E-2</c:v>
                </c:pt>
                <c:pt idx="1325">
                  <c:v>8.5367738112236913E-2</c:v>
                </c:pt>
                <c:pt idx="1326">
                  <c:v>7.0128865611463004E-2</c:v>
                </c:pt>
                <c:pt idx="1327">
                  <c:v>6.8948692829425978E-2</c:v>
                </c:pt>
                <c:pt idx="1328">
                  <c:v>6.6929089572673253E-2</c:v>
                </c:pt>
                <c:pt idx="1329">
                  <c:v>6.6010295729382759E-2</c:v>
                </c:pt>
                <c:pt idx="1330">
                  <c:v>6.6856559145381758E-2</c:v>
                </c:pt>
                <c:pt idx="1331">
                  <c:v>6.9999573754613201E-2</c:v>
                </c:pt>
                <c:pt idx="1332">
                  <c:v>6.9404258064782204E-2</c:v>
                </c:pt>
                <c:pt idx="1333">
                  <c:v>6.6696684179909718E-2</c:v>
                </c:pt>
                <c:pt idx="1334">
                  <c:v>6.6267761804984934E-2</c:v>
                </c:pt>
                <c:pt idx="1335">
                  <c:v>7.3475220637740785E-2</c:v>
                </c:pt>
                <c:pt idx="1336">
                  <c:v>6.7723792636117996E-2</c:v>
                </c:pt>
                <c:pt idx="1337">
                  <c:v>0.11649801278894824</c:v>
                </c:pt>
                <c:pt idx="1338">
                  <c:v>0.13076506646136243</c:v>
                </c:pt>
                <c:pt idx="1339">
                  <c:v>0.13621422199897243</c:v>
                </c:pt>
                <c:pt idx="1340">
                  <c:v>0.1280339865202629</c:v>
                </c:pt>
                <c:pt idx="1341">
                  <c:v>0.12822914428019963</c:v>
                </c:pt>
                <c:pt idx="1342">
                  <c:v>0.1348367174671643</c:v>
                </c:pt>
                <c:pt idx="1343">
                  <c:v>0.13136971809864476</c:v>
                </c:pt>
                <c:pt idx="1344">
                  <c:v>0.13653776572938242</c:v>
                </c:pt>
                <c:pt idx="1345">
                  <c:v>0.14618231990282704</c:v>
                </c:pt>
                <c:pt idx="1346">
                  <c:v>6.7112711037230641E-2</c:v>
                </c:pt>
                <c:pt idx="1347">
                  <c:v>6.6638521561621533E-2</c:v>
                </c:pt>
                <c:pt idx="1348">
                  <c:v>6.63788327015635E-2</c:v>
                </c:pt>
                <c:pt idx="1349">
                  <c:v>6.6210308898718262E-2</c:v>
                </c:pt>
                <c:pt idx="1350">
                  <c:v>8.1030848623951421E-2</c:v>
                </c:pt>
                <c:pt idx="1351">
                  <c:v>6.5724400388588899E-2</c:v>
                </c:pt>
                <c:pt idx="1352">
                  <c:v>6.4780066524638913E-2</c:v>
                </c:pt>
                <c:pt idx="1353">
                  <c:v>8.0317474485045712E-2</c:v>
                </c:pt>
                <c:pt idx="1354">
                  <c:v>6.7128608851546825E-2</c:v>
                </c:pt>
                <c:pt idx="1355">
                  <c:v>8.3610205073616398E-2</c:v>
                </c:pt>
                <c:pt idx="1356">
                  <c:v>7.9569839489212604E-2</c:v>
                </c:pt>
                <c:pt idx="1357">
                  <c:v>7.0293311941052927E-2</c:v>
                </c:pt>
                <c:pt idx="1358">
                  <c:v>6.7530732857106437E-2</c:v>
                </c:pt>
                <c:pt idx="1359">
                  <c:v>6.9153010970628814E-2</c:v>
                </c:pt>
                <c:pt idx="1360">
                  <c:v>6.8128046747352455E-2</c:v>
                </c:pt>
                <c:pt idx="1361">
                  <c:v>0.10655661559292948</c:v>
                </c:pt>
                <c:pt idx="1362">
                  <c:v>9.9951150543692829E-2</c:v>
                </c:pt>
                <c:pt idx="1363">
                  <c:v>9.2648810351822944E-2</c:v>
                </c:pt>
                <c:pt idx="1364">
                  <c:v>7.9322798029475367E-2</c:v>
                </c:pt>
                <c:pt idx="1365">
                  <c:v>7.5763046030939238E-2</c:v>
                </c:pt>
                <c:pt idx="1366">
                  <c:v>6.8602112933222853E-2</c:v>
                </c:pt>
                <c:pt idx="1367">
                  <c:v>0.1008620554347234</c:v>
                </c:pt>
                <c:pt idx="1368">
                  <c:v>7.2566745531381427E-2</c:v>
                </c:pt>
                <c:pt idx="1369">
                  <c:v>0.10451864364634135</c:v>
                </c:pt>
                <c:pt idx="1370">
                  <c:v>7.6226643655203888E-2</c:v>
                </c:pt>
                <c:pt idx="1371">
                  <c:v>7.7864262656423086E-2</c:v>
                </c:pt>
                <c:pt idx="1372">
                  <c:v>8.7397894586026662E-2</c:v>
                </c:pt>
                <c:pt idx="1373">
                  <c:v>9.4274626073092074E-2</c:v>
                </c:pt>
                <c:pt idx="1374">
                  <c:v>8.5156513796867589E-2</c:v>
                </c:pt>
                <c:pt idx="1375">
                  <c:v>9.0082324754121618E-2</c:v>
                </c:pt>
                <c:pt idx="1376">
                  <c:v>0.10921326637561279</c:v>
                </c:pt>
                <c:pt idx="1377">
                  <c:v>7.7946891774112126E-2</c:v>
                </c:pt>
                <c:pt idx="1378">
                  <c:v>7.5160198483944077E-2</c:v>
                </c:pt>
                <c:pt idx="1379">
                  <c:v>7.5880343616215137E-2</c:v>
                </c:pt>
                <c:pt idx="1380">
                  <c:v>7.537295366680255E-2</c:v>
                </c:pt>
                <c:pt idx="1381">
                  <c:v>7.5774611455370941E-2</c:v>
                </c:pt>
                <c:pt idx="1382">
                  <c:v>7.7529423536211201E-2</c:v>
                </c:pt>
                <c:pt idx="1383">
                  <c:v>7.4965884998309612E-2</c:v>
                </c:pt>
                <c:pt idx="1384">
                  <c:v>7.5515094564761201E-2</c:v>
                </c:pt>
                <c:pt idx="1385">
                  <c:v>8.6525208321336727E-2</c:v>
                </c:pt>
                <c:pt idx="1386">
                  <c:v>7.4916715480020157E-2</c:v>
                </c:pt>
                <c:pt idx="1387">
                  <c:v>7.4773637829139844E-2</c:v>
                </c:pt>
                <c:pt idx="1388">
                  <c:v>7.7180369411708694E-2</c:v>
                </c:pt>
                <c:pt idx="1389">
                  <c:v>7.4868433462274092E-2</c:v>
                </c:pt>
                <c:pt idx="1390">
                  <c:v>7.6493234294440771E-2</c:v>
                </c:pt>
                <c:pt idx="1391">
                  <c:v>8.4053592462600801E-2</c:v>
                </c:pt>
                <c:pt idx="1392">
                  <c:v>8.3569987412617341E-2</c:v>
                </c:pt>
                <c:pt idx="1393">
                  <c:v>8.3138599571536881E-2</c:v>
                </c:pt>
                <c:pt idx="1394">
                  <c:v>8.3920888105764785E-2</c:v>
                </c:pt>
                <c:pt idx="1395">
                  <c:v>8.2469132210441595E-2</c:v>
                </c:pt>
                <c:pt idx="1396">
                  <c:v>8.2379994985721364E-2</c:v>
                </c:pt>
                <c:pt idx="1397">
                  <c:v>8.237573641481899E-2</c:v>
                </c:pt>
                <c:pt idx="1398">
                  <c:v>8.2310636716692295E-2</c:v>
                </c:pt>
                <c:pt idx="1399">
                  <c:v>8.3166626299607749E-2</c:v>
                </c:pt>
                <c:pt idx="1400">
                  <c:v>8.3147416788207668E-2</c:v>
                </c:pt>
                <c:pt idx="1401">
                  <c:v>8.5152894147070765E-2</c:v>
                </c:pt>
                <c:pt idx="1402">
                  <c:v>8.9716585634975768E-2</c:v>
                </c:pt>
                <c:pt idx="1403">
                  <c:v>0.10034706375174482</c:v>
                </c:pt>
                <c:pt idx="1404">
                  <c:v>9.9892879058356421E-2</c:v>
                </c:pt>
                <c:pt idx="1405">
                  <c:v>9.9530079035522009E-2</c:v>
                </c:pt>
                <c:pt idx="1406">
                  <c:v>9.9034771306985528E-2</c:v>
                </c:pt>
                <c:pt idx="1407">
                  <c:v>0.10072812685526072</c:v>
                </c:pt>
                <c:pt idx="1408">
                  <c:v>9.8906816065499725E-2</c:v>
                </c:pt>
                <c:pt idx="1409">
                  <c:v>9.892020476583685E-2</c:v>
                </c:pt>
                <c:pt idx="1410">
                  <c:v>0.10059761811336689</c:v>
                </c:pt>
                <c:pt idx="1411">
                  <c:v>0.1000636360695184</c:v>
                </c:pt>
                <c:pt idx="1412">
                  <c:v>0.10161633615946611</c:v>
                </c:pt>
                <c:pt idx="1413">
                  <c:v>0.13212006355339367</c:v>
                </c:pt>
                <c:pt idx="1414">
                  <c:v>0.12235635148864804</c:v>
                </c:pt>
                <c:pt idx="1415">
                  <c:v>0.11522684342055312</c:v>
                </c:pt>
                <c:pt idx="1416">
                  <c:v>0.10197571491198243</c:v>
                </c:pt>
                <c:pt idx="1417">
                  <c:v>8.4269072565142378E-2</c:v>
                </c:pt>
                <c:pt idx="1418">
                  <c:v>7.4878137786292723E-2</c:v>
                </c:pt>
                <c:pt idx="1419">
                  <c:v>8.1061604155888534E-2</c:v>
                </c:pt>
                <c:pt idx="1420">
                  <c:v>7.9648682085049508E-2</c:v>
                </c:pt>
                <c:pt idx="1421">
                  <c:v>7.6477892572347661E-2</c:v>
                </c:pt>
                <c:pt idx="1422">
                  <c:v>9.5977366545625484E-2</c:v>
                </c:pt>
                <c:pt idx="1423">
                  <c:v>0.10014710478021262</c:v>
                </c:pt>
                <c:pt idx="1424">
                  <c:v>0.11459816090347044</c:v>
                </c:pt>
                <c:pt idx="1425">
                  <c:v>8.8340626386990209E-2</c:v>
                </c:pt>
                <c:pt idx="1426">
                  <c:v>8.5649158945160966E-2</c:v>
                </c:pt>
                <c:pt idx="1427">
                  <c:v>8.1465944435176643E-2</c:v>
                </c:pt>
                <c:pt idx="1428">
                  <c:v>0.27707578402238986</c:v>
                </c:pt>
                <c:pt idx="1429">
                  <c:v>0.27634676603614805</c:v>
                </c:pt>
                <c:pt idx="1430">
                  <c:v>0.2744090163296522</c:v>
                </c:pt>
                <c:pt idx="1431">
                  <c:v>0.27937413137575606</c:v>
                </c:pt>
                <c:pt idx="1432">
                  <c:v>0.13229486424509562</c:v>
                </c:pt>
                <c:pt idx="1433">
                  <c:v>0.13204118912090959</c:v>
                </c:pt>
                <c:pt idx="1434">
                  <c:v>0.13140306463839108</c:v>
                </c:pt>
                <c:pt idx="1435">
                  <c:v>0.12349307622853216</c:v>
                </c:pt>
                <c:pt idx="1436">
                  <c:v>0.12399919143344204</c:v>
                </c:pt>
                <c:pt idx="1437">
                  <c:v>0.13424721439054652</c:v>
                </c:pt>
                <c:pt idx="1438">
                  <c:v>0.13364411890684422</c:v>
                </c:pt>
                <c:pt idx="1439">
                  <c:v>0.12460707641112639</c:v>
                </c:pt>
                <c:pt idx="1440">
                  <c:v>7.8373161797122323E-2</c:v>
                </c:pt>
                <c:pt idx="1441">
                  <c:v>7.7888807676813013E-2</c:v>
                </c:pt>
                <c:pt idx="1442">
                  <c:v>7.7281456923255359E-2</c:v>
                </c:pt>
                <c:pt idx="1443">
                  <c:v>7.6827376231863836E-2</c:v>
                </c:pt>
                <c:pt idx="1444">
                  <c:v>7.6588645946984252E-2</c:v>
                </c:pt>
                <c:pt idx="1445">
                  <c:v>7.6468075496031948E-2</c:v>
                </c:pt>
                <c:pt idx="1446">
                  <c:v>7.6302326965277181E-2</c:v>
                </c:pt>
                <c:pt idx="1447">
                  <c:v>7.6519136399936183E-2</c:v>
                </c:pt>
                <c:pt idx="1448">
                  <c:v>7.6949490671816223E-2</c:v>
                </c:pt>
                <c:pt idx="1449">
                  <c:v>7.6887084647787846E-2</c:v>
                </c:pt>
                <c:pt idx="1450">
                  <c:v>7.7338217229071041E-2</c:v>
                </c:pt>
                <c:pt idx="1451">
                  <c:v>7.8545936780641118E-2</c:v>
                </c:pt>
                <c:pt idx="1452">
                  <c:v>8.0941746595517838E-2</c:v>
                </c:pt>
                <c:pt idx="1453">
                  <c:v>6.7327524551828874E-2</c:v>
                </c:pt>
                <c:pt idx="1454">
                  <c:v>6.6366359046675899E-2</c:v>
                </c:pt>
                <c:pt idx="1455">
                  <c:v>6.8167654400905525E-2</c:v>
                </c:pt>
                <c:pt idx="1456">
                  <c:v>6.5297029421875846E-2</c:v>
                </c:pt>
                <c:pt idx="1457">
                  <c:v>6.5018582014863949E-2</c:v>
                </c:pt>
                <c:pt idx="1458">
                  <c:v>6.6766749531574465E-2</c:v>
                </c:pt>
                <c:pt idx="1459">
                  <c:v>6.4586066298458783E-2</c:v>
                </c:pt>
                <c:pt idx="1460">
                  <c:v>6.4420388138107118E-2</c:v>
                </c:pt>
                <c:pt idx="1461">
                  <c:v>6.4356419375052668E-2</c:v>
                </c:pt>
                <c:pt idx="1462">
                  <c:v>6.4429978128399817E-2</c:v>
                </c:pt>
                <c:pt idx="1463">
                  <c:v>6.4751615239031945E-2</c:v>
                </c:pt>
                <c:pt idx="1464">
                  <c:v>6.6171122681970687E-2</c:v>
                </c:pt>
                <c:pt idx="1465">
                  <c:v>6.7135733308570977E-2</c:v>
                </c:pt>
                <c:pt idx="1466">
                  <c:v>6.6600905816010331E-2</c:v>
                </c:pt>
                <c:pt idx="1467">
                  <c:v>6.7547243922457978E-2</c:v>
                </c:pt>
                <c:pt idx="1468">
                  <c:v>0.16685143431746061</c:v>
                </c:pt>
                <c:pt idx="1469">
                  <c:v>0.14324343276262197</c:v>
                </c:pt>
                <c:pt idx="1470">
                  <c:v>0.1430281568268468</c:v>
                </c:pt>
                <c:pt idx="1471">
                  <c:v>0.14340635228813528</c:v>
                </c:pt>
                <c:pt idx="1472">
                  <c:v>0.14315365730789001</c:v>
                </c:pt>
                <c:pt idx="1473">
                  <c:v>0.14340742961348901</c:v>
                </c:pt>
                <c:pt idx="1474">
                  <c:v>0.14361349886800215</c:v>
                </c:pt>
                <c:pt idx="1475">
                  <c:v>0.14082448918388374</c:v>
                </c:pt>
                <c:pt idx="1476">
                  <c:v>0.1408124726200321</c:v>
                </c:pt>
                <c:pt idx="1477">
                  <c:v>0.14095060186942954</c:v>
                </c:pt>
                <c:pt idx="1478">
                  <c:v>0.14606010399094224</c:v>
                </c:pt>
                <c:pt idx="1479">
                  <c:v>0.14029288318143221</c:v>
                </c:pt>
                <c:pt idx="1480">
                  <c:v>0.14173677705394702</c:v>
                </c:pt>
                <c:pt idx="1481">
                  <c:v>0.15550231508911208</c:v>
                </c:pt>
                <c:pt idx="1482">
                  <c:v>8.3178794098586473E-2</c:v>
                </c:pt>
                <c:pt idx="1483">
                  <c:v>6.6814488781307274E-2</c:v>
                </c:pt>
                <c:pt idx="1484">
                  <c:v>6.6331535551029164E-2</c:v>
                </c:pt>
                <c:pt idx="1485">
                  <c:v>6.6358976330399375E-2</c:v>
                </c:pt>
                <c:pt idx="1486">
                  <c:v>6.4570913948845884E-2</c:v>
                </c:pt>
                <c:pt idx="1487">
                  <c:v>6.4476997775112455E-2</c:v>
                </c:pt>
                <c:pt idx="1488">
                  <c:v>6.4311927328304624E-2</c:v>
                </c:pt>
                <c:pt idx="1489">
                  <c:v>7.6830283512237182E-2</c:v>
                </c:pt>
                <c:pt idx="1490">
                  <c:v>7.7284256629408202E-2</c:v>
                </c:pt>
                <c:pt idx="1491">
                  <c:v>8.4028110129990202E-2</c:v>
                </c:pt>
                <c:pt idx="1492">
                  <c:v>7.904076608670918E-2</c:v>
                </c:pt>
                <c:pt idx="1493">
                  <c:v>7.9482011187201967E-2</c:v>
                </c:pt>
                <c:pt idx="1494">
                  <c:v>6.5391810702673164E-2</c:v>
                </c:pt>
                <c:pt idx="1495">
                  <c:v>6.7114513276174292E-2</c:v>
                </c:pt>
                <c:pt idx="1496">
                  <c:v>6.7864105629870025E-2</c:v>
                </c:pt>
                <c:pt idx="1497">
                  <c:v>8.2038736256639766E-2</c:v>
                </c:pt>
                <c:pt idx="1498">
                  <c:v>7.9569732218631284E-2</c:v>
                </c:pt>
                <c:pt idx="1499">
                  <c:v>8.1907513998684789E-2</c:v>
                </c:pt>
                <c:pt idx="1500">
                  <c:v>8.8638911523933647E-2</c:v>
                </c:pt>
                <c:pt idx="1501">
                  <c:v>8.8892422593312703E-2</c:v>
                </c:pt>
                <c:pt idx="1502">
                  <c:v>8.9375330596931063E-2</c:v>
                </c:pt>
                <c:pt idx="1503">
                  <c:v>9.500235700501744E-2</c:v>
                </c:pt>
                <c:pt idx="1504">
                  <c:v>9.3311299955346483E-2</c:v>
                </c:pt>
                <c:pt idx="1505">
                  <c:v>7.7926425035700436E-2</c:v>
                </c:pt>
                <c:pt idx="1506">
                  <c:v>7.844096028588686E-2</c:v>
                </c:pt>
                <c:pt idx="1507">
                  <c:v>8.2401331194125682E-2</c:v>
                </c:pt>
                <c:pt idx="1508">
                  <c:v>7.8633779099941251E-2</c:v>
                </c:pt>
                <c:pt idx="1509">
                  <c:v>8.9007781732908339E-2</c:v>
                </c:pt>
                <c:pt idx="1510">
                  <c:v>7.6465190921782403E-2</c:v>
                </c:pt>
                <c:pt idx="1511">
                  <c:v>6.7310830811649042E-2</c:v>
                </c:pt>
                <c:pt idx="1512">
                  <c:v>6.6632064501742555E-2</c:v>
                </c:pt>
                <c:pt idx="1513">
                  <c:v>6.6140901580013636E-2</c:v>
                </c:pt>
                <c:pt idx="1514">
                  <c:v>6.5982712310039271E-2</c:v>
                </c:pt>
                <c:pt idx="1515">
                  <c:v>6.5353810568966622E-2</c:v>
                </c:pt>
                <c:pt idx="1516">
                  <c:v>6.5362216667617823E-2</c:v>
                </c:pt>
                <c:pt idx="1517">
                  <c:v>6.5361616020416374E-2</c:v>
                </c:pt>
                <c:pt idx="1518">
                  <c:v>6.548961598181334E-2</c:v>
                </c:pt>
                <c:pt idx="1519">
                  <c:v>6.5257662253325563E-2</c:v>
                </c:pt>
                <c:pt idx="1520">
                  <c:v>6.5581686768537137E-2</c:v>
                </c:pt>
                <c:pt idx="1521">
                  <c:v>7.2534548263076246E-2</c:v>
                </c:pt>
                <c:pt idx="1522">
                  <c:v>6.6262766108971E-2</c:v>
                </c:pt>
                <c:pt idx="1523">
                  <c:v>6.7057120798739919E-2</c:v>
                </c:pt>
                <c:pt idx="1524">
                  <c:v>6.8601749599490683E-2</c:v>
                </c:pt>
                <c:pt idx="1525">
                  <c:v>7.8471831202077957E-2</c:v>
                </c:pt>
                <c:pt idx="1526">
                  <c:v>7.9729672959988951E-2</c:v>
                </c:pt>
                <c:pt idx="1527">
                  <c:v>7.0778470692744982E-2</c:v>
                </c:pt>
                <c:pt idx="1528">
                  <c:v>6.8365433830370387E-2</c:v>
                </c:pt>
                <c:pt idx="1529">
                  <c:v>6.7702031237927091E-2</c:v>
                </c:pt>
                <c:pt idx="1530">
                  <c:v>6.807112916396775E-2</c:v>
                </c:pt>
                <c:pt idx="1531">
                  <c:v>7.7638482247893992E-2</c:v>
                </c:pt>
                <c:pt idx="1532">
                  <c:v>6.767289616521252E-2</c:v>
                </c:pt>
                <c:pt idx="1533">
                  <c:v>8.4998735995299224E-2</c:v>
                </c:pt>
                <c:pt idx="1534">
                  <c:v>8.4664042868803774E-2</c:v>
                </c:pt>
                <c:pt idx="1535">
                  <c:v>6.6715659336358452E-2</c:v>
                </c:pt>
                <c:pt idx="1536">
                  <c:v>6.6455463183745636E-2</c:v>
                </c:pt>
                <c:pt idx="1537">
                  <c:v>6.7147211562796072E-2</c:v>
                </c:pt>
                <c:pt idx="1538">
                  <c:v>7.6883600548976999E-2</c:v>
                </c:pt>
                <c:pt idx="1539">
                  <c:v>7.1081135477707322E-2</c:v>
                </c:pt>
                <c:pt idx="1540">
                  <c:v>0.1006555020253517</c:v>
                </c:pt>
                <c:pt idx="1541">
                  <c:v>0.10025486422725979</c:v>
                </c:pt>
                <c:pt idx="1542">
                  <c:v>0.10350714210302536</c:v>
                </c:pt>
                <c:pt idx="1543">
                  <c:v>0.10010779607724976</c:v>
                </c:pt>
                <c:pt idx="1544">
                  <c:v>8.2978205816319123E-2</c:v>
                </c:pt>
                <c:pt idx="1545">
                  <c:v>8.2397462214401571E-2</c:v>
                </c:pt>
                <c:pt idx="1546">
                  <c:v>8.2163217519695297E-2</c:v>
                </c:pt>
                <c:pt idx="1547">
                  <c:v>8.1648054243451257E-2</c:v>
                </c:pt>
                <c:pt idx="1548">
                  <c:v>8.1074363359567095E-2</c:v>
                </c:pt>
                <c:pt idx="1549">
                  <c:v>8.4311284456190197E-2</c:v>
                </c:pt>
                <c:pt idx="1550">
                  <c:v>8.4676440131770808E-2</c:v>
                </c:pt>
                <c:pt idx="1551">
                  <c:v>8.3358099411926734E-2</c:v>
                </c:pt>
                <c:pt idx="1552">
                  <c:v>8.1392041617399297E-2</c:v>
                </c:pt>
                <c:pt idx="1553">
                  <c:v>0.10753508189809147</c:v>
                </c:pt>
                <c:pt idx="1554">
                  <c:v>0.1002828608976499</c:v>
                </c:pt>
                <c:pt idx="1555">
                  <c:v>9.8259379411048842E-2</c:v>
                </c:pt>
                <c:pt idx="1556">
                  <c:v>8.0188376433925124E-2</c:v>
                </c:pt>
                <c:pt idx="1557">
                  <c:v>9.3746182687040283E-2</c:v>
                </c:pt>
                <c:pt idx="1558">
                  <c:v>7.8026636848529105E-2</c:v>
                </c:pt>
                <c:pt idx="1559">
                  <c:v>8.1431544145460166E-2</c:v>
                </c:pt>
                <c:pt idx="1560">
                  <c:v>9.0886628610391665E-2</c:v>
                </c:pt>
                <c:pt idx="1561">
                  <c:v>8.15453639581004E-2</c:v>
                </c:pt>
                <c:pt idx="1562">
                  <c:v>8.1464288530612911E-2</c:v>
                </c:pt>
                <c:pt idx="1563">
                  <c:v>8.7884404883373846E-2</c:v>
                </c:pt>
                <c:pt idx="1564">
                  <c:v>9.6489005235376527E-2</c:v>
                </c:pt>
                <c:pt idx="1565">
                  <c:v>0.12015398791885928</c:v>
                </c:pt>
                <c:pt idx="1566">
                  <c:v>8.872301777894806E-2</c:v>
                </c:pt>
                <c:pt idx="1567">
                  <c:v>7.8256498931947485E-2</c:v>
                </c:pt>
                <c:pt idx="1568">
                  <c:v>7.237513441500748E-2</c:v>
                </c:pt>
                <c:pt idx="1569">
                  <c:v>8.1168232080571126E-2</c:v>
                </c:pt>
                <c:pt idx="1570">
                  <c:v>6.9021007301543716E-2</c:v>
                </c:pt>
                <c:pt idx="1571">
                  <c:v>6.7773591599318797E-2</c:v>
                </c:pt>
                <c:pt idx="1572">
                  <c:v>8.7769527587631291E-2</c:v>
                </c:pt>
                <c:pt idx="1573">
                  <c:v>6.9626151225066157E-2</c:v>
                </c:pt>
                <c:pt idx="1574">
                  <c:v>8.9830389238239688E-2</c:v>
                </c:pt>
                <c:pt idx="1575">
                  <c:v>6.9674974419562705E-2</c:v>
                </c:pt>
                <c:pt idx="1576">
                  <c:v>7.0976132303537262E-2</c:v>
                </c:pt>
                <c:pt idx="1577">
                  <c:v>7.0288598352492154E-2</c:v>
                </c:pt>
                <c:pt idx="1578">
                  <c:v>7.2000097101079158E-2</c:v>
                </c:pt>
                <c:pt idx="1579">
                  <c:v>8.3379735296767954E-2</c:v>
                </c:pt>
                <c:pt idx="1580">
                  <c:v>8.3713179867686643E-2</c:v>
                </c:pt>
                <c:pt idx="1581">
                  <c:v>8.2227517874826905E-2</c:v>
                </c:pt>
                <c:pt idx="1582">
                  <c:v>8.1788625585421049E-2</c:v>
                </c:pt>
                <c:pt idx="1583">
                  <c:v>6.7274288041010474E-2</c:v>
                </c:pt>
                <c:pt idx="1584">
                  <c:v>7.4866337637489289E-2</c:v>
                </c:pt>
                <c:pt idx="1585">
                  <c:v>6.9760408748312311E-2</c:v>
                </c:pt>
                <c:pt idx="1586">
                  <c:v>7.7879031547710365E-2</c:v>
                </c:pt>
                <c:pt idx="1587">
                  <c:v>7.4344453002674032E-2</c:v>
                </c:pt>
                <c:pt idx="1588">
                  <c:v>6.5372036017356833E-2</c:v>
                </c:pt>
                <c:pt idx="1589">
                  <c:v>7.2805325891935432E-2</c:v>
                </c:pt>
                <c:pt idx="1590">
                  <c:v>6.7392796732036742E-2</c:v>
                </c:pt>
                <c:pt idx="1591">
                  <c:v>6.9484730850225884E-2</c:v>
                </c:pt>
                <c:pt idx="1592">
                  <c:v>6.7049014674338964E-2</c:v>
                </c:pt>
                <c:pt idx="1593">
                  <c:v>6.6272234163318511E-2</c:v>
                </c:pt>
                <c:pt idx="1594">
                  <c:v>6.6987552122707725E-2</c:v>
                </c:pt>
                <c:pt idx="1595">
                  <c:v>8.7623810169853864E-2</c:v>
                </c:pt>
                <c:pt idx="1596">
                  <c:v>7.6759924416043054E-2</c:v>
                </c:pt>
                <c:pt idx="1597">
                  <c:v>7.6031470597967055E-2</c:v>
                </c:pt>
                <c:pt idx="1598">
                  <c:v>7.5542366037600783E-2</c:v>
                </c:pt>
                <c:pt idx="1599">
                  <c:v>7.4852138421507536E-2</c:v>
                </c:pt>
                <c:pt idx="1600">
                  <c:v>7.8183627786172494E-2</c:v>
                </c:pt>
                <c:pt idx="1601">
                  <c:v>7.7928660736052466E-2</c:v>
                </c:pt>
                <c:pt idx="1602">
                  <c:v>7.4053253730048438E-2</c:v>
                </c:pt>
                <c:pt idx="1603">
                  <c:v>7.4024284271340904E-2</c:v>
                </c:pt>
                <c:pt idx="1604">
                  <c:v>7.4249781514329635E-2</c:v>
                </c:pt>
                <c:pt idx="1605">
                  <c:v>7.4631851828558804E-2</c:v>
                </c:pt>
                <c:pt idx="1606">
                  <c:v>7.4718991397199466E-2</c:v>
                </c:pt>
                <c:pt idx="1607">
                  <c:v>7.5190316613547498E-2</c:v>
                </c:pt>
                <c:pt idx="1608">
                  <c:v>7.706909076920089E-2</c:v>
                </c:pt>
                <c:pt idx="1609">
                  <c:v>7.1149749196241549E-2</c:v>
                </c:pt>
                <c:pt idx="1610">
                  <c:v>7.026996006216793E-2</c:v>
                </c:pt>
                <c:pt idx="1611">
                  <c:v>7.7633562665525846E-2</c:v>
                </c:pt>
                <c:pt idx="1612">
                  <c:v>6.964852077513714E-2</c:v>
                </c:pt>
                <c:pt idx="1613">
                  <c:v>6.9736986920590105E-2</c:v>
                </c:pt>
                <c:pt idx="1614">
                  <c:v>6.9931038887776742E-2</c:v>
                </c:pt>
                <c:pt idx="1615">
                  <c:v>6.9962006407154803E-2</c:v>
                </c:pt>
                <c:pt idx="1616">
                  <c:v>7.5954432425692026E-2</c:v>
                </c:pt>
                <c:pt idx="1617">
                  <c:v>7.080358391415148E-2</c:v>
                </c:pt>
                <c:pt idx="1618">
                  <c:v>7.8808802125212449E-2</c:v>
                </c:pt>
                <c:pt idx="1619">
                  <c:v>7.8709093375599518E-2</c:v>
                </c:pt>
                <c:pt idx="1620">
                  <c:v>7.8025163829674837E-2</c:v>
                </c:pt>
                <c:pt idx="1621">
                  <c:v>8.5359562267007763E-2</c:v>
                </c:pt>
                <c:pt idx="1622">
                  <c:v>8.567037368444122E-2</c:v>
                </c:pt>
                <c:pt idx="1623">
                  <c:v>8.5424020186008295E-2</c:v>
                </c:pt>
                <c:pt idx="1624">
                  <c:v>0.10131060410895563</c:v>
                </c:pt>
                <c:pt idx="1625">
                  <c:v>0.10034529706597575</c:v>
                </c:pt>
                <c:pt idx="1626">
                  <c:v>0.10590531632338585</c:v>
                </c:pt>
                <c:pt idx="1627">
                  <c:v>0.10102213114602576</c:v>
                </c:pt>
                <c:pt idx="1628">
                  <c:v>0.1087917059175333</c:v>
                </c:pt>
                <c:pt idx="1629">
                  <c:v>0.10058515465141191</c:v>
                </c:pt>
                <c:pt idx="1630">
                  <c:v>0.11812474577545443</c:v>
                </c:pt>
                <c:pt idx="1631">
                  <c:v>0.11699527621794642</c:v>
                </c:pt>
                <c:pt idx="1632">
                  <c:v>0.10393589813348075</c:v>
                </c:pt>
                <c:pt idx="1633">
                  <c:v>0.10757992797713996</c:v>
                </c:pt>
                <c:pt idx="1634">
                  <c:v>9.3968628239616298E-2</c:v>
                </c:pt>
                <c:pt idx="1635">
                  <c:v>9.4063508319142342E-2</c:v>
                </c:pt>
                <c:pt idx="1636">
                  <c:v>8.9078463316601478E-2</c:v>
                </c:pt>
                <c:pt idx="1637">
                  <c:v>7.6881053055960241E-2</c:v>
                </c:pt>
                <c:pt idx="1638">
                  <c:v>8.4755120370809692E-2</c:v>
                </c:pt>
                <c:pt idx="1639">
                  <c:v>7.0440623017160447E-2</c:v>
                </c:pt>
                <c:pt idx="1640">
                  <c:v>7.0108959538189006E-2</c:v>
                </c:pt>
                <c:pt idx="1641">
                  <c:v>8.2664596149349595E-2</c:v>
                </c:pt>
                <c:pt idx="1642">
                  <c:v>0.10196799171054864</c:v>
                </c:pt>
                <c:pt idx="1643">
                  <c:v>7.2975628822651087E-2</c:v>
                </c:pt>
                <c:pt idx="1644">
                  <c:v>7.70424910129201E-2</c:v>
                </c:pt>
                <c:pt idx="1645">
                  <c:v>9.6874195050675529E-2</c:v>
                </c:pt>
                <c:pt idx="1646">
                  <c:v>0.12591521689277052</c:v>
                </c:pt>
                <c:pt idx="1647">
                  <c:v>0.11189048993724934</c:v>
                </c:pt>
                <c:pt idx="1648">
                  <c:v>0.10401007073158872</c:v>
                </c:pt>
              </c:numCache>
            </c:numRef>
          </c:xVal>
          <c:yVal>
            <c:numRef>
              <c:f>Regression!RegChartStudResid</c:f>
              <c:numCache>
                <c:formatCode>0.0000</c:formatCode>
                <c:ptCount val="164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numCache>
            </c:numRef>
          </c:yVal>
          <c:smooth val="0"/>
          <c:extLst>
            <c:ext xmlns:c16="http://schemas.microsoft.com/office/drawing/2014/chart" uri="{C3380CC4-5D6E-409C-BE32-E72D297353CC}">
              <c16:uniqueId val="{00000001-4968-4EC7-BED1-BA5658BD3CBF}"/>
            </c:ext>
          </c:extLst>
        </c:ser>
        <c:dLbls>
          <c:showLegendKey val="0"/>
          <c:showVal val="0"/>
          <c:showCatName val="0"/>
          <c:showSerName val="0"/>
          <c:showPercent val="0"/>
          <c:showBubbleSize val="0"/>
        </c:dLbls>
        <c:axId val="304920927"/>
        <c:axId val="141323983"/>
      </c:scatterChart>
      <c:valAx>
        <c:axId val="304920927"/>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41323983"/>
        <c:crosses val="autoZero"/>
        <c:crossBetween val="midCat"/>
      </c:valAx>
      <c:valAx>
        <c:axId val="141323983"/>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30492092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numCache>
            </c:numRef>
          </c:val>
          <c:extLst>
            <c:ext xmlns:c16="http://schemas.microsoft.com/office/drawing/2014/chart" uri="{C3380CC4-5D6E-409C-BE32-E72D297353CC}">
              <c16:uniqueId val="{00000001-4A38-47F0-A742-A95162630032}"/>
            </c:ext>
          </c:extLst>
        </c:ser>
        <c:dLbls>
          <c:showLegendKey val="0"/>
          <c:showVal val="0"/>
          <c:showCatName val="0"/>
          <c:showSerName val="0"/>
          <c:showPercent val="0"/>
          <c:showBubbleSize val="0"/>
        </c:dLbls>
        <c:gapWidth val="150"/>
        <c:axId val="304920927"/>
        <c:axId val="141343663"/>
      </c:barChart>
      <c:catAx>
        <c:axId val="304920927"/>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41343663"/>
        <c:crosses val="autoZero"/>
        <c:auto val="1"/>
        <c:lblAlgn val="ctr"/>
        <c:lblOffset val="100"/>
        <c:noMultiLvlLbl val="0"/>
      </c:catAx>
      <c:valAx>
        <c:axId val="141343663"/>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304920927"/>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48</xdr:col>
      <xdr:colOff>0</xdr:colOff>
      <xdr:row>2</xdr:row>
      <xdr:rowOff>0</xdr:rowOff>
    </xdr:from>
    <xdr:to>
      <xdr:col>53</xdr:col>
      <xdr:colOff>12700</xdr:colOff>
      <xdr:row>22</xdr:row>
      <xdr:rowOff>127000</xdr:rowOff>
    </xdr:to>
    <xdr:graphicFrame macro="">
      <xdr:nvGraphicFramePr>
        <xdr:cNvPr id="2" name="Chart 1">
          <a:extLst>
            <a:ext uri="{FF2B5EF4-FFF2-40B4-BE49-F238E27FC236}">
              <a16:creationId xmlns:a16="http://schemas.microsoft.com/office/drawing/2014/main" id="{92C74C32-29E7-EDAC-D365-8185F77DFE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53</xdr:col>
      <xdr:colOff>139700</xdr:colOff>
      <xdr:row>2</xdr:row>
      <xdr:rowOff>0</xdr:rowOff>
    </xdr:from>
    <xdr:to>
      <xdr:col>59</xdr:col>
      <xdr:colOff>419100</xdr:colOff>
      <xdr:row>22</xdr:row>
      <xdr:rowOff>127000</xdr:rowOff>
    </xdr:to>
    <xdr:graphicFrame macro="">
      <xdr:nvGraphicFramePr>
        <xdr:cNvPr id="3" name="Chart 2">
          <a:extLst>
            <a:ext uri="{FF2B5EF4-FFF2-40B4-BE49-F238E27FC236}">
              <a16:creationId xmlns:a16="http://schemas.microsoft.com/office/drawing/2014/main" id="{48028044-ECFC-1944-A386-17B9D35E10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48</xdr:col>
      <xdr:colOff>0</xdr:colOff>
      <xdr:row>23</xdr:row>
      <xdr:rowOff>63500</xdr:rowOff>
    </xdr:from>
    <xdr:to>
      <xdr:col>53</xdr:col>
      <xdr:colOff>12700</xdr:colOff>
      <xdr:row>44</xdr:row>
      <xdr:rowOff>0</xdr:rowOff>
    </xdr:to>
    <xdr:graphicFrame macro="">
      <xdr:nvGraphicFramePr>
        <xdr:cNvPr id="4" name="Chart 3">
          <a:extLst>
            <a:ext uri="{FF2B5EF4-FFF2-40B4-BE49-F238E27FC236}">
              <a16:creationId xmlns:a16="http://schemas.microsoft.com/office/drawing/2014/main" id="{3DD74BB2-7C50-2972-FE77-68957030A0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53</xdr:col>
      <xdr:colOff>139700</xdr:colOff>
      <xdr:row>23</xdr:row>
      <xdr:rowOff>63500</xdr:rowOff>
    </xdr:from>
    <xdr:to>
      <xdr:col>59</xdr:col>
      <xdr:colOff>419100</xdr:colOff>
      <xdr:row>44</xdr:row>
      <xdr:rowOff>0</xdr:rowOff>
    </xdr:to>
    <xdr:graphicFrame macro="">
      <xdr:nvGraphicFramePr>
        <xdr:cNvPr id="5" name="Chart 4">
          <a:extLst>
            <a:ext uri="{FF2B5EF4-FFF2-40B4-BE49-F238E27FC236}">
              <a16:creationId xmlns:a16="http://schemas.microsoft.com/office/drawing/2014/main" id="{C315164D-8E82-0F68-B138-90FD835BB2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48</xdr:col>
      <xdr:colOff>0</xdr:colOff>
      <xdr:row>44</xdr:row>
      <xdr:rowOff>127000</xdr:rowOff>
    </xdr:from>
    <xdr:to>
      <xdr:col>53</xdr:col>
      <xdr:colOff>12700</xdr:colOff>
      <xdr:row>65</xdr:row>
      <xdr:rowOff>63500</xdr:rowOff>
    </xdr:to>
    <xdr:graphicFrame macro="">
      <xdr:nvGraphicFramePr>
        <xdr:cNvPr id="6" name="Chart 5">
          <a:extLst>
            <a:ext uri="{FF2B5EF4-FFF2-40B4-BE49-F238E27FC236}">
              <a16:creationId xmlns:a16="http://schemas.microsoft.com/office/drawing/2014/main" id="{7046C487-78D7-3B13-4291-4639C5AC54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53</xdr:col>
      <xdr:colOff>139700</xdr:colOff>
      <xdr:row>44</xdr:row>
      <xdr:rowOff>127000</xdr:rowOff>
    </xdr:from>
    <xdr:to>
      <xdr:col>59</xdr:col>
      <xdr:colOff>419100</xdr:colOff>
      <xdr:row>65</xdr:row>
      <xdr:rowOff>63500</xdr:rowOff>
    </xdr:to>
    <xdr:graphicFrame macro="">
      <xdr:nvGraphicFramePr>
        <xdr:cNvPr id="7" name="Chart 6">
          <a:extLst>
            <a:ext uri="{FF2B5EF4-FFF2-40B4-BE49-F238E27FC236}">
              <a16:creationId xmlns:a16="http://schemas.microsoft.com/office/drawing/2014/main" id="{F7591DB5-31A4-D5DE-FC0D-C5111CFF5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48</xdr:col>
      <xdr:colOff>0</xdr:colOff>
      <xdr:row>66</xdr:row>
      <xdr:rowOff>0</xdr:rowOff>
    </xdr:from>
    <xdr:to>
      <xdr:col>53</xdr:col>
      <xdr:colOff>12700</xdr:colOff>
      <xdr:row>86</xdr:row>
      <xdr:rowOff>127000</xdr:rowOff>
    </xdr:to>
    <xdr:graphicFrame macro="">
      <xdr:nvGraphicFramePr>
        <xdr:cNvPr id="8" name="Chart 7">
          <a:extLst>
            <a:ext uri="{FF2B5EF4-FFF2-40B4-BE49-F238E27FC236}">
              <a16:creationId xmlns:a16="http://schemas.microsoft.com/office/drawing/2014/main" id="{ED7E508F-C4E1-FE15-CA4A-A15D8C2D46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E42338F-550A-41F3-8804-56ABB1602E5D}" name="LAMBDAFunctionsCatalog" displayName="LAMBDAFunctionsCatalog" ref="A1:G113" totalsRowShown="0" headerRowDxfId="46" dataDxfId="45">
  <autoFilter ref="A1:G113" xr:uid="{8E42338F-550A-41F3-8804-56ABB1602E5D}"/>
  <tableColumns count="7">
    <tableColumn id="1" xr3:uid="{1EA4E090-D3D5-43CC-A5D5-C602608FB622}" name="Function Name" dataDxfId="44"/>
    <tableColumn id="2" xr3:uid="{4E45AEE7-E7C9-4350-955E-C020C6371C83}" name="Scope" dataDxfId="43"/>
    <tableColumn id="3" xr3:uid="{49244CB3-5A5C-4526-A548-B890C1F86023}" name="Definition" dataDxfId="42"/>
    <tableColumn id="4" xr3:uid="{DA4369AE-7ECE-47D8-AEA8-FE63DD5C2D2D}" name="Arguments" dataDxfId="41"/>
    <tableColumn id="5" xr3:uid="{AF5C6B6D-665E-474E-90F9-7FC1F2AAFF2A}" name="Yields" dataDxfId="40"/>
    <tableColumn id="6" xr3:uid="{FD706AAA-F505-47D6-9631-A123FF7E9F82}" name="Plain-Language Summary" dataDxfId="39"/>
    <tableColumn id="7" xr3:uid="{FCC0A28E-2C0B-4069-A7D4-65BE36812B8A}" name="Description" dataDxfId="3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4570281-D5FA-4F26-8B79-F15E4E56D5EA}" name="LifeExpectancyData" displayName="LifeExpectancyData" ref="A1:X2939" totalsRowShown="0">
  <autoFilter ref="A1:X2939" xr:uid="{14570281-D5FA-4F26-8B79-F15E4E56D5EA}"/>
  <tableColumns count="24">
    <tableColumn id="1" xr3:uid="{62C08514-4B90-4113-9169-37498F562CF5}" name="Country"/>
    <tableColumn id="2" xr3:uid="{9A42189E-6911-48C0-865F-D9750301572E}" name="Year"/>
    <tableColumn id="3" xr3:uid="{7D8850B8-0F65-4CFC-8F44-0C1FED9370AE}" name="Status"/>
    <tableColumn id="4" xr3:uid="{C80B77B3-A8D6-4738-8057-5E56813A6312}" name="Life expectancy"/>
    <tableColumn id="5" xr3:uid="{C8CBF616-7968-4584-A8F1-8BA8A0D4C5AF}" name="Adult Mortality"/>
    <tableColumn id="6" xr3:uid="{26E3AE8C-053E-40F8-B530-C65B8F66738D}" name="infant deaths"/>
    <tableColumn id="7" xr3:uid="{0575B5C9-C259-438D-89BF-53DCCD80C1D2}" name="Alcohol"/>
    <tableColumn id="8" xr3:uid="{B861CFFE-D957-4C2B-B48B-BBB61053F483}" name="percentage expenditure"/>
    <tableColumn id="9" xr3:uid="{A3422F4E-BB0A-4C23-9E05-79557DADD05D}" name="Hepatitis B"/>
    <tableColumn id="10" xr3:uid="{AA691BD9-847E-4E03-980E-02951C13013A}" name="Measles"/>
    <tableColumn id="11" xr3:uid="{C2FCD32D-E90C-400C-A5C7-176468A10AA5}" name="BMI"/>
    <tableColumn id="12" xr3:uid="{AD5D89CD-074B-45C4-9743-C3D82FBCAE67}" name="under-five deaths"/>
    <tableColumn id="13" xr3:uid="{94828F23-116D-4169-8EBF-CBA015044429}" name="Polio"/>
    <tableColumn id="14" xr3:uid="{552AB64E-9662-4474-B6D2-FD8D0B059470}" name="Total expenditure"/>
    <tableColumn id="15" xr3:uid="{E60E2FFB-7236-4C48-8C63-7C7D2BF12C30}" name="Diphtheria"/>
    <tableColumn id="16" xr3:uid="{65D42038-F613-411F-95C4-104021E51732}" name="HIV/AIDS"/>
    <tableColumn id="17" xr3:uid="{59186CBB-6BC5-4BF1-BC8F-20A9015D06C0}" name="GDP"/>
    <tableColumn id="18" xr3:uid="{DE22B9D1-ECBF-4CC0-BE81-E1968DBE7820}" name="Population"/>
    <tableColumn id="19" xr3:uid="{DCF0D651-4C53-49EA-8015-4DBDA191C75F}" name="thinness 1-19 years"/>
    <tableColumn id="20" xr3:uid="{EEAE2217-F562-466A-8C28-5F7F795F4D08}" name="thinness 5-9 years"/>
    <tableColumn id="21" xr3:uid="{D1A61B31-9D35-40C9-8031-FDF91C7F0C7E}" name="Income composition of resources"/>
    <tableColumn id="22" xr3:uid="{0E46AD27-54FF-4B5B-B824-67F740652228}" name="Schooling"/>
    <tableColumn id="23" xr3:uid="{AC48299E-AA37-4BD9-80C1-DE95EB5C0B89}" name="Full_Data">
      <calculatedColumnFormula>Data_Completeness(LifeExpectancyData[[#This Row],[Life expectancy]:[Schooling]])</calculatedColumnFormula>
    </tableColumn>
    <tableColumn id="24" xr3:uid="{C827BA80-FD41-4568-9060-A0F4DAD78E6E}" name="Column1" dataDxfId="7">
      <calculatedColumnFormula>DATE(LifeExpectancyData[[#This Row],[Year]],RANDBETWEEN(1,12),1)</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5FED87A-2646-4AF3-B800-3182BB1EA235}" name="SpecTable" displayName="SpecTable" ref="B3:L27" totalsRowShown="0" headerRowDxfId="49">
  <autoFilter ref="B3:L27" xr:uid="{F5FED87A-2646-4AF3-B800-3182BB1EA235}"/>
  <tableColumns count="11">
    <tableColumn id="1" xr3:uid="{98C57A02-230F-453D-835B-185BB749518B}" name="Role"/>
    <tableColumn id="2" xr3:uid="{6A0BAE2A-5E34-4B3C-9233-4877A79DB287}" name="Include"/>
    <tableColumn id="3" xr3:uid="{D7C518B8-F5BC-4D80-AEC7-9283DD271F72}" name="Type"/>
    <tableColumn id="4" xr3:uid="{0894EA1A-C4EA-4479-B501-4AC1B64FDE04}" name="Reference Level"/>
    <tableColumn id="5" xr3:uid="{B62E8A1A-F37D-48CB-9592-91C6E98016D4}" name="Order"/>
    <tableColumn id="6" xr3:uid="{14DA6D1B-6269-40DD-A10E-6EFEB686CC69}" name="Transform"/>
    <tableColumn id="7" xr3:uid="{D918E0D9-ACC6-47B6-ACD3-12E8D5ED9FE9}" name="Sequence"/>
    <tableColumn id="8" xr3:uid="{8FED6FAB-C729-438B-BA65-903899998E0F}" name="Sequence Period"/>
    <tableColumn id="9" xr3:uid="{1B120727-1288-4939-93C7-C55880CF36DE}" name="Period In Use" dataDxfId="48">
      <calculatedColumnFormula>IF(SpecTable[[#This Row],[Sequence]]&lt;&gt;TRUE,"",IF(N(SpecTable[[#This Row],[Sequence Period]])&lt;&gt;0,SpecTable[[#This Row],[Sequence Period]],IFERROR(Base_Period_Delta_Candidate(),"")))</calculatedColumnFormula>
    </tableColumn>
    <tableColumn id="10" xr3:uid="{4D0EB499-FFED-42FD-8BCC-73D160F8E06E}" name="Levels" dataDxfId="0">
      <calculatedColumnFormula array="1">IF(OR(SpecTable[[#This Row],[Role]]&lt;&gt;"Predictor (x)",SpecTable[[#This Row],[Type]]&lt;&gt;"Categorical"),"",_xlfn.LET(_xlpm.col,INDEX(Source_Data,0,ROW()-3),_xlpm.x,IF(_xlfn.SINGLE(_xlpm.col)="","",_xlpm.col),IFERROR(ROWS(_xlfn.UNIQUE(_xlfn._xlws.FILTER(_xlpm.x,(_xlpm.x&lt;&gt;"")*Sample_Include()))),0)))</calculatedColumnFormula>
    </tableColumn>
    <tableColumn id="11" xr3:uid="{961CAA35-5F4C-4F10-AA18-69D12676B9CB}" name="Reference In Use" dataDxfId="47">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13"/>
  <sheetViews>
    <sheetView workbookViewId="0">
      <pane ySplit="1" topLeftCell="A2" activePane="bottomLeft" state="frozenSplit"/>
      <selection pane="bottomLeft" activeCell="B4" sqref="B4"/>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902</v>
      </c>
      <c r="C1" s="2" t="s">
        <v>1</v>
      </c>
      <c r="D1" s="2" t="s">
        <v>2</v>
      </c>
      <c r="E1" s="2" t="s">
        <v>3</v>
      </c>
      <c r="F1" s="2" t="s">
        <v>4</v>
      </c>
      <c r="G1" s="2" t="s">
        <v>5</v>
      </c>
    </row>
    <row r="2" spans="1:7" ht="90" x14ac:dyDescent="0.25">
      <c r="A2" s="2" t="s">
        <v>6</v>
      </c>
      <c r="B2" s="2" t="s">
        <v>903</v>
      </c>
      <c r="C2" s="1" t="s">
        <v>7</v>
      </c>
      <c r="D2" s="2" t="s">
        <v>8</v>
      </c>
      <c r="E2" s="2" t="s">
        <v>9</v>
      </c>
      <c r="F2" s="2" t="s">
        <v>10</v>
      </c>
      <c r="G2" s="2" t="s">
        <v>11</v>
      </c>
    </row>
    <row r="3" spans="1:7" ht="105" x14ac:dyDescent="0.25">
      <c r="A3" s="2" t="s">
        <v>795</v>
      </c>
      <c r="B3" s="2" t="s">
        <v>903</v>
      </c>
      <c r="C3" s="1" t="s">
        <v>12</v>
      </c>
      <c r="D3" s="2" t="s">
        <v>13</v>
      </c>
      <c r="E3" s="2" t="s">
        <v>14</v>
      </c>
      <c r="F3" s="2" t="s">
        <v>15</v>
      </c>
      <c r="G3" s="2" t="s">
        <v>16</v>
      </c>
    </row>
    <row r="4" spans="1:7" ht="105" x14ac:dyDescent="0.25">
      <c r="A4" s="2" t="s">
        <v>796</v>
      </c>
      <c r="B4" s="2" t="s">
        <v>903</v>
      </c>
      <c r="C4" s="1" t="s">
        <v>17</v>
      </c>
      <c r="D4" s="2" t="s">
        <v>18</v>
      </c>
      <c r="E4" s="2" t="s">
        <v>19</v>
      </c>
      <c r="F4" s="2" t="s">
        <v>20</v>
      </c>
      <c r="G4" s="2" t="s">
        <v>21</v>
      </c>
    </row>
    <row r="5" spans="1:7" ht="120" x14ac:dyDescent="0.25">
      <c r="A5" s="2" t="s">
        <v>797</v>
      </c>
      <c r="B5" s="2" t="s">
        <v>903</v>
      </c>
      <c r="C5" s="1" t="s">
        <v>22</v>
      </c>
      <c r="D5" s="2" t="s">
        <v>23</v>
      </c>
      <c r="E5" s="2" t="s">
        <v>24</v>
      </c>
      <c r="F5" s="2" t="s">
        <v>25</v>
      </c>
      <c r="G5" s="2" t="s">
        <v>798</v>
      </c>
    </row>
    <row r="6" spans="1:7" ht="120" x14ac:dyDescent="0.25">
      <c r="A6" s="2" t="s">
        <v>799</v>
      </c>
      <c r="B6" s="2" t="s">
        <v>903</v>
      </c>
      <c r="C6" s="1" t="s">
        <v>800</v>
      </c>
      <c r="D6" s="2" t="s">
        <v>23</v>
      </c>
      <c r="E6" s="2" t="s">
        <v>26</v>
      </c>
      <c r="F6" s="2" t="s">
        <v>27</v>
      </c>
      <c r="G6" s="2" t="s">
        <v>801</v>
      </c>
    </row>
    <row r="7" spans="1:7" ht="120" x14ac:dyDescent="0.25">
      <c r="A7" s="2" t="s">
        <v>28</v>
      </c>
      <c r="B7" s="2" t="s">
        <v>903</v>
      </c>
      <c r="C7" s="1" t="s">
        <v>802</v>
      </c>
      <c r="D7" s="2" t="s">
        <v>23</v>
      </c>
      <c r="E7" s="2" t="s">
        <v>29</v>
      </c>
      <c r="F7" s="2" t="s">
        <v>30</v>
      </c>
      <c r="G7" s="2" t="s">
        <v>803</v>
      </c>
    </row>
    <row r="8" spans="1:7" ht="165" x14ac:dyDescent="0.25">
      <c r="A8" s="2" t="s">
        <v>804</v>
      </c>
      <c r="B8" s="2" t="s">
        <v>903</v>
      </c>
      <c r="C8" s="1" t="s">
        <v>805</v>
      </c>
      <c r="D8" s="2" t="s">
        <v>23</v>
      </c>
      <c r="E8" s="2" t="s">
        <v>31</v>
      </c>
      <c r="F8" s="2" t="s">
        <v>32</v>
      </c>
      <c r="G8" s="2" t="s">
        <v>806</v>
      </c>
    </row>
    <row r="9" spans="1:7" ht="120" x14ac:dyDescent="0.25">
      <c r="A9" s="2" t="s">
        <v>33</v>
      </c>
      <c r="B9" s="2" t="s">
        <v>903</v>
      </c>
      <c r="C9" s="1" t="s">
        <v>34</v>
      </c>
      <c r="D9" s="2" t="s">
        <v>18</v>
      </c>
      <c r="E9" s="2" t="s">
        <v>35</v>
      </c>
      <c r="F9" s="2" t="s">
        <v>36</v>
      </c>
      <c r="G9" s="2" t="s">
        <v>37</v>
      </c>
    </row>
    <row r="10" spans="1:7" ht="120" x14ac:dyDescent="0.25">
      <c r="A10" s="2" t="s">
        <v>38</v>
      </c>
      <c r="B10" s="2" t="s">
        <v>903</v>
      </c>
      <c r="C10" s="1" t="s">
        <v>807</v>
      </c>
      <c r="D10" s="2" t="s">
        <v>23</v>
      </c>
      <c r="E10" s="2" t="s">
        <v>39</v>
      </c>
      <c r="F10" s="2" t="s">
        <v>40</v>
      </c>
      <c r="G10" s="2" t="s">
        <v>808</v>
      </c>
    </row>
    <row r="11" spans="1:7" ht="120" x14ac:dyDescent="0.25">
      <c r="A11" s="2" t="s">
        <v>41</v>
      </c>
      <c r="B11" s="2" t="s">
        <v>903</v>
      </c>
      <c r="C11" s="1" t="s">
        <v>809</v>
      </c>
      <c r="D11" s="2" t="s">
        <v>23</v>
      </c>
      <c r="E11" s="2" t="s">
        <v>42</v>
      </c>
      <c r="F11" s="2" t="s">
        <v>43</v>
      </c>
      <c r="G11" s="2" t="s">
        <v>810</v>
      </c>
    </row>
    <row r="12" spans="1:7" ht="120" x14ac:dyDescent="0.25">
      <c r="A12" s="2" t="s">
        <v>44</v>
      </c>
      <c r="B12" s="2" t="s">
        <v>903</v>
      </c>
      <c r="C12" s="1" t="s">
        <v>811</v>
      </c>
      <c r="D12" s="2" t="s">
        <v>23</v>
      </c>
      <c r="E12" s="2" t="s">
        <v>45</v>
      </c>
      <c r="F12" s="2" t="s">
        <v>46</v>
      </c>
      <c r="G12" s="2" t="s">
        <v>47</v>
      </c>
    </row>
    <row r="13" spans="1:7" ht="120" x14ac:dyDescent="0.25">
      <c r="A13" s="2" t="s">
        <v>48</v>
      </c>
      <c r="B13" s="2" t="s">
        <v>903</v>
      </c>
      <c r="C13" s="1" t="s">
        <v>812</v>
      </c>
      <c r="D13" s="2" t="s">
        <v>23</v>
      </c>
      <c r="E13" s="2" t="s">
        <v>49</v>
      </c>
      <c r="F13" s="2" t="s">
        <v>50</v>
      </c>
      <c r="G13" s="2" t="s">
        <v>51</v>
      </c>
    </row>
    <row r="14" spans="1:7" ht="120" x14ac:dyDescent="0.25">
      <c r="A14" s="2" t="s">
        <v>52</v>
      </c>
      <c r="B14" s="2" t="s">
        <v>903</v>
      </c>
      <c r="C14" s="1" t="s">
        <v>813</v>
      </c>
      <c r="D14" s="2" t="s">
        <v>23</v>
      </c>
      <c r="E14" s="2" t="s">
        <v>53</v>
      </c>
      <c r="F14" s="2" t="s">
        <v>54</v>
      </c>
      <c r="G14" s="2" t="s">
        <v>814</v>
      </c>
    </row>
    <row r="15" spans="1:7" ht="120" x14ac:dyDescent="0.25">
      <c r="A15" s="2" t="s">
        <v>55</v>
      </c>
      <c r="B15" s="2" t="s">
        <v>903</v>
      </c>
      <c r="C15" s="1" t="s">
        <v>869</v>
      </c>
      <c r="D15" s="2" t="s">
        <v>23</v>
      </c>
      <c r="E15" s="2" t="s">
        <v>56</v>
      </c>
      <c r="F15" s="2" t="s">
        <v>57</v>
      </c>
      <c r="G15" s="2" t="s">
        <v>876</v>
      </c>
    </row>
    <row r="16" spans="1:7" ht="135" x14ac:dyDescent="0.25">
      <c r="A16" s="2" t="s">
        <v>58</v>
      </c>
      <c r="B16" s="2" t="s">
        <v>903</v>
      </c>
      <c r="C16" s="1" t="s">
        <v>815</v>
      </c>
      <c r="D16" s="2" t="s">
        <v>23</v>
      </c>
      <c r="E16" s="2" t="s">
        <v>59</v>
      </c>
      <c r="F16" s="2" t="s">
        <v>60</v>
      </c>
      <c r="G16" s="2" t="s">
        <v>61</v>
      </c>
    </row>
    <row r="17" spans="1:7" ht="135" x14ac:dyDescent="0.25">
      <c r="A17" s="2" t="s">
        <v>62</v>
      </c>
      <c r="B17" s="2" t="s">
        <v>903</v>
      </c>
      <c r="C17" s="1" t="s">
        <v>816</v>
      </c>
      <c r="D17" s="2" t="s">
        <v>23</v>
      </c>
      <c r="E17" s="2" t="s">
        <v>63</v>
      </c>
      <c r="F17" s="2" t="s">
        <v>64</v>
      </c>
      <c r="G17" s="2" t="s">
        <v>65</v>
      </c>
    </row>
    <row r="18" spans="1:7" ht="150" x14ac:dyDescent="0.25">
      <c r="A18" s="2" t="s">
        <v>66</v>
      </c>
      <c r="B18" s="2" t="s">
        <v>903</v>
      </c>
      <c r="C18" s="1" t="s">
        <v>817</v>
      </c>
      <c r="D18" s="2" t="s">
        <v>23</v>
      </c>
      <c r="E18" s="2" t="s">
        <v>67</v>
      </c>
      <c r="F18" s="2" t="s">
        <v>68</v>
      </c>
      <c r="G18" s="2" t="s">
        <v>69</v>
      </c>
    </row>
    <row r="19" spans="1:7" ht="135" x14ac:dyDescent="0.25">
      <c r="A19" s="2" t="s">
        <v>70</v>
      </c>
      <c r="B19" s="2" t="s">
        <v>903</v>
      </c>
      <c r="C19" s="1" t="s">
        <v>71</v>
      </c>
      <c r="D19" s="2" t="s">
        <v>23</v>
      </c>
      <c r="E19" s="2" t="s">
        <v>72</v>
      </c>
      <c r="F19" s="2" t="s">
        <v>73</v>
      </c>
      <c r="G19" s="2" t="s">
        <v>74</v>
      </c>
    </row>
    <row r="20" spans="1:7" ht="375" x14ac:dyDescent="0.25">
      <c r="A20" s="2" t="s">
        <v>955</v>
      </c>
      <c r="B20" s="2" t="s">
        <v>903</v>
      </c>
      <c r="C20" s="1" t="s">
        <v>956</v>
      </c>
      <c r="D20" s="2" t="s">
        <v>957</v>
      </c>
      <c r="E20" s="2" t="s">
        <v>958</v>
      </c>
      <c r="F20" s="2" t="s">
        <v>959</v>
      </c>
      <c r="G20" s="2" t="s">
        <v>960</v>
      </c>
    </row>
    <row r="21" spans="1:7" ht="409.5" x14ac:dyDescent="0.25">
      <c r="A21" s="2" t="s">
        <v>961</v>
      </c>
      <c r="B21" s="2" t="s">
        <v>903</v>
      </c>
      <c r="C21" s="1" t="s">
        <v>962</v>
      </c>
      <c r="D21" s="2" t="s">
        <v>963</v>
      </c>
      <c r="E21" s="2" t="s">
        <v>964</v>
      </c>
      <c r="F21" s="2" t="s">
        <v>965</v>
      </c>
      <c r="G21" s="2" t="s">
        <v>966</v>
      </c>
    </row>
    <row r="22" spans="1:7" ht="135" x14ac:dyDescent="0.25">
      <c r="A22" s="2" t="s">
        <v>75</v>
      </c>
      <c r="B22" s="2" t="s">
        <v>903</v>
      </c>
      <c r="C22" s="1" t="s">
        <v>76</v>
      </c>
      <c r="D22" s="2" t="s">
        <v>23</v>
      </c>
      <c r="E22" s="2" t="s">
        <v>77</v>
      </c>
      <c r="F22" s="2" t="s">
        <v>78</v>
      </c>
      <c r="G22" s="2" t="s">
        <v>79</v>
      </c>
    </row>
    <row r="23" spans="1:7" ht="165" x14ac:dyDescent="0.25">
      <c r="A23" s="2" t="s">
        <v>80</v>
      </c>
      <c r="B23" s="2" t="s">
        <v>903</v>
      </c>
      <c r="C23" s="1" t="s">
        <v>81</v>
      </c>
      <c r="D23" s="2" t="s">
        <v>23</v>
      </c>
      <c r="E23" s="2" t="s">
        <v>82</v>
      </c>
      <c r="F23" s="2" t="s">
        <v>83</v>
      </c>
      <c r="G23" s="2" t="s">
        <v>84</v>
      </c>
    </row>
    <row r="24" spans="1:7" ht="180" x14ac:dyDescent="0.25">
      <c r="A24" s="2" t="s">
        <v>85</v>
      </c>
      <c r="B24" s="2" t="s">
        <v>903</v>
      </c>
      <c r="C24" s="1" t="s">
        <v>86</v>
      </c>
      <c r="D24" s="2" t="s">
        <v>23</v>
      </c>
      <c r="E24" s="2" t="s">
        <v>87</v>
      </c>
      <c r="F24" s="2" t="s">
        <v>88</v>
      </c>
      <c r="G24" s="2" t="s">
        <v>89</v>
      </c>
    </row>
    <row r="25" spans="1:7" ht="120" x14ac:dyDescent="0.25">
      <c r="A25" s="2" t="s">
        <v>818</v>
      </c>
      <c r="B25" s="2" t="s">
        <v>903</v>
      </c>
      <c r="C25" s="1" t="s">
        <v>90</v>
      </c>
      <c r="D25" s="2" t="s">
        <v>23</v>
      </c>
      <c r="E25" s="2" t="s">
        <v>91</v>
      </c>
      <c r="F25" s="2" t="s">
        <v>92</v>
      </c>
      <c r="G25" s="2" t="s">
        <v>93</v>
      </c>
    </row>
    <row r="26" spans="1:7" ht="120" x14ac:dyDescent="0.25">
      <c r="A26" s="2" t="s">
        <v>94</v>
      </c>
      <c r="B26" s="2" t="s">
        <v>903</v>
      </c>
      <c r="C26" s="1" t="s">
        <v>819</v>
      </c>
      <c r="D26" s="2" t="s">
        <v>23</v>
      </c>
      <c r="E26" s="2" t="s">
        <v>95</v>
      </c>
      <c r="F26" s="2" t="s">
        <v>96</v>
      </c>
      <c r="G26" s="2" t="s">
        <v>820</v>
      </c>
    </row>
    <row r="27" spans="1:7" ht="150" x14ac:dyDescent="0.25">
      <c r="A27" s="2" t="s">
        <v>821</v>
      </c>
      <c r="B27" s="2" t="s">
        <v>903</v>
      </c>
      <c r="C27" s="1" t="s">
        <v>822</v>
      </c>
      <c r="D27" s="2" t="s">
        <v>97</v>
      </c>
      <c r="E27" s="2" t="s">
        <v>98</v>
      </c>
      <c r="F27" s="2" t="s">
        <v>99</v>
      </c>
      <c r="G27" s="2" t="s">
        <v>823</v>
      </c>
    </row>
    <row r="28" spans="1:7" ht="150" x14ac:dyDescent="0.25">
      <c r="A28" s="2" t="s">
        <v>824</v>
      </c>
      <c r="B28" s="2" t="s">
        <v>903</v>
      </c>
      <c r="C28" s="1" t="s">
        <v>825</v>
      </c>
      <c r="D28" s="2" t="s">
        <v>97</v>
      </c>
      <c r="E28" s="2" t="s">
        <v>100</v>
      </c>
      <c r="F28" s="2" t="s">
        <v>101</v>
      </c>
      <c r="G28" s="2" t="s">
        <v>826</v>
      </c>
    </row>
    <row r="29" spans="1:7" ht="120" x14ac:dyDescent="0.25">
      <c r="A29" s="2" t="s">
        <v>827</v>
      </c>
      <c r="B29" s="2" t="s">
        <v>903</v>
      </c>
      <c r="C29" s="1" t="s">
        <v>828</v>
      </c>
      <c r="D29" s="2" t="s">
        <v>23</v>
      </c>
      <c r="E29" s="2" t="s">
        <v>102</v>
      </c>
      <c r="F29" s="2" t="s">
        <v>103</v>
      </c>
      <c r="G29" s="2" t="s">
        <v>829</v>
      </c>
    </row>
    <row r="30" spans="1:7" ht="120" x14ac:dyDescent="0.25">
      <c r="A30" s="2" t="s">
        <v>104</v>
      </c>
      <c r="B30" s="2" t="s">
        <v>903</v>
      </c>
      <c r="C30" s="1" t="s">
        <v>830</v>
      </c>
      <c r="D30" s="2" t="s">
        <v>23</v>
      </c>
      <c r="E30" s="2" t="s">
        <v>105</v>
      </c>
      <c r="F30" s="2" t="s">
        <v>106</v>
      </c>
      <c r="G30" s="2" t="s">
        <v>831</v>
      </c>
    </row>
    <row r="31" spans="1:7" ht="180" x14ac:dyDescent="0.25">
      <c r="A31" s="2" t="s">
        <v>107</v>
      </c>
      <c r="B31" s="2" t="s">
        <v>903</v>
      </c>
      <c r="C31" s="1" t="s">
        <v>108</v>
      </c>
      <c r="D31" s="2" t="s">
        <v>23</v>
      </c>
      <c r="E31" s="2" t="s">
        <v>109</v>
      </c>
      <c r="F31" s="2" t="s">
        <v>110</v>
      </c>
      <c r="G31" s="2" t="s">
        <v>111</v>
      </c>
    </row>
    <row r="32" spans="1:7" ht="300" x14ac:dyDescent="0.25">
      <c r="A32" s="2" t="s">
        <v>112</v>
      </c>
      <c r="B32" s="2" t="s">
        <v>903</v>
      </c>
      <c r="C32" s="1" t="s">
        <v>832</v>
      </c>
      <c r="D32" s="2" t="s">
        <v>113</v>
      </c>
      <c r="E32" s="2" t="s">
        <v>114</v>
      </c>
      <c r="F32" s="2" t="s">
        <v>115</v>
      </c>
      <c r="G32" s="2" t="s">
        <v>116</v>
      </c>
    </row>
    <row r="33" spans="1:7" ht="120" x14ac:dyDescent="0.25">
      <c r="A33" s="2" t="s">
        <v>117</v>
      </c>
      <c r="B33" s="2" t="s">
        <v>903</v>
      </c>
      <c r="C33" s="1" t="s">
        <v>118</v>
      </c>
      <c r="D33" s="2" t="s">
        <v>119</v>
      </c>
      <c r="E33" s="2" t="s">
        <v>120</v>
      </c>
      <c r="F33" s="2" t="s">
        <v>121</v>
      </c>
      <c r="G33" s="2" t="s">
        <v>122</v>
      </c>
    </row>
    <row r="34" spans="1:7" ht="405" x14ac:dyDescent="0.25">
      <c r="A34" s="2" t="s">
        <v>123</v>
      </c>
      <c r="B34" s="2" t="s">
        <v>903</v>
      </c>
      <c r="C34" s="1" t="s">
        <v>833</v>
      </c>
      <c r="D34" s="2" t="s">
        <v>124</v>
      </c>
      <c r="E34" s="2" t="s">
        <v>125</v>
      </c>
      <c r="F34" s="2" t="s">
        <v>126</v>
      </c>
      <c r="G34" s="2" t="s">
        <v>127</v>
      </c>
    </row>
    <row r="35" spans="1:7" ht="60" x14ac:dyDescent="0.25">
      <c r="A35" s="2" t="s">
        <v>834</v>
      </c>
      <c r="B35" s="2" t="s">
        <v>903</v>
      </c>
      <c r="C35" s="1" t="s">
        <v>128</v>
      </c>
      <c r="D35" s="2" t="s">
        <v>8</v>
      </c>
      <c r="E35" s="2" t="s">
        <v>129</v>
      </c>
      <c r="F35" s="2" t="s">
        <v>130</v>
      </c>
      <c r="G35" s="2" t="s">
        <v>131</v>
      </c>
    </row>
    <row r="36" spans="1:7" ht="90" x14ac:dyDescent="0.25">
      <c r="A36" s="2" t="s">
        <v>132</v>
      </c>
      <c r="B36" s="2" t="s">
        <v>903</v>
      </c>
      <c r="C36" s="1" t="s">
        <v>133</v>
      </c>
      <c r="D36" s="2" t="s">
        <v>8</v>
      </c>
      <c r="E36" s="2" t="s">
        <v>134</v>
      </c>
      <c r="F36" s="2" t="s">
        <v>135</v>
      </c>
      <c r="G36" s="2" t="s">
        <v>136</v>
      </c>
    </row>
    <row r="37" spans="1:7" ht="60" x14ac:dyDescent="0.25">
      <c r="A37" s="2" t="s">
        <v>137</v>
      </c>
      <c r="B37" s="2" t="s">
        <v>903</v>
      </c>
      <c r="C37" s="1" t="s">
        <v>138</v>
      </c>
      <c r="D37" s="2" t="s">
        <v>8</v>
      </c>
      <c r="E37" s="2" t="s">
        <v>139</v>
      </c>
      <c r="F37" s="2" t="s">
        <v>140</v>
      </c>
      <c r="G37" s="2" t="s">
        <v>141</v>
      </c>
    </row>
    <row r="38" spans="1:7" ht="90" x14ac:dyDescent="0.25">
      <c r="A38" s="2" t="s">
        <v>835</v>
      </c>
      <c r="B38" s="2" t="s">
        <v>903</v>
      </c>
      <c r="C38" s="1" t="s">
        <v>142</v>
      </c>
      <c r="D38" s="2" t="s">
        <v>8</v>
      </c>
      <c r="E38" s="2" t="s">
        <v>143</v>
      </c>
      <c r="F38" s="2" t="s">
        <v>144</v>
      </c>
      <c r="G38" s="2" t="s">
        <v>145</v>
      </c>
    </row>
    <row r="39" spans="1:7" ht="120" x14ac:dyDescent="0.25">
      <c r="A39" s="2" t="s">
        <v>146</v>
      </c>
      <c r="B39" s="2" t="s">
        <v>903</v>
      </c>
      <c r="C39" s="1" t="s">
        <v>147</v>
      </c>
      <c r="D39" s="2" t="s">
        <v>8</v>
      </c>
      <c r="E39" s="2" t="s">
        <v>148</v>
      </c>
      <c r="F39" s="2" t="s">
        <v>149</v>
      </c>
      <c r="G39" s="2" t="s">
        <v>150</v>
      </c>
    </row>
    <row r="40" spans="1:7" ht="165" x14ac:dyDescent="0.25">
      <c r="A40" s="2" t="s">
        <v>151</v>
      </c>
      <c r="B40" s="2" t="s">
        <v>903</v>
      </c>
      <c r="C40" s="1" t="s">
        <v>152</v>
      </c>
      <c r="D40" s="2" t="s">
        <v>153</v>
      </c>
      <c r="E40" s="2" t="s">
        <v>154</v>
      </c>
      <c r="F40" s="2" t="s">
        <v>155</v>
      </c>
      <c r="G40" s="2" t="s">
        <v>156</v>
      </c>
    </row>
    <row r="41" spans="1:7" ht="105" x14ac:dyDescent="0.25">
      <c r="A41" s="2" t="s">
        <v>157</v>
      </c>
      <c r="B41" s="2" t="s">
        <v>903</v>
      </c>
      <c r="C41" s="1" t="s">
        <v>158</v>
      </c>
      <c r="D41" s="2" t="s">
        <v>159</v>
      </c>
      <c r="E41" s="2" t="s">
        <v>160</v>
      </c>
      <c r="F41" s="2" t="s">
        <v>161</v>
      </c>
      <c r="G41" s="2" t="s">
        <v>836</v>
      </c>
    </row>
    <row r="42" spans="1:7" ht="135" x14ac:dyDescent="0.25">
      <c r="A42" s="2" t="s">
        <v>162</v>
      </c>
      <c r="B42" s="2" t="s">
        <v>903</v>
      </c>
      <c r="C42" s="1" t="s">
        <v>163</v>
      </c>
      <c r="D42" s="2" t="s">
        <v>23</v>
      </c>
      <c r="E42" s="2" t="s">
        <v>164</v>
      </c>
      <c r="F42" s="2" t="s">
        <v>165</v>
      </c>
      <c r="G42" s="2" t="s">
        <v>166</v>
      </c>
    </row>
    <row r="43" spans="1:7" ht="120" x14ac:dyDescent="0.25">
      <c r="A43" s="2" t="s">
        <v>167</v>
      </c>
      <c r="B43" s="2" t="s">
        <v>903</v>
      </c>
      <c r="C43" s="1" t="s">
        <v>168</v>
      </c>
      <c r="D43" s="2" t="s">
        <v>23</v>
      </c>
      <c r="E43" s="2" t="s">
        <v>169</v>
      </c>
      <c r="F43" s="2" t="s">
        <v>170</v>
      </c>
      <c r="G43" s="2" t="s">
        <v>171</v>
      </c>
    </row>
    <row r="44" spans="1:7" ht="120" x14ac:dyDescent="0.25">
      <c r="A44" s="2" t="s">
        <v>172</v>
      </c>
      <c r="B44" s="2" t="s">
        <v>903</v>
      </c>
      <c r="C44" s="1" t="s">
        <v>173</v>
      </c>
      <c r="D44" s="2" t="s">
        <v>23</v>
      </c>
      <c r="E44" s="2" t="s">
        <v>174</v>
      </c>
      <c r="F44" s="2" t="s">
        <v>175</v>
      </c>
      <c r="G44" s="2" t="s">
        <v>176</v>
      </c>
    </row>
    <row r="45" spans="1:7" ht="105" x14ac:dyDescent="0.25">
      <c r="A45" s="2" t="s">
        <v>837</v>
      </c>
      <c r="B45" s="2" t="s">
        <v>903</v>
      </c>
      <c r="C45" s="1" t="s">
        <v>177</v>
      </c>
      <c r="D45" s="2" t="s">
        <v>178</v>
      </c>
      <c r="E45" s="2" t="s">
        <v>179</v>
      </c>
      <c r="F45" s="2" t="s">
        <v>180</v>
      </c>
      <c r="G45" s="2" t="s">
        <v>838</v>
      </c>
    </row>
    <row r="46" spans="1:7" ht="210" x14ac:dyDescent="0.25">
      <c r="A46" s="2" t="s">
        <v>839</v>
      </c>
      <c r="B46" s="2" t="s">
        <v>903</v>
      </c>
      <c r="C46" s="1" t="s">
        <v>181</v>
      </c>
      <c r="D46" s="2" t="s">
        <v>182</v>
      </c>
      <c r="E46" s="2" t="s">
        <v>183</v>
      </c>
      <c r="F46" s="2" t="s">
        <v>184</v>
      </c>
      <c r="G46" s="2" t="s">
        <v>185</v>
      </c>
    </row>
    <row r="47" spans="1:7" ht="195" x14ac:dyDescent="0.25">
      <c r="A47" s="2" t="s">
        <v>840</v>
      </c>
      <c r="B47" s="2" t="s">
        <v>903</v>
      </c>
      <c r="C47" s="1" t="s">
        <v>841</v>
      </c>
      <c r="D47" s="2" t="s">
        <v>186</v>
      </c>
      <c r="E47" s="2" t="s">
        <v>187</v>
      </c>
      <c r="F47" s="2" t="s">
        <v>188</v>
      </c>
      <c r="G47" s="2" t="s">
        <v>842</v>
      </c>
    </row>
    <row r="48" spans="1:7" ht="150" x14ac:dyDescent="0.25">
      <c r="A48" s="2" t="s">
        <v>843</v>
      </c>
      <c r="B48" s="2" t="s">
        <v>903</v>
      </c>
      <c r="C48" s="1" t="s">
        <v>844</v>
      </c>
      <c r="D48" s="2" t="s">
        <v>23</v>
      </c>
      <c r="E48" s="2" t="s">
        <v>189</v>
      </c>
      <c r="F48" s="2" t="s">
        <v>190</v>
      </c>
      <c r="G48" s="2" t="s">
        <v>870</v>
      </c>
    </row>
    <row r="49" spans="1:7" ht="135" x14ac:dyDescent="0.25">
      <c r="A49" s="2" t="s">
        <v>871</v>
      </c>
      <c r="B49" s="2" t="s">
        <v>903</v>
      </c>
      <c r="C49" s="1" t="s">
        <v>872</v>
      </c>
      <c r="D49" s="2" t="s">
        <v>23</v>
      </c>
      <c r="E49" s="2" t="s">
        <v>873</v>
      </c>
      <c r="F49" s="2" t="s">
        <v>874</v>
      </c>
      <c r="G49" s="2" t="s">
        <v>875</v>
      </c>
    </row>
    <row r="50" spans="1:7" ht="150" x14ac:dyDescent="0.25">
      <c r="A50" s="2" t="s">
        <v>845</v>
      </c>
      <c r="B50" s="2" t="s">
        <v>903</v>
      </c>
      <c r="C50" s="1" t="s">
        <v>191</v>
      </c>
      <c r="D50" s="2" t="s">
        <v>153</v>
      </c>
      <c r="E50" s="2" t="s">
        <v>192</v>
      </c>
      <c r="F50" s="2" t="s">
        <v>193</v>
      </c>
      <c r="G50" s="2" t="s">
        <v>846</v>
      </c>
    </row>
    <row r="51" spans="1:7" ht="135" x14ac:dyDescent="0.25">
      <c r="A51" s="2" t="s">
        <v>194</v>
      </c>
      <c r="B51" s="2" t="s">
        <v>903</v>
      </c>
      <c r="C51" s="1" t="s">
        <v>847</v>
      </c>
      <c r="D51" s="2" t="s">
        <v>23</v>
      </c>
      <c r="E51" s="2" t="s">
        <v>195</v>
      </c>
      <c r="F51" s="2" t="s">
        <v>196</v>
      </c>
      <c r="G51" s="2" t="s">
        <v>197</v>
      </c>
    </row>
    <row r="52" spans="1:7" ht="120" x14ac:dyDescent="0.25">
      <c r="A52" s="2" t="s">
        <v>198</v>
      </c>
      <c r="B52" s="2" t="s">
        <v>903</v>
      </c>
      <c r="C52" s="1" t="s">
        <v>199</v>
      </c>
      <c r="D52" s="2" t="s">
        <v>23</v>
      </c>
      <c r="E52" s="2" t="s">
        <v>200</v>
      </c>
      <c r="F52" s="2" t="s">
        <v>201</v>
      </c>
      <c r="G52" s="2" t="s">
        <v>202</v>
      </c>
    </row>
    <row r="53" spans="1:7" ht="135" x14ac:dyDescent="0.25">
      <c r="A53" s="2" t="s">
        <v>203</v>
      </c>
      <c r="B53" s="2" t="s">
        <v>903</v>
      </c>
      <c r="C53" s="1" t="s">
        <v>848</v>
      </c>
      <c r="D53" s="2" t="s">
        <v>23</v>
      </c>
      <c r="E53" s="2" t="s">
        <v>204</v>
      </c>
      <c r="F53" s="2" t="s">
        <v>205</v>
      </c>
      <c r="G53" s="2" t="s">
        <v>206</v>
      </c>
    </row>
    <row r="54" spans="1:7" ht="120" x14ac:dyDescent="0.25">
      <c r="A54" s="2" t="s">
        <v>207</v>
      </c>
      <c r="B54" s="2" t="s">
        <v>903</v>
      </c>
      <c r="C54" s="1" t="s">
        <v>208</v>
      </c>
      <c r="D54" s="2" t="s">
        <v>23</v>
      </c>
      <c r="E54" s="2" t="s">
        <v>209</v>
      </c>
      <c r="F54" s="2" t="s">
        <v>210</v>
      </c>
      <c r="G54" s="2" t="s">
        <v>211</v>
      </c>
    </row>
    <row r="55" spans="1:7" ht="135" x14ac:dyDescent="0.25">
      <c r="A55" s="2" t="s">
        <v>849</v>
      </c>
      <c r="B55" s="2" t="s">
        <v>903</v>
      </c>
      <c r="C55" s="1" t="s">
        <v>212</v>
      </c>
      <c r="D55" s="2" t="s">
        <v>213</v>
      </c>
      <c r="E55" s="2" t="s">
        <v>214</v>
      </c>
      <c r="F55" s="2" t="s">
        <v>215</v>
      </c>
      <c r="G55" s="2" t="s">
        <v>850</v>
      </c>
    </row>
    <row r="56" spans="1:7" ht="150" x14ac:dyDescent="0.25">
      <c r="A56" s="2" t="s">
        <v>216</v>
      </c>
      <c r="B56" s="2" t="s">
        <v>903</v>
      </c>
      <c r="C56" s="1" t="s">
        <v>217</v>
      </c>
      <c r="D56" s="2" t="s">
        <v>851</v>
      </c>
      <c r="E56" s="2" t="s">
        <v>218</v>
      </c>
      <c r="F56" s="2" t="s">
        <v>219</v>
      </c>
      <c r="G56" s="2" t="s">
        <v>852</v>
      </c>
    </row>
    <row r="57" spans="1:7" ht="210" x14ac:dyDescent="0.25">
      <c r="A57" s="2" t="s">
        <v>220</v>
      </c>
      <c r="B57" s="2" t="s">
        <v>903</v>
      </c>
      <c r="C57" s="1" t="s">
        <v>221</v>
      </c>
      <c r="D57" s="2" t="s">
        <v>222</v>
      </c>
      <c r="E57" s="2" t="s">
        <v>223</v>
      </c>
      <c r="F57" s="2" t="s">
        <v>224</v>
      </c>
      <c r="G57" s="2" t="s">
        <v>225</v>
      </c>
    </row>
    <row r="58" spans="1:7" ht="150" x14ac:dyDescent="0.25">
      <c r="A58" s="2" t="s">
        <v>226</v>
      </c>
      <c r="B58" s="2" t="s">
        <v>903</v>
      </c>
      <c r="C58" s="1" t="s">
        <v>227</v>
      </c>
      <c r="D58" s="2" t="s">
        <v>228</v>
      </c>
      <c r="E58" s="2" t="s">
        <v>229</v>
      </c>
      <c r="F58" s="2" t="s">
        <v>230</v>
      </c>
      <c r="G58" s="2" t="s">
        <v>231</v>
      </c>
    </row>
    <row r="59" spans="1:7" ht="315" x14ac:dyDescent="0.25">
      <c r="A59" s="2" t="s">
        <v>232</v>
      </c>
      <c r="B59" s="2" t="s">
        <v>903</v>
      </c>
      <c r="C59" s="1" t="s">
        <v>233</v>
      </c>
      <c r="D59" s="2" t="s">
        <v>234</v>
      </c>
      <c r="E59" s="2" t="s">
        <v>235</v>
      </c>
      <c r="F59" s="2" t="s">
        <v>236</v>
      </c>
      <c r="G59" s="2" t="s">
        <v>237</v>
      </c>
    </row>
    <row r="60" spans="1:7" ht="135" x14ac:dyDescent="0.25">
      <c r="A60" s="2" t="s">
        <v>238</v>
      </c>
      <c r="B60" s="2" t="s">
        <v>903</v>
      </c>
      <c r="C60" s="1" t="s">
        <v>239</v>
      </c>
      <c r="D60" s="2" t="s">
        <v>240</v>
      </c>
      <c r="E60" s="2" t="s">
        <v>241</v>
      </c>
      <c r="F60" s="2" t="s">
        <v>242</v>
      </c>
      <c r="G60" s="2" t="s">
        <v>243</v>
      </c>
    </row>
    <row r="61" spans="1:7" ht="150" x14ac:dyDescent="0.25">
      <c r="A61" s="2" t="s">
        <v>244</v>
      </c>
      <c r="B61" s="2" t="s">
        <v>903</v>
      </c>
      <c r="C61" s="1" t="s">
        <v>245</v>
      </c>
      <c r="D61" s="2" t="s">
        <v>240</v>
      </c>
      <c r="E61" s="2" t="s">
        <v>246</v>
      </c>
      <c r="F61" s="2" t="s">
        <v>247</v>
      </c>
      <c r="G61" s="2" t="s">
        <v>248</v>
      </c>
    </row>
    <row r="62" spans="1:7" ht="180" x14ac:dyDescent="0.25">
      <c r="A62" s="2" t="s">
        <v>853</v>
      </c>
      <c r="B62" s="2" t="s">
        <v>903</v>
      </c>
      <c r="C62" s="1" t="s">
        <v>854</v>
      </c>
      <c r="D62" s="2" t="s">
        <v>23</v>
      </c>
      <c r="E62" s="2" t="s">
        <v>249</v>
      </c>
      <c r="F62" s="2" t="s">
        <v>250</v>
      </c>
      <c r="G62" s="2" t="s">
        <v>855</v>
      </c>
    </row>
    <row r="63" spans="1:7" ht="150" x14ac:dyDescent="0.25">
      <c r="A63" s="2" t="s">
        <v>856</v>
      </c>
      <c r="B63" s="2" t="s">
        <v>903</v>
      </c>
      <c r="C63" s="1" t="s">
        <v>857</v>
      </c>
      <c r="D63" s="2" t="s">
        <v>23</v>
      </c>
      <c r="E63" s="2" t="s">
        <v>251</v>
      </c>
      <c r="F63" s="2" t="s">
        <v>252</v>
      </c>
      <c r="G63" s="2" t="s">
        <v>858</v>
      </c>
    </row>
    <row r="64" spans="1:7" ht="150" x14ac:dyDescent="0.25">
      <c r="A64" s="2" t="s">
        <v>253</v>
      </c>
      <c r="B64" s="2" t="s">
        <v>903</v>
      </c>
      <c r="C64" s="1" t="s">
        <v>254</v>
      </c>
      <c r="D64" s="2" t="s">
        <v>255</v>
      </c>
      <c r="E64" s="2" t="s">
        <v>256</v>
      </c>
      <c r="F64" s="2" t="s">
        <v>257</v>
      </c>
      <c r="G64" s="2" t="s">
        <v>258</v>
      </c>
    </row>
    <row r="65" spans="1:7" ht="120" x14ac:dyDescent="0.25">
      <c r="A65" s="2" t="s">
        <v>259</v>
      </c>
      <c r="B65" s="2" t="s">
        <v>903</v>
      </c>
      <c r="C65" s="1" t="s">
        <v>260</v>
      </c>
      <c r="D65" s="2" t="s">
        <v>261</v>
      </c>
      <c r="E65" s="2" t="s">
        <v>262</v>
      </c>
      <c r="F65" s="2" t="s">
        <v>263</v>
      </c>
      <c r="G65" s="2" t="s">
        <v>264</v>
      </c>
    </row>
    <row r="66" spans="1:7" ht="330" x14ac:dyDescent="0.25">
      <c r="A66" s="2" t="s">
        <v>859</v>
      </c>
      <c r="B66" s="2" t="s">
        <v>903</v>
      </c>
      <c r="C66" s="1" t="s">
        <v>265</v>
      </c>
      <c r="D66" s="2" t="s">
        <v>266</v>
      </c>
      <c r="E66" s="2" t="s">
        <v>267</v>
      </c>
      <c r="F66" s="2" t="s">
        <v>268</v>
      </c>
      <c r="G66" s="2" t="s">
        <v>860</v>
      </c>
    </row>
    <row r="67" spans="1:7" ht="120" x14ac:dyDescent="0.25">
      <c r="A67" s="2" t="s">
        <v>269</v>
      </c>
      <c r="B67" s="2" t="s">
        <v>903</v>
      </c>
      <c r="C67" s="1" t="s">
        <v>270</v>
      </c>
      <c r="D67" s="2" t="s">
        <v>271</v>
      </c>
      <c r="E67" s="2" t="s">
        <v>272</v>
      </c>
      <c r="F67" s="2" t="s">
        <v>273</v>
      </c>
      <c r="G67" s="2" t="s">
        <v>274</v>
      </c>
    </row>
    <row r="68" spans="1:7" ht="150" x14ac:dyDescent="0.25">
      <c r="A68" s="2" t="s">
        <v>275</v>
      </c>
      <c r="B68" s="2" t="s">
        <v>903</v>
      </c>
      <c r="C68" s="1" t="s">
        <v>276</v>
      </c>
      <c r="D68" s="2" t="s">
        <v>271</v>
      </c>
      <c r="E68" s="2" t="s">
        <v>277</v>
      </c>
      <c r="F68" s="2" t="s">
        <v>278</v>
      </c>
      <c r="G68" s="2" t="s">
        <v>279</v>
      </c>
    </row>
    <row r="69" spans="1:7" ht="150" x14ac:dyDescent="0.25">
      <c r="A69" s="2" t="s">
        <v>861</v>
      </c>
      <c r="B69" s="2" t="s">
        <v>903</v>
      </c>
      <c r="C69" s="1" t="s">
        <v>280</v>
      </c>
      <c r="D69" s="2" t="s">
        <v>271</v>
      </c>
      <c r="E69" s="2" t="s">
        <v>281</v>
      </c>
      <c r="F69" s="2" t="s">
        <v>282</v>
      </c>
      <c r="G69" s="2" t="s">
        <v>862</v>
      </c>
    </row>
    <row r="70" spans="1:7" ht="330" x14ac:dyDescent="0.25">
      <c r="A70" s="2" t="s">
        <v>863</v>
      </c>
      <c r="B70" s="2" t="s">
        <v>903</v>
      </c>
      <c r="C70" s="1" t="s">
        <v>283</v>
      </c>
      <c r="D70" s="2" t="s">
        <v>284</v>
      </c>
      <c r="E70" s="2" t="s">
        <v>285</v>
      </c>
      <c r="F70" s="2" t="s">
        <v>286</v>
      </c>
      <c r="G70" s="2" t="s">
        <v>864</v>
      </c>
    </row>
    <row r="71" spans="1:7" ht="165" x14ac:dyDescent="0.25">
      <c r="A71" s="2" t="s">
        <v>287</v>
      </c>
      <c r="B71" s="2" t="s">
        <v>903</v>
      </c>
      <c r="C71" s="1" t="s">
        <v>900</v>
      </c>
      <c r="D71" s="2" t="s">
        <v>284</v>
      </c>
      <c r="E71" s="2" t="s">
        <v>772</v>
      </c>
      <c r="F71" s="2" t="s">
        <v>773</v>
      </c>
      <c r="G71" s="2" t="s">
        <v>901</v>
      </c>
    </row>
    <row r="72" spans="1:7" ht="105" x14ac:dyDescent="0.25">
      <c r="A72" s="2" t="s">
        <v>774</v>
      </c>
      <c r="B72" s="2" t="s">
        <v>903</v>
      </c>
      <c r="C72" s="1" t="s">
        <v>775</v>
      </c>
      <c r="D72" s="2" t="s">
        <v>284</v>
      </c>
      <c r="E72" s="2" t="s">
        <v>776</v>
      </c>
      <c r="F72" s="2" t="s">
        <v>777</v>
      </c>
      <c r="G72" s="2" t="s">
        <v>778</v>
      </c>
    </row>
    <row r="73" spans="1:7" ht="105" x14ac:dyDescent="0.25">
      <c r="A73" s="2" t="s">
        <v>288</v>
      </c>
      <c r="B73" s="2" t="s">
        <v>903</v>
      </c>
      <c r="C73" s="1" t="s">
        <v>779</v>
      </c>
      <c r="D73" s="2" t="s">
        <v>284</v>
      </c>
      <c r="E73" s="2" t="s">
        <v>780</v>
      </c>
      <c r="F73" s="2" t="s">
        <v>289</v>
      </c>
      <c r="G73" s="2" t="s">
        <v>781</v>
      </c>
    </row>
    <row r="74" spans="1:7" ht="90" x14ac:dyDescent="0.25">
      <c r="A74" s="2" t="s">
        <v>717</v>
      </c>
      <c r="B74" s="2" t="s">
        <v>903</v>
      </c>
      <c r="C74" s="1" t="s">
        <v>782</v>
      </c>
      <c r="D74" s="2" t="s">
        <v>284</v>
      </c>
      <c r="E74" s="2" t="s">
        <v>783</v>
      </c>
      <c r="F74" s="2" t="s">
        <v>718</v>
      </c>
      <c r="G74" s="2" t="s">
        <v>784</v>
      </c>
    </row>
    <row r="75" spans="1:7" ht="105" x14ac:dyDescent="0.25">
      <c r="A75" s="2" t="s">
        <v>719</v>
      </c>
      <c r="B75" s="2" t="s">
        <v>903</v>
      </c>
      <c r="C75" s="1" t="s">
        <v>785</v>
      </c>
      <c r="D75" s="2" t="s">
        <v>284</v>
      </c>
      <c r="E75" s="2" t="s">
        <v>786</v>
      </c>
      <c r="F75" s="2" t="s">
        <v>720</v>
      </c>
      <c r="G75" s="2" t="s">
        <v>787</v>
      </c>
    </row>
    <row r="76" spans="1:7" ht="120" x14ac:dyDescent="0.25">
      <c r="A76" s="2" t="s">
        <v>721</v>
      </c>
      <c r="B76" s="2" t="s">
        <v>903</v>
      </c>
      <c r="C76" s="1" t="s">
        <v>722</v>
      </c>
      <c r="D76" s="2" t="s">
        <v>723</v>
      </c>
      <c r="E76" s="2" t="s">
        <v>724</v>
      </c>
      <c r="F76" s="2" t="s">
        <v>725</v>
      </c>
      <c r="G76" s="2" t="s">
        <v>726</v>
      </c>
    </row>
    <row r="77" spans="1:7" ht="120" x14ac:dyDescent="0.25">
      <c r="A77" s="2" t="s">
        <v>727</v>
      </c>
      <c r="B77" s="2" t="s">
        <v>903</v>
      </c>
      <c r="C77" s="1" t="s">
        <v>728</v>
      </c>
      <c r="D77" s="2" t="s">
        <v>729</v>
      </c>
      <c r="E77" s="2" t="s">
        <v>730</v>
      </c>
      <c r="F77" s="2" t="s">
        <v>731</v>
      </c>
      <c r="G77" s="2" t="s">
        <v>732</v>
      </c>
    </row>
    <row r="78" spans="1:7" ht="105" x14ac:dyDescent="0.25">
      <c r="A78" s="2" t="s">
        <v>733</v>
      </c>
      <c r="B78" s="2" t="s">
        <v>903</v>
      </c>
      <c r="C78" s="1" t="s">
        <v>734</v>
      </c>
      <c r="D78" s="2" t="s">
        <v>735</v>
      </c>
      <c r="E78" s="2" t="s">
        <v>736</v>
      </c>
      <c r="F78" s="2" t="s">
        <v>737</v>
      </c>
      <c r="G78" s="2" t="s">
        <v>738</v>
      </c>
    </row>
    <row r="79" spans="1:7" ht="135" x14ac:dyDescent="0.25">
      <c r="A79" s="2" t="s">
        <v>739</v>
      </c>
      <c r="B79" s="2" t="s">
        <v>903</v>
      </c>
      <c r="C79" s="1" t="s">
        <v>740</v>
      </c>
      <c r="D79" s="2" t="s">
        <v>741</v>
      </c>
      <c r="E79" s="2" t="s">
        <v>742</v>
      </c>
      <c r="F79" s="2" t="s">
        <v>743</v>
      </c>
      <c r="G79" s="2" t="s">
        <v>744</v>
      </c>
    </row>
    <row r="80" spans="1:7" ht="135" x14ac:dyDescent="0.25">
      <c r="A80" s="2" t="s">
        <v>745</v>
      </c>
      <c r="B80" s="2" t="s">
        <v>903</v>
      </c>
      <c r="C80" s="1" t="s">
        <v>746</v>
      </c>
      <c r="D80" s="2" t="s">
        <v>747</v>
      </c>
      <c r="E80" s="2" t="s">
        <v>748</v>
      </c>
      <c r="F80" s="2" t="s">
        <v>749</v>
      </c>
      <c r="G80" s="2" t="s">
        <v>750</v>
      </c>
    </row>
    <row r="81" spans="1:7" ht="195" x14ac:dyDescent="0.25">
      <c r="A81" s="2" t="s">
        <v>751</v>
      </c>
      <c r="B81" s="2" t="s">
        <v>903</v>
      </c>
      <c r="C81" s="1" t="s">
        <v>752</v>
      </c>
      <c r="D81" s="2" t="s">
        <v>753</v>
      </c>
      <c r="E81" s="2" t="s">
        <v>754</v>
      </c>
      <c r="F81" s="2" t="s">
        <v>755</v>
      </c>
      <c r="G81" s="2" t="s">
        <v>756</v>
      </c>
    </row>
    <row r="82" spans="1:7" ht="255" x14ac:dyDescent="0.25">
      <c r="A82" s="2" t="s">
        <v>757</v>
      </c>
      <c r="B82" s="2" t="s">
        <v>903</v>
      </c>
      <c r="C82" s="1" t="s">
        <v>758</v>
      </c>
      <c r="D82" s="2" t="s">
        <v>759</v>
      </c>
      <c r="E82" s="2" t="s">
        <v>760</v>
      </c>
      <c r="F82" s="2" t="s">
        <v>761</v>
      </c>
      <c r="G82" s="2" t="s">
        <v>762</v>
      </c>
    </row>
    <row r="83" spans="1:7" ht="180" x14ac:dyDescent="0.25">
      <c r="A83" s="2" t="s">
        <v>763</v>
      </c>
      <c r="B83" s="2" t="s">
        <v>903</v>
      </c>
      <c r="C83" s="1" t="s">
        <v>951</v>
      </c>
      <c r="D83" s="2" t="s">
        <v>764</v>
      </c>
      <c r="E83" s="2" t="s">
        <v>765</v>
      </c>
      <c r="F83" s="2" t="s">
        <v>766</v>
      </c>
      <c r="G83" s="2" t="s">
        <v>952</v>
      </c>
    </row>
    <row r="84" spans="1:7" ht="240" x14ac:dyDescent="0.25">
      <c r="A84" s="2" t="s">
        <v>865</v>
      </c>
      <c r="B84" s="2" t="s">
        <v>903</v>
      </c>
      <c r="C84" s="1" t="s">
        <v>290</v>
      </c>
      <c r="D84" s="2" t="s">
        <v>291</v>
      </c>
      <c r="E84" s="2" t="s">
        <v>292</v>
      </c>
      <c r="F84" s="2" t="s">
        <v>293</v>
      </c>
      <c r="G84" s="2" t="s">
        <v>866</v>
      </c>
    </row>
    <row r="85" spans="1:7" ht="180" x14ac:dyDescent="0.25">
      <c r="A85" s="2" t="s">
        <v>294</v>
      </c>
      <c r="B85" s="2" t="s">
        <v>903</v>
      </c>
      <c r="C85" s="1" t="s">
        <v>867</v>
      </c>
      <c r="D85" s="2" t="s">
        <v>295</v>
      </c>
      <c r="E85" s="2" t="s">
        <v>296</v>
      </c>
      <c r="F85" s="2" t="s">
        <v>297</v>
      </c>
      <c r="G85" s="2" t="s">
        <v>868</v>
      </c>
    </row>
    <row r="86" spans="1:7" ht="150" x14ac:dyDescent="0.25">
      <c r="A86" s="2" t="s">
        <v>298</v>
      </c>
      <c r="B86" s="2" t="s">
        <v>903</v>
      </c>
      <c r="C86" s="1" t="s">
        <v>299</v>
      </c>
      <c r="D86" s="2" t="s">
        <v>300</v>
      </c>
      <c r="E86" s="2" t="s">
        <v>301</v>
      </c>
      <c r="F86" s="2" t="s">
        <v>302</v>
      </c>
      <c r="G86" s="2" t="s">
        <v>303</v>
      </c>
    </row>
    <row r="87" spans="1:7" ht="135" x14ac:dyDescent="0.25">
      <c r="A87" s="2" t="s">
        <v>304</v>
      </c>
      <c r="B87" s="2" t="s">
        <v>903</v>
      </c>
      <c r="C87" s="1" t="s">
        <v>305</v>
      </c>
      <c r="D87" s="2" t="s">
        <v>306</v>
      </c>
      <c r="E87" s="2" t="s">
        <v>307</v>
      </c>
      <c r="F87" s="2" t="s">
        <v>308</v>
      </c>
      <c r="G87" s="2" t="s">
        <v>309</v>
      </c>
    </row>
    <row r="88" spans="1:7" ht="120" x14ac:dyDescent="0.25">
      <c r="A88" s="2" t="s">
        <v>310</v>
      </c>
      <c r="B88" s="2" t="s">
        <v>903</v>
      </c>
      <c r="C88" s="1" t="s">
        <v>311</v>
      </c>
      <c r="D88" s="2" t="s">
        <v>312</v>
      </c>
      <c r="E88" s="2" t="s">
        <v>313</v>
      </c>
      <c r="F88" s="2" t="s">
        <v>314</v>
      </c>
      <c r="G88" s="2" t="s">
        <v>315</v>
      </c>
    </row>
    <row r="89" spans="1:7" ht="120" x14ac:dyDescent="0.25">
      <c r="A89" s="2" t="s">
        <v>316</v>
      </c>
      <c r="B89" s="2" t="s">
        <v>903</v>
      </c>
      <c r="C89" s="1" t="s">
        <v>317</v>
      </c>
      <c r="D89" s="2" t="s">
        <v>318</v>
      </c>
      <c r="E89" s="2" t="s">
        <v>319</v>
      </c>
      <c r="F89" s="2" t="s">
        <v>320</v>
      </c>
      <c r="G89" s="2" t="s">
        <v>321</v>
      </c>
    </row>
    <row r="90" spans="1:7" ht="120" x14ac:dyDescent="0.25">
      <c r="A90" s="2" t="s">
        <v>322</v>
      </c>
      <c r="B90" s="2" t="s">
        <v>903</v>
      </c>
      <c r="C90" s="1" t="s">
        <v>323</v>
      </c>
      <c r="D90" s="2" t="s">
        <v>324</v>
      </c>
      <c r="E90" s="2" t="s">
        <v>325</v>
      </c>
      <c r="F90" s="2" t="s">
        <v>326</v>
      </c>
      <c r="G90" s="2" t="s">
        <v>327</v>
      </c>
    </row>
    <row r="91" spans="1:7" ht="180" x14ac:dyDescent="0.25">
      <c r="A91" s="2" t="s">
        <v>328</v>
      </c>
      <c r="B91" s="2" t="s">
        <v>903</v>
      </c>
      <c r="C91" s="1" t="s">
        <v>329</v>
      </c>
      <c r="D91" s="2" t="s">
        <v>330</v>
      </c>
      <c r="E91" s="2" t="s">
        <v>331</v>
      </c>
      <c r="F91" s="2" t="s">
        <v>332</v>
      </c>
      <c r="G91" s="2" t="s">
        <v>333</v>
      </c>
    </row>
    <row r="92" spans="1:7" ht="135" x14ac:dyDescent="0.25">
      <c r="A92" s="2" t="s">
        <v>334</v>
      </c>
      <c r="B92" s="2" t="s">
        <v>903</v>
      </c>
      <c r="C92" s="1" t="s">
        <v>335</v>
      </c>
      <c r="D92" s="2" t="s">
        <v>336</v>
      </c>
      <c r="E92" s="2" t="s">
        <v>337</v>
      </c>
      <c r="F92" s="2" t="s">
        <v>338</v>
      </c>
      <c r="G92" s="2" t="s">
        <v>339</v>
      </c>
    </row>
    <row r="93" spans="1:7" ht="180" x14ac:dyDescent="0.25">
      <c r="A93" s="2" t="s">
        <v>340</v>
      </c>
      <c r="B93" s="2" t="s">
        <v>903</v>
      </c>
      <c r="C93" s="1" t="s">
        <v>341</v>
      </c>
      <c r="D93" s="2" t="s">
        <v>342</v>
      </c>
      <c r="E93" s="2" t="s">
        <v>343</v>
      </c>
      <c r="F93" s="2" t="s">
        <v>344</v>
      </c>
      <c r="G93" s="2" t="s">
        <v>345</v>
      </c>
    </row>
    <row r="94" spans="1:7" ht="150" x14ac:dyDescent="0.25">
      <c r="A94" s="2" t="s">
        <v>346</v>
      </c>
      <c r="B94" s="2" t="s">
        <v>903</v>
      </c>
      <c r="C94" s="1" t="s">
        <v>347</v>
      </c>
      <c r="D94" s="2" t="s">
        <v>348</v>
      </c>
      <c r="E94" s="2" t="s">
        <v>349</v>
      </c>
      <c r="F94" s="2" t="s">
        <v>350</v>
      </c>
      <c r="G94" s="2" t="s">
        <v>351</v>
      </c>
    </row>
    <row r="95" spans="1:7" ht="135" x14ac:dyDescent="0.25">
      <c r="A95" s="2" t="s">
        <v>352</v>
      </c>
      <c r="B95" s="2" t="s">
        <v>903</v>
      </c>
      <c r="C95" s="1" t="s">
        <v>353</v>
      </c>
      <c r="D95" s="2" t="s">
        <v>354</v>
      </c>
      <c r="E95" s="2" t="s">
        <v>355</v>
      </c>
      <c r="F95" s="2" t="s">
        <v>356</v>
      </c>
      <c r="G95" s="2" t="s">
        <v>357</v>
      </c>
    </row>
    <row r="96" spans="1:7" ht="240" x14ac:dyDescent="0.25">
      <c r="A96" s="2" t="s">
        <v>788</v>
      </c>
      <c r="B96" s="2" t="s">
        <v>903</v>
      </c>
      <c r="C96" s="1" t="s">
        <v>767</v>
      </c>
      <c r="D96" s="2" t="s">
        <v>768</v>
      </c>
      <c r="E96" s="2" t="s">
        <v>769</v>
      </c>
      <c r="F96" s="2" t="s">
        <v>789</v>
      </c>
      <c r="G96" s="2" t="s">
        <v>790</v>
      </c>
    </row>
    <row r="97" spans="1:7" ht="225" x14ac:dyDescent="0.25">
      <c r="A97" s="2" t="s">
        <v>791</v>
      </c>
      <c r="B97" s="2" t="s">
        <v>903</v>
      </c>
      <c r="C97" s="1" t="s">
        <v>770</v>
      </c>
      <c r="D97" s="2" t="s">
        <v>768</v>
      </c>
      <c r="E97" s="2" t="s">
        <v>771</v>
      </c>
      <c r="F97" s="2" t="s">
        <v>792</v>
      </c>
      <c r="G97" s="2" t="s">
        <v>793</v>
      </c>
    </row>
    <row r="98" spans="1:7" ht="409.5" x14ac:dyDescent="0.25">
      <c r="A98" s="2" t="s">
        <v>877</v>
      </c>
      <c r="B98" s="2" t="s">
        <v>903</v>
      </c>
      <c r="C98" s="1" t="s">
        <v>878</v>
      </c>
      <c r="D98" s="2" t="s">
        <v>879</v>
      </c>
      <c r="E98" s="2" t="s">
        <v>880</v>
      </c>
      <c r="F98" s="2" t="s">
        <v>881</v>
      </c>
      <c r="G98" s="2" t="s">
        <v>882</v>
      </c>
    </row>
    <row r="99" spans="1:7" ht="390" x14ac:dyDescent="0.25">
      <c r="A99" s="2" t="s">
        <v>883</v>
      </c>
      <c r="B99" s="2" t="s">
        <v>903</v>
      </c>
      <c r="C99" s="1" t="s">
        <v>884</v>
      </c>
      <c r="D99" s="2" t="s">
        <v>879</v>
      </c>
      <c r="E99" s="2" t="s">
        <v>885</v>
      </c>
      <c r="F99" s="2" t="s">
        <v>886</v>
      </c>
      <c r="G99" s="2" t="s">
        <v>887</v>
      </c>
    </row>
    <row r="100" spans="1:7" ht="375" x14ac:dyDescent="0.25">
      <c r="A100" s="2" t="s">
        <v>967</v>
      </c>
      <c r="B100" s="2" t="s">
        <v>903</v>
      </c>
      <c r="C100" s="1" t="s">
        <v>1014</v>
      </c>
      <c r="D100" s="2"/>
      <c r="E100" s="2" t="s">
        <v>1015</v>
      </c>
      <c r="F100" s="2" t="s">
        <v>968</v>
      </c>
      <c r="G100" s="2" t="s">
        <v>1016</v>
      </c>
    </row>
    <row r="101" spans="1:7" ht="409.5" x14ac:dyDescent="0.25">
      <c r="A101" s="2" t="s">
        <v>969</v>
      </c>
      <c r="B101" s="2" t="s">
        <v>903</v>
      </c>
      <c r="C101" s="1" t="s">
        <v>970</v>
      </c>
      <c r="D101" s="2" t="s">
        <v>971</v>
      </c>
      <c r="E101" s="2" t="s">
        <v>972</v>
      </c>
      <c r="F101" s="2" t="s">
        <v>973</v>
      </c>
      <c r="G101" s="2" t="s">
        <v>974</v>
      </c>
    </row>
    <row r="102" spans="1:7" ht="409.5" x14ac:dyDescent="0.25">
      <c r="A102" s="2" t="s">
        <v>975</v>
      </c>
      <c r="B102" s="2" t="s">
        <v>903</v>
      </c>
      <c r="C102" s="1" t="s">
        <v>976</v>
      </c>
      <c r="D102" s="2" t="s">
        <v>977</v>
      </c>
      <c r="E102" s="2" t="s">
        <v>978</v>
      </c>
      <c r="F102" s="2" t="s">
        <v>979</v>
      </c>
      <c r="G102" s="2" t="s">
        <v>980</v>
      </c>
    </row>
    <row r="103" spans="1:7" ht="165" x14ac:dyDescent="0.25">
      <c r="A103" s="2" t="s">
        <v>904</v>
      </c>
      <c r="B103" s="2" t="s">
        <v>693</v>
      </c>
      <c r="C103" s="1" t="s">
        <v>924</v>
      </c>
      <c r="D103" s="2"/>
      <c r="E103" s="2" t="s">
        <v>905</v>
      </c>
      <c r="F103" s="2" t="s">
        <v>906</v>
      </c>
      <c r="G103" s="2" t="s">
        <v>907</v>
      </c>
    </row>
    <row r="104" spans="1:7" ht="105" x14ac:dyDescent="0.25">
      <c r="A104" s="2" t="s">
        <v>908</v>
      </c>
      <c r="B104" s="2" t="s">
        <v>693</v>
      </c>
      <c r="C104" s="1" t="s">
        <v>925</v>
      </c>
      <c r="D104" s="2"/>
      <c r="E104" s="2" t="s">
        <v>909</v>
      </c>
      <c r="F104" s="2" t="s">
        <v>910</v>
      </c>
      <c r="G104" s="2" t="s">
        <v>911</v>
      </c>
    </row>
    <row r="105" spans="1:7" ht="135" x14ac:dyDescent="0.25">
      <c r="A105" s="2" t="s">
        <v>912</v>
      </c>
      <c r="B105" s="2" t="s">
        <v>693</v>
      </c>
      <c r="C105" s="1" t="s">
        <v>926</v>
      </c>
      <c r="D105" s="2"/>
      <c r="E105" s="2" t="s">
        <v>913</v>
      </c>
      <c r="F105" s="2" t="s">
        <v>914</v>
      </c>
      <c r="G105" s="2" t="s">
        <v>915</v>
      </c>
    </row>
    <row r="106" spans="1:7" ht="210" x14ac:dyDescent="0.25">
      <c r="A106" s="2" t="s">
        <v>916</v>
      </c>
      <c r="B106" s="2" t="s">
        <v>693</v>
      </c>
      <c r="C106" s="1" t="s">
        <v>927</v>
      </c>
      <c r="D106" s="2"/>
      <c r="E106" s="2" t="s">
        <v>917</v>
      </c>
      <c r="F106" s="2" t="s">
        <v>918</v>
      </c>
      <c r="G106" s="2" t="s">
        <v>922</v>
      </c>
    </row>
    <row r="107" spans="1:7" ht="135" x14ac:dyDescent="0.25">
      <c r="A107" s="2" t="s">
        <v>919</v>
      </c>
      <c r="B107" s="2" t="s">
        <v>693</v>
      </c>
      <c r="C107" s="1" t="s">
        <v>928</v>
      </c>
      <c r="D107" s="2"/>
      <c r="E107" s="2" t="s">
        <v>920</v>
      </c>
      <c r="F107" s="2" t="s">
        <v>921</v>
      </c>
      <c r="G107" s="2" t="s">
        <v>923</v>
      </c>
    </row>
    <row r="108" spans="1:7" ht="255" x14ac:dyDescent="0.25">
      <c r="A108" s="2" t="s">
        <v>981</v>
      </c>
      <c r="B108" s="2" t="s">
        <v>693</v>
      </c>
      <c r="C108" s="1" t="s">
        <v>982</v>
      </c>
      <c r="D108" s="2"/>
      <c r="E108" s="2" t="s">
        <v>983</v>
      </c>
      <c r="F108" s="2" t="s">
        <v>984</v>
      </c>
      <c r="G108" s="2" t="s">
        <v>985</v>
      </c>
    </row>
    <row r="109" spans="1:7" ht="345" x14ac:dyDescent="0.25">
      <c r="A109" s="2" t="s">
        <v>986</v>
      </c>
      <c r="B109" s="2" t="s">
        <v>693</v>
      </c>
      <c r="C109" s="1" t="s">
        <v>987</v>
      </c>
      <c r="D109" s="2"/>
      <c r="E109" s="2" t="s">
        <v>988</v>
      </c>
      <c r="F109" s="2" t="s">
        <v>989</v>
      </c>
      <c r="G109" s="2" t="s">
        <v>990</v>
      </c>
    </row>
    <row r="110" spans="1:7" ht="409.5" x14ac:dyDescent="0.25">
      <c r="A110" s="2" t="s">
        <v>991</v>
      </c>
      <c r="B110" s="2" t="s">
        <v>693</v>
      </c>
      <c r="C110" s="1" t="s">
        <v>992</v>
      </c>
      <c r="D110" s="2"/>
      <c r="E110" s="2" t="s">
        <v>993</v>
      </c>
      <c r="F110" s="2" t="s">
        <v>994</v>
      </c>
      <c r="G110" s="2" t="s">
        <v>995</v>
      </c>
    </row>
    <row r="111" spans="1:7" ht="409.5" x14ac:dyDescent="0.25">
      <c r="A111" s="2" t="s">
        <v>996</v>
      </c>
      <c r="B111" s="2" t="s">
        <v>693</v>
      </c>
      <c r="C111" s="1" t="s">
        <v>997</v>
      </c>
      <c r="D111" s="2"/>
      <c r="E111" s="2" t="s">
        <v>998</v>
      </c>
      <c r="F111" s="2" t="s">
        <v>999</v>
      </c>
      <c r="G111" s="2" t="s">
        <v>1000</v>
      </c>
    </row>
    <row r="112" spans="1:7" ht="315" x14ac:dyDescent="0.25">
      <c r="A112" s="2" t="s">
        <v>1001</v>
      </c>
      <c r="B112" s="2" t="s">
        <v>693</v>
      </c>
      <c r="C112" s="1" t="s">
        <v>1002</v>
      </c>
      <c r="D112" s="2"/>
      <c r="E112" s="2" t="s">
        <v>1003</v>
      </c>
      <c r="F112" s="2" t="s">
        <v>1004</v>
      </c>
      <c r="G112" s="2" t="s">
        <v>1017</v>
      </c>
    </row>
    <row r="113" spans="1:7" ht="255" x14ac:dyDescent="0.25">
      <c r="A113" s="2" t="s">
        <v>1005</v>
      </c>
      <c r="B113" s="2" t="s">
        <v>693</v>
      </c>
      <c r="C113" s="1" t="s">
        <v>1006</v>
      </c>
      <c r="D113" s="2"/>
      <c r="E113" s="2" t="s">
        <v>1007</v>
      </c>
      <c r="F113" s="2" t="s">
        <v>1008</v>
      </c>
      <c r="G113" s="2" t="s">
        <v>1009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dimension ref="A1:X2939"/>
  <sheetViews>
    <sheetView topLeftCell="H1" workbookViewId="0">
      <pane ySplit="1" topLeftCell="A2" activePane="bottomLeft" state="frozenSplit"/>
      <selection pane="bottomLeft" activeCell="X3" sqref="X3"/>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4" x14ac:dyDescent="0.25">
      <c r="A1" t="s">
        <v>358</v>
      </c>
      <c r="B1" t="s">
        <v>359</v>
      </c>
      <c r="C1" t="s">
        <v>360</v>
      </c>
      <c r="D1" t="s">
        <v>361</v>
      </c>
      <c r="E1" t="s">
        <v>362</v>
      </c>
      <c r="F1" t="s">
        <v>363</v>
      </c>
      <c r="G1" t="s">
        <v>364</v>
      </c>
      <c r="H1" t="s">
        <v>365</v>
      </c>
      <c r="I1" t="s">
        <v>366</v>
      </c>
      <c r="J1" t="s">
        <v>367</v>
      </c>
      <c r="K1" t="s">
        <v>368</v>
      </c>
      <c r="L1" t="s">
        <v>369</v>
      </c>
      <c r="M1" t="s">
        <v>370</v>
      </c>
      <c r="N1" t="s">
        <v>371</v>
      </c>
      <c r="O1" t="s">
        <v>372</v>
      </c>
      <c r="P1" t="s">
        <v>373</v>
      </c>
      <c r="Q1" t="s">
        <v>374</v>
      </c>
      <c r="R1" t="s">
        <v>375</v>
      </c>
      <c r="S1" t="s">
        <v>376</v>
      </c>
      <c r="T1" t="s">
        <v>377</v>
      </c>
      <c r="U1" t="s">
        <v>378</v>
      </c>
      <c r="V1" t="s">
        <v>379</v>
      </c>
      <c r="W1" t="s">
        <v>380</v>
      </c>
      <c r="X1" t="s">
        <v>1025</v>
      </c>
    </row>
    <row r="2" spans="1:24" x14ac:dyDescent="0.25">
      <c r="A2" t="s">
        <v>381</v>
      </c>
      <c r="B2">
        <v>2015</v>
      </c>
      <c r="C2" t="s">
        <v>382</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c r="X2" s="19">
        <f ca="1">DATE(LifeExpectancyData[[#This Row],[Year]],RANDBETWEEN(1,12),1)</f>
        <v>42309</v>
      </c>
    </row>
    <row r="3" spans="1:24" x14ac:dyDescent="0.25">
      <c r="A3" t="s">
        <v>381</v>
      </c>
      <c r="B3">
        <v>2014</v>
      </c>
      <c r="C3" t="s">
        <v>382</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c r="X3" s="19">
        <f ca="1">DATE(LifeExpectancyData[[#This Row],[Year]],RANDBETWEEN(1,12),1)</f>
        <v>41671</v>
      </c>
    </row>
    <row r="4" spans="1:24" x14ac:dyDescent="0.25">
      <c r="A4" t="s">
        <v>381</v>
      </c>
      <c r="B4">
        <v>2013</v>
      </c>
      <c r="C4" t="s">
        <v>382</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c r="X4" s="19">
        <f ca="1">DATE(LifeExpectancyData[[#This Row],[Year]],RANDBETWEEN(1,12),1)</f>
        <v>41487</v>
      </c>
    </row>
    <row r="5" spans="1:24" x14ac:dyDescent="0.25">
      <c r="A5" t="s">
        <v>381</v>
      </c>
      <c r="B5">
        <v>2012</v>
      </c>
      <c r="C5" t="s">
        <v>382</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c r="X5" s="19">
        <f ca="1">DATE(LifeExpectancyData[[#This Row],[Year]],RANDBETWEEN(1,12),1)</f>
        <v>41000</v>
      </c>
    </row>
    <row r="6" spans="1:24" x14ac:dyDescent="0.25">
      <c r="A6" t="s">
        <v>381</v>
      </c>
      <c r="B6">
        <v>2011</v>
      </c>
      <c r="C6" t="s">
        <v>382</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c r="X6" s="19">
        <f ca="1">DATE(LifeExpectancyData[[#This Row],[Year]],RANDBETWEEN(1,12),1)</f>
        <v>40756</v>
      </c>
    </row>
    <row r="7" spans="1:24" x14ac:dyDescent="0.25">
      <c r="A7" t="s">
        <v>381</v>
      </c>
      <c r="B7">
        <v>2010</v>
      </c>
      <c r="C7" t="s">
        <v>382</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c r="X7" s="19">
        <f ca="1">DATE(LifeExpectancyData[[#This Row],[Year]],RANDBETWEEN(1,12),1)</f>
        <v>40422</v>
      </c>
    </row>
    <row r="8" spans="1:24" x14ac:dyDescent="0.25">
      <c r="A8" t="s">
        <v>381</v>
      </c>
      <c r="B8">
        <v>2009</v>
      </c>
      <c r="C8" t="s">
        <v>382</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c r="X8" s="19">
        <f ca="1">DATE(LifeExpectancyData[[#This Row],[Year]],RANDBETWEEN(1,12),1)</f>
        <v>40026</v>
      </c>
    </row>
    <row r="9" spans="1:24" x14ac:dyDescent="0.25">
      <c r="A9" t="s">
        <v>381</v>
      </c>
      <c r="B9">
        <v>2008</v>
      </c>
      <c r="C9" t="s">
        <v>382</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c r="X9" s="19">
        <f ca="1">DATE(LifeExpectancyData[[#This Row],[Year]],RANDBETWEEN(1,12),1)</f>
        <v>39722</v>
      </c>
    </row>
    <row r="10" spans="1:24" x14ac:dyDescent="0.25">
      <c r="A10" t="s">
        <v>381</v>
      </c>
      <c r="B10">
        <v>2007</v>
      </c>
      <c r="C10" t="s">
        <v>382</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c r="X10" s="19">
        <f ca="1">DATE(LifeExpectancyData[[#This Row],[Year]],RANDBETWEEN(1,12),1)</f>
        <v>39264</v>
      </c>
    </row>
    <row r="11" spans="1:24" x14ac:dyDescent="0.25">
      <c r="A11" t="s">
        <v>381</v>
      </c>
      <c r="B11">
        <v>2006</v>
      </c>
      <c r="C11" t="s">
        <v>382</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c r="X11" s="19">
        <f ca="1">DATE(LifeExpectancyData[[#This Row],[Year]],RANDBETWEEN(1,12),1)</f>
        <v>39052</v>
      </c>
    </row>
    <row r="12" spans="1:24" x14ac:dyDescent="0.25">
      <c r="A12" t="s">
        <v>381</v>
      </c>
      <c r="B12">
        <v>2005</v>
      </c>
      <c r="C12" t="s">
        <v>382</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c r="X12" s="19">
        <f ca="1">DATE(LifeExpectancyData[[#This Row],[Year]],RANDBETWEEN(1,12),1)</f>
        <v>38596</v>
      </c>
    </row>
    <row r="13" spans="1:24" x14ac:dyDescent="0.25">
      <c r="A13" t="s">
        <v>381</v>
      </c>
      <c r="B13">
        <v>2004</v>
      </c>
      <c r="C13" t="s">
        <v>382</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c r="X13" s="19">
        <f ca="1">DATE(LifeExpectancyData[[#This Row],[Year]],RANDBETWEEN(1,12),1)</f>
        <v>38200</v>
      </c>
    </row>
    <row r="14" spans="1:24" x14ac:dyDescent="0.25">
      <c r="A14" t="s">
        <v>381</v>
      </c>
      <c r="B14">
        <v>2003</v>
      </c>
      <c r="C14" t="s">
        <v>382</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c r="X14" s="19">
        <f ca="1">DATE(LifeExpectancyData[[#This Row],[Year]],RANDBETWEEN(1,12),1)</f>
        <v>37956</v>
      </c>
    </row>
    <row r="15" spans="1:24" x14ac:dyDescent="0.25">
      <c r="A15" t="s">
        <v>381</v>
      </c>
      <c r="B15">
        <v>2002</v>
      </c>
      <c r="C15" t="s">
        <v>382</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c r="X15" s="19">
        <f ca="1">DATE(LifeExpectancyData[[#This Row],[Year]],RANDBETWEEN(1,12),1)</f>
        <v>37377</v>
      </c>
    </row>
    <row r="16" spans="1:24" x14ac:dyDescent="0.25">
      <c r="A16" t="s">
        <v>381</v>
      </c>
      <c r="B16">
        <v>2001</v>
      </c>
      <c r="C16" t="s">
        <v>382</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c r="X16" s="19">
        <f ca="1">DATE(LifeExpectancyData[[#This Row],[Year]],RANDBETWEEN(1,12),1)</f>
        <v>37165</v>
      </c>
    </row>
    <row r="17" spans="1:24" x14ac:dyDescent="0.25">
      <c r="A17" t="s">
        <v>381</v>
      </c>
      <c r="B17">
        <v>2000</v>
      </c>
      <c r="C17" t="s">
        <v>382</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c r="X17" s="19">
        <f ca="1">DATE(LifeExpectancyData[[#This Row],[Year]],RANDBETWEEN(1,12),1)</f>
        <v>36678</v>
      </c>
    </row>
    <row r="18" spans="1:24" x14ac:dyDescent="0.25">
      <c r="A18" t="s">
        <v>383</v>
      </c>
      <c r="B18">
        <v>2015</v>
      </c>
      <c r="C18" t="s">
        <v>382</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c r="X18" s="19">
        <f ca="1">DATE(LifeExpectancyData[[#This Row],[Year]],RANDBETWEEN(1,12),1)</f>
        <v>42036</v>
      </c>
    </row>
    <row r="19" spans="1:24" x14ac:dyDescent="0.25">
      <c r="A19" t="s">
        <v>383</v>
      </c>
      <c r="B19">
        <v>2014</v>
      </c>
      <c r="C19" t="s">
        <v>382</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c r="X19" s="19">
        <f ca="1">DATE(LifeExpectancyData[[#This Row],[Year]],RANDBETWEEN(1,12),1)</f>
        <v>41974</v>
      </c>
    </row>
    <row r="20" spans="1:24" x14ac:dyDescent="0.25">
      <c r="A20" t="s">
        <v>383</v>
      </c>
      <c r="B20">
        <v>2013</v>
      </c>
      <c r="C20" t="s">
        <v>382</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c r="X20" s="19">
        <f ca="1">DATE(LifeExpectancyData[[#This Row],[Year]],RANDBETWEEN(1,12),1)</f>
        <v>41609</v>
      </c>
    </row>
    <row r="21" spans="1:24" x14ac:dyDescent="0.25">
      <c r="A21" t="s">
        <v>383</v>
      </c>
      <c r="B21">
        <v>2012</v>
      </c>
      <c r="C21" t="s">
        <v>382</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c r="X21" s="19">
        <f ca="1">DATE(LifeExpectancyData[[#This Row],[Year]],RANDBETWEEN(1,12),1)</f>
        <v>41091</v>
      </c>
    </row>
    <row r="22" spans="1:24" x14ac:dyDescent="0.25">
      <c r="A22" t="s">
        <v>383</v>
      </c>
      <c r="B22">
        <v>2011</v>
      </c>
      <c r="C22" t="s">
        <v>382</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c r="X22" s="19">
        <f ca="1">DATE(LifeExpectancyData[[#This Row],[Year]],RANDBETWEEN(1,12),1)</f>
        <v>40575</v>
      </c>
    </row>
    <row r="23" spans="1:24" x14ac:dyDescent="0.25">
      <c r="A23" t="s">
        <v>383</v>
      </c>
      <c r="B23">
        <v>2010</v>
      </c>
      <c r="C23" t="s">
        <v>382</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c r="X23" s="19">
        <f ca="1">DATE(LifeExpectancyData[[#This Row],[Year]],RANDBETWEEN(1,12),1)</f>
        <v>40238</v>
      </c>
    </row>
    <row r="24" spans="1:24" x14ac:dyDescent="0.25">
      <c r="A24" t="s">
        <v>383</v>
      </c>
      <c r="B24">
        <v>2009</v>
      </c>
      <c r="C24" t="s">
        <v>382</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c r="X24" s="19">
        <f ca="1">DATE(LifeExpectancyData[[#This Row],[Year]],RANDBETWEEN(1,12),1)</f>
        <v>39814</v>
      </c>
    </row>
    <row r="25" spans="1:24" x14ac:dyDescent="0.25">
      <c r="A25" t="s">
        <v>383</v>
      </c>
      <c r="B25">
        <v>2008</v>
      </c>
      <c r="C25" t="s">
        <v>382</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c r="X25" s="19">
        <f ca="1">DATE(LifeExpectancyData[[#This Row],[Year]],RANDBETWEEN(1,12),1)</f>
        <v>39479</v>
      </c>
    </row>
    <row r="26" spans="1:24" x14ac:dyDescent="0.25">
      <c r="A26" t="s">
        <v>383</v>
      </c>
      <c r="B26">
        <v>2007</v>
      </c>
      <c r="C26" t="s">
        <v>382</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c r="X26" s="19">
        <f ca="1">DATE(LifeExpectancyData[[#This Row],[Year]],RANDBETWEEN(1,12),1)</f>
        <v>39083</v>
      </c>
    </row>
    <row r="27" spans="1:24" x14ac:dyDescent="0.25">
      <c r="A27" t="s">
        <v>383</v>
      </c>
      <c r="B27">
        <v>2006</v>
      </c>
      <c r="C27" t="s">
        <v>382</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c r="X27" s="19">
        <f ca="1">DATE(LifeExpectancyData[[#This Row],[Year]],RANDBETWEEN(1,12),1)</f>
        <v>38869</v>
      </c>
    </row>
    <row r="28" spans="1:24" x14ac:dyDescent="0.25">
      <c r="A28" t="s">
        <v>383</v>
      </c>
      <c r="B28">
        <v>2005</v>
      </c>
      <c r="C28" t="s">
        <v>382</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c r="X28" s="19">
        <f ca="1">DATE(LifeExpectancyData[[#This Row],[Year]],RANDBETWEEN(1,12),1)</f>
        <v>38534</v>
      </c>
    </row>
    <row r="29" spans="1:24" x14ac:dyDescent="0.25">
      <c r="A29" t="s">
        <v>383</v>
      </c>
      <c r="B29">
        <v>2004</v>
      </c>
      <c r="C29" t="s">
        <v>382</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c r="X29" s="19">
        <f ca="1">DATE(LifeExpectancyData[[#This Row],[Year]],RANDBETWEEN(1,12),1)</f>
        <v>38078</v>
      </c>
    </row>
    <row r="30" spans="1:24" x14ac:dyDescent="0.25">
      <c r="A30" t="s">
        <v>383</v>
      </c>
      <c r="B30">
        <v>2003</v>
      </c>
      <c r="C30" t="s">
        <v>382</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c r="X30" s="19">
        <f ca="1">DATE(LifeExpectancyData[[#This Row],[Year]],RANDBETWEEN(1,12),1)</f>
        <v>37742</v>
      </c>
    </row>
    <row r="31" spans="1:24" x14ac:dyDescent="0.25">
      <c r="A31" t="s">
        <v>383</v>
      </c>
      <c r="B31">
        <v>2002</v>
      </c>
      <c r="C31" t="s">
        <v>382</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c r="X31" s="19">
        <f ca="1">DATE(LifeExpectancyData[[#This Row],[Year]],RANDBETWEEN(1,12),1)</f>
        <v>37469</v>
      </c>
    </row>
    <row r="32" spans="1:24" x14ac:dyDescent="0.25">
      <c r="A32" t="s">
        <v>383</v>
      </c>
      <c r="B32">
        <v>2001</v>
      </c>
      <c r="C32" t="s">
        <v>382</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c r="X32" s="19">
        <f ca="1">DATE(LifeExpectancyData[[#This Row],[Year]],RANDBETWEEN(1,12),1)</f>
        <v>37226</v>
      </c>
    </row>
    <row r="33" spans="1:24" x14ac:dyDescent="0.25">
      <c r="A33" t="s">
        <v>383</v>
      </c>
      <c r="B33">
        <v>2000</v>
      </c>
      <c r="C33" t="s">
        <v>382</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c r="X33" s="19">
        <f ca="1">DATE(LifeExpectancyData[[#This Row],[Year]],RANDBETWEEN(1,12),1)</f>
        <v>36557</v>
      </c>
    </row>
    <row r="34" spans="1:24" x14ac:dyDescent="0.25">
      <c r="A34" t="s">
        <v>384</v>
      </c>
      <c r="B34">
        <v>2015</v>
      </c>
      <c r="C34" t="s">
        <v>382</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c r="X34" s="19">
        <f ca="1">DATE(LifeExpectancyData[[#This Row],[Year]],RANDBETWEEN(1,12),1)</f>
        <v>42186</v>
      </c>
    </row>
    <row r="35" spans="1:24" x14ac:dyDescent="0.25">
      <c r="A35" t="s">
        <v>384</v>
      </c>
      <c r="B35">
        <v>2014</v>
      </c>
      <c r="C35" t="s">
        <v>382</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c r="X35" s="19">
        <f ca="1">DATE(LifeExpectancyData[[#This Row],[Year]],RANDBETWEEN(1,12),1)</f>
        <v>41821</v>
      </c>
    </row>
    <row r="36" spans="1:24" x14ac:dyDescent="0.25">
      <c r="A36" t="s">
        <v>384</v>
      </c>
      <c r="B36">
        <v>2013</v>
      </c>
      <c r="C36" t="s">
        <v>382</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c r="X36" s="19">
        <f ca="1">DATE(LifeExpectancyData[[#This Row],[Year]],RANDBETWEEN(1,12),1)</f>
        <v>41548</v>
      </c>
    </row>
    <row r="37" spans="1:24" x14ac:dyDescent="0.25">
      <c r="A37" t="s">
        <v>384</v>
      </c>
      <c r="B37">
        <v>2012</v>
      </c>
      <c r="C37" t="s">
        <v>382</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c r="X37" s="19">
        <f ca="1">DATE(LifeExpectancyData[[#This Row],[Year]],RANDBETWEEN(1,12),1)</f>
        <v>41000</v>
      </c>
    </row>
    <row r="38" spans="1:24" x14ac:dyDescent="0.25">
      <c r="A38" t="s">
        <v>384</v>
      </c>
      <c r="B38">
        <v>2011</v>
      </c>
      <c r="C38" t="s">
        <v>382</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c r="X38" s="19">
        <f ca="1">DATE(LifeExpectancyData[[#This Row],[Year]],RANDBETWEEN(1,12),1)</f>
        <v>40817</v>
      </c>
    </row>
    <row r="39" spans="1:24" x14ac:dyDescent="0.25">
      <c r="A39" t="s">
        <v>384</v>
      </c>
      <c r="B39">
        <v>2010</v>
      </c>
      <c r="C39" t="s">
        <v>382</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c r="X39" s="19">
        <f ca="1">DATE(LifeExpectancyData[[#This Row],[Year]],RANDBETWEEN(1,12),1)</f>
        <v>40210</v>
      </c>
    </row>
    <row r="40" spans="1:24" x14ac:dyDescent="0.25">
      <c r="A40" t="s">
        <v>384</v>
      </c>
      <c r="B40">
        <v>2009</v>
      </c>
      <c r="C40" t="s">
        <v>382</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c r="X40" s="19">
        <f ca="1">DATE(LifeExpectancyData[[#This Row],[Year]],RANDBETWEEN(1,12),1)</f>
        <v>39845</v>
      </c>
    </row>
    <row r="41" spans="1:24" x14ac:dyDescent="0.25">
      <c r="A41" t="s">
        <v>384</v>
      </c>
      <c r="B41">
        <v>2008</v>
      </c>
      <c r="C41" t="s">
        <v>382</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c r="X41" s="19">
        <f ca="1">DATE(LifeExpectancyData[[#This Row],[Year]],RANDBETWEEN(1,12),1)</f>
        <v>39508</v>
      </c>
    </row>
    <row r="42" spans="1:24" x14ac:dyDescent="0.25">
      <c r="A42" t="s">
        <v>384</v>
      </c>
      <c r="B42">
        <v>2007</v>
      </c>
      <c r="C42" t="s">
        <v>382</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c r="X42" s="19">
        <f ca="1">DATE(LifeExpectancyData[[#This Row],[Year]],RANDBETWEEN(1,12),1)</f>
        <v>39142</v>
      </c>
    </row>
    <row r="43" spans="1:24" x14ac:dyDescent="0.25">
      <c r="A43" t="s">
        <v>384</v>
      </c>
      <c r="B43">
        <v>2006</v>
      </c>
      <c r="C43" t="s">
        <v>382</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c r="X43" s="19">
        <f ca="1">DATE(LifeExpectancyData[[#This Row],[Year]],RANDBETWEEN(1,12),1)</f>
        <v>38899</v>
      </c>
    </row>
    <row r="44" spans="1:24" x14ac:dyDescent="0.25">
      <c r="A44" t="s">
        <v>384</v>
      </c>
      <c r="B44">
        <v>2005</v>
      </c>
      <c r="C44" t="s">
        <v>382</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c r="X44" s="19">
        <f ca="1">DATE(LifeExpectancyData[[#This Row],[Year]],RANDBETWEEN(1,12),1)</f>
        <v>38565</v>
      </c>
    </row>
    <row r="45" spans="1:24" x14ac:dyDescent="0.25">
      <c r="A45" t="s">
        <v>384</v>
      </c>
      <c r="B45">
        <v>2004</v>
      </c>
      <c r="C45" t="s">
        <v>382</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c r="X45" s="19">
        <f ca="1">DATE(LifeExpectancyData[[#This Row],[Year]],RANDBETWEEN(1,12),1)</f>
        <v>38169</v>
      </c>
    </row>
    <row r="46" spans="1:24" x14ac:dyDescent="0.25">
      <c r="A46" t="s">
        <v>384</v>
      </c>
      <c r="B46">
        <v>2003</v>
      </c>
      <c r="C46" t="s">
        <v>382</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c r="X46" s="19">
        <f ca="1">DATE(LifeExpectancyData[[#This Row],[Year]],RANDBETWEEN(1,12),1)</f>
        <v>37712</v>
      </c>
    </row>
    <row r="47" spans="1:24" x14ac:dyDescent="0.25">
      <c r="A47" t="s">
        <v>384</v>
      </c>
      <c r="B47">
        <v>2002</v>
      </c>
      <c r="C47" t="s">
        <v>382</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c r="X47" s="19">
        <f ca="1">DATE(LifeExpectancyData[[#This Row],[Year]],RANDBETWEEN(1,12),1)</f>
        <v>37561</v>
      </c>
    </row>
    <row r="48" spans="1:24" x14ac:dyDescent="0.25">
      <c r="A48" t="s">
        <v>384</v>
      </c>
      <c r="B48">
        <v>2001</v>
      </c>
      <c r="C48" t="s">
        <v>382</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c r="X48" s="19">
        <f ca="1">DATE(LifeExpectancyData[[#This Row],[Year]],RANDBETWEEN(1,12),1)</f>
        <v>37165</v>
      </c>
    </row>
    <row r="49" spans="1:24" x14ac:dyDescent="0.25">
      <c r="A49" t="s">
        <v>384</v>
      </c>
      <c r="B49">
        <v>2000</v>
      </c>
      <c r="C49" t="s">
        <v>382</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c r="X49" s="19">
        <f ca="1">DATE(LifeExpectancyData[[#This Row],[Year]],RANDBETWEEN(1,12),1)</f>
        <v>36647</v>
      </c>
    </row>
    <row r="50" spans="1:24" x14ac:dyDescent="0.25">
      <c r="A50" t="s">
        <v>385</v>
      </c>
      <c r="B50">
        <v>2015</v>
      </c>
      <c r="C50" t="s">
        <v>382</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c r="X50" s="19">
        <f ca="1">DATE(LifeExpectancyData[[#This Row],[Year]],RANDBETWEEN(1,12),1)</f>
        <v>42309</v>
      </c>
    </row>
    <row r="51" spans="1:24" x14ac:dyDescent="0.25">
      <c r="A51" t="s">
        <v>385</v>
      </c>
      <c r="B51">
        <v>2014</v>
      </c>
      <c r="C51" t="s">
        <v>382</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c r="X51" s="19">
        <f ca="1">DATE(LifeExpectancyData[[#This Row],[Year]],RANDBETWEEN(1,12),1)</f>
        <v>41791</v>
      </c>
    </row>
    <row r="52" spans="1:24" x14ac:dyDescent="0.25">
      <c r="A52" t="s">
        <v>385</v>
      </c>
      <c r="B52">
        <v>2013</v>
      </c>
      <c r="C52" t="s">
        <v>382</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c r="X52" s="19">
        <f ca="1">DATE(LifeExpectancyData[[#This Row],[Year]],RANDBETWEEN(1,12),1)</f>
        <v>41275</v>
      </c>
    </row>
    <row r="53" spans="1:24" x14ac:dyDescent="0.25">
      <c r="A53" t="s">
        <v>385</v>
      </c>
      <c r="B53">
        <v>2012</v>
      </c>
      <c r="C53" t="s">
        <v>382</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c r="X53" s="19">
        <f ca="1">DATE(LifeExpectancyData[[#This Row],[Year]],RANDBETWEEN(1,12),1)</f>
        <v>41183</v>
      </c>
    </row>
    <row r="54" spans="1:24" x14ac:dyDescent="0.25">
      <c r="A54" t="s">
        <v>385</v>
      </c>
      <c r="B54">
        <v>2011</v>
      </c>
      <c r="C54" t="s">
        <v>382</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c r="X54" s="19">
        <f ca="1">DATE(LifeExpectancyData[[#This Row],[Year]],RANDBETWEEN(1,12),1)</f>
        <v>40603</v>
      </c>
    </row>
    <row r="55" spans="1:24" x14ac:dyDescent="0.25">
      <c r="A55" t="s">
        <v>385</v>
      </c>
      <c r="B55">
        <v>2010</v>
      </c>
      <c r="C55" t="s">
        <v>382</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c r="X55" s="19">
        <f ca="1">DATE(LifeExpectancyData[[#This Row],[Year]],RANDBETWEEN(1,12),1)</f>
        <v>40513</v>
      </c>
    </row>
    <row r="56" spans="1:24" x14ac:dyDescent="0.25">
      <c r="A56" t="s">
        <v>385</v>
      </c>
      <c r="B56">
        <v>2009</v>
      </c>
      <c r="C56" t="s">
        <v>382</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c r="X56" s="19">
        <f ca="1">DATE(LifeExpectancyData[[#This Row],[Year]],RANDBETWEEN(1,12),1)</f>
        <v>40087</v>
      </c>
    </row>
    <row r="57" spans="1:24" x14ac:dyDescent="0.25">
      <c r="A57" t="s">
        <v>385</v>
      </c>
      <c r="B57">
        <v>2008</v>
      </c>
      <c r="C57" t="s">
        <v>382</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c r="X57" s="19">
        <f ca="1">DATE(LifeExpectancyData[[#This Row],[Year]],RANDBETWEEN(1,12),1)</f>
        <v>39508</v>
      </c>
    </row>
    <row r="58" spans="1:24" x14ac:dyDescent="0.25">
      <c r="A58" t="s">
        <v>385</v>
      </c>
      <c r="B58">
        <v>2007</v>
      </c>
      <c r="C58" t="s">
        <v>382</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c r="X58" s="19">
        <f ca="1">DATE(LifeExpectancyData[[#This Row],[Year]],RANDBETWEEN(1,12),1)</f>
        <v>39083</v>
      </c>
    </row>
    <row r="59" spans="1:24" x14ac:dyDescent="0.25">
      <c r="A59" t="s">
        <v>385</v>
      </c>
      <c r="B59">
        <v>2006</v>
      </c>
      <c r="C59" t="s">
        <v>382</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c r="X59" s="19">
        <f ca="1">DATE(LifeExpectancyData[[#This Row],[Year]],RANDBETWEEN(1,12),1)</f>
        <v>38808</v>
      </c>
    </row>
    <row r="60" spans="1:24" x14ac:dyDescent="0.25">
      <c r="A60" t="s">
        <v>385</v>
      </c>
      <c r="B60">
        <v>2005</v>
      </c>
      <c r="C60" t="s">
        <v>382</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c r="X60" s="19">
        <f ca="1">DATE(LifeExpectancyData[[#This Row],[Year]],RANDBETWEEN(1,12),1)</f>
        <v>38596</v>
      </c>
    </row>
    <row r="61" spans="1:24" x14ac:dyDescent="0.25">
      <c r="A61" t="s">
        <v>385</v>
      </c>
      <c r="B61">
        <v>2004</v>
      </c>
      <c r="C61" t="s">
        <v>382</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c r="X61" s="19">
        <f ca="1">DATE(LifeExpectancyData[[#This Row],[Year]],RANDBETWEEN(1,12),1)</f>
        <v>38078</v>
      </c>
    </row>
    <row r="62" spans="1:24" x14ac:dyDescent="0.25">
      <c r="A62" t="s">
        <v>385</v>
      </c>
      <c r="B62">
        <v>2003</v>
      </c>
      <c r="C62" t="s">
        <v>382</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c r="X62" s="19">
        <f ca="1">DATE(LifeExpectancyData[[#This Row],[Year]],RANDBETWEEN(1,12),1)</f>
        <v>37681</v>
      </c>
    </row>
    <row r="63" spans="1:24" x14ac:dyDescent="0.25">
      <c r="A63" t="s">
        <v>385</v>
      </c>
      <c r="B63">
        <v>2002</v>
      </c>
      <c r="C63" t="s">
        <v>382</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c r="X63" s="19">
        <f ca="1">DATE(LifeExpectancyData[[#This Row],[Year]],RANDBETWEEN(1,12),1)</f>
        <v>37316</v>
      </c>
    </row>
    <row r="64" spans="1:24" x14ac:dyDescent="0.25">
      <c r="A64" t="s">
        <v>385</v>
      </c>
      <c r="B64">
        <v>2001</v>
      </c>
      <c r="C64" t="s">
        <v>382</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c r="X64" s="19">
        <f ca="1">DATE(LifeExpectancyData[[#This Row],[Year]],RANDBETWEEN(1,12),1)</f>
        <v>37135</v>
      </c>
    </row>
    <row r="65" spans="1:24" x14ac:dyDescent="0.25">
      <c r="A65" t="s">
        <v>385</v>
      </c>
      <c r="B65">
        <v>2000</v>
      </c>
      <c r="C65" t="s">
        <v>382</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c r="X65" s="19">
        <f ca="1">DATE(LifeExpectancyData[[#This Row],[Year]],RANDBETWEEN(1,12),1)</f>
        <v>36557</v>
      </c>
    </row>
    <row r="66" spans="1:24" x14ac:dyDescent="0.25">
      <c r="A66" t="s">
        <v>386</v>
      </c>
      <c r="B66">
        <v>2015</v>
      </c>
      <c r="C66" t="s">
        <v>382</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c r="X66" s="19">
        <f ca="1">DATE(LifeExpectancyData[[#This Row],[Year]],RANDBETWEEN(1,12),1)</f>
        <v>42095</v>
      </c>
    </row>
    <row r="67" spans="1:24" x14ac:dyDescent="0.25">
      <c r="A67" t="s">
        <v>386</v>
      </c>
      <c r="B67">
        <v>2014</v>
      </c>
      <c r="C67" t="s">
        <v>382</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c r="X67" s="19">
        <f ca="1">DATE(LifeExpectancyData[[#This Row],[Year]],RANDBETWEEN(1,12),1)</f>
        <v>41671</v>
      </c>
    </row>
    <row r="68" spans="1:24" x14ac:dyDescent="0.25">
      <c r="A68" t="s">
        <v>386</v>
      </c>
      <c r="B68">
        <v>2013</v>
      </c>
      <c r="C68" t="s">
        <v>382</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c r="X68" s="19">
        <f ca="1">DATE(LifeExpectancyData[[#This Row],[Year]],RANDBETWEEN(1,12),1)</f>
        <v>41579</v>
      </c>
    </row>
    <row r="69" spans="1:24" x14ac:dyDescent="0.25">
      <c r="A69" t="s">
        <v>386</v>
      </c>
      <c r="B69">
        <v>2012</v>
      </c>
      <c r="C69" t="s">
        <v>382</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c r="X69" s="19">
        <f ca="1">DATE(LifeExpectancyData[[#This Row],[Year]],RANDBETWEEN(1,12),1)</f>
        <v>41030</v>
      </c>
    </row>
    <row r="70" spans="1:24" x14ac:dyDescent="0.25">
      <c r="A70" t="s">
        <v>386</v>
      </c>
      <c r="B70">
        <v>2011</v>
      </c>
      <c r="C70" t="s">
        <v>382</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c r="X70" s="19">
        <f ca="1">DATE(LifeExpectancyData[[#This Row],[Year]],RANDBETWEEN(1,12),1)</f>
        <v>40575</v>
      </c>
    </row>
    <row r="71" spans="1:24" x14ac:dyDescent="0.25">
      <c r="A71" t="s">
        <v>386</v>
      </c>
      <c r="B71">
        <v>2010</v>
      </c>
      <c r="C71" t="s">
        <v>382</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c r="X71" s="19">
        <f ca="1">DATE(LifeExpectancyData[[#This Row],[Year]],RANDBETWEEN(1,12),1)</f>
        <v>40513</v>
      </c>
    </row>
    <row r="72" spans="1:24" x14ac:dyDescent="0.25">
      <c r="A72" t="s">
        <v>386</v>
      </c>
      <c r="B72">
        <v>2009</v>
      </c>
      <c r="C72" t="s">
        <v>382</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c r="X72" s="19">
        <f ca="1">DATE(LifeExpectancyData[[#This Row],[Year]],RANDBETWEEN(1,12),1)</f>
        <v>39934</v>
      </c>
    </row>
    <row r="73" spans="1:24" x14ac:dyDescent="0.25">
      <c r="A73" t="s">
        <v>386</v>
      </c>
      <c r="B73">
        <v>2008</v>
      </c>
      <c r="C73" t="s">
        <v>382</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c r="X73" s="19">
        <f ca="1">DATE(LifeExpectancyData[[#This Row],[Year]],RANDBETWEEN(1,12),1)</f>
        <v>39630</v>
      </c>
    </row>
    <row r="74" spans="1:24" x14ac:dyDescent="0.25">
      <c r="A74" t="s">
        <v>386</v>
      </c>
      <c r="B74">
        <v>2007</v>
      </c>
      <c r="C74" t="s">
        <v>382</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c r="X74" s="19">
        <f ca="1">DATE(LifeExpectancyData[[#This Row],[Year]],RANDBETWEEN(1,12),1)</f>
        <v>39417</v>
      </c>
    </row>
    <row r="75" spans="1:24" x14ac:dyDescent="0.25">
      <c r="A75" t="s">
        <v>386</v>
      </c>
      <c r="B75">
        <v>2006</v>
      </c>
      <c r="C75" t="s">
        <v>382</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c r="X75" s="19">
        <f ca="1">DATE(LifeExpectancyData[[#This Row],[Year]],RANDBETWEEN(1,12),1)</f>
        <v>38991</v>
      </c>
    </row>
    <row r="76" spans="1:24" x14ac:dyDescent="0.25">
      <c r="A76" t="s">
        <v>386</v>
      </c>
      <c r="B76">
        <v>2005</v>
      </c>
      <c r="C76" t="s">
        <v>382</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c r="X76" s="19">
        <f ca="1">DATE(LifeExpectancyData[[#This Row],[Year]],RANDBETWEEN(1,12),1)</f>
        <v>38687</v>
      </c>
    </row>
    <row r="77" spans="1:24" x14ac:dyDescent="0.25">
      <c r="A77" t="s">
        <v>386</v>
      </c>
      <c r="B77">
        <v>2004</v>
      </c>
      <c r="C77" t="s">
        <v>382</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c r="X77" s="19">
        <f ca="1">DATE(LifeExpectancyData[[#This Row],[Year]],RANDBETWEEN(1,12),1)</f>
        <v>38322</v>
      </c>
    </row>
    <row r="78" spans="1:24" x14ac:dyDescent="0.25">
      <c r="A78" t="s">
        <v>386</v>
      </c>
      <c r="B78">
        <v>2003</v>
      </c>
      <c r="C78" t="s">
        <v>382</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c r="X78" s="19">
        <f ca="1">DATE(LifeExpectancyData[[#This Row],[Year]],RANDBETWEEN(1,12),1)</f>
        <v>37773</v>
      </c>
    </row>
    <row r="79" spans="1:24" x14ac:dyDescent="0.25">
      <c r="A79" t="s">
        <v>386</v>
      </c>
      <c r="B79">
        <v>2002</v>
      </c>
      <c r="C79" t="s">
        <v>382</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c r="X79" s="19">
        <f ca="1">DATE(LifeExpectancyData[[#This Row],[Year]],RANDBETWEEN(1,12),1)</f>
        <v>37257</v>
      </c>
    </row>
    <row r="80" spans="1:24" x14ac:dyDescent="0.25">
      <c r="A80" t="s">
        <v>386</v>
      </c>
      <c r="B80">
        <v>2001</v>
      </c>
      <c r="C80" t="s">
        <v>382</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c r="X80" s="19">
        <f ca="1">DATE(LifeExpectancyData[[#This Row],[Year]],RANDBETWEEN(1,12),1)</f>
        <v>36982</v>
      </c>
    </row>
    <row r="81" spans="1:24" x14ac:dyDescent="0.25">
      <c r="A81" t="s">
        <v>386</v>
      </c>
      <c r="B81">
        <v>2000</v>
      </c>
      <c r="C81" t="s">
        <v>382</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c r="X81" s="19">
        <f ca="1">DATE(LifeExpectancyData[[#This Row],[Year]],RANDBETWEEN(1,12),1)</f>
        <v>36647</v>
      </c>
    </row>
    <row r="82" spans="1:24" x14ac:dyDescent="0.25">
      <c r="A82" t="s">
        <v>387</v>
      </c>
      <c r="B82">
        <v>2015</v>
      </c>
      <c r="C82" t="s">
        <v>382</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c r="X82" s="19">
        <f ca="1">DATE(LifeExpectancyData[[#This Row],[Year]],RANDBETWEEN(1,12),1)</f>
        <v>42217</v>
      </c>
    </row>
    <row r="83" spans="1:24" x14ac:dyDescent="0.25">
      <c r="A83" t="s">
        <v>387</v>
      </c>
      <c r="B83">
        <v>2014</v>
      </c>
      <c r="C83" t="s">
        <v>382</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c r="X83" s="19">
        <f ca="1">DATE(LifeExpectancyData[[#This Row],[Year]],RANDBETWEEN(1,12),1)</f>
        <v>41730</v>
      </c>
    </row>
    <row r="84" spans="1:24" x14ac:dyDescent="0.25">
      <c r="A84" t="s">
        <v>387</v>
      </c>
      <c r="B84">
        <v>2013</v>
      </c>
      <c r="C84" t="s">
        <v>382</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c r="X84" s="19">
        <f ca="1">DATE(LifeExpectancyData[[#This Row],[Year]],RANDBETWEEN(1,12),1)</f>
        <v>41275</v>
      </c>
    </row>
    <row r="85" spans="1:24" x14ac:dyDescent="0.25">
      <c r="A85" t="s">
        <v>387</v>
      </c>
      <c r="B85">
        <v>2012</v>
      </c>
      <c r="C85" t="s">
        <v>382</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c r="X85" s="19">
        <f ca="1">DATE(LifeExpectancyData[[#This Row],[Year]],RANDBETWEEN(1,12),1)</f>
        <v>41183</v>
      </c>
    </row>
    <row r="86" spans="1:24" x14ac:dyDescent="0.25">
      <c r="A86" t="s">
        <v>387</v>
      </c>
      <c r="B86">
        <v>2011</v>
      </c>
      <c r="C86" t="s">
        <v>382</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c r="X86" s="19">
        <f ca="1">DATE(LifeExpectancyData[[#This Row],[Year]],RANDBETWEEN(1,12),1)</f>
        <v>40878</v>
      </c>
    </row>
    <row r="87" spans="1:24" x14ac:dyDescent="0.25">
      <c r="A87" t="s">
        <v>387</v>
      </c>
      <c r="B87">
        <v>2010</v>
      </c>
      <c r="C87" t="s">
        <v>382</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c r="X87" s="19">
        <f ca="1">DATE(LifeExpectancyData[[#This Row],[Year]],RANDBETWEEN(1,12),1)</f>
        <v>40299</v>
      </c>
    </row>
    <row r="88" spans="1:24" x14ac:dyDescent="0.25">
      <c r="A88" t="s">
        <v>387</v>
      </c>
      <c r="B88">
        <v>2009</v>
      </c>
      <c r="C88" t="s">
        <v>382</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c r="X88" s="19">
        <f ca="1">DATE(LifeExpectancyData[[#This Row],[Year]],RANDBETWEEN(1,12),1)</f>
        <v>39873</v>
      </c>
    </row>
    <row r="89" spans="1:24" x14ac:dyDescent="0.25">
      <c r="A89" t="s">
        <v>387</v>
      </c>
      <c r="B89">
        <v>2008</v>
      </c>
      <c r="C89" t="s">
        <v>382</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c r="X89" s="19">
        <f ca="1">DATE(LifeExpectancyData[[#This Row],[Year]],RANDBETWEEN(1,12),1)</f>
        <v>39448</v>
      </c>
    </row>
    <row r="90" spans="1:24" x14ac:dyDescent="0.25">
      <c r="A90" t="s">
        <v>387</v>
      </c>
      <c r="B90">
        <v>2007</v>
      </c>
      <c r="C90" t="s">
        <v>382</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c r="X90" s="19">
        <f ca="1">DATE(LifeExpectancyData[[#This Row],[Year]],RANDBETWEEN(1,12),1)</f>
        <v>39264</v>
      </c>
    </row>
    <row r="91" spans="1:24" x14ac:dyDescent="0.25">
      <c r="A91" t="s">
        <v>387</v>
      </c>
      <c r="B91">
        <v>2006</v>
      </c>
      <c r="C91" t="s">
        <v>382</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c r="X91" s="19">
        <f ca="1">DATE(LifeExpectancyData[[#This Row],[Year]],RANDBETWEEN(1,12),1)</f>
        <v>38808</v>
      </c>
    </row>
    <row r="92" spans="1:24" x14ac:dyDescent="0.25">
      <c r="A92" t="s">
        <v>387</v>
      </c>
      <c r="B92">
        <v>2005</v>
      </c>
      <c r="C92" t="s">
        <v>382</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c r="X92" s="19">
        <f ca="1">DATE(LifeExpectancyData[[#This Row],[Year]],RANDBETWEEN(1,12),1)</f>
        <v>38353</v>
      </c>
    </row>
    <row r="93" spans="1:24" x14ac:dyDescent="0.25">
      <c r="A93" t="s">
        <v>387</v>
      </c>
      <c r="B93">
        <v>2004</v>
      </c>
      <c r="C93" t="s">
        <v>382</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c r="X93" s="19">
        <f ca="1">DATE(LifeExpectancyData[[#This Row],[Year]],RANDBETWEEN(1,12),1)</f>
        <v>38139</v>
      </c>
    </row>
    <row r="94" spans="1:24" x14ac:dyDescent="0.25">
      <c r="A94" t="s">
        <v>387</v>
      </c>
      <c r="B94">
        <v>2003</v>
      </c>
      <c r="C94" t="s">
        <v>382</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c r="X94" s="19">
        <f ca="1">DATE(LifeExpectancyData[[#This Row],[Year]],RANDBETWEEN(1,12),1)</f>
        <v>37653</v>
      </c>
    </row>
    <row r="95" spans="1:24" x14ac:dyDescent="0.25">
      <c r="A95" t="s">
        <v>387</v>
      </c>
      <c r="B95">
        <v>2002</v>
      </c>
      <c r="C95" t="s">
        <v>382</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c r="X95" s="19">
        <f ca="1">DATE(LifeExpectancyData[[#This Row],[Year]],RANDBETWEEN(1,12),1)</f>
        <v>37316</v>
      </c>
    </row>
    <row r="96" spans="1:24" x14ac:dyDescent="0.25">
      <c r="A96" t="s">
        <v>387</v>
      </c>
      <c r="B96">
        <v>2001</v>
      </c>
      <c r="C96" t="s">
        <v>382</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c r="X96" s="19">
        <f ca="1">DATE(LifeExpectancyData[[#This Row],[Year]],RANDBETWEEN(1,12),1)</f>
        <v>36892</v>
      </c>
    </row>
    <row r="97" spans="1:24" x14ac:dyDescent="0.25">
      <c r="A97" t="s">
        <v>387</v>
      </c>
      <c r="B97">
        <v>2000</v>
      </c>
      <c r="C97" t="s">
        <v>382</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c r="X97" s="19">
        <f ca="1">DATE(LifeExpectancyData[[#This Row],[Year]],RANDBETWEEN(1,12),1)</f>
        <v>36586</v>
      </c>
    </row>
    <row r="98" spans="1:24" x14ac:dyDescent="0.25">
      <c r="A98" t="s">
        <v>388</v>
      </c>
      <c r="B98">
        <v>2015</v>
      </c>
      <c r="C98" t="s">
        <v>382</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c r="X98" s="19">
        <f ca="1">DATE(LifeExpectancyData[[#This Row],[Year]],RANDBETWEEN(1,12),1)</f>
        <v>42156</v>
      </c>
    </row>
    <row r="99" spans="1:24" x14ac:dyDescent="0.25">
      <c r="A99" t="s">
        <v>388</v>
      </c>
      <c r="B99">
        <v>2014</v>
      </c>
      <c r="C99" t="s">
        <v>382</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c r="X99" s="19">
        <f ca="1">DATE(LifeExpectancyData[[#This Row],[Year]],RANDBETWEEN(1,12),1)</f>
        <v>41791</v>
      </c>
    </row>
    <row r="100" spans="1:24" x14ac:dyDescent="0.25">
      <c r="A100" t="s">
        <v>388</v>
      </c>
      <c r="B100">
        <v>2013</v>
      </c>
      <c r="C100" t="s">
        <v>382</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c r="X100" s="19">
        <f ca="1">DATE(LifeExpectancyData[[#This Row],[Year]],RANDBETWEEN(1,12),1)</f>
        <v>41579</v>
      </c>
    </row>
    <row r="101" spans="1:24" x14ac:dyDescent="0.25">
      <c r="A101" t="s">
        <v>388</v>
      </c>
      <c r="B101">
        <v>2012</v>
      </c>
      <c r="C101" t="s">
        <v>382</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c r="X101" s="19">
        <f ca="1">DATE(LifeExpectancyData[[#This Row],[Year]],RANDBETWEEN(1,12),1)</f>
        <v>41153</v>
      </c>
    </row>
    <row r="102" spans="1:24" x14ac:dyDescent="0.25">
      <c r="A102" t="s">
        <v>388</v>
      </c>
      <c r="B102">
        <v>2011</v>
      </c>
      <c r="C102" t="s">
        <v>382</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c r="X102" s="19">
        <f ca="1">DATE(LifeExpectancyData[[#This Row],[Year]],RANDBETWEEN(1,12),1)</f>
        <v>40848</v>
      </c>
    </row>
    <row r="103" spans="1:24" x14ac:dyDescent="0.25">
      <c r="A103" t="s">
        <v>388</v>
      </c>
      <c r="B103">
        <v>2010</v>
      </c>
      <c r="C103" t="s">
        <v>382</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c r="X103" s="19">
        <f ca="1">DATE(LifeExpectancyData[[#This Row],[Year]],RANDBETWEEN(1,12),1)</f>
        <v>40330</v>
      </c>
    </row>
    <row r="104" spans="1:24" x14ac:dyDescent="0.25">
      <c r="A104" t="s">
        <v>388</v>
      </c>
      <c r="B104">
        <v>2009</v>
      </c>
      <c r="C104" t="s">
        <v>382</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c r="X104" s="19">
        <f ca="1">DATE(LifeExpectancyData[[#This Row],[Year]],RANDBETWEEN(1,12),1)</f>
        <v>40118</v>
      </c>
    </row>
    <row r="105" spans="1:24" x14ac:dyDescent="0.25">
      <c r="A105" t="s">
        <v>388</v>
      </c>
      <c r="B105">
        <v>2008</v>
      </c>
      <c r="C105" t="s">
        <v>382</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c r="X105" s="19">
        <f ca="1">DATE(LifeExpectancyData[[#This Row],[Year]],RANDBETWEEN(1,12),1)</f>
        <v>39630</v>
      </c>
    </row>
    <row r="106" spans="1:24" x14ac:dyDescent="0.25">
      <c r="A106" t="s">
        <v>388</v>
      </c>
      <c r="B106">
        <v>2007</v>
      </c>
      <c r="C106" t="s">
        <v>382</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c r="X106" s="19">
        <f ca="1">DATE(LifeExpectancyData[[#This Row],[Year]],RANDBETWEEN(1,12),1)</f>
        <v>39114</v>
      </c>
    </row>
    <row r="107" spans="1:24" x14ac:dyDescent="0.25">
      <c r="A107" t="s">
        <v>388</v>
      </c>
      <c r="B107">
        <v>2006</v>
      </c>
      <c r="C107" t="s">
        <v>382</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c r="X107" s="19">
        <f ca="1">DATE(LifeExpectancyData[[#This Row],[Year]],RANDBETWEEN(1,12),1)</f>
        <v>38749</v>
      </c>
    </row>
    <row r="108" spans="1:24" x14ac:dyDescent="0.25">
      <c r="A108" t="s">
        <v>388</v>
      </c>
      <c r="B108">
        <v>2005</v>
      </c>
      <c r="C108" t="s">
        <v>382</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c r="X108" s="19">
        <f ca="1">DATE(LifeExpectancyData[[#This Row],[Year]],RANDBETWEEN(1,12),1)</f>
        <v>38534</v>
      </c>
    </row>
    <row r="109" spans="1:24" x14ac:dyDescent="0.25">
      <c r="A109" t="s">
        <v>388</v>
      </c>
      <c r="B109">
        <v>2004</v>
      </c>
      <c r="C109" t="s">
        <v>382</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c r="X109" s="19">
        <f ca="1">DATE(LifeExpectancyData[[#This Row],[Year]],RANDBETWEEN(1,12),1)</f>
        <v>38231</v>
      </c>
    </row>
    <row r="110" spans="1:24" x14ac:dyDescent="0.25">
      <c r="A110" t="s">
        <v>388</v>
      </c>
      <c r="B110">
        <v>2003</v>
      </c>
      <c r="C110" t="s">
        <v>382</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c r="X110" s="19">
        <f ca="1">DATE(LifeExpectancyData[[#This Row],[Year]],RANDBETWEEN(1,12),1)</f>
        <v>37865</v>
      </c>
    </row>
    <row r="111" spans="1:24" x14ac:dyDescent="0.25">
      <c r="A111" t="s">
        <v>388</v>
      </c>
      <c r="B111">
        <v>2002</v>
      </c>
      <c r="C111" t="s">
        <v>382</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c r="X111" s="19">
        <f ca="1">DATE(LifeExpectancyData[[#This Row],[Year]],RANDBETWEEN(1,12),1)</f>
        <v>37530</v>
      </c>
    </row>
    <row r="112" spans="1:24" x14ac:dyDescent="0.25">
      <c r="A112" t="s">
        <v>388</v>
      </c>
      <c r="B112">
        <v>2001</v>
      </c>
      <c r="C112" t="s">
        <v>382</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c r="X112" s="19">
        <f ca="1">DATE(LifeExpectancyData[[#This Row],[Year]],RANDBETWEEN(1,12),1)</f>
        <v>37043</v>
      </c>
    </row>
    <row r="113" spans="1:24" x14ac:dyDescent="0.25">
      <c r="A113" t="s">
        <v>388</v>
      </c>
      <c r="B113">
        <v>2000</v>
      </c>
      <c r="C113" t="s">
        <v>382</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c r="X113" s="19">
        <f ca="1">DATE(LifeExpectancyData[[#This Row],[Year]],RANDBETWEEN(1,12),1)</f>
        <v>36526</v>
      </c>
    </row>
    <row r="114" spans="1:24" x14ac:dyDescent="0.25">
      <c r="A114" t="s">
        <v>389</v>
      </c>
      <c r="B114">
        <v>2015</v>
      </c>
      <c r="C114" t="s">
        <v>390</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c r="X114" s="19">
        <f ca="1">DATE(LifeExpectancyData[[#This Row],[Year]],RANDBETWEEN(1,12),1)</f>
        <v>42339</v>
      </c>
    </row>
    <row r="115" spans="1:24" x14ac:dyDescent="0.25">
      <c r="A115" t="s">
        <v>389</v>
      </c>
      <c r="B115">
        <v>2014</v>
      </c>
      <c r="C115" t="s">
        <v>390</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c r="X115" s="19">
        <f ca="1">DATE(LifeExpectancyData[[#This Row],[Year]],RANDBETWEEN(1,12),1)</f>
        <v>41640</v>
      </c>
    </row>
    <row r="116" spans="1:24" x14ac:dyDescent="0.25">
      <c r="A116" t="s">
        <v>389</v>
      </c>
      <c r="B116">
        <v>2013</v>
      </c>
      <c r="C116" t="s">
        <v>390</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c r="X116" s="19">
        <f ca="1">DATE(LifeExpectancyData[[#This Row],[Year]],RANDBETWEEN(1,12),1)</f>
        <v>41306</v>
      </c>
    </row>
    <row r="117" spans="1:24" x14ac:dyDescent="0.25">
      <c r="A117" t="s">
        <v>389</v>
      </c>
      <c r="B117">
        <v>2012</v>
      </c>
      <c r="C117" t="s">
        <v>390</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c r="X117" s="19">
        <f ca="1">DATE(LifeExpectancyData[[#This Row],[Year]],RANDBETWEEN(1,12),1)</f>
        <v>40909</v>
      </c>
    </row>
    <row r="118" spans="1:24" x14ac:dyDescent="0.25">
      <c r="A118" t="s">
        <v>389</v>
      </c>
      <c r="B118">
        <v>2011</v>
      </c>
      <c r="C118" t="s">
        <v>390</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c r="X118" s="19">
        <f ca="1">DATE(LifeExpectancyData[[#This Row],[Year]],RANDBETWEEN(1,12),1)</f>
        <v>40603</v>
      </c>
    </row>
    <row r="119" spans="1:24" x14ac:dyDescent="0.25">
      <c r="A119" t="s">
        <v>389</v>
      </c>
      <c r="B119">
        <v>2010</v>
      </c>
      <c r="C119" t="s">
        <v>390</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c r="X119" s="19">
        <f ca="1">DATE(LifeExpectancyData[[#This Row],[Year]],RANDBETWEEN(1,12),1)</f>
        <v>40299</v>
      </c>
    </row>
    <row r="120" spans="1:24" x14ac:dyDescent="0.25">
      <c r="A120" t="s">
        <v>389</v>
      </c>
      <c r="B120">
        <v>2009</v>
      </c>
      <c r="C120" t="s">
        <v>390</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c r="X120" s="19">
        <f ca="1">DATE(LifeExpectancyData[[#This Row],[Year]],RANDBETWEEN(1,12),1)</f>
        <v>40026</v>
      </c>
    </row>
    <row r="121" spans="1:24" x14ac:dyDescent="0.25">
      <c r="A121" t="s">
        <v>389</v>
      </c>
      <c r="B121">
        <v>2008</v>
      </c>
      <c r="C121" t="s">
        <v>390</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c r="X121" s="19">
        <f ca="1">DATE(LifeExpectancyData[[#This Row],[Year]],RANDBETWEEN(1,12),1)</f>
        <v>39753</v>
      </c>
    </row>
    <row r="122" spans="1:24" x14ac:dyDescent="0.25">
      <c r="A122" t="s">
        <v>389</v>
      </c>
      <c r="B122">
        <v>2007</v>
      </c>
      <c r="C122" t="s">
        <v>390</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c r="X122" s="19">
        <f ca="1">DATE(LifeExpectancyData[[#This Row],[Year]],RANDBETWEEN(1,12),1)</f>
        <v>39417</v>
      </c>
    </row>
    <row r="123" spans="1:24" x14ac:dyDescent="0.25">
      <c r="A123" t="s">
        <v>389</v>
      </c>
      <c r="B123">
        <v>2006</v>
      </c>
      <c r="C123" t="s">
        <v>390</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c r="X123" s="19">
        <f ca="1">DATE(LifeExpectancyData[[#This Row],[Year]],RANDBETWEEN(1,12),1)</f>
        <v>39022</v>
      </c>
    </row>
    <row r="124" spans="1:24" x14ac:dyDescent="0.25">
      <c r="A124" t="s">
        <v>389</v>
      </c>
      <c r="B124">
        <v>2005</v>
      </c>
      <c r="C124" t="s">
        <v>390</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c r="X124" s="19">
        <f ca="1">DATE(LifeExpectancyData[[#This Row],[Year]],RANDBETWEEN(1,12),1)</f>
        <v>38384</v>
      </c>
    </row>
    <row r="125" spans="1:24" x14ac:dyDescent="0.25">
      <c r="A125" t="s">
        <v>389</v>
      </c>
      <c r="B125">
        <v>2004</v>
      </c>
      <c r="C125" t="s">
        <v>390</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c r="X125" s="19">
        <f ca="1">DATE(LifeExpectancyData[[#This Row],[Year]],RANDBETWEEN(1,12),1)</f>
        <v>38078</v>
      </c>
    </row>
    <row r="126" spans="1:24" x14ac:dyDescent="0.25">
      <c r="A126" t="s">
        <v>389</v>
      </c>
      <c r="B126">
        <v>2003</v>
      </c>
      <c r="C126" t="s">
        <v>390</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c r="X126" s="19">
        <f ca="1">DATE(LifeExpectancyData[[#This Row],[Year]],RANDBETWEEN(1,12),1)</f>
        <v>37803</v>
      </c>
    </row>
    <row r="127" spans="1:24" x14ac:dyDescent="0.25">
      <c r="A127" t="s">
        <v>389</v>
      </c>
      <c r="B127">
        <v>2002</v>
      </c>
      <c r="C127" t="s">
        <v>390</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c r="X127" s="19">
        <f ca="1">DATE(LifeExpectancyData[[#This Row],[Year]],RANDBETWEEN(1,12),1)</f>
        <v>37469</v>
      </c>
    </row>
    <row r="128" spans="1:24" x14ac:dyDescent="0.25">
      <c r="A128" t="s">
        <v>389</v>
      </c>
      <c r="B128">
        <v>2001</v>
      </c>
      <c r="C128" t="s">
        <v>390</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c r="X128" s="19">
        <f ca="1">DATE(LifeExpectancyData[[#This Row],[Year]],RANDBETWEEN(1,12),1)</f>
        <v>37012</v>
      </c>
    </row>
    <row r="129" spans="1:24" x14ac:dyDescent="0.25">
      <c r="A129" t="s">
        <v>389</v>
      </c>
      <c r="B129">
        <v>2000</v>
      </c>
      <c r="C129" t="s">
        <v>390</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c r="X129" s="19">
        <f ca="1">DATE(LifeExpectancyData[[#This Row],[Year]],RANDBETWEEN(1,12),1)</f>
        <v>36557</v>
      </c>
    </row>
    <row r="130" spans="1:24" x14ac:dyDescent="0.25">
      <c r="A130" t="s">
        <v>391</v>
      </c>
      <c r="B130">
        <v>2015</v>
      </c>
      <c r="C130" t="s">
        <v>390</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c r="X130" s="19">
        <f ca="1">DATE(LifeExpectancyData[[#This Row],[Year]],RANDBETWEEN(1,12),1)</f>
        <v>42186</v>
      </c>
    </row>
    <row r="131" spans="1:24" x14ac:dyDescent="0.25">
      <c r="A131" t="s">
        <v>391</v>
      </c>
      <c r="B131">
        <v>2014</v>
      </c>
      <c r="C131" t="s">
        <v>390</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c r="X131" s="19">
        <f ca="1">DATE(LifeExpectancyData[[#This Row],[Year]],RANDBETWEEN(1,12),1)</f>
        <v>41791</v>
      </c>
    </row>
    <row r="132" spans="1:24" x14ac:dyDescent="0.25">
      <c r="A132" t="s">
        <v>391</v>
      </c>
      <c r="B132">
        <v>2013</v>
      </c>
      <c r="C132" t="s">
        <v>390</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c r="X132" s="19">
        <f ca="1">DATE(LifeExpectancyData[[#This Row],[Year]],RANDBETWEEN(1,12),1)</f>
        <v>41334</v>
      </c>
    </row>
    <row r="133" spans="1:24" x14ac:dyDescent="0.25">
      <c r="A133" t="s">
        <v>391</v>
      </c>
      <c r="B133">
        <v>2012</v>
      </c>
      <c r="C133" t="s">
        <v>390</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c r="X133" s="19">
        <f ca="1">DATE(LifeExpectancyData[[#This Row],[Year]],RANDBETWEEN(1,12),1)</f>
        <v>41061</v>
      </c>
    </row>
    <row r="134" spans="1:24" x14ac:dyDescent="0.25">
      <c r="A134" t="s">
        <v>391</v>
      </c>
      <c r="B134">
        <v>2011</v>
      </c>
      <c r="C134" t="s">
        <v>390</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c r="X134" s="19">
        <f ca="1">DATE(LifeExpectancyData[[#This Row],[Year]],RANDBETWEEN(1,12),1)</f>
        <v>40544</v>
      </c>
    </row>
    <row r="135" spans="1:24" x14ac:dyDescent="0.25">
      <c r="A135" t="s">
        <v>391</v>
      </c>
      <c r="B135">
        <v>2010</v>
      </c>
      <c r="C135" t="s">
        <v>390</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c r="X135" s="19">
        <f ca="1">DATE(LifeExpectancyData[[#This Row],[Year]],RANDBETWEEN(1,12),1)</f>
        <v>40422</v>
      </c>
    </row>
    <row r="136" spans="1:24" x14ac:dyDescent="0.25">
      <c r="A136" t="s">
        <v>391</v>
      </c>
      <c r="B136">
        <v>2009</v>
      </c>
      <c r="C136" t="s">
        <v>390</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c r="X136" s="19">
        <f ca="1">DATE(LifeExpectancyData[[#This Row],[Year]],RANDBETWEEN(1,12),1)</f>
        <v>39995</v>
      </c>
    </row>
    <row r="137" spans="1:24" x14ac:dyDescent="0.25">
      <c r="A137" t="s">
        <v>391</v>
      </c>
      <c r="B137">
        <v>2008</v>
      </c>
      <c r="C137" t="s">
        <v>390</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c r="X137" s="19">
        <f ca="1">DATE(LifeExpectancyData[[#This Row],[Year]],RANDBETWEEN(1,12),1)</f>
        <v>39569</v>
      </c>
    </row>
    <row r="138" spans="1:24" x14ac:dyDescent="0.25">
      <c r="A138" t="s">
        <v>391</v>
      </c>
      <c r="B138">
        <v>2007</v>
      </c>
      <c r="C138" t="s">
        <v>390</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c r="X138" s="19">
        <f ca="1">DATE(LifeExpectancyData[[#This Row],[Year]],RANDBETWEEN(1,12),1)</f>
        <v>39173</v>
      </c>
    </row>
    <row r="139" spans="1:24" x14ac:dyDescent="0.25">
      <c r="A139" t="s">
        <v>391</v>
      </c>
      <c r="B139">
        <v>2006</v>
      </c>
      <c r="C139" t="s">
        <v>390</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c r="X139" s="19">
        <f ca="1">DATE(LifeExpectancyData[[#This Row],[Year]],RANDBETWEEN(1,12),1)</f>
        <v>38961</v>
      </c>
    </row>
    <row r="140" spans="1:24" x14ac:dyDescent="0.25">
      <c r="A140" t="s">
        <v>391</v>
      </c>
      <c r="B140">
        <v>2005</v>
      </c>
      <c r="C140" t="s">
        <v>390</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c r="X140" s="19">
        <f ca="1">DATE(LifeExpectancyData[[#This Row],[Year]],RANDBETWEEN(1,12),1)</f>
        <v>38687</v>
      </c>
    </row>
    <row r="141" spans="1:24" x14ac:dyDescent="0.25">
      <c r="A141" t="s">
        <v>391</v>
      </c>
      <c r="B141">
        <v>2004</v>
      </c>
      <c r="C141" t="s">
        <v>390</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c r="X141" s="19">
        <f ca="1">DATE(LifeExpectancyData[[#This Row],[Year]],RANDBETWEEN(1,12),1)</f>
        <v>38047</v>
      </c>
    </row>
    <row r="142" spans="1:24" x14ac:dyDescent="0.25">
      <c r="A142" t="s">
        <v>391</v>
      </c>
      <c r="B142">
        <v>2003</v>
      </c>
      <c r="C142" t="s">
        <v>390</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c r="X142" s="19">
        <f ca="1">DATE(LifeExpectancyData[[#This Row],[Year]],RANDBETWEEN(1,12),1)</f>
        <v>37681</v>
      </c>
    </row>
    <row r="143" spans="1:24" x14ac:dyDescent="0.25">
      <c r="A143" t="s">
        <v>391</v>
      </c>
      <c r="B143">
        <v>2002</v>
      </c>
      <c r="C143" t="s">
        <v>390</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c r="X143" s="19">
        <f ca="1">DATE(LifeExpectancyData[[#This Row],[Year]],RANDBETWEEN(1,12),1)</f>
        <v>37316</v>
      </c>
    </row>
    <row r="144" spans="1:24" x14ac:dyDescent="0.25">
      <c r="A144" t="s">
        <v>391</v>
      </c>
      <c r="B144">
        <v>2001</v>
      </c>
      <c r="C144" t="s">
        <v>390</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c r="X144" s="19">
        <f ca="1">DATE(LifeExpectancyData[[#This Row],[Year]],RANDBETWEEN(1,12),1)</f>
        <v>36951</v>
      </c>
    </row>
    <row r="145" spans="1:24" x14ac:dyDescent="0.25">
      <c r="A145" t="s">
        <v>391</v>
      </c>
      <c r="B145">
        <v>2000</v>
      </c>
      <c r="C145" t="s">
        <v>390</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c r="X145" s="19">
        <f ca="1">DATE(LifeExpectancyData[[#This Row],[Year]],RANDBETWEEN(1,12),1)</f>
        <v>36831</v>
      </c>
    </row>
    <row r="146" spans="1:24" x14ac:dyDescent="0.25">
      <c r="A146" t="s">
        <v>392</v>
      </c>
      <c r="B146">
        <v>2015</v>
      </c>
      <c r="C146" t="s">
        <v>382</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c r="X146" s="19">
        <f ca="1">DATE(LifeExpectancyData[[#This Row],[Year]],RANDBETWEEN(1,12),1)</f>
        <v>42309</v>
      </c>
    </row>
    <row r="147" spans="1:24" x14ac:dyDescent="0.25">
      <c r="A147" t="s">
        <v>392</v>
      </c>
      <c r="B147">
        <v>2014</v>
      </c>
      <c r="C147" t="s">
        <v>382</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c r="X147" s="19">
        <f ca="1">DATE(LifeExpectancyData[[#This Row],[Year]],RANDBETWEEN(1,12),1)</f>
        <v>41760</v>
      </c>
    </row>
    <row r="148" spans="1:24" x14ac:dyDescent="0.25">
      <c r="A148" t="s">
        <v>392</v>
      </c>
      <c r="B148">
        <v>2013</v>
      </c>
      <c r="C148" t="s">
        <v>382</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c r="X148" s="19">
        <f ca="1">DATE(LifeExpectancyData[[#This Row],[Year]],RANDBETWEEN(1,12),1)</f>
        <v>41334</v>
      </c>
    </row>
    <row r="149" spans="1:24" x14ac:dyDescent="0.25">
      <c r="A149" t="s">
        <v>392</v>
      </c>
      <c r="B149">
        <v>2012</v>
      </c>
      <c r="C149" t="s">
        <v>382</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c r="X149" s="19">
        <f ca="1">DATE(LifeExpectancyData[[#This Row],[Year]],RANDBETWEEN(1,12),1)</f>
        <v>41030</v>
      </c>
    </row>
    <row r="150" spans="1:24" x14ac:dyDescent="0.25">
      <c r="A150" t="s">
        <v>392</v>
      </c>
      <c r="B150">
        <v>2011</v>
      </c>
      <c r="C150" t="s">
        <v>382</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c r="X150" s="19">
        <f ca="1">DATE(LifeExpectancyData[[#This Row],[Year]],RANDBETWEEN(1,12),1)</f>
        <v>40756</v>
      </c>
    </row>
    <row r="151" spans="1:24" x14ac:dyDescent="0.25">
      <c r="A151" t="s">
        <v>392</v>
      </c>
      <c r="B151">
        <v>2010</v>
      </c>
      <c r="C151" t="s">
        <v>382</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c r="X151" s="19">
        <f ca="1">DATE(LifeExpectancyData[[#This Row],[Year]],RANDBETWEEN(1,12),1)</f>
        <v>40299</v>
      </c>
    </row>
    <row r="152" spans="1:24" x14ac:dyDescent="0.25">
      <c r="A152" t="s">
        <v>392</v>
      </c>
      <c r="B152">
        <v>2009</v>
      </c>
      <c r="C152" t="s">
        <v>382</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c r="X152" s="19">
        <f ca="1">DATE(LifeExpectancyData[[#This Row],[Year]],RANDBETWEEN(1,12),1)</f>
        <v>40087</v>
      </c>
    </row>
    <row r="153" spans="1:24" x14ac:dyDescent="0.25">
      <c r="A153" t="s">
        <v>392</v>
      </c>
      <c r="B153">
        <v>2008</v>
      </c>
      <c r="C153" t="s">
        <v>382</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c r="X153" s="19">
        <f ca="1">DATE(LifeExpectancyData[[#This Row],[Year]],RANDBETWEEN(1,12),1)</f>
        <v>39783</v>
      </c>
    </row>
    <row r="154" spans="1:24" x14ac:dyDescent="0.25">
      <c r="A154" t="s">
        <v>392</v>
      </c>
      <c r="B154">
        <v>2007</v>
      </c>
      <c r="C154" t="s">
        <v>382</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c r="X154" s="19">
        <f ca="1">DATE(LifeExpectancyData[[#This Row],[Year]],RANDBETWEEN(1,12),1)</f>
        <v>39203</v>
      </c>
    </row>
    <row r="155" spans="1:24" x14ac:dyDescent="0.25">
      <c r="A155" t="s">
        <v>392</v>
      </c>
      <c r="B155">
        <v>2006</v>
      </c>
      <c r="C155" t="s">
        <v>382</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c r="X155" s="19">
        <f ca="1">DATE(LifeExpectancyData[[#This Row],[Year]],RANDBETWEEN(1,12),1)</f>
        <v>38930</v>
      </c>
    </row>
    <row r="156" spans="1:24" x14ac:dyDescent="0.25">
      <c r="A156" t="s">
        <v>392</v>
      </c>
      <c r="B156">
        <v>2005</v>
      </c>
      <c r="C156" t="s">
        <v>382</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c r="X156" s="19">
        <f ca="1">DATE(LifeExpectancyData[[#This Row],[Year]],RANDBETWEEN(1,12),1)</f>
        <v>38596</v>
      </c>
    </row>
    <row r="157" spans="1:24" x14ac:dyDescent="0.25">
      <c r="A157" t="s">
        <v>392</v>
      </c>
      <c r="B157">
        <v>2004</v>
      </c>
      <c r="C157" t="s">
        <v>382</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c r="X157" s="19">
        <f ca="1">DATE(LifeExpectancyData[[#This Row],[Year]],RANDBETWEEN(1,12),1)</f>
        <v>38047</v>
      </c>
    </row>
    <row r="158" spans="1:24" x14ac:dyDescent="0.25">
      <c r="A158" t="s">
        <v>392</v>
      </c>
      <c r="B158">
        <v>2003</v>
      </c>
      <c r="C158" t="s">
        <v>382</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c r="X158" s="19">
        <f ca="1">DATE(LifeExpectancyData[[#This Row],[Year]],RANDBETWEEN(1,12),1)</f>
        <v>37681</v>
      </c>
    </row>
    <row r="159" spans="1:24" x14ac:dyDescent="0.25">
      <c r="A159" t="s">
        <v>392</v>
      </c>
      <c r="B159">
        <v>2002</v>
      </c>
      <c r="C159" t="s">
        <v>382</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c r="X159" s="19">
        <f ca="1">DATE(LifeExpectancyData[[#This Row],[Year]],RANDBETWEEN(1,12),1)</f>
        <v>37377</v>
      </c>
    </row>
    <row r="160" spans="1:24" x14ac:dyDescent="0.25">
      <c r="A160" t="s">
        <v>392</v>
      </c>
      <c r="B160">
        <v>2001</v>
      </c>
      <c r="C160" t="s">
        <v>382</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c r="X160" s="19">
        <f ca="1">DATE(LifeExpectancyData[[#This Row],[Year]],RANDBETWEEN(1,12),1)</f>
        <v>37043</v>
      </c>
    </row>
    <row r="161" spans="1:24" x14ac:dyDescent="0.25">
      <c r="A161" t="s">
        <v>392</v>
      </c>
      <c r="B161">
        <v>2000</v>
      </c>
      <c r="C161" t="s">
        <v>382</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c r="X161" s="19">
        <f ca="1">DATE(LifeExpectancyData[[#This Row],[Year]],RANDBETWEEN(1,12),1)</f>
        <v>36708</v>
      </c>
    </row>
    <row r="162" spans="1:24" x14ac:dyDescent="0.25">
      <c r="A162" t="s">
        <v>393</v>
      </c>
      <c r="B162">
        <v>2015</v>
      </c>
      <c r="C162" t="s">
        <v>382</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c r="X162" s="19">
        <f ca="1">DATE(LifeExpectancyData[[#This Row],[Year]],RANDBETWEEN(1,12),1)</f>
        <v>42064</v>
      </c>
    </row>
    <row r="163" spans="1:24" x14ac:dyDescent="0.25">
      <c r="A163" t="s">
        <v>393</v>
      </c>
      <c r="B163">
        <v>2014</v>
      </c>
      <c r="C163" t="s">
        <v>382</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c r="X163" s="19">
        <f ca="1">DATE(LifeExpectancyData[[#This Row],[Year]],RANDBETWEEN(1,12),1)</f>
        <v>41760</v>
      </c>
    </row>
    <row r="164" spans="1:24" x14ac:dyDescent="0.25">
      <c r="A164" t="s">
        <v>393</v>
      </c>
      <c r="B164">
        <v>2013</v>
      </c>
      <c r="C164" t="s">
        <v>382</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c r="X164" s="19">
        <f ca="1">DATE(LifeExpectancyData[[#This Row],[Year]],RANDBETWEEN(1,12),1)</f>
        <v>41518</v>
      </c>
    </row>
    <row r="165" spans="1:24" x14ac:dyDescent="0.25">
      <c r="A165" t="s">
        <v>393</v>
      </c>
      <c r="B165">
        <v>2012</v>
      </c>
      <c r="C165" t="s">
        <v>382</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c r="X165" s="19">
        <f ca="1">DATE(LifeExpectancyData[[#This Row],[Year]],RANDBETWEEN(1,12),1)</f>
        <v>41000</v>
      </c>
    </row>
    <row r="166" spans="1:24" x14ac:dyDescent="0.25">
      <c r="A166" t="s">
        <v>393</v>
      </c>
      <c r="B166">
        <v>2011</v>
      </c>
      <c r="C166" t="s">
        <v>382</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c r="X166" s="19">
        <f ca="1">DATE(LifeExpectancyData[[#This Row],[Year]],RANDBETWEEN(1,12),1)</f>
        <v>40664</v>
      </c>
    </row>
    <row r="167" spans="1:24" x14ac:dyDescent="0.25">
      <c r="A167" t="s">
        <v>393</v>
      </c>
      <c r="B167">
        <v>2010</v>
      </c>
      <c r="C167" t="s">
        <v>382</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c r="X167" s="19">
        <f ca="1">DATE(LifeExpectancyData[[#This Row],[Year]],RANDBETWEEN(1,12),1)</f>
        <v>40269</v>
      </c>
    </row>
    <row r="168" spans="1:24" x14ac:dyDescent="0.25">
      <c r="A168" t="s">
        <v>393</v>
      </c>
      <c r="B168">
        <v>2009</v>
      </c>
      <c r="C168" t="s">
        <v>382</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c r="X168" s="19">
        <f ca="1">DATE(LifeExpectancyData[[#This Row],[Year]],RANDBETWEEN(1,12),1)</f>
        <v>39873</v>
      </c>
    </row>
    <row r="169" spans="1:24" x14ac:dyDescent="0.25">
      <c r="A169" t="s">
        <v>393</v>
      </c>
      <c r="B169">
        <v>2008</v>
      </c>
      <c r="C169" t="s">
        <v>382</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c r="X169" s="19">
        <f ca="1">DATE(LifeExpectancyData[[#This Row],[Year]],RANDBETWEEN(1,12),1)</f>
        <v>39508</v>
      </c>
    </row>
    <row r="170" spans="1:24" x14ac:dyDescent="0.25">
      <c r="A170" t="s">
        <v>393</v>
      </c>
      <c r="B170">
        <v>2007</v>
      </c>
      <c r="C170" t="s">
        <v>382</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c r="X170" s="19">
        <f ca="1">DATE(LifeExpectancyData[[#This Row],[Year]],RANDBETWEEN(1,12),1)</f>
        <v>39142</v>
      </c>
    </row>
    <row r="171" spans="1:24" x14ac:dyDescent="0.25">
      <c r="A171" t="s">
        <v>393</v>
      </c>
      <c r="B171">
        <v>2006</v>
      </c>
      <c r="C171" t="s">
        <v>382</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c r="X171" s="19">
        <f ca="1">DATE(LifeExpectancyData[[#This Row],[Year]],RANDBETWEEN(1,12),1)</f>
        <v>39022</v>
      </c>
    </row>
    <row r="172" spans="1:24" x14ac:dyDescent="0.25">
      <c r="A172" t="s">
        <v>393</v>
      </c>
      <c r="B172">
        <v>2005</v>
      </c>
      <c r="C172" t="s">
        <v>382</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c r="X172" s="19">
        <f ca="1">DATE(LifeExpectancyData[[#This Row],[Year]],RANDBETWEEN(1,12),1)</f>
        <v>38565</v>
      </c>
    </row>
    <row r="173" spans="1:24" x14ac:dyDescent="0.25">
      <c r="A173" t="s">
        <v>393</v>
      </c>
      <c r="B173">
        <v>2004</v>
      </c>
      <c r="C173" t="s">
        <v>382</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c r="X173" s="19">
        <f ca="1">DATE(LifeExpectancyData[[#This Row],[Year]],RANDBETWEEN(1,12),1)</f>
        <v>38139</v>
      </c>
    </row>
    <row r="174" spans="1:24" x14ac:dyDescent="0.25">
      <c r="A174" t="s">
        <v>393</v>
      </c>
      <c r="B174">
        <v>2003</v>
      </c>
      <c r="C174" t="s">
        <v>382</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c r="X174" s="19">
        <f ca="1">DATE(LifeExpectancyData[[#This Row],[Year]],RANDBETWEEN(1,12),1)</f>
        <v>37895</v>
      </c>
    </row>
    <row r="175" spans="1:24" x14ac:dyDescent="0.25">
      <c r="A175" t="s">
        <v>393</v>
      </c>
      <c r="B175">
        <v>2002</v>
      </c>
      <c r="C175" t="s">
        <v>382</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c r="X175" s="19">
        <f ca="1">DATE(LifeExpectancyData[[#This Row],[Year]],RANDBETWEEN(1,12),1)</f>
        <v>37438</v>
      </c>
    </row>
    <row r="176" spans="1:24" x14ac:dyDescent="0.25">
      <c r="A176" t="s">
        <v>393</v>
      </c>
      <c r="B176">
        <v>2001</v>
      </c>
      <c r="C176" t="s">
        <v>382</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c r="X176" s="19">
        <f ca="1">DATE(LifeExpectancyData[[#This Row],[Year]],RANDBETWEEN(1,12),1)</f>
        <v>37104</v>
      </c>
    </row>
    <row r="177" spans="1:24" x14ac:dyDescent="0.25">
      <c r="A177" t="s">
        <v>393</v>
      </c>
      <c r="B177">
        <v>2000</v>
      </c>
      <c r="C177" t="s">
        <v>382</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c r="X177" s="19">
        <f ca="1">DATE(LifeExpectancyData[[#This Row],[Year]],RANDBETWEEN(1,12),1)</f>
        <v>36770</v>
      </c>
    </row>
    <row r="178" spans="1:24" x14ac:dyDescent="0.25">
      <c r="A178" t="s">
        <v>394</v>
      </c>
      <c r="B178">
        <v>2015</v>
      </c>
      <c r="C178" t="s">
        <v>382</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c r="X178" s="19">
        <f ca="1">DATE(LifeExpectancyData[[#This Row],[Year]],RANDBETWEEN(1,12),1)</f>
        <v>42186</v>
      </c>
    </row>
    <row r="179" spans="1:24" x14ac:dyDescent="0.25">
      <c r="A179" t="s">
        <v>394</v>
      </c>
      <c r="B179">
        <v>2014</v>
      </c>
      <c r="C179" t="s">
        <v>382</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c r="X179" s="19">
        <f ca="1">DATE(LifeExpectancyData[[#This Row],[Year]],RANDBETWEEN(1,12),1)</f>
        <v>41699</v>
      </c>
    </row>
    <row r="180" spans="1:24" x14ac:dyDescent="0.25">
      <c r="A180" t="s">
        <v>394</v>
      </c>
      <c r="B180">
        <v>2013</v>
      </c>
      <c r="C180" t="s">
        <v>382</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c r="X180" s="19">
        <f ca="1">DATE(LifeExpectancyData[[#This Row],[Year]],RANDBETWEEN(1,12),1)</f>
        <v>41579</v>
      </c>
    </row>
    <row r="181" spans="1:24" x14ac:dyDescent="0.25">
      <c r="A181" t="s">
        <v>394</v>
      </c>
      <c r="B181">
        <v>2012</v>
      </c>
      <c r="C181" t="s">
        <v>382</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c r="X181" s="19">
        <f ca="1">DATE(LifeExpectancyData[[#This Row],[Year]],RANDBETWEEN(1,12),1)</f>
        <v>40969</v>
      </c>
    </row>
    <row r="182" spans="1:24" x14ac:dyDescent="0.25">
      <c r="A182" t="s">
        <v>394</v>
      </c>
      <c r="B182">
        <v>2011</v>
      </c>
      <c r="C182" t="s">
        <v>382</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c r="X182" s="19">
        <f ca="1">DATE(LifeExpectancyData[[#This Row],[Year]],RANDBETWEEN(1,12),1)</f>
        <v>40878</v>
      </c>
    </row>
    <row r="183" spans="1:24" x14ac:dyDescent="0.25">
      <c r="A183" t="s">
        <v>394</v>
      </c>
      <c r="B183">
        <v>2010</v>
      </c>
      <c r="C183" t="s">
        <v>382</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c r="X183" s="19">
        <f ca="1">DATE(LifeExpectancyData[[#This Row],[Year]],RANDBETWEEN(1,12),1)</f>
        <v>40360</v>
      </c>
    </row>
    <row r="184" spans="1:24" x14ac:dyDescent="0.25">
      <c r="A184" t="s">
        <v>394</v>
      </c>
      <c r="B184">
        <v>2009</v>
      </c>
      <c r="C184" t="s">
        <v>382</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c r="X184" s="19">
        <f ca="1">DATE(LifeExpectancyData[[#This Row],[Year]],RANDBETWEEN(1,12),1)</f>
        <v>39814</v>
      </c>
    </row>
    <row r="185" spans="1:24" x14ac:dyDescent="0.25">
      <c r="A185" t="s">
        <v>394</v>
      </c>
      <c r="B185">
        <v>2008</v>
      </c>
      <c r="C185" t="s">
        <v>382</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c r="X185" s="19">
        <f ca="1">DATE(LifeExpectancyData[[#This Row],[Year]],RANDBETWEEN(1,12),1)</f>
        <v>39539</v>
      </c>
    </row>
    <row r="186" spans="1:24" x14ac:dyDescent="0.25">
      <c r="A186" t="s">
        <v>394</v>
      </c>
      <c r="B186">
        <v>2007</v>
      </c>
      <c r="C186" t="s">
        <v>382</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c r="X186" s="19">
        <f ca="1">DATE(LifeExpectancyData[[#This Row],[Year]],RANDBETWEEN(1,12),1)</f>
        <v>39114</v>
      </c>
    </row>
    <row r="187" spans="1:24" x14ac:dyDescent="0.25">
      <c r="A187" t="s">
        <v>394</v>
      </c>
      <c r="B187">
        <v>2006</v>
      </c>
      <c r="C187" t="s">
        <v>382</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c r="X187" s="19">
        <f ca="1">DATE(LifeExpectancyData[[#This Row],[Year]],RANDBETWEEN(1,12),1)</f>
        <v>38838</v>
      </c>
    </row>
    <row r="188" spans="1:24" x14ac:dyDescent="0.25">
      <c r="A188" t="s">
        <v>394</v>
      </c>
      <c r="B188">
        <v>2005</v>
      </c>
      <c r="C188" t="s">
        <v>382</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c r="X188" s="19">
        <f ca="1">DATE(LifeExpectancyData[[#This Row],[Year]],RANDBETWEEN(1,12),1)</f>
        <v>38626</v>
      </c>
    </row>
    <row r="189" spans="1:24" x14ac:dyDescent="0.25">
      <c r="A189" t="s">
        <v>394</v>
      </c>
      <c r="B189">
        <v>2004</v>
      </c>
      <c r="C189" t="s">
        <v>382</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c r="X189" s="19">
        <f ca="1">DATE(LifeExpectancyData[[#This Row],[Year]],RANDBETWEEN(1,12),1)</f>
        <v>38200</v>
      </c>
    </row>
    <row r="190" spans="1:24" x14ac:dyDescent="0.25">
      <c r="A190" t="s">
        <v>394</v>
      </c>
      <c r="B190">
        <v>2003</v>
      </c>
      <c r="C190" t="s">
        <v>382</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c r="X190" s="19">
        <f ca="1">DATE(LifeExpectancyData[[#This Row],[Year]],RANDBETWEEN(1,12),1)</f>
        <v>37681</v>
      </c>
    </row>
    <row r="191" spans="1:24" x14ac:dyDescent="0.25">
      <c r="A191" t="s">
        <v>394</v>
      </c>
      <c r="B191">
        <v>2002</v>
      </c>
      <c r="C191" t="s">
        <v>382</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c r="X191" s="19">
        <f ca="1">DATE(LifeExpectancyData[[#This Row],[Year]],RANDBETWEEN(1,12),1)</f>
        <v>37408</v>
      </c>
    </row>
    <row r="192" spans="1:24" x14ac:dyDescent="0.25">
      <c r="A192" t="s">
        <v>394</v>
      </c>
      <c r="B192">
        <v>2001</v>
      </c>
      <c r="C192" t="s">
        <v>382</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c r="X192" s="19">
        <f ca="1">DATE(LifeExpectancyData[[#This Row],[Year]],RANDBETWEEN(1,12),1)</f>
        <v>36951</v>
      </c>
    </row>
    <row r="193" spans="1:24" x14ac:dyDescent="0.25">
      <c r="A193" t="s">
        <v>394</v>
      </c>
      <c r="B193">
        <v>2000</v>
      </c>
      <c r="C193" t="s">
        <v>382</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c r="X193" s="19">
        <f ca="1">DATE(LifeExpectancyData[[#This Row],[Year]],RANDBETWEEN(1,12),1)</f>
        <v>36586</v>
      </c>
    </row>
    <row r="194" spans="1:24" x14ac:dyDescent="0.25">
      <c r="A194" t="s">
        <v>395</v>
      </c>
      <c r="B194">
        <v>2015</v>
      </c>
      <c r="C194" t="s">
        <v>382</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c r="X194" s="19">
        <f ca="1">DATE(LifeExpectancyData[[#This Row],[Year]],RANDBETWEEN(1,12),1)</f>
        <v>42339</v>
      </c>
    </row>
    <row r="195" spans="1:24" x14ac:dyDescent="0.25">
      <c r="A195" t="s">
        <v>395</v>
      </c>
      <c r="B195">
        <v>2014</v>
      </c>
      <c r="C195" t="s">
        <v>382</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c r="X195" s="19">
        <f ca="1">DATE(LifeExpectancyData[[#This Row],[Year]],RANDBETWEEN(1,12),1)</f>
        <v>41821</v>
      </c>
    </row>
    <row r="196" spans="1:24" x14ac:dyDescent="0.25">
      <c r="A196" t="s">
        <v>395</v>
      </c>
      <c r="B196">
        <v>2013</v>
      </c>
      <c r="C196" t="s">
        <v>382</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c r="X196" s="19">
        <f ca="1">DATE(LifeExpectancyData[[#This Row],[Year]],RANDBETWEEN(1,12),1)</f>
        <v>41275</v>
      </c>
    </row>
    <row r="197" spans="1:24" x14ac:dyDescent="0.25">
      <c r="A197" t="s">
        <v>395</v>
      </c>
      <c r="B197">
        <v>2012</v>
      </c>
      <c r="C197" t="s">
        <v>382</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c r="X197" s="19">
        <f ca="1">DATE(LifeExpectancyData[[#This Row],[Year]],RANDBETWEEN(1,12),1)</f>
        <v>41183</v>
      </c>
    </row>
    <row r="198" spans="1:24" x14ac:dyDescent="0.25">
      <c r="A198" t="s">
        <v>395</v>
      </c>
      <c r="B198">
        <v>2011</v>
      </c>
      <c r="C198" t="s">
        <v>382</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c r="X198" s="19">
        <f ca="1">DATE(LifeExpectancyData[[#This Row],[Year]],RANDBETWEEN(1,12),1)</f>
        <v>40848</v>
      </c>
    </row>
    <row r="199" spans="1:24" x14ac:dyDescent="0.25">
      <c r="A199" t="s">
        <v>395</v>
      </c>
      <c r="B199">
        <v>2010</v>
      </c>
      <c r="C199" t="s">
        <v>382</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c r="X199" s="19">
        <f ca="1">DATE(LifeExpectancyData[[#This Row],[Year]],RANDBETWEEN(1,12),1)</f>
        <v>40513</v>
      </c>
    </row>
    <row r="200" spans="1:24" x14ac:dyDescent="0.25">
      <c r="A200" t="s">
        <v>395</v>
      </c>
      <c r="B200">
        <v>2009</v>
      </c>
      <c r="C200" t="s">
        <v>382</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c r="X200" s="19">
        <f ca="1">DATE(LifeExpectancyData[[#This Row],[Year]],RANDBETWEEN(1,12),1)</f>
        <v>40087</v>
      </c>
    </row>
    <row r="201" spans="1:24" x14ac:dyDescent="0.25">
      <c r="A201" t="s">
        <v>395</v>
      </c>
      <c r="B201">
        <v>2008</v>
      </c>
      <c r="C201" t="s">
        <v>382</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c r="X201" s="19">
        <f ca="1">DATE(LifeExpectancyData[[#This Row],[Year]],RANDBETWEEN(1,12),1)</f>
        <v>39539</v>
      </c>
    </row>
    <row r="202" spans="1:24" x14ac:dyDescent="0.25">
      <c r="A202" t="s">
        <v>395</v>
      </c>
      <c r="B202">
        <v>2007</v>
      </c>
      <c r="C202" t="s">
        <v>382</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c r="X202" s="19">
        <f ca="1">DATE(LifeExpectancyData[[#This Row],[Year]],RANDBETWEEN(1,12),1)</f>
        <v>39173</v>
      </c>
    </row>
    <row r="203" spans="1:24" x14ac:dyDescent="0.25">
      <c r="A203" t="s">
        <v>395</v>
      </c>
      <c r="B203">
        <v>2006</v>
      </c>
      <c r="C203" t="s">
        <v>382</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c r="X203" s="19">
        <f ca="1">DATE(LifeExpectancyData[[#This Row],[Year]],RANDBETWEEN(1,12),1)</f>
        <v>38991</v>
      </c>
    </row>
    <row r="204" spans="1:24" x14ac:dyDescent="0.25">
      <c r="A204" t="s">
        <v>395</v>
      </c>
      <c r="B204">
        <v>2005</v>
      </c>
      <c r="C204" t="s">
        <v>382</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c r="X204" s="19">
        <f ca="1">DATE(LifeExpectancyData[[#This Row],[Year]],RANDBETWEEN(1,12),1)</f>
        <v>38626</v>
      </c>
    </row>
    <row r="205" spans="1:24" x14ac:dyDescent="0.25">
      <c r="A205" t="s">
        <v>395</v>
      </c>
      <c r="B205">
        <v>2004</v>
      </c>
      <c r="C205" t="s">
        <v>382</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c r="X205" s="19">
        <f ca="1">DATE(LifeExpectancyData[[#This Row],[Year]],RANDBETWEEN(1,12),1)</f>
        <v>37987</v>
      </c>
    </row>
    <row r="206" spans="1:24" x14ac:dyDescent="0.25">
      <c r="A206" t="s">
        <v>395</v>
      </c>
      <c r="B206">
        <v>2003</v>
      </c>
      <c r="C206" t="s">
        <v>382</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c r="X206" s="19">
        <f ca="1">DATE(LifeExpectancyData[[#This Row],[Year]],RANDBETWEEN(1,12),1)</f>
        <v>37895</v>
      </c>
    </row>
    <row r="207" spans="1:24" x14ac:dyDescent="0.25">
      <c r="A207" t="s">
        <v>395</v>
      </c>
      <c r="B207">
        <v>2002</v>
      </c>
      <c r="C207" t="s">
        <v>382</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c r="X207" s="19">
        <f ca="1">DATE(LifeExpectancyData[[#This Row],[Year]],RANDBETWEEN(1,12),1)</f>
        <v>37591</v>
      </c>
    </row>
    <row r="208" spans="1:24" x14ac:dyDescent="0.25">
      <c r="A208" t="s">
        <v>395</v>
      </c>
      <c r="B208">
        <v>2001</v>
      </c>
      <c r="C208" t="s">
        <v>382</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c r="X208" s="19">
        <f ca="1">DATE(LifeExpectancyData[[#This Row],[Year]],RANDBETWEEN(1,12),1)</f>
        <v>36982</v>
      </c>
    </row>
    <row r="209" spans="1:24" x14ac:dyDescent="0.25">
      <c r="A209" t="s">
        <v>395</v>
      </c>
      <c r="B209">
        <v>2000</v>
      </c>
      <c r="C209" t="s">
        <v>382</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c r="X209" s="19">
        <f ca="1">DATE(LifeExpectancyData[[#This Row],[Year]],RANDBETWEEN(1,12),1)</f>
        <v>36861</v>
      </c>
    </row>
    <row r="210" spans="1:24" x14ac:dyDescent="0.25">
      <c r="A210" t="s">
        <v>396</v>
      </c>
      <c r="B210">
        <v>2015</v>
      </c>
      <c r="C210" t="s">
        <v>382</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c r="X210" s="19">
        <f ca="1">DATE(LifeExpectancyData[[#This Row],[Year]],RANDBETWEEN(1,12),1)</f>
        <v>42248</v>
      </c>
    </row>
    <row r="211" spans="1:24" x14ac:dyDescent="0.25">
      <c r="A211" t="s">
        <v>396</v>
      </c>
      <c r="B211">
        <v>2014</v>
      </c>
      <c r="C211" t="s">
        <v>382</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c r="X211" s="19">
        <f ca="1">DATE(LifeExpectancyData[[#This Row],[Year]],RANDBETWEEN(1,12),1)</f>
        <v>41640</v>
      </c>
    </row>
    <row r="212" spans="1:24" x14ac:dyDescent="0.25">
      <c r="A212" t="s">
        <v>396</v>
      </c>
      <c r="B212">
        <v>2013</v>
      </c>
      <c r="C212" t="s">
        <v>382</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c r="X212" s="19">
        <f ca="1">DATE(LifeExpectancyData[[#This Row],[Year]],RANDBETWEEN(1,12),1)</f>
        <v>41426</v>
      </c>
    </row>
    <row r="213" spans="1:24" x14ac:dyDescent="0.25">
      <c r="A213" t="s">
        <v>396</v>
      </c>
      <c r="B213">
        <v>2012</v>
      </c>
      <c r="C213" t="s">
        <v>382</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c r="X213" s="19">
        <f ca="1">DATE(LifeExpectancyData[[#This Row],[Year]],RANDBETWEEN(1,12),1)</f>
        <v>41214</v>
      </c>
    </row>
    <row r="214" spans="1:24" x14ac:dyDescent="0.25">
      <c r="A214" t="s">
        <v>396</v>
      </c>
      <c r="B214">
        <v>2011</v>
      </c>
      <c r="C214" t="s">
        <v>382</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c r="X214" s="19">
        <f ca="1">DATE(LifeExpectancyData[[#This Row],[Year]],RANDBETWEEN(1,12),1)</f>
        <v>40878</v>
      </c>
    </row>
    <row r="215" spans="1:24" x14ac:dyDescent="0.25">
      <c r="A215" t="s">
        <v>396</v>
      </c>
      <c r="B215">
        <v>2010</v>
      </c>
      <c r="C215" t="s">
        <v>382</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c r="X215" s="19">
        <f ca="1">DATE(LifeExpectancyData[[#This Row],[Year]],RANDBETWEEN(1,12),1)</f>
        <v>40210</v>
      </c>
    </row>
    <row r="216" spans="1:24" x14ac:dyDescent="0.25">
      <c r="A216" t="s">
        <v>396</v>
      </c>
      <c r="B216">
        <v>2009</v>
      </c>
      <c r="C216" t="s">
        <v>382</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c r="X216" s="19">
        <f ca="1">DATE(LifeExpectancyData[[#This Row],[Year]],RANDBETWEEN(1,12),1)</f>
        <v>39814</v>
      </c>
    </row>
    <row r="217" spans="1:24" x14ac:dyDescent="0.25">
      <c r="A217" t="s">
        <v>396</v>
      </c>
      <c r="B217">
        <v>2008</v>
      </c>
      <c r="C217" t="s">
        <v>382</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c r="X217" s="19">
        <f ca="1">DATE(LifeExpectancyData[[#This Row],[Year]],RANDBETWEEN(1,12),1)</f>
        <v>39783</v>
      </c>
    </row>
    <row r="218" spans="1:24" x14ac:dyDescent="0.25">
      <c r="A218" t="s">
        <v>396</v>
      </c>
      <c r="B218">
        <v>2007</v>
      </c>
      <c r="C218" t="s">
        <v>382</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c r="X218" s="19">
        <f ca="1">DATE(LifeExpectancyData[[#This Row],[Year]],RANDBETWEEN(1,12),1)</f>
        <v>39234</v>
      </c>
    </row>
    <row r="219" spans="1:24" x14ac:dyDescent="0.25">
      <c r="A219" t="s">
        <v>396</v>
      </c>
      <c r="B219">
        <v>2006</v>
      </c>
      <c r="C219" t="s">
        <v>382</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c r="X219" s="19">
        <f ca="1">DATE(LifeExpectancyData[[#This Row],[Year]],RANDBETWEEN(1,12),1)</f>
        <v>38899</v>
      </c>
    </row>
    <row r="220" spans="1:24" x14ac:dyDescent="0.25">
      <c r="A220" t="s">
        <v>396</v>
      </c>
      <c r="B220">
        <v>2005</v>
      </c>
      <c r="C220" t="s">
        <v>382</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c r="X220" s="19">
        <f ca="1">DATE(LifeExpectancyData[[#This Row],[Year]],RANDBETWEEN(1,12),1)</f>
        <v>38384</v>
      </c>
    </row>
    <row r="221" spans="1:24" x14ac:dyDescent="0.25">
      <c r="A221" t="s">
        <v>396</v>
      </c>
      <c r="B221">
        <v>2004</v>
      </c>
      <c r="C221" t="s">
        <v>382</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c r="X221" s="19">
        <f ca="1">DATE(LifeExpectancyData[[#This Row],[Year]],RANDBETWEEN(1,12),1)</f>
        <v>38108</v>
      </c>
    </row>
    <row r="222" spans="1:24" x14ac:dyDescent="0.25">
      <c r="A222" t="s">
        <v>396</v>
      </c>
      <c r="B222">
        <v>2003</v>
      </c>
      <c r="C222" t="s">
        <v>382</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c r="X222" s="19">
        <f ca="1">DATE(LifeExpectancyData[[#This Row],[Year]],RANDBETWEEN(1,12),1)</f>
        <v>37803</v>
      </c>
    </row>
    <row r="223" spans="1:24" x14ac:dyDescent="0.25">
      <c r="A223" t="s">
        <v>396</v>
      </c>
      <c r="B223">
        <v>2002</v>
      </c>
      <c r="C223" t="s">
        <v>382</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c r="X223" s="19">
        <f ca="1">DATE(LifeExpectancyData[[#This Row],[Year]],RANDBETWEEN(1,12),1)</f>
        <v>37500</v>
      </c>
    </row>
    <row r="224" spans="1:24" x14ac:dyDescent="0.25">
      <c r="A224" t="s">
        <v>396</v>
      </c>
      <c r="B224">
        <v>2001</v>
      </c>
      <c r="C224" t="s">
        <v>382</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c r="X224" s="19">
        <f ca="1">DATE(LifeExpectancyData[[#This Row],[Year]],RANDBETWEEN(1,12),1)</f>
        <v>36892</v>
      </c>
    </row>
    <row r="225" spans="1:24" x14ac:dyDescent="0.25">
      <c r="A225" t="s">
        <v>396</v>
      </c>
      <c r="B225">
        <v>2000</v>
      </c>
      <c r="C225" t="s">
        <v>382</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c r="X225" s="19">
        <f ca="1">DATE(LifeExpectancyData[[#This Row],[Year]],RANDBETWEEN(1,12),1)</f>
        <v>36800</v>
      </c>
    </row>
    <row r="226" spans="1:24" x14ac:dyDescent="0.25">
      <c r="A226" t="s">
        <v>397</v>
      </c>
      <c r="B226">
        <v>2015</v>
      </c>
      <c r="C226" t="s">
        <v>382</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c r="X226" s="19">
        <f ca="1">DATE(LifeExpectancyData[[#This Row],[Year]],RANDBETWEEN(1,12),1)</f>
        <v>42217</v>
      </c>
    </row>
    <row r="227" spans="1:24" x14ac:dyDescent="0.25">
      <c r="A227" t="s">
        <v>397</v>
      </c>
      <c r="B227">
        <v>2014</v>
      </c>
      <c r="C227" t="s">
        <v>382</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c r="X227" s="19">
        <f ca="1">DATE(LifeExpectancyData[[#This Row],[Year]],RANDBETWEEN(1,12),1)</f>
        <v>41730</v>
      </c>
    </row>
    <row r="228" spans="1:24" x14ac:dyDescent="0.25">
      <c r="A228" t="s">
        <v>397</v>
      </c>
      <c r="B228">
        <v>2013</v>
      </c>
      <c r="C228" t="s">
        <v>382</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c r="X228" s="19">
        <f ca="1">DATE(LifeExpectancyData[[#This Row],[Year]],RANDBETWEEN(1,12),1)</f>
        <v>41306</v>
      </c>
    </row>
    <row r="229" spans="1:24" x14ac:dyDescent="0.25">
      <c r="A229" t="s">
        <v>397</v>
      </c>
      <c r="B229">
        <v>2012</v>
      </c>
      <c r="C229" t="s">
        <v>382</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c r="X229" s="19">
        <f ca="1">DATE(LifeExpectancyData[[#This Row],[Year]],RANDBETWEEN(1,12),1)</f>
        <v>41153</v>
      </c>
    </row>
    <row r="230" spans="1:24" x14ac:dyDescent="0.25">
      <c r="A230" t="s">
        <v>397</v>
      </c>
      <c r="B230">
        <v>2011</v>
      </c>
      <c r="C230" t="s">
        <v>382</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c r="X230" s="19">
        <f ca="1">DATE(LifeExpectancyData[[#This Row],[Year]],RANDBETWEEN(1,12),1)</f>
        <v>40817</v>
      </c>
    </row>
    <row r="231" spans="1:24" x14ac:dyDescent="0.25">
      <c r="A231" t="s">
        <v>397</v>
      </c>
      <c r="B231">
        <v>2010</v>
      </c>
      <c r="C231" t="s">
        <v>382</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c r="X231" s="19">
        <f ca="1">DATE(LifeExpectancyData[[#This Row],[Year]],RANDBETWEEN(1,12),1)</f>
        <v>40179</v>
      </c>
    </row>
    <row r="232" spans="1:24" x14ac:dyDescent="0.25">
      <c r="A232" t="s">
        <v>397</v>
      </c>
      <c r="B232">
        <v>2009</v>
      </c>
      <c r="C232" t="s">
        <v>382</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c r="X232" s="19">
        <f ca="1">DATE(LifeExpectancyData[[#This Row],[Year]],RANDBETWEEN(1,12),1)</f>
        <v>39934</v>
      </c>
    </row>
    <row r="233" spans="1:24" x14ac:dyDescent="0.25">
      <c r="A233" t="s">
        <v>397</v>
      </c>
      <c r="B233">
        <v>2008</v>
      </c>
      <c r="C233" t="s">
        <v>382</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c r="X233" s="19">
        <f ca="1">DATE(LifeExpectancyData[[#This Row],[Year]],RANDBETWEEN(1,12),1)</f>
        <v>39661</v>
      </c>
    </row>
    <row r="234" spans="1:24" x14ac:dyDescent="0.25">
      <c r="A234" t="s">
        <v>397</v>
      </c>
      <c r="B234">
        <v>2007</v>
      </c>
      <c r="C234" t="s">
        <v>382</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c r="X234" s="19">
        <f ca="1">DATE(LifeExpectancyData[[#This Row],[Year]],RANDBETWEEN(1,12),1)</f>
        <v>39083</v>
      </c>
    </row>
    <row r="235" spans="1:24" x14ac:dyDescent="0.25">
      <c r="A235" t="s">
        <v>397</v>
      </c>
      <c r="B235">
        <v>2006</v>
      </c>
      <c r="C235" t="s">
        <v>382</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c r="X235" s="19">
        <f ca="1">DATE(LifeExpectancyData[[#This Row],[Year]],RANDBETWEEN(1,12),1)</f>
        <v>38808</v>
      </c>
    </row>
    <row r="236" spans="1:24" x14ac:dyDescent="0.25">
      <c r="A236" t="s">
        <v>397</v>
      </c>
      <c r="B236">
        <v>2005</v>
      </c>
      <c r="C236" t="s">
        <v>382</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c r="X236" s="19">
        <f ca="1">DATE(LifeExpectancyData[[#This Row],[Year]],RANDBETWEEN(1,12),1)</f>
        <v>38657</v>
      </c>
    </row>
    <row r="237" spans="1:24" x14ac:dyDescent="0.25">
      <c r="A237" t="s">
        <v>397</v>
      </c>
      <c r="B237">
        <v>2004</v>
      </c>
      <c r="C237" t="s">
        <v>382</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c r="X237" s="19">
        <f ca="1">DATE(LifeExpectancyData[[#This Row],[Year]],RANDBETWEEN(1,12),1)</f>
        <v>38108</v>
      </c>
    </row>
    <row r="238" spans="1:24" x14ac:dyDescent="0.25">
      <c r="A238" t="s">
        <v>397</v>
      </c>
      <c r="B238">
        <v>2003</v>
      </c>
      <c r="C238" t="s">
        <v>382</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c r="X238" s="19">
        <f ca="1">DATE(LifeExpectancyData[[#This Row],[Year]],RANDBETWEEN(1,12),1)</f>
        <v>37834</v>
      </c>
    </row>
    <row r="239" spans="1:24" x14ac:dyDescent="0.25">
      <c r="A239" t="s">
        <v>397</v>
      </c>
      <c r="B239">
        <v>2002</v>
      </c>
      <c r="C239" t="s">
        <v>382</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c r="X239" s="19">
        <f ca="1">DATE(LifeExpectancyData[[#This Row],[Year]],RANDBETWEEN(1,12),1)</f>
        <v>37347</v>
      </c>
    </row>
    <row r="240" spans="1:24" x14ac:dyDescent="0.25">
      <c r="A240" t="s">
        <v>397</v>
      </c>
      <c r="B240">
        <v>2001</v>
      </c>
      <c r="C240" t="s">
        <v>382</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c r="X240" s="19">
        <f ca="1">DATE(LifeExpectancyData[[#This Row],[Year]],RANDBETWEEN(1,12),1)</f>
        <v>37043</v>
      </c>
    </row>
    <row r="241" spans="1:24" x14ac:dyDescent="0.25">
      <c r="A241" t="s">
        <v>397</v>
      </c>
      <c r="B241">
        <v>2000</v>
      </c>
      <c r="C241" t="s">
        <v>382</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c r="X241" s="19">
        <f ca="1">DATE(LifeExpectancyData[[#This Row],[Year]],RANDBETWEEN(1,12),1)</f>
        <v>36739</v>
      </c>
    </row>
    <row r="242" spans="1:24" x14ac:dyDescent="0.25">
      <c r="A242" t="s">
        <v>398</v>
      </c>
      <c r="B242">
        <v>2015</v>
      </c>
      <c r="C242" t="s">
        <v>390</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c r="X242" s="19">
        <f ca="1">DATE(LifeExpectancyData[[#This Row],[Year]],RANDBETWEEN(1,12),1)</f>
        <v>42248</v>
      </c>
    </row>
    <row r="243" spans="1:24" x14ac:dyDescent="0.25">
      <c r="A243" t="s">
        <v>398</v>
      </c>
      <c r="B243">
        <v>2014</v>
      </c>
      <c r="C243" t="s">
        <v>390</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c r="X243" s="19">
        <f ca="1">DATE(LifeExpectancyData[[#This Row],[Year]],RANDBETWEEN(1,12),1)</f>
        <v>41640</v>
      </c>
    </row>
    <row r="244" spans="1:24" x14ac:dyDescent="0.25">
      <c r="A244" t="s">
        <v>398</v>
      </c>
      <c r="B244">
        <v>2013</v>
      </c>
      <c r="C244" t="s">
        <v>390</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c r="X244" s="19">
        <f ca="1">DATE(LifeExpectancyData[[#This Row],[Year]],RANDBETWEEN(1,12),1)</f>
        <v>41456</v>
      </c>
    </row>
    <row r="245" spans="1:24" x14ac:dyDescent="0.25">
      <c r="A245" t="s">
        <v>398</v>
      </c>
      <c r="B245">
        <v>2012</v>
      </c>
      <c r="C245" t="s">
        <v>390</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c r="X245" s="19">
        <f ca="1">DATE(LifeExpectancyData[[#This Row],[Year]],RANDBETWEEN(1,12),1)</f>
        <v>40909</v>
      </c>
    </row>
    <row r="246" spans="1:24" x14ac:dyDescent="0.25">
      <c r="A246" t="s">
        <v>398</v>
      </c>
      <c r="B246">
        <v>2011</v>
      </c>
      <c r="C246" t="s">
        <v>390</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c r="X246" s="19">
        <f ca="1">DATE(LifeExpectancyData[[#This Row],[Year]],RANDBETWEEN(1,12),1)</f>
        <v>40575</v>
      </c>
    </row>
    <row r="247" spans="1:24" x14ac:dyDescent="0.25">
      <c r="A247" t="s">
        <v>398</v>
      </c>
      <c r="B247">
        <v>2010</v>
      </c>
      <c r="C247" t="s">
        <v>390</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c r="X247" s="19">
        <f ca="1">DATE(LifeExpectancyData[[#This Row],[Year]],RANDBETWEEN(1,12),1)</f>
        <v>40269</v>
      </c>
    </row>
    <row r="248" spans="1:24" x14ac:dyDescent="0.25">
      <c r="A248" t="s">
        <v>398</v>
      </c>
      <c r="B248">
        <v>2009</v>
      </c>
      <c r="C248" t="s">
        <v>390</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c r="X248" s="19">
        <f ca="1">DATE(LifeExpectancyData[[#This Row],[Year]],RANDBETWEEN(1,12),1)</f>
        <v>40087</v>
      </c>
    </row>
    <row r="249" spans="1:24" x14ac:dyDescent="0.25">
      <c r="A249" t="s">
        <v>398</v>
      </c>
      <c r="B249">
        <v>2008</v>
      </c>
      <c r="C249" t="s">
        <v>390</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c r="X249" s="19">
        <f ca="1">DATE(LifeExpectancyData[[#This Row],[Year]],RANDBETWEEN(1,12),1)</f>
        <v>39692</v>
      </c>
    </row>
    <row r="250" spans="1:24" x14ac:dyDescent="0.25">
      <c r="A250" t="s">
        <v>398</v>
      </c>
      <c r="B250">
        <v>2007</v>
      </c>
      <c r="C250" t="s">
        <v>390</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c r="X250" s="19">
        <f ca="1">DATE(LifeExpectancyData[[#This Row],[Year]],RANDBETWEEN(1,12),1)</f>
        <v>39387</v>
      </c>
    </row>
    <row r="251" spans="1:24" x14ac:dyDescent="0.25">
      <c r="A251" t="s">
        <v>398</v>
      </c>
      <c r="B251">
        <v>2006</v>
      </c>
      <c r="C251" t="s">
        <v>390</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c r="X251" s="19">
        <f ca="1">DATE(LifeExpectancyData[[#This Row],[Year]],RANDBETWEEN(1,12),1)</f>
        <v>38808</v>
      </c>
    </row>
    <row r="252" spans="1:24" x14ac:dyDescent="0.25">
      <c r="A252" t="s">
        <v>398</v>
      </c>
      <c r="B252">
        <v>2005</v>
      </c>
      <c r="C252" t="s">
        <v>390</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c r="X252" s="19">
        <f ca="1">DATE(LifeExpectancyData[[#This Row],[Year]],RANDBETWEEN(1,12),1)</f>
        <v>38596</v>
      </c>
    </row>
    <row r="253" spans="1:24" x14ac:dyDescent="0.25">
      <c r="A253" t="s">
        <v>398</v>
      </c>
      <c r="B253">
        <v>2004</v>
      </c>
      <c r="C253" t="s">
        <v>390</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c r="X253" s="19">
        <f ca="1">DATE(LifeExpectancyData[[#This Row],[Year]],RANDBETWEEN(1,12),1)</f>
        <v>38292</v>
      </c>
    </row>
    <row r="254" spans="1:24" x14ac:dyDescent="0.25">
      <c r="A254" t="s">
        <v>398</v>
      </c>
      <c r="B254">
        <v>2003</v>
      </c>
      <c r="C254" t="s">
        <v>390</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c r="X254" s="19">
        <f ca="1">DATE(LifeExpectancyData[[#This Row],[Year]],RANDBETWEEN(1,12),1)</f>
        <v>37622</v>
      </c>
    </row>
    <row r="255" spans="1:24" x14ac:dyDescent="0.25">
      <c r="A255" t="s">
        <v>398</v>
      </c>
      <c r="B255">
        <v>2002</v>
      </c>
      <c r="C255" t="s">
        <v>390</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c r="X255" s="19">
        <f ca="1">DATE(LifeExpectancyData[[#This Row],[Year]],RANDBETWEEN(1,12),1)</f>
        <v>37530</v>
      </c>
    </row>
    <row r="256" spans="1:24" x14ac:dyDescent="0.25">
      <c r="A256" t="s">
        <v>398</v>
      </c>
      <c r="B256">
        <v>2001</v>
      </c>
      <c r="C256" t="s">
        <v>390</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c r="X256" s="19">
        <f ca="1">DATE(LifeExpectancyData[[#This Row],[Year]],RANDBETWEEN(1,12),1)</f>
        <v>37043</v>
      </c>
    </row>
    <row r="257" spans="1:24" x14ac:dyDescent="0.25">
      <c r="A257" t="s">
        <v>398</v>
      </c>
      <c r="B257">
        <v>2000</v>
      </c>
      <c r="C257" t="s">
        <v>390</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c r="X257" s="19">
        <f ca="1">DATE(LifeExpectancyData[[#This Row],[Year]],RANDBETWEEN(1,12),1)</f>
        <v>36586</v>
      </c>
    </row>
    <row r="258" spans="1:24" x14ac:dyDescent="0.25">
      <c r="A258" t="s">
        <v>399</v>
      </c>
      <c r="B258">
        <v>2015</v>
      </c>
      <c r="C258" t="s">
        <v>382</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c r="X258" s="19">
        <f ca="1">DATE(LifeExpectancyData[[#This Row],[Year]],RANDBETWEEN(1,12),1)</f>
        <v>42248</v>
      </c>
    </row>
    <row r="259" spans="1:24" x14ac:dyDescent="0.25">
      <c r="A259" t="s">
        <v>399</v>
      </c>
      <c r="B259">
        <v>2014</v>
      </c>
      <c r="C259" t="s">
        <v>382</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c r="X259" s="19">
        <f ca="1">DATE(LifeExpectancyData[[#This Row],[Year]],RANDBETWEEN(1,12),1)</f>
        <v>41821</v>
      </c>
    </row>
    <row r="260" spans="1:24" x14ac:dyDescent="0.25">
      <c r="A260" t="s">
        <v>399</v>
      </c>
      <c r="B260">
        <v>2013</v>
      </c>
      <c r="C260" t="s">
        <v>382</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c r="X260" s="19">
        <f ca="1">DATE(LifeExpectancyData[[#This Row],[Year]],RANDBETWEEN(1,12),1)</f>
        <v>41456</v>
      </c>
    </row>
    <row r="261" spans="1:24" x14ac:dyDescent="0.25">
      <c r="A261" t="s">
        <v>399</v>
      </c>
      <c r="B261">
        <v>2012</v>
      </c>
      <c r="C261" t="s">
        <v>382</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c r="X261" s="19">
        <f ca="1">DATE(LifeExpectancyData[[#This Row],[Year]],RANDBETWEEN(1,12),1)</f>
        <v>41183</v>
      </c>
    </row>
    <row r="262" spans="1:24" x14ac:dyDescent="0.25">
      <c r="A262" t="s">
        <v>399</v>
      </c>
      <c r="B262">
        <v>2011</v>
      </c>
      <c r="C262" t="s">
        <v>382</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c r="X262" s="19">
        <f ca="1">DATE(LifeExpectancyData[[#This Row],[Year]],RANDBETWEEN(1,12),1)</f>
        <v>40817</v>
      </c>
    </row>
    <row r="263" spans="1:24" x14ac:dyDescent="0.25">
      <c r="A263" t="s">
        <v>399</v>
      </c>
      <c r="B263">
        <v>2010</v>
      </c>
      <c r="C263" t="s">
        <v>382</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c r="X263" s="19">
        <f ca="1">DATE(LifeExpectancyData[[#This Row],[Year]],RANDBETWEEN(1,12),1)</f>
        <v>40391</v>
      </c>
    </row>
    <row r="264" spans="1:24" x14ac:dyDescent="0.25">
      <c r="A264" t="s">
        <v>399</v>
      </c>
      <c r="B264">
        <v>2009</v>
      </c>
      <c r="C264" t="s">
        <v>382</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c r="X264" s="19">
        <f ca="1">DATE(LifeExpectancyData[[#This Row],[Year]],RANDBETWEEN(1,12),1)</f>
        <v>39904</v>
      </c>
    </row>
    <row r="265" spans="1:24" x14ac:dyDescent="0.25">
      <c r="A265" t="s">
        <v>399</v>
      </c>
      <c r="B265">
        <v>2008</v>
      </c>
      <c r="C265" t="s">
        <v>382</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c r="X265" s="19">
        <f ca="1">DATE(LifeExpectancyData[[#This Row],[Year]],RANDBETWEEN(1,12),1)</f>
        <v>39508</v>
      </c>
    </row>
    <row r="266" spans="1:24" x14ac:dyDescent="0.25">
      <c r="A266" t="s">
        <v>399</v>
      </c>
      <c r="B266">
        <v>2007</v>
      </c>
      <c r="C266" t="s">
        <v>382</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c r="X266" s="19">
        <f ca="1">DATE(LifeExpectancyData[[#This Row],[Year]],RANDBETWEEN(1,12),1)</f>
        <v>39142</v>
      </c>
    </row>
    <row r="267" spans="1:24" x14ac:dyDescent="0.25">
      <c r="A267" t="s">
        <v>399</v>
      </c>
      <c r="B267">
        <v>2006</v>
      </c>
      <c r="C267" t="s">
        <v>382</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c r="X267" s="19">
        <f ca="1">DATE(LifeExpectancyData[[#This Row],[Year]],RANDBETWEEN(1,12),1)</f>
        <v>38838</v>
      </c>
    </row>
    <row r="268" spans="1:24" x14ac:dyDescent="0.25">
      <c r="A268" t="s">
        <v>399</v>
      </c>
      <c r="B268">
        <v>2005</v>
      </c>
      <c r="C268" t="s">
        <v>382</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c r="X268" s="19">
        <f ca="1">DATE(LifeExpectancyData[[#This Row],[Year]],RANDBETWEEN(1,12),1)</f>
        <v>38504</v>
      </c>
    </row>
    <row r="269" spans="1:24" x14ac:dyDescent="0.25">
      <c r="A269" t="s">
        <v>399</v>
      </c>
      <c r="B269">
        <v>2004</v>
      </c>
      <c r="C269" t="s">
        <v>382</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c r="X269" s="19">
        <f ca="1">DATE(LifeExpectancyData[[#This Row],[Year]],RANDBETWEEN(1,12),1)</f>
        <v>38078</v>
      </c>
    </row>
    <row r="270" spans="1:24" x14ac:dyDescent="0.25">
      <c r="A270" t="s">
        <v>399</v>
      </c>
      <c r="B270">
        <v>2003</v>
      </c>
      <c r="C270" t="s">
        <v>382</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c r="X270" s="19">
        <f ca="1">DATE(LifeExpectancyData[[#This Row],[Year]],RANDBETWEEN(1,12),1)</f>
        <v>37681</v>
      </c>
    </row>
    <row r="271" spans="1:24" x14ac:dyDescent="0.25">
      <c r="A271" t="s">
        <v>399</v>
      </c>
      <c r="B271">
        <v>2002</v>
      </c>
      <c r="C271" t="s">
        <v>382</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c r="X271" s="19">
        <f ca="1">DATE(LifeExpectancyData[[#This Row],[Year]],RANDBETWEEN(1,12),1)</f>
        <v>37591</v>
      </c>
    </row>
    <row r="272" spans="1:24" x14ac:dyDescent="0.25">
      <c r="A272" t="s">
        <v>399</v>
      </c>
      <c r="B272">
        <v>2001</v>
      </c>
      <c r="C272" t="s">
        <v>382</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c r="X272" s="19">
        <f ca="1">DATE(LifeExpectancyData[[#This Row],[Year]],RANDBETWEEN(1,12),1)</f>
        <v>37012</v>
      </c>
    </row>
    <row r="273" spans="1:24" x14ac:dyDescent="0.25">
      <c r="A273" t="s">
        <v>399</v>
      </c>
      <c r="B273">
        <v>2000</v>
      </c>
      <c r="C273" t="s">
        <v>382</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c r="X273" s="19">
        <f ca="1">DATE(LifeExpectancyData[[#This Row],[Year]],RANDBETWEEN(1,12),1)</f>
        <v>36557</v>
      </c>
    </row>
    <row r="274" spans="1:24" x14ac:dyDescent="0.25">
      <c r="A274" t="s">
        <v>400</v>
      </c>
      <c r="B274">
        <v>2015</v>
      </c>
      <c r="C274" t="s">
        <v>382</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c r="X274" s="19">
        <f ca="1">DATE(LifeExpectancyData[[#This Row],[Year]],RANDBETWEEN(1,12),1)</f>
        <v>42036</v>
      </c>
    </row>
    <row r="275" spans="1:24" x14ac:dyDescent="0.25">
      <c r="A275" t="s">
        <v>400</v>
      </c>
      <c r="B275">
        <v>2014</v>
      </c>
      <c r="C275" t="s">
        <v>382</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c r="X275" s="19">
        <f ca="1">DATE(LifeExpectancyData[[#This Row],[Year]],RANDBETWEEN(1,12),1)</f>
        <v>41883</v>
      </c>
    </row>
    <row r="276" spans="1:24" x14ac:dyDescent="0.25">
      <c r="A276" t="s">
        <v>400</v>
      </c>
      <c r="B276">
        <v>2013</v>
      </c>
      <c r="C276" t="s">
        <v>382</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c r="X276" s="19">
        <f ca="1">DATE(LifeExpectancyData[[#This Row],[Year]],RANDBETWEEN(1,12),1)</f>
        <v>41334</v>
      </c>
    </row>
    <row r="277" spans="1:24" x14ac:dyDescent="0.25">
      <c r="A277" t="s">
        <v>400</v>
      </c>
      <c r="B277">
        <v>2012</v>
      </c>
      <c r="C277" t="s">
        <v>382</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c r="X277" s="19">
        <f ca="1">DATE(LifeExpectancyData[[#This Row],[Year]],RANDBETWEEN(1,12),1)</f>
        <v>40969</v>
      </c>
    </row>
    <row r="278" spans="1:24" x14ac:dyDescent="0.25">
      <c r="A278" t="s">
        <v>400</v>
      </c>
      <c r="B278">
        <v>2011</v>
      </c>
      <c r="C278" t="s">
        <v>382</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c r="X278" s="19">
        <f ca="1">DATE(LifeExpectancyData[[#This Row],[Year]],RANDBETWEEN(1,12),1)</f>
        <v>40575</v>
      </c>
    </row>
    <row r="279" spans="1:24" x14ac:dyDescent="0.25">
      <c r="A279" t="s">
        <v>400</v>
      </c>
      <c r="B279">
        <v>2010</v>
      </c>
      <c r="C279" t="s">
        <v>382</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c r="X279" s="19">
        <f ca="1">DATE(LifeExpectancyData[[#This Row],[Year]],RANDBETWEEN(1,12),1)</f>
        <v>40360</v>
      </c>
    </row>
    <row r="280" spans="1:24" x14ac:dyDescent="0.25">
      <c r="A280" t="s">
        <v>400</v>
      </c>
      <c r="B280">
        <v>2009</v>
      </c>
      <c r="C280" t="s">
        <v>382</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c r="X280" s="19">
        <f ca="1">DATE(LifeExpectancyData[[#This Row],[Year]],RANDBETWEEN(1,12),1)</f>
        <v>39965</v>
      </c>
    </row>
    <row r="281" spans="1:24" x14ac:dyDescent="0.25">
      <c r="A281" t="s">
        <v>400</v>
      </c>
      <c r="B281">
        <v>2008</v>
      </c>
      <c r="C281" t="s">
        <v>382</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c r="X281" s="19">
        <f ca="1">DATE(LifeExpectancyData[[#This Row],[Year]],RANDBETWEEN(1,12),1)</f>
        <v>39630</v>
      </c>
    </row>
    <row r="282" spans="1:24" x14ac:dyDescent="0.25">
      <c r="A282" t="s">
        <v>400</v>
      </c>
      <c r="B282">
        <v>2007</v>
      </c>
      <c r="C282" t="s">
        <v>382</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c r="X282" s="19">
        <f ca="1">DATE(LifeExpectancyData[[#This Row],[Year]],RANDBETWEEN(1,12),1)</f>
        <v>39203</v>
      </c>
    </row>
    <row r="283" spans="1:24" x14ac:dyDescent="0.25">
      <c r="A283" t="s">
        <v>400</v>
      </c>
      <c r="B283">
        <v>2006</v>
      </c>
      <c r="C283" t="s">
        <v>382</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c r="X283" s="19">
        <f ca="1">DATE(LifeExpectancyData[[#This Row],[Year]],RANDBETWEEN(1,12),1)</f>
        <v>38930</v>
      </c>
    </row>
    <row r="284" spans="1:24" x14ac:dyDescent="0.25">
      <c r="A284" t="s">
        <v>400</v>
      </c>
      <c r="B284">
        <v>2005</v>
      </c>
      <c r="C284" t="s">
        <v>382</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c r="X284" s="19">
        <f ca="1">DATE(LifeExpectancyData[[#This Row],[Year]],RANDBETWEEN(1,12),1)</f>
        <v>38384</v>
      </c>
    </row>
    <row r="285" spans="1:24" x14ac:dyDescent="0.25">
      <c r="A285" t="s">
        <v>400</v>
      </c>
      <c r="B285">
        <v>2004</v>
      </c>
      <c r="C285" t="s">
        <v>382</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c r="X285" s="19">
        <f ca="1">DATE(LifeExpectancyData[[#This Row],[Year]],RANDBETWEEN(1,12),1)</f>
        <v>38047</v>
      </c>
    </row>
    <row r="286" spans="1:24" x14ac:dyDescent="0.25">
      <c r="A286" t="s">
        <v>400</v>
      </c>
      <c r="B286">
        <v>2003</v>
      </c>
      <c r="C286" t="s">
        <v>382</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c r="X286" s="19">
        <f ca="1">DATE(LifeExpectancyData[[#This Row],[Year]],RANDBETWEEN(1,12),1)</f>
        <v>37895</v>
      </c>
    </row>
    <row r="287" spans="1:24" x14ac:dyDescent="0.25">
      <c r="A287" t="s">
        <v>400</v>
      </c>
      <c r="B287">
        <v>2002</v>
      </c>
      <c r="C287" t="s">
        <v>382</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c r="X287" s="19">
        <f ca="1">DATE(LifeExpectancyData[[#This Row],[Year]],RANDBETWEEN(1,12),1)</f>
        <v>37257</v>
      </c>
    </row>
    <row r="288" spans="1:24" x14ac:dyDescent="0.25">
      <c r="A288" t="s">
        <v>400</v>
      </c>
      <c r="B288">
        <v>2001</v>
      </c>
      <c r="C288" t="s">
        <v>382</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c r="X288" s="19">
        <f ca="1">DATE(LifeExpectancyData[[#This Row],[Year]],RANDBETWEEN(1,12),1)</f>
        <v>37135</v>
      </c>
    </row>
    <row r="289" spans="1:24" x14ac:dyDescent="0.25">
      <c r="A289" t="s">
        <v>400</v>
      </c>
      <c r="B289">
        <v>2000</v>
      </c>
      <c r="C289" t="s">
        <v>382</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c r="X289" s="19">
        <f ca="1">DATE(LifeExpectancyData[[#This Row],[Year]],RANDBETWEEN(1,12),1)</f>
        <v>36861</v>
      </c>
    </row>
    <row r="290" spans="1:24" x14ac:dyDescent="0.25">
      <c r="A290" t="s">
        <v>401</v>
      </c>
      <c r="B290">
        <v>2015</v>
      </c>
      <c r="C290" t="s">
        <v>382</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c r="X290" s="19">
        <f ca="1">DATE(LifeExpectancyData[[#This Row],[Year]],RANDBETWEEN(1,12),1)</f>
        <v>42005</v>
      </c>
    </row>
    <row r="291" spans="1:24" x14ac:dyDescent="0.25">
      <c r="A291" t="s">
        <v>401</v>
      </c>
      <c r="B291">
        <v>2014</v>
      </c>
      <c r="C291" t="s">
        <v>382</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c r="X291" s="19">
        <f ca="1">DATE(LifeExpectancyData[[#This Row],[Year]],RANDBETWEEN(1,12),1)</f>
        <v>41699</v>
      </c>
    </row>
    <row r="292" spans="1:24" x14ac:dyDescent="0.25">
      <c r="A292" t="s">
        <v>401</v>
      </c>
      <c r="B292">
        <v>2013</v>
      </c>
      <c r="C292" t="s">
        <v>382</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c r="X292" s="19">
        <f ca="1">DATE(LifeExpectancyData[[#This Row],[Year]],RANDBETWEEN(1,12),1)</f>
        <v>41518</v>
      </c>
    </row>
    <row r="293" spans="1:24" x14ac:dyDescent="0.25">
      <c r="A293" t="s">
        <v>401</v>
      </c>
      <c r="B293">
        <v>2012</v>
      </c>
      <c r="C293" t="s">
        <v>382</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c r="X293" s="19">
        <f ca="1">DATE(LifeExpectancyData[[#This Row],[Year]],RANDBETWEEN(1,12),1)</f>
        <v>41030</v>
      </c>
    </row>
    <row r="294" spans="1:24" x14ac:dyDescent="0.25">
      <c r="A294" t="s">
        <v>401</v>
      </c>
      <c r="B294">
        <v>2011</v>
      </c>
      <c r="C294" t="s">
        <v>382</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c r="X294" s="19">
        <f ca="1">DATE(LifeExpectancyData[[#This Row],[Year]],RANDBETWEEN(1,12),1)</f>
        <v>40634</v>
      </c>
    </row>
    <row r="295" spans="1:24" x14ac:dyDescent="0.25">
      <c r="A295" t="s">
        <v>401</v>
      </c>
      <c r="B295">
        <v>2010</v>
      </c>
      <c r="C295" t="s">
        <v>382</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c r="X295" s="19">
        <f ca="1">DATE(LifeExpectancyData[[#This Row],[Year]],RANDBETWEEN(1,12),1)</f>
        <v>40269</v>
      </c>
    </row>
    <row r="296" spans="1:24" x14ac:dyDescent="0.25">
      <c r="A296" t="s">
        <v>401</v>
      </c>
      <c r="B296">
        <v>2009</v>
      </c>
      <c r="C296" t="s">
        <v>382</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c r="X296" s="19">
        <f ca="1">DATE(LifeExpectancyData[[#This Row],[Year]],RANDBETWEEN(1,12),1)</f>
        <v>39873</v>
      </c>
    </row>
    <row r="297" spans="1:24" x14ac:dyDescent="0.25">
      <c r="A297" t="s">
        <v>401</v>
      </c>
      <c r="B297">
        <v>2008</v>
      </c>
      <c r="C297" t="s">
        <v>382</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c r="X297" s="19">
        <f ca="1">DATE(LifeExpectancyData[[#This Row],[Year]],RANDBETWEEN(1,12),1)</f>
        <v>39479</v>
      </c>
    </row>
    <row r="298" spans="1:24" x14ac:dyDescent="0.25">
      <c r="A298" t="s">
        <v>401</v>
      </c>
      <c r="B298">
        <v>2007</v>
      </c>
      <c r="C298" t="s">
        <v>382</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c r="X298" s="19">
        <f ca="1">DATE(LifeExpectancyData[[#This Row],[Year]],RANDBETWEEN(1,12),1)</f>
        <v>39387</v>
      </c>
    </row>
    <row r="299" spans="1:24" x14ac:dyDescent="0.25">
      <c r="A299" t="s">
        <v>401</v>
      </c>
      <c r="B299">
        <v>2006</v>
      </c>
      <c r="C299" t="s">
        <v>382</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c r="X299" s="19">
        <f ca="1">DATE(LifeExpectancyData[[#This Row],[Year]],RANDBETWEEN(1,12),1)</f>
        <v>38899</v>
      </c>
    </row>
    <row r="300" spans="1:24" x14ac:dyDescent="0.25">
      <c r="A300" t="s">
        <v>401</v>
      </c>
      <c r="B300">
        <v>2005</v>
      </c>
      <c r="C300" t="s">
        <v>382</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c r="X300" s="19">
        <f ca="1">DATE(LifeExpectancyData[[#This Row],[Year]],RANDBETWEEN(1,12),1)</f>
        <v>38687</v>
      </c>
    </row>
    <row r="301" spans="1:24" x14ac:dyDescent="0.25">
      <c r="A301" t="s">
        <v>401</v>
      </c>
      <c r="B301">
        <v>2004</v>
      </c>
      <c r="C301" t="s">
        <v>382</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c r="X301" s="19">
        <f ca="1">DATE(LifeExpectancyData[[#This Row],[Year]],RANDBETWEEN(1,12),1)</f>
        <v>38078</v>
      </c>
    </row>
    <row r="302" spans="1:24" x14ac:dyDescent="0.25">
      <c r="A302" t="s">
        <v>401</v>
      </c>
      <c r="B302">
        <v>2003</v>
      </c>
      <c r="C302" t="s">
        <v>382</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c r="X302" s="19">
        <f ca="1">DATE(LifeExpectancyData[[#This Row],[Year]],RANDBETWEEN(1,12),1)</f>
        <v>37926</v>
      </c>
    </row>
    <row r="303" spans="1:24" x14ac:dyDescent="0.25">
      <c r="A303" t="s">
        <v>401</v>
      </c>
      <c r="B303">
        <v>2002</v>
      </c>
      <c r="C303" t="s">
        <v>382</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c r="X303" s="19">
        <f ca="1">DATE(LifeExpectancyData[[#This Row],[Year]],RANDBETWEEN(1,12),1)</f>
        <v>37257</v>
      </c>
    </row>
    <row r="304" spans="1:24" x14ac:dyDescent="0.25">
      <c r="A304" t="s">
        <v>401</v>
      </c>
      <c r="B304">
        <v>2001</v>
      </c>
      <c r="C304" t="s">
        <v>382</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c r="X304" s="19">
        <f ca="1">DATE(LifeExpectancyData[[#This Row],[Year]],RANDBETWEEN(1,12),1)</f>
        <v>36982</v>
      </c>
    </row>
    <row r="305" spans="1:24" x14ac:dyDescent="0.25">
      <c r="A305" t="s">
        <v>401</v>
      </c>
      <c r="B305">
        <v>2000</v>
      </c>
      <c r="C305" t="s">
        <v>382</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c r="X305" s="19">
        <f ca="1">DATE(LifeExpectancyData[[#This Row],[Year]],RANDBETWEEN(1,12),1)</f>
        <v>36526</v>
      </c>
    </row>
    <row r="306" spans="1:24" x14ac:dyDescent="0.25">
      <c r="A306" t="s">
        <v>402</v>
      </c>
      <c r="B306">
        <v>2015</v>
      </c>
      <c r="C306" t="s">
        <v>382</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c r="X306" s="19">
        <f ca="1">DATE(LifeExpectancyData[[#This Row],[Year]],RANDBETWEEN(1,12),1)</f>
        <v>42339</v>
      </c>
    </row>
    <row r="307" spans="1:24" x14ac:dyDescent="0.25">
      <c r="A307" t="s">
        <v>402</v>
      </c>
      <c r="B307">
        <v>2014</v>
      </c>
      <c r="C307" t="s">
        <v>382</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c r="X307" s="19">
        <f ca="1">DATE(LifeExpectancyData[[#This Row],[Year]],RANDBETWEEN(1,12),1)</f>
        <v>41852</v>
      </c>
    </row>
    <row r="308" spans="1:24" x14ac:dyDescent="0.25">
      <c r="A308" t="s">
        <v>402</v>
      </c>
      <c r="B308">
        <v>2013</v>
      </c>
      <c r="C308" t="s">
        <v>382</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c r="X308" s="19">
        <f ca="1">DATE(LifeExpectancyData[[#This Row],[Year]],RANDBETWEEN(1,12),1)</f>
        <v>41275</v>
      </c>
    </row>
    <row r="309" spans="1:24" x14ac:dyDescent="0.25">
      <c r="A309" t="s">
        <v>402</v>
      </c>
      <c r="B309">
        <v>2012</v>
      </c>
      <c r="C309" t="s">
        <v>382</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c r="X309" s="19">
        <f ca="1">DATE(LifeExpectancyData[[#This Row],[Year]],RANDBETWEEN(1,12),1)</f>
        <v>41000</v>
      </c>
    </row>
    <row r="310" spans="1:24" x14ac:dyDescent="0.25">
      <c r="A310" t="s">
        <v>402</v>
      </c>
      <c r="B310">
        <v>2011</v>
      </c>
      <c r="C310" t="s">
        <v>382</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c r="X310" s="19">
        <f ca="1">DATE(LifeExpectancyData[[#This Row],[Year]],RANDBETWEEN(1,12),1)</f>
        <v>40634</v>
      </c>
    </row>
    <row r="311" spans="1:24" x14ac:dyDescent="0.25">
      <c r="A311" t="s">
        <v>402</v>
      </c>
      <c r="B311">
        <v>2010</v>
      </c>
      <c r="C311" t="s">
        <v>382</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c r="X311" s="19">
        <f ca="1">DATE(LifeExpectancyData[[#This Row],[Year]],RANDBETWEEN(1,12),1)</f>
        <v>40483</v>
      </c>
    </row>
    <row r="312" spans="1:24" x14ac:dyDescent="0.25">
      <c r="A312" t="s">
        <v>402</v>
      </c>
      <c r="B312">
        <v>2009</v>
      </c>
      <c r="C312" t="s">
        <v>382</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c r="X312" s="19">
        <f ca="1">DATE(LifeExpectancyData[[#This Row],[Year]],RANDBETWEEN(1,12),1)</f>
        <v>39845</v>
      </c>
    </row>
    <row r="313" spans="1:24" x14ac:dyDescent="0.25">
      <c r="A313" t="s">
        <v>402</v>
      </c>
      <c r="B313">
        <v>2008</v>
      </c>
      <c r="C313" t="s">
        <v>382</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c r="X313" s="19">
        <f ca="1">DATE(LifeExpectancyData[[#This Row],[Year]],RANDBETWEEN(1,12),1)</f>
        <v>39508</v>
      </c>
    </row>
    <row r="314" spans="1:24" x14ac:dyDescent="0.25">
      <c r="A314" t="s">
        <v>402</v>
      </c>
      <c r="B314">
        <v>2007</v>
      </c>
      <c r="C314" t="s">
        <v>382</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c r="X314" s="19">
        <f ca="1">DATE(LifeExpectancyData[[#This Row],[Year]],RANDBETWEEN(1,12),1)</f>
        <v>39326</v>
      </c>
    </row>
    <row r="315" spans="1:24" x14ac:dyDescent="0.25">
      <c r="A315" t="s">
        <v>402</v>
      </c>
      <c r="B315">
        <v>2006</v>
      </c>
      <c r="C315" t="s">
        <v>382</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c r="X315" s="19">
        <f ca="1">DATE(LifeExpectancyData[[#This Row],[Year]],RANDBETWEEN(1,12),1)</f>
        <v>38718</v>
      </c>
    </row>
    <row r="316" spans="1:24" x14ac:dyDescent="0.25">
      <c r="A316" t="s">
        <v>402</v>
      </c>
      <c r="B316">
        <v>2005</v>
      </c>
      <c r="C316" t="s">
        <v>382</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c r="X316" s="19">
        <f ca="1">DATE(LifeExpectancyData[[#This Row],[Year]],RANDBETWEEN(1,12),1)</f>
        <v>38626</v>
      </c>
    </row>
    <row r="317" spans="1:24" x14ac:dyDescent="0.25">
      <c r="A317" t="s">
        <v>402</v>
      </c>
      <c r="B317">
        <v>2004</v>
      </c>
      <c r="C317" t="s">
        <v>382</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c r="X317" s="19">
        <f ca="1">DATE(LifeExpectancyData[[#This Row],[Year]],RANDBETWEEN(1,12),1)</f>
        <v>38139</v>
      </c>
    </row>
    <row r="318" spans="1:24" x14ac:dyDescent="0.25">
      <c r="A318" t="s">
        <v>402</v>
      </c>
      <c r="B318">
        <v>2003</v>
      </c>
      <c r="C318" t="s">
        <v>382</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c r="X318" s="19">
        <f ca="1">DATE(LifeExpectancyData[[#This Row],[Year]],RANDBETWEEN(1,12),1)</f>
        <v>37773</v>
      </c>
    </row>
    <row r="319" spans="1:24" x14ac:dyDescent="0.25">
      <c r="A319" t="s">
        <v>402</v>
      </c>
      <c r="B319">
        <v>2002</v>
      </c>
      <c r="C319" t="s">
        <v>382</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c r="X319" s="19">
        <f ca="1">DATE(LifeExpectancyData[[#This Row],[Year]],RANDBETWEEN(1,12),1)</f>
        <v>37257</v>
      </c>
    </row>
    <row r="320" spans="1:24" x14ac:dyDescent="0.25">
      <c r="A320" t="s">
        <v>402</v>
      </c>
      <c r="B320">
        <v>2001</v>
      </c>
      <c r="C320" t="s">
        <v>382</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c r="X320" s="19">
        <f ca="1">DATE(LifeExpectancyData[[#This Row],[Year]],RANDBETWEEN(1,12),1)</f>
        <v>37196</v>
      </c>
    </row>
    <row r="321" spans="1:24" x14ac:dyDescent="0.25">
      <c r="A321" t="s">
        <v>402</v>
      </c>
      <c r="B321">
        <v>2000</v>
      </c>
      <c r="C321" t="s">
        <v>382</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c r="X321" s="19">
        <f ca="1">DATE(LifeExpectancyData[[#This Row],[Year]],RANDBETWEEN(1,12),1)</f>
        <v>36557</v>
      </c>
    </row>
    <row r="322" spans="1:24" x14ac:dyDescent="0.25">
      <c r="A322" t="s">
        <v>403</v>
      </c>
      <c r="B322">
        <v>2015</v>
      </c>
      <c r="C322" t="s">
        <v>382</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c r="X322" s="19">
        <f ca="1">DATE(LifeExpectancyData[[#This Row],[Year]],RANDBETWEEN(1,12),1)</f>
        <v>42186</v>
      </c>
    </row>
    <row r="323" spans="1:24" x14ac:dyDescent="0.25">
      <c r="A323" t="s">
        <v>403</v>
      </c>
      <c r="B323">
        <v>2014</v>
      </c>
      <c r="C323" t="s">
        <v>382</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c r="X323" s="19">
        <f ca="1">DATE(LifeExpectancyData[[#This Row],[Year]],RANDBETWEEN(1,12),1)</f>
        <v>41852</v>
      </c>
    </row>
    <row r="324" spans="1:24" x14ac:dyDescent="0.25">
      <c r="A324" t="s">
        <v>403</v>
      </c>
      <c r="B324">
        <v>2013</v>
      </c>
      <c r="C324" t="s">
        <v>382</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c r="X324" s="19">
        <f ca="1">DATE(LifeExpectancyData[[#This Row],[Year]],RANDBETWEEN(1,12),1)</f>
        <v>41426</v>
      </c>
    </row>
    <row r="325" spans="1:24" x14ac:dyDescent="0.25">
      <c r="A325" t="s">
        <v>403</v>
      </c>
      <c r="B325">
        <v>2012</v>
      </c>
      <c r="C325" t="s">
        <v>382</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c r="X325" s="19">
        <f ca="1">DATE(LifeExpectancyData[[#This Row],[Year]],RANDBETWEEN(1,12),1)</f>
        <v>41122</v>
      </c>
    </row>
    <row r="326" spans="1:24" x14ac:dyDescent="0.25">
      <c r="A326" t="s">
        <v>403</v>
      </c>
      <c r="B326">
        <v>2011</v>
      </c>
      <c r="C326" t="s">
        <v>382</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c r="X326" s="19">
        <f ca="1">DATE(LifeExpectancyData[[#This Row],[Year]],RANDBETWEEN(1,12),1)</f>
        <v>40756</v>
      </c>
    </row>
    <row r="327" spans="1:24" x14ac:dyDescent="0.25">
      <c r="A327" t="s">
        <v>403</v>
      </c>
      <c r="B327">
        <v>2010</v>
      </c>
      <c r="C327" t="s">
        <v>382</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c r="X327" s="19">
        <f ca="1">DATE(LifeExpectancyData[[#This Row],[Year]],RANDBETWEEN(1,12),1)</f>
        <v>40269</v>
      </c>
    </row>
    <row r="328" spans="1:24" x14ac:dyDescent="0.25">
      <c r="A328" t="s">
        <v>403</v>
      </c>
      <c r="B328">
        <v>2009</v>
      </c>
      <c r="C328" t="s">
        <v>382</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c r="X328" s="19">
        <f ca="1">DATE(LifeExpectancyData[[#This Row],[Year]],RANDBETWEEN(1,12),1)</f>
        <v>40026</v>
      </c>
    </row>
    <row r="329" spans="1:24" x14ac:dyDescent="0.25">
      <c r="A329" t="s">
        <v>403</v>
      </c>
      <c r="B329">
        <v>2008</v>
      </c>
      <c r="C329" t="s">
        <v>382</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c r="X329" s="19">
        <f ca="1">DATE(LifeExpectancyData[[#This Row],[Year]],RANDBETWEEN(1,12),1)</f>
        <v>39753</v>
      </c>
    </row>
    <row r="330" spans="1:24" x14ac:dyDescent="0.25">
      <c r="A330" t="s">
        <v>403</v>
      </c>
      <c r="B330">
        <v>2007</v>
      </c>
      <c r="C330" t="s">
        <v>382</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c r="X330" s="19">
        <f ca="1">DATE(LifeExpectancyData[[#This Row],[Year]],RANDBETWEEN(1,12),1)</f>
        <v>39295</v>
      </c>
    </row>
    <row r="331" spans="1:24" x14ac:dyDescent="0.25">
      <c r="A331" t="s">
        <v>403</v>
      </c>
      <c r="B331">
        <v>2006</v>
      </c>
      <c r="C331" t="s">
        <v>382</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c r="X331" s="19">
        <f ca="1">DATE(LifeExpectancyData[[#This Row],[Year]],RANDBETWEEN(1,12),1)</f>
        <v>38991</v>
      </c>
    </row>
    <row r="332" spans="1:24" x14ac:dyDescent="0.25">
      <c r="A332" t="s">
        <v>403</v>
      </c>
      <c r="B332">
        <v>2005</v>
      </c>
      <c r="C332" t="s">
        <v>382</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c r="X332" s="19">
        <f ca="1">DATE(LifeExpectancyData[[#This Row],[Year]],RANDBETWEEN(1,12),1)</f>
        <v>38565</v>
      </c>
    </row>
    <row r="333" spans="1:24" x14ac:dyDescent="0.25">
      <c r="A333" t="s">
        <v>403</v>
      </c>
      <c r="B333">
        <v>2004</v>
      </c>
      <c r="C333" t="s">
        <v>382</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c r="X333" s="19">
        <f ca="1">DATE(LifeExpectancyData[[#This Row],[Year]],RANDBETWEEN(1,12),1)</f>
        <v>38078</v>
      </c>
    </row>
    <row r="334" spans="1:24" x14ac:dyDescent="0.25">
      <c r="A334" t="s">
        <v>403</v>
      </c>
      <c r="B334">
        <v>2003</v>
      </c>
      <c r="C334" t="s">
        <v>382</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c r="X334" s="19">
        <f ca="1">DATE(LifeExpectancyData[[#This Row],[Year]],RANDBETWEEN(1,12),1)</f>
        <v>37742</v>
      </c>
    </row>
    <row r="335" spans="1:24" x14ac:dyDescent="0.25">
      <c r="A335" t="s">
        <v>403</v>
      </c>
      <c r="B335">
        <v>2002</v>
      </c>
      <c r="C335" t="s">
        <v>382</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c r="X335" s="19">
        <f ca="1">DATE(LifeExpectancyData[[#This Row],[Year]],RANDBETWEEN(1,12),1)</f>
        <v>37377</v>
      </c>
    </row>
    <row r="336" spans="1:24" x14ac:dyDescent="0.25">
      <c r="A336" t="s">
        <v>403</v>
      </c>
      <c r="B336">
        <v>2001</v>
      </c>
      <c r="C336" t="s">
        <v>382</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c r="X336" s="19">
        <f ca="1">DATE(LifeExpectancyData[[#This Row],[Year]],RANDBETWEEN(1,12),1)</f>
        <v>37104</v>
      </c>
    </row>
    <row r="337" spans="1:24" x14ac:dyDescent="0.25">
      <c r="A337" t="s">
        <v>403</v>
      </c>
      <c r="B337">
        <v>2000</v>
      </c>
      <c r="C337" t="s">
        <v>382</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c r="X337" s="19">
        <f ca="1">DATE(LifeExpectancyData[[#This Row],[Year]],RANDBETWEEN(1,12),1)</f>
        <v>36800</v>
      </c>
    </row>
    <row r="338" spans="1:24" x14ac:dyDescent="0.25">
      <c r="A338" t="s">
        <v>404</v>
      </c>
      <c r="B338">
        <v>2015</v>
      </c>
      <c r="C338" t="s">
        <v>382</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c r="X338" s="19">
        <f ca="1">DATE(LifeExpectancyData[[#This Row],[Year]],RANDBETWEEN(1,12),1)</f>
        <v>42095</v>
      </c>
    </row>
    <row r="339" spans="1:24" x14ac:dyDescent="0.25">
      <c r="A339" t="s">
        <v>404</v>
      </c>
      <c r="B339">
        <v>2014</v>
      </c>
      <c r="C339" t="s">
        <v>382</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c r="X339" s="19">
        <f ca="1">DATE(LifeExpectancyData[[#This Row],[Year]],RANDBETWEEN(1,12),1)</f>
        <v>41974</v>
      </c>
    </row>
    <row r="340" spans="1:24" x14ac:dyDescent="0.25">
      <c r="A340" t="s">
        <v>404</v>
      </c>
      <c r="B340">
        <v>2013</v>
      </c>
      <c r="C340" t="s">
        <v>382</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c r="X340" s="19">
        <f ca="1">DATE(LifeExpectancyData[[#This Row],[Year]],RANDBETWEEN(1,12),1)</f>
        <v>41487</v>
      </c>
    </row>
    <row r="341" spans="1:24" x14ac:dyDescent="0.25">
      <c r="A341" t="s">
        <v>404</v>
      </c>
      <c r="B341">
        <v>2012</v>
      </c>
      <c r="C341" t="s">
        <v>382</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c r="X341" s="19">
        <f ca="1">DATE(LifeExpectancyData[[#This Row],[Year]],RANDBETWEEN(1,12),1)</f>
        <v>40909</v>
      </c>
    </row>
    <row r="342" spans="1:24" x14ac:dyDescent="0.25">
      <c r="A342" t="s">
        <v>404</v>
      </c>
      <c r="B342">
        <v>2011</v>
      </c>
      <c r="C342" t="s">
        <v>382</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c r="X342" s="19">
        <f ca="1">DATE(LifeExpectancyData[[#This Row],[Year]],RANDBETWEEN(1,12),1)</f>
        <v>40725</v>
      </c>
    </row>
    <row r="343" spans="1:24" x14ac:dyDescent="0.25">
      <c r="A343" t="s">
        <v>404</v>
      </c>
      <c r="B343">
        <v>2010</v>
      </c>
      <c r="C343" t="s">
        <v>382</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c r="X343" s="19">
        <f ca="1">DATE(LifeExpectancyData[[#This Row],[Year]],RANDBETWEEN(1,12),1)</f>
        <v>40391</v>
      </c>
    </row>
    <row r="344" spans="1:24" x14ac:dyDescent="0.25">
      <c r="A344" t="s">
        <v>404</v>
      </c>
      <c r="B344">
        <v>2009</v>
      </c>
      <c r="C344" t="s">
        <v>382</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c r="X344" s="19">
        <f ca="1">DATE(LifeExpectancyData[[#This Row],[Year]],RANDBETWEEN(1,12),1)</f>
        <v>40118</v>
      </c>
    </row>
    <row r="345" spans="1:24" x14ac:dyDescent="0.25">
      <c r="A345" t="s">
        <v>404</v>
      </c>
      <c r="B345">
        <v>2008</v>
      </c>
      <c r="C345" t="s">
        <v>382</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c r="X345" s="19">
        <f ca="1">DATE(LifeExpectancyData[[#This Row],[Year]],RANDBETWEEN(1,12),1)</f>
        <v>39722</v>
      </c>
    </row>
    <row r="346" spans="1:24" x14ac:dyDescent="0.25">
      <c r="A346" t="s">
        <v>404</v>
      </c>
      <c r="B346">
        <v>2007</v>
      </c>
      <c r="C346" t="s">
        <v>382</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c r="X346" s="19">
        <f ca="1">DATE(LifeExpectancyData[[#This Row],[Year]],RANDBETWEEN(1,12),1)</f>
        <v>39142</v>
      </c>
    </row>
    <row r="347" spans="1:24" x14ac:dyDescent="0.25">
      <c r="A347" t="s">
        <v>404</v>
      </c>
      <c r="B347">
        <v>2006</v>
      </c>
      <c r="C347" t="s">
        <v>382</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c r="X347" s="19">
        <f ca="1">DATE(LifeExpectancyData[[#This Row],[Year]],RANDBETWEEN(1,12),1)</f>
        <v>39052</v>
      </c>
    </row>
    <row r="348" spans="1:24" x14ac:dyDescent="0.25">
      <c r="A348" t="s">
        <v>404</v>
      </c>
      <c r="B348">
        <v>2005</v>
      </c>
      <c r="C348" t="s">
        <v>382</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c r="X348" s="19">
        <f ca="1">DATE(LifeExpectancyData[[#This Row],[Year]],RANDBETWEEN(1,12),1)</f>
        <v>38687</v>
      </c>
    </row>
    <row r="349" spans="1:24" x14ac:dyDescent="0.25">
      <c r="A349" t="s">
        <v>404</v>
      </c>
      <c r="B349">
        <v>2004</v>
      </c>
      <c r="C349" t="s">
        <v>382</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c r="X349" s="19">
        <f ca="1">DATE(LifeExpectancyData[[#This Row],[Year]],RANDBETWEEN(1,12),1)</f>
        <v>38018</v>
      </c>
    </row>
    <row r="350" spans="1:24" x14ac:dyDescent="0.25">
      <c r="A350" t="s">
        <v>404</v>
      </c>
      <c r="B350">
        <v>2003</v>
      </c>
      <c r="C350" t="s">
        <v>382</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c r="X350" s="19">
        <f ca="1">DATE(LifeExpectancyData[[#This Row],[Year]],RANDBETWEEN(1,12),1)</f>
        <v>37622</v>
      </c>
    </row>
    <row r="351" spans="1:24" x14ac:dyDescent="0.25">
      <c r="A351" t="s">
        <v>404</v>
      </c>
      <c r="B351">
        <v>2002</v>
      </c>
      <c r="C351" t="s">
        <v>382</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c r="X351" s="19">
        <f ca="1">DATE(LifeExpectancyData[[#This Row],[Year]],RANDBETWEEN(1,12),1)</f>
        <v>37469</v>
      </c>
    </row>
    <row r="352" spans="1:24" x14ac:dyDescent="0.25">
      <c r="A352" t="s">
        <v>404</v>
      </c>
      <c r="B352">
        <v>2001</v>
      </c>
      <c r="C352" t="s">
        <v>382</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c r="X352" s="19">
        <f ca="1">DATE(LifeExpectancyData[[#This Row],[Year]],RANDBETWEEN(1,12),1)</f>
        <v>37135</v>
      </c>
    </row>
    <row r="353" spans="1:24" x14ac:dyDescent="0.25">
      <c r="A353" t="s">
        <v>404</v>
      </c>
      <c r="B353">
        <v>2000</v>
      </c>
      <c r="C353" t="s">
        <v>382</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c r="X353" s="19">
        <f ca="1">DATE(LifeExpectancyData[[#This Row],[Year]],RANDBETWEEN(1,12),1)</f>
        <v>36647</v>
      </c>
    </row>
    <row r="354" spans="1:24" x14ac:dyDescent="0.25">
      <c r="A354" t="s">
        <v>405</v>
      </c>
      <c r="B354">
        <v>2015</v>
      </c>
      <c r="C354" t="s">
        <v>382</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c r="X354" s="19">
        <f ca="1">DATE(LifeExpectancyData[[#This Row],[Year]],RANDBETWEEN(1,12),1)</f>
        <v>42217</v>
      </c>
    </row>
    <row r="355" spans="1:24" x14ac:dyDescent="0.25">
      <c r="A355" t="s">
        <v>405</v>
      </c>
      <c r="B355">
        <v>2014</v>
      </c>
      <c r="C355" t="s">
        <v>382</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c r="X355" s="19">
        <f ca="1">DATE(LifeExpectancyData[[#This Row],[Year]],RANDBETWEEN(1,12),1)</f>
        <v>41699</v>
      </c>
    </row>
    <row r="356" spans="1:24" x14ac:dyDescent="0.25">
      <c r="A356" t="s">
        <v>405</v>
      </c>
      <c r="B356">
        <v>2013</v>
      </c>
      <c r="C356" t="s">
        <v>382</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c r="X356" s="19">
        <f ca="1">DATE(LifeExpectancyData[[#This Row],[Year]],RANDBETWEEN(1,12),1)</f>
        <v>41456</v>
      </c>
    </row>
    <row r="357" spans="1:24" x14ac:dyDescent="0.25">
      <c r="A357" t="s">
        <v>405</v>
      </c>
      <c r="B357">
        <v>2012</v>
      </c>
      <c r="C357" t="s">
        <v>382</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c r="X357" s="19">
        <f ca="1">DATE(LifeExpectancyData[[#This Row],[Year]],RANDBETWEEN(1,12),1)</f>
        <v>41244</v>
      </c>
    </row>
    <row r="358" spans="1:24" x14ac:dyDescent="0.25">
      <c r="A358" t="s">
        <v>405</v>
      </c>
      <c r="B358">
        <v>2011</v>
      </c>
      <c r="C358" t="s">
        <v>382</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c r="X358" s="19">
        <f ca="1">DATE(LifeExpectancyData[[#This Row],[Year]],RANDBETWEEN(1,12),1)</f>
        <v>40878</v>
      </c>
    </row>
    <row r="359" spans="1:24" x14ac:dyDescent="0.25">
      <c r="A359" t="s">
        <v>405</v>
      </c>
      <c r="B359">
        <v>2010</v>
      </c>
      <c r="C359" t="s">
        <v>382</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c r="X359" s="19">
        <f ca="1">DATE(LifeExpectancyData[[#This Row],[Year]],RANDBETWEEN(1,12),1)</f>
        <v>40452</v>
      </c>
    </row>
    <row r="360" spans="1:24" x14ac:dyDescent="0.25">
      <c r="A360" t="s">
        <v>405</v>
      </c>
      <c r="B360">
        <v>2009</v>
      </c>
      <c r="C360" t="s">
        <v>382</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c r="X360" s="19">
        <f ca="1">DATE(LifeExpectancyData[[#This Row],[Year]],RANDBETWEEN(1,12),1)</f>
        <v>39965</v>
      </c>
    </row>
    <row r="361" spans="1:24" x14ac:dyDescent="0.25">
      <c r="A361" t="s">
        <v>405</v>
      </c>
      <c r="B361">
        <v>2008</v>
      </c>
      <c r="C361" t="s">
        <v>382</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c r="X361" s="19">
        <f ca="1">DATE(LifeExpectancyData[[#This Row],[Year]],RANDBETWEEN(1,12),1)</f>
        <v>39692</v>
      </c>
    </row>
    <row r="362" spans="1:24" x14ac:dyDescent="0.25">
      <c r="A362" t="s">
        <v>405</v>
      </c>
      <c r="B362">
        <v>2007</v>
      </c>
      <c r="C362" t="s">
        <v>382</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c r="X362" s="19">
        <f ca="1">DATE(LifeExpectancyData[[#This Row],[Year]],RANDBETWEEN(1,12),1)</f>
        <v>39114</v>
      </c>
    </row>
    <row r="363" spans="1:24" x14ac:dyDescent="0.25">
      <c r="A363" t="s">
        <v>405</v>
      </c>
      <c r="B363">
        <v>2006</v>
      </c>
      <c r="C363" t="s">
        <v>382</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c r="X363" s="19">
        <f ca="1">DATE(LifeExpectancyData[[#This Row],[Year]],RANDBETWEEN(1,12),1)</f>
        <v>38749</v>
      </c>
    </row>
    <row r="364" spans="1:24" x14ac:dyDescent="0.25">
      <c r="A364" t="s">
        <v>405</v>
      </c>
      <c r="B364">
        <v>2005</v>
      </c>
      <c r="C364" t="s">
        <v>382</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c r="X364" s="19">
        <f ca="1">DATE(LifeExpectancyData[[#This Row],[Year]],RANDBETWEEN(1,12),1)</f>
        <v>38443</v>
      </c>
    </row>
    <row r="365" spans="1:24" x14ac:dyDescent="0.25">
      <c r="A365" t="s">
        <v>405</v>
      </c>
      <c r="B365">
        <v>2004</v>
      </c>
      <c r="C365" t="s">
        <v>382</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c r="X365" s="19">
        <f ca="1">DATE(LifeExpectancyData[[#This Row],[Year]],RANDBETWEEN(1,12),1)</f>
        <v>38108</v>
      </c>
    </row>
    <row r="366" spans="1:24" x14ac:dyDescent="0.25">
      <c r="A366" t="s">
        <v>405</v>
      </c>
      <c r="B366">
        <v>2003</v>
      </c>
      <c r="C366" t="s">
        <v>382</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c r="X366" s="19">
        <f ca="1">DATE(LifeExpectancyData[[#This Row],[Year]],RANDBETWEEN(1,12),1)</f>
        <v>37742</v>
      </c>
    </row>
    <row r="367" spans="1:24" x14ac:dyDescent="0.25">
      <c r="A367" t="s">
        <v>405</v>
      </c>
      <c r="B367">
        <v>2002</v>
      </c>
      <c r="C367" t="s">
        <v>382</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c r="X367" s="19">
        <f ca="1">DATE(LifeExpectancyData[[#This Row],[Year]],RANDBETWEEN(1,12),1)</f>
        <v>37316</v>
      </c>
    </row>
    <row r="368" spans="1:24" x14ac:dyDescent="0.25">
      <c r="A368" t="s">
        <v>405</v>
      </c>
      <c r="B368">
        <v>2001</v>
      </c>
      <c r="C368" t="s">
        <v>382</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c r="X368" s="19">
        <f ca="1">DATE(LifeExpectancyData[[#This Row],[Year]],RANDBETWEEN(1,12),1)</f>
        <v>36923</v>
      </c>
    </row>
    <row r="369" spans="1:24" x14ac:dyDescent="0.25">
      <c r="A369" t="s">
        <v>405</v>
      </c>
      <c r="B369">
        <v>2000</v>
      </c>
      <c r="C369" t="s">
        <v>382</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c r="X369" s="19">
        <f ca="1">DATE(LifeExpectancyData[[#This Row],[Year]],RANDBETWEEN(1,12),1)</f>
        <v>36526</v>
      </c>
    </row>
    <row r="370" spans="1:24" x14ac:dyDescent="0.25">
      <c r="A370" t="s">
        <v>406</v>
      </c>
      <c r="B370">
        <v>2015</v>
      </c>
      <c r="C370" t="s">
        <v>382</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c r="X370" s="19">
        <f ca="1">DATE(LifeExpectancyData[[#This Row],[Year]],RANDBETWEEN(1,12),1)</f>
        <v>42005</v>
      </c>
    </row>
    <row r="371" spans="1:24" x14ac:dyDescent="0.25">
      <c r="A371" t="s">
        <v>406</v>
      </c>
      <c r="B371">
        <v>2014</v>
      </c>
      <c r="C371" t="s">
        <v>382</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c r="X371" s="19">
        <f ca="1">DATE(LifeExpectancyData[[#This Row],[Year]],RANDBETWEEN(1,12),1)</f>
        <v>41671</v>
      </c>
    </row>
    <row r="372" spans="1:24" x14ac:dyDescent="0.25">
      <c r="A372" t="s">
        <v>406</v>
      </c>
      <c r="B372">
        <v>2013</v>
      </c>
      <c r="C372" t="s">
        <v>382</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c r="X372" s="19">
        <f ca="1">DATE(LifeExpectancyData[[#This Row],[Year]],RANDBETWEEN(1,12),1)</f>
        <v>41579</v>
      </c>
    </row>
    <row r="373" spans="1:24" x14ac:dyDescent="0.25">
      <c r="A373" t="s">
        <v>406</v>
      </c>
      <c r="B373">
        <v>2012</v>
      </c>
      <c r="C373" t="s">
        <v>382</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c r="X373" s="19">
        <f ca="1">DATE(LifeExpectancyData[[#This Row],[Year]],RANDBETWEEN(1,12),1)</f>
        <v>41153</v>
      </c>
    </row>
    <row r="374" spans="1:24" x14ac:dyDescent="0.25">
      <c r="A374" t="s">
        <v>406</v>
      </c>
      <c r="B374">
        <v>2011</v>
      </c>
      <c r="C374" t="s">
        <v>382</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c r="X374" s="19">
        <f ca="1">DATE(LifeExpectancyData[[#This Row],[Year]],RANDBETWEEN(1,12),1)</f>
        <v>40544</v>
      </c>
    </row>
    <row r="375" spans="1:24" x14ac:dyDescent="0.25">
      <c r="A375" t="s">
        <v>406</v>
      </c>
      <c r="B375">
        <v>2010</v>
      </c>
      <c r="C375" t="s">
        <v>382</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c r="X375" s="19">
        <f ca="1">DATE(LifeExpectancyData[[#This Row],[Year]],RANDBETWEEN(1,12),1)</f>
        <v>40179</v>
      </c>
    </row>
    <row r="376" spans="1:24" x14ac:dyDescent="0.25">
      <c r="A376" t="s">
        <v>406</v>
      </c>
      <c r="B376">
        <v>2009</v>
      </c>
      <c r="C376" t="s">
        <v>382</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c r="X376" s="19">
        <f ca="1">DATE(LifeExpectancyData[[#This Row],[Year]],RANDBETWEEN(1,12),1)</f>
        <v>39814</v>
      </c>
    </row>
    <row r="377" spans="1:24" x14ac:dyDescent="0.25">
      <c r="A377" t="s">
        <v>406</v>
      </c>
      <c r="B377">
        <v>2008</v>
      </c>
      <c r="C377" t="s">
        <v>382</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c r="X377" s="19">
        <f ca="1">DATE(LifeExpectancyData[[#This Row],[Year]],RANDBETWEEN(1,12),1)</f>
        <v>39479</v>
      </c>
    </row>
    <row r="378" spans="1:24" x14ac:dyDescent="0.25">
      <c r="A378" t="s">
        <v>406</v>
      </c>
      <c r="B378">
        <v>2007</v>
      </c>
      <c r="C378" t="s">
        <v>382</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c r="X378" s="19">
        <f ca="1">DATE(LifeExpectancyData[[#This Row],[Year]],RANDBETWEEN(1,12),1)</f>
        <v>39083</v>
      </c>
    </row>
    <row r="379" spans="1:24" x14ac:dyDescent="0.25">
      <c r="A379" t="s">
        <v>406</v>
      </c>
      <c r="B379">
        <v>2006</v>
      </c>
      <c r="C379" t="s">
        <v>382</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c r="X379" s="19">
        <f ca="1">DATE(LifeExpectancyData[[#This Row],[Year]],RANDBETWEEN(1,12),1)</f>
        <v>38718</v>
      </c>
    </row>
    <row r="380" spans="1:24" x14ac:dyDescent="0.25">
      <c r="A380" t="s">
        <v>406</v>
      </c>
      <c r="B380">
        <v>2005</v>
      </c>
      <c r="C380" t="s">
        <v>382</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c r="X380" s="19">
        <f ca="1">DATE(LifeExpectancyData[[#This Row],[Year]],RANDBETWEEN(1,12),1)</f>
        <v>38596</v>
      </c>
    </row>
    <row r="381" spans="1:24" x14ac:dyDescent="0.25">
      <c r="A381" t="s">
        <v>406</v>
      </c>
      <c r="B381">
        <v>2004</v>
      </c>
      <c r="C381" t="s">
        <v>382</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c r="X381" s="19">
        <f ca="1">DATE(LifeExpectancyData[[#This Row],[Year]],RANDBETWEEN(1,12),1)</f>
        <v>38292</v>
      </c>
    </row>
    <row r="382" spans="1:24" x14ac:dyDescent="0.25">
      <c r="A382" t="s">
        <v>406</v>
      </c>
      <c r="B382">
        <v>2003</v>
      </c>
      <c r="C382" t="s">
        <v>382</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c r="X382" s="19">
        <f ca="1">DATE(LifeExpectancyData[[#This Row],[Year]],RANDBETWEEN(1,12),1)</f>
        <v>37865</v>
      </c>
    </row>
    <row r="383" spans="1:24" x14ac:dyDescent="0.25">
      <c r="A383" t="s">
        <v>406</v>
      </c>
      <c r="B383">
        <v>2002</v>
      </c>
      <c r="C383" t="s">
        <v>382</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c r="X383" s="19">
        <f ca="1">DATE(LifeExpectancyData[[#This Row],[Year]],RANDBETWEEN(1,12),1)</f>
        <v>37530</v>
      </c>
    </row>
    <row r="384" spans="1:24" x14ac:dyDescent="0.25">
      <c r="A384" t="s">
        <v>406</v>
      </c>
      <c r="B384">
        <v>2001</v>
      </c>
      <c r="C384" t="s">
        <v>382</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c r="X384" s="19">
        <f ca="1">DATE(LifeExpectancyData[[#This Row],[Year]],RANDBETWEEN(1,12),1)</f>
        <v>36982</v>
      </c>
    </row>
    <row r="385" spans="1:24" x14ac:dyDescent="0.25">
      <c r="A385" t="s">
        <v>406</v>
      </c>
      <c r="B385">
        <v>2000</v>
      </c>
      <c r="C385" t="s">
        <v>382</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c r="X385" s="19">
        <f ca="1">DATE(LifeExpectancyData[[#This Row],[Year]],RANDBETWEEN(1,12),1)</f>
        <v>36708</v>
      </c>
    </row>
    <row r="386" spans="1:24" x14ac:dyDescent="0.25">
      <c r="A386" t="s">
        <v>407</v>
      </c>
      <c r="B386">
        <v>2015</v>
      </c>
      <c r="C386" t="s">
        <v>390</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c r="X386" s="19">
        <f ca="1">DATE(LifeExpectancyData[[#This Row],[Year]],RANDBETWEEN(1,12),1)</f>
        <v>42156</v>
      </c>
    </row>
    <row r="387" spans="1:24" x14ac:dyDescent="0.25">
      <c r="A387" t="s">
        <v>407</v>
      </c>
      <c r="B387">
        <v>2014</v>
      </c>
      <c r="C387" t="s">
        <v>390</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c r="X387" s="19">
        <f ca="1">DATE(LifeExpectancyData[[#This Row],[Year]],RANDBETWEEN(1,12),1)</f>
        <v>41913</v>
      </c>
    </row>
    <row r="388" spans="1:24" x14ac:dyDescent="0.25">
      <c r="A388" t="s">
        <v>407</v>
      </c>
      <c r="B388">
        <v>2013</v>
      </c>
      <c r="C388" t="s">
        <v>390</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c r="X388" s="19">
        <f ca="1">DATE(LifeExpectancyData[[#This Row],[Year]],RANDBETWEEN(1,12),1)</f>
        <v>41334</v>
      </c>
    </row>
    <row r="389" spans="1:24" x14ac:dyDescent="0.25">
      <c r="A389" t="s">
        <v>407</v>
      </c>
      <c r="B389">
        <v>2012</v>
      </c>
      <c r="C389" t="s">
        <v>390</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c r="X389" s="19">
        <f ca="1">DATE(LifeExpectancyData[[#This Row],[Year]],RANDBETWEEN(1,12),1)</f>
        <v>40909</v>
      </c>
    </row>
    <row r="390" spans="1:24" x14ac:dyDescent="0.25">
      <c r="A390" t="s">
        <v>407</v>
      </c>
      <c r="B390">
        <v>2011</v>
      </c>
      <c r="C390" t="s">
        <v>390</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c r="X390" s="19">
        <f ca="1">DATE(LifeExpectancyData[[#This Row],[Year]],RANDBETWEEN(1,12),1)</f>
        <v>40575</v>
      </c>
    </row>
    <row r="391" spans="1:24" x14ac:dyDescent="0.25">
      <c r="A391" t="s">
        <v>407</v>
      </c>
      <c r="B391">
        <v>2010</v>
      </c>
      <c r="C391" t="s">
        <v>390</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c r="X391" s="19">
        <f ca="1">DATE(LifeExpectancyData[[#This Row],[Year]],RANDBETWEEN(1,12),1)</f>
        <v>40452</v>
      </c>
    </row>
    <row r="392" spans="1:24" x14ac:dyDescent="0.25">
      <c r="A392" t="s">
        <v>407</v>
      </c>
      <c r="B392">
        <v>2009</v>
      </c>
      <c r="C392" t="s">
        <v>390</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c r="X392" s="19">
        <f ca="1">DATE(LifeExpectancyData[[#This Row],[Year]],RANDBETWEEN(1,12),1)</f>
        <v>40087</v>
      </c>
    </row>
    <row r="393" spans="1:24" x14ac:dyDescent="0.25">
      <c r="A393" t="s">
        <v>407</v>
      </c>
      <c r="B393">
        <v>2008</v>
      </c>
      <c r="C393" t="s">
        <v>390</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c r="X393" s="19">
        <f ca="1">DATE(LifeExpectancyData[[#This Row],[Year]],RANDBETWEEN(1,12),1)</f>
        <v>39722</v>
      </c>
    </row>
    <row r="394" spans="1:24" x14ac:dyDescent="0.25">
      <c r="A394" t="s">
        <v>407</v>
      </c>
      <c r="B394">
        <v>2007</v>
      </c>
      <c r="C394" t="s">
        <v>390</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c r="X394" s="19">
        <f ca="1">DATE(LifeExpectancyData[[#This Row],[Year]],RANDBETWEEN(1,12),1)</f>
        <v>39356</v>
      </c>
    </row>
    <row r="395" spans="1:24" x14ac:dyDescent="0.25">
      <c r="A395" t="s">
        <v>407</v>
      </c>
      <c r="B395">
        <v>2006</v>
      </c>
      <c r="C395" t="s">
        <v>390</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c r="X395" s="19">
        <f ca="1">DATE(LifeExpectancyData[[#This Row],[Year]],RANDBETWEEN(1,12),1)</f>
        <v>38991</v>
      </c>
    </row>
    <row r="396" spans="1:24" x14ac:dyDescent="0.25">
      <c r="A396" t="s">
        <v>407</v>
      </c>
      <c r="B396">
        <v>2005</v>
      </c>
      <c r="C396" t="s">
        <v>390</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c r="X396" s="19">
        <f ca="1">DATE(LifeExpectancyData[[#This Row],[Year]],RANDBETWEEN(1,12),1)</f>
        <v>38626</v>
      </c>
    </row>
    <row r="397" spans="1:24" x14ac:dyDescent="0.25">
      <c r="A397" t="s">
        <v>407</v>
      </c>
      <c r="B397">
        <v>2004</v>
      </c>
      <c r="C397" t="s">
        <v>390</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c r="X397" s="19">
        <f ca="1">DATE(LifeExpectancyData[[#This Row],[Year]],RANDBETWEEN(1,12),1)</f>
        <v>38292</v>
      </c>
    </row>
    <row r="398" spans="1:24" x14ac:dyDescent="0.25">
      <c r="A398" t="s">
        <v>407</v>
      </c>
      <c r="B398">
        <v>2003</v>
      </c>
      <c r="C398" t="s">
        <v>390</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c r="X398" s="19">
        <f ca="1">DATE(LifeExpectancyData[[#This Row],[Year]],RANDBETWEEN(1,12),1)</f>
        <v>37895</v>
      </c>
    </row>
    <row r="399" spans="1:24" x14ac:dyDescent="0.25">
      <c r="A399" t="s">
        <v>407</v>
      </c>
      <c r="B399">
        <v>2002</v>
      </c>
      <c r="C399" t="s">
        <v>390</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c r="X399" s="19">
        <f ca="1">DATE(LifeExpectancyData[[#This Row],[Year]],RANDBETWEEN(1,12),1)</f>
        <v>37561</v>
      </c>
    </row>
    <row r="400" spans="1:24" x14ac:dyDescent="0.25">
      <c r="A400" t="s">
        <v>407</v>
      </c>
      <c r="B400">
        <v>2001</v>
      </c>
      <c r="C400" t="s">
        <v>390</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c r="X400" s="19">
        <f ca="1">DATE(LifeExpectancyData[[#This Row],[Year]],RANDBETWEEN(1,12),1)</f>
        <v>37165</v>
      </c>
    </row>
    <row r="401" spans="1:24" x14ac:dyDescent="0.25">
      <c r="A401" t="s">
        <v>407</v>
      </c>
      <c r="B401">
        <v>2000</v>
      </c>
      <c r="C401" t="s">
        <v>390</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c r="X401" s="19">
        <f ca="1">DATE(LifeExpectancyData[[#This Row],[Year]],RANDBETWEEN(1,12),1)</f>
        <v>36526</v>
      </c>
    </row>
    <row r="402" spans="1:24" x14ac:dyDescent="0.25">
      <c r="A402" t="s">
        <v>408</v>
      </c>
      <c r="B402">
        <v>2015</v>
      </c>
      <c r="C402" t="s">
        <v>382</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c r="X402" s="19">
        <f ca="1">DATE(LifeExpectancyData[[#This Row],[Year]],RANDBETWEEN(1,12),1)</f>
        <v>42217</v>
      </c>
    </row>
    <row r="403" spans="1:24" x14ac:dyDescent="0.25">
      <c r="A403" t="s">
        <v>408</v>
      </c>
      <c r="B403">
        <v>2014</v>
      </c>
      <c r="C403" t="s">
        <v>382</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c r="X403" s="19">
        <f ca="1">DATE(LifeExpectancyData[[#This Row],[Year]],RANDBETWEEN(1,12),1)</f>
        <v>41913</v>
      </c>
    </row>
    <row r="404" spans="1:24" x14ac:dyDescent="0.25">
      <c r="A404" t="s">
        <v>408</v>
      </c>
      <c r="B404">
        <v>2013</v>
      </c>
      <c r="C404" t="s">
        <v>382</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c r="X404" s="19">
        <f ca="1">DATE(LifeExpectancyData[[#This Row],[Year]],RANDBETWEEN(1,12),1)</f>
        <v>41426</v>
      </c>
    </row>
    <row r="405" spans="1:24" x14ac:dyDescent="0.25">
      <c r="A405" t="s">
        <v>408</v>
      </c>
      <c r="B405">
        <v>2012</v>
      </c>
      <c r="C405" t="s">
        <v>382</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c r="X405" s="19">
        <f ca="1">DATE(LifeExpectancyData[[#This Row],[Year]],RANDBETWEEN(1,12),1)</f>
        <v>40940</v>
      </c>
    </row>
    <row r="406" spans="1:24" x14ac:dyDescent="0.25">
      <c r="A406" t="s">
        <v>408</v>
      </c>
      <c r="B406">
        <v>2011</v>
      </c>
      <c r="C406" t="s">
        <v>382</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c r="X406" s="19">
        <f ca="1">DATE(LifeExpectancyData[[#This Row],[Year]],RANDBETWEEN(1,12),1)</f>
        <v>40878</v>
      </c>
    </row>
    <row r="407" spans="1:24" x14ac:dyDescent="0.25">
      <c r="A407" t="s">
        <v>408</v>
      </c>
      <c r="B407">
        <v>2010</v>
      </c>
      <c r="C407" t="s">
        <v>382</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c r="X407" s="19">
        <f ca="1">DATE(LifeExpectancyData[[#This Row],[Year]],RANDBETWEEN(1,12),1)</f>
        <v>40299</v>
      </c>
    </row>
    <row r="408" spans="1:24" x14ac:dyDescent="0.25">
      <c r="A408" t="s">
        <v>408</v>
      </c>
      <c r="B408">
        <v>2009</v>
      </c>
      <c r="C408" t="s">
        <v>382</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c r="X408" s="19">
        <f ca="1">DATE(LifeExpectancyData[[#This Row],[Year]],RANDBETWEEN(1,12),1)</f>
        <v>39814</v>
      </c>
    </row>
    <row r="409" spans="1:24" x14ac:dyDescent="0.25">
      <c r="A409" t="s">
        <v>408</v>
      </c>
      <c r="B409">
        <v>2008</v>
      </c>
      <c r="C409" t="s">
        <v>382</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c r="X409" s="19">
        <f ca="1">DATE(LifeExpectancyData[[#This Row],[Year]],RANDBETWEEN(1,12),1)</f>
        <v>39692</v>
      </c>
    </row>
    <row r="410" spans="1:24" x14ac:dyDescent="0.25">
      <c r="A410" t="s">
        <v>408</v>
      </c>
      <c r="B410">
        <v>2007</v>
      </c>
      <c r="C410" t="s">
        <v>382</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c r="X410" s="19">
        <f ca="1">DATE(LifeExpectancyData[[#This Row],[Year]],RANDBETWEEN(1,12),1)</f>
        <v>39417</v>
      </c>
    </row>
    <row r="411" spans="1:24" x14ac:dyDescent="0.25">
      <c r="A411" t="s">
        <v>408</v>
      </c>
      <c r="B411">
        <v>2006</v>
      </c>
      <c r="C411" t="s">
        <v>382</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c r="X411" s="19">
        <f ca="1">DATE(LifeExpectancyData[[#This Row],[Year]],RANDBETWEEN(1,12),1)</f>
        <v>38838</v>
      </c>
    </row>
    <row r="412" spans="1:24" x14ac:dyDescent="0.25">
      <c r="A412" t="s">
        <v>408</v>
      </c>
      <c r="B412">
        <v>2005</v>
      </c>
      <c r="C412" t="s">
        <v>382</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c r="X412" s="19">
        <f ca="1">DATE(LifeExpectancyData[[#This Row],[Year]],RANDBETWEEN(1,12),1)</f>
        <v>38473</v>
      </c>
    </row>
    <row r="413" spans="1:24" x14ac:dyDescent="0.25">
      <c r="A413" t="s">
        <v>408</v>
      </c>
      <c r="B413">
        <v>2004</v>
      </c>
      <c r="C413" t="s">
        <v>382</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c r="X413" s="19">
        <f ca="1">DATE(LifeExpectancyData[[#This Row],[Year]],RANDBETWEEN(1,12),1)</f>
        <v>38261</v>
      </c>
    </row>
    <row r="414" spans="1:24" x14ac:dyDescent="0.25">
      <c r="A414" t="s">
        <v>408</v>
      </c>
      <c r="B414">
        <v>2003</v>
      </c>
      <c r="C414" t="s">
        <v>382</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c r="X414" s="19">
        <f ca="1">DATE(LifeExpectancyData[[#This Row],[Year]],RANDBETWEEN(1,12),1)</f>
        <v>37773</v>
      </c>
    </row>
    <row r="415" spans="1:24" x14ac:dyDescent="0.25">
      <c r="A415" t="s">
        <v>408</v>
      </c>
      <c r="B415">
        <v>2002</v>
      </c>
      <c r="C415" t="s">
        <v>382</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c r="X415" s="19">
        <f ca="1">DATE(LifeExpectancyData[[#This Row],[Year]],RANDBETWEEN(1,12),1)</f>
        <v>37288</v>
      </c>
    </row>
    <row r="416" spans="1:24" x14ac:dyDescent="0.25">
      <c r="A416" t="s">
        <v>408</v>
      </c>
      <c r="B416">
        <v>2001</v>
      </c>
      <c r="C416" t="s">
        <v>382</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c r="X416" s="19">
        <f ca="1">DATE(LifeExpectancyData[[#This Row],[Year]],RANDBETWEEN(1,12),1)</f>
        <v>37135</v>
      </c>
    </row>
    <row r="417" spans="1:24" x14ac:dyDescent="0.25">
      <c r="A417" t="s">
        <v>408</v>
      </c>
      <c r="B417">
        <v>2000</v>
      </c>
      <c r="C417" t="s">
        <v>382</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c r="X417" s="19">
        <f ca="1">DATE(LifeExpectancyData[[#This Row],[Year]],RANDBETWEEN(1,12),1)</f>
        <v>36617</v>
      </c>
    </row>
    <row r="418" spans="1:24" x14ac:dyDescent="0.25">
      <c r="A418" t="s">
        <v>409</v>
      </c>
      <c r="B418">
        <v>2015</v>
      </c>
      <c r="C418" t="s">
        <v>382</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c r="X418" s="19">
        <f ca="1">DATE(LifeExpectancyData[[#This Row],[Year]],RANDBETWEEN(1,12),1)</f>
        <v>42064</v>
      </c>
    </row>
    <row r="419" spans="1:24" x14ac:dyDescent="0.25">
      <c r="A419" t="s">
        <v>409</v>
      </c>
      <c r="B419">
        <v>2014</v>
      </c>
      <c r="C419" t="s">
        <v>382</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c r="X419" s="19">
        <f ca="1">DATE(LifeExpectancyData[[#This Row],[Year]],RANDBETWEEN(1,12),1)</f>
        <v>41821</v>
      </c>
    </row>
    <row r="420" spans="1:24" x14ac:dyDescent="0.25">
      <c r="A420" t="s">
        <v>409</v>
      </c>
      <c r="B420">
        <v>2013</v>
      </c>
      <c r="C420" t="s">
        <v>382</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c r="X420" s="19">
        <f ca="1">DATE(LifeExpectancyData[[#This Row],[Year]],RANDBETWEEN(1,12),1)</f>
        <v>41579</v>
      </c>
    </row>
    <row r="421" spans="1:24" x14ac:dyDescent="0.25">
      <c r="A421" t="s">
        <v>409</v>
      </c>
      <c r="B421">
        <v>2012</v>
      </c>
      <c r="C421" t="s">
        <v>382</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c r="X421" s="19">
        <f ca="1">DATE(LifeExpectancyData[[#This Row],[Year]],RANDBETWEEN(1,12),1)</f>
        <v>41244</v>
      </c>
    </row>
    <row r="422" spans="1:24" x14ac:dyDescent="0.25">
      <c r="A422" t="s">
        <v>409</v>
      </c>
      <c r="B422">
        <v>2011</v>
      </c>
      <c r="C422" t="s">
        <v>382</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c r="X422" s="19">
        <f ca="1">DATE(LifeExpectancyData[[#This Row],[Year]],RANDBETWEEN(1,12),1)</f>
        <v>40756</v>
      </c>
    </row>
    <row r="423" spans="1:24" x14ac:dyDescent="0.25">
      <c r="A423" t="s">
        <v>409</v>
      </c>
      <c r="B423">
        <v>2010</v>
      </c>
      <c r="C423" t="s">
        <v>382</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c r="X423" s="19">
        <f ca="1">DATE(LifeExpectancyData[[#This Row],[Year]],RANDBETWEEN(1,12),1)</f>
        <v>40330</v>
      </c>
    </row>
    <row r="424" spans="1:24" x14ac:dyDescent="0.25">
      <c r="A424" t="s">
        <v>409</v>
      </c>
      <c r="B424">
        <v>2009</v>
      </c>
      <c r="C424" t="s">
        <v>382</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c r="X424" s="19">
        <f ca="1">DATE(LifeExpectancyData[[#This Row],[Year]],RANDBETWEEN(1,12),1)</f>
        <v>39873</v>
      </c>
    </row>
    <row r="425" spans="1:24" x14ac:dyDescent="0.25">
      <c r="A425" t="s">
        <v>409</v>
      </c>
      <c r="B425">
        <v>2008</v>
      </c>
      <c r="C425" t="s">
        <v>382</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c r="X425" s="19">
        <f ca="1">DATE(LifeExpectancyData[[#This Row],[Year]],RANDBETWEEN(1,12),1)</f>
        <v>39783</v>
      </c>
    </row>
    <row r="426" spans="1:24" x14ac:dyDescent="0.25">
      <c r="A426" t="s">
        <v>409</v>
      </c>
      <c r="B426">
        <v>2007</v>
      </c>
      <c r="C426" t="s">
        <v>382</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c r="X426" s="19">
        <f ca="1">DATE(LifeExpectancyData[[#This Row],[Year]],RANDBETWEEN(1,12),1)</f>
        <v>39264</v>
      </c>
    </row>
    <row r="427" spans="1:24" x14ac:dyDescent="0.25">
      <c r="A427" t="s">
        <v>409</v>
      </c>
      <c r="B427">
        <v>2006</v>
      </c>
      <c r="C427" t="s">
        <v>382</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c r="X427" s="19">
        <f ca="1">DATE(LifeExpectancyData[[#This Row],[Year]],RANDBETWEEN(1,12),1)</f>
        <v>38718</v>
      </c>
    </row>
    <row r="428" spans="1:24" x14ac:dyDescent="0.25">
      <c r="A428" t="s">
        <v>409</v>
      </c>
      <c r="B428">
        <v>2005</v>
      </c>
      <c r="C428" t="s">
        <v>382</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c r="X428" s="19">
        <f ca="1">DATE(LifeExpectancyData[[#This Row],[Year]],RANDBETWEEN(1,12),1)</f>
        <v>38353</v>
      </c>
    </row>
    <row r="429" spans="1:24" x14ac:dyDescent="0.25">
      <c r="A429" t="s">
        <v>409</v>
      </c>
      <c r="B429">
        <v>2004</v>
      </c>
      <c r="C429" t="s">
        <v>382</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c r="X429" s="19">
        <f ca="1">DATE(LifeExpectancyData[[#This Row],[Year]],RANDBETWEEN(1,12),1)</f>
        <v>37987</v>
      </c>
    </row>
    <row r="430" spans="1:24" x14ac:dyDescent="0.25">
      <c r="A430" t="s">
        <v>409</v>
      </c>
      <c r="B430">
        <v>2003</v>
      </c>
      <c r="C430" t="s">
        <v>382</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c r="X430" s="19">
        <f ca="1">DATE(LifeExpectancyData[[#This Row],[Year]],RANDBETWEEN(1,12),1)</f>
        <v>37895</v>
      </c>
    </row>
    <row r="431" spans="1:24" x14ac:dyDescent="0.25">
      <c r="A431" t="s">
        <v>409</v>
      </c>
      <c r="B431">
        <v>2002</v>
      </c>
      <c r="C431" t="s">
        <v>382</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c r="X431" s="19">
        <f ca="1">DATE(LifeExpectancyData[[#This Row],[Year]],RANDBETWEEN(1,12),1)</f>
        <v>37469</v>
      </c>
    </row>
    <row r="432" spans="1:24" x14ac:dyDescent="0.25">
      <c r="A432" t="s">
        <v>409</v>
      </c>
      <c r="B432">
        <v>2001</v>
      </c>
      <c r="C432" t="s">
        <v>382</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c r="X432" s="19">
        <f ca="1">DATE(LifeExpectancyData[[#This Row],[Year]],RANDBETWEEN(1,12),1)</f>
        <v>36923</v>
      </c>
    </row>
    <row r="433" spans="1:24" x14ac:dyDescent="0.25">
      <c r="A433" t="s">
        <v>409</v>
      </c>
      <c r="B433">
        <v>2000</v>
      </c>
      <c r="C433" t="s">
        <v>382</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c r="X433" s="19">
        <f ca="1">DATE(LifeExpectancyData[[#This Row],[Year]],RANDBETWEEN(1,12),1)</f>
        <v>36800</v>
      </c>
    </row>
    <row r="434" spans="1:24" x14ac:dyDescent="0.25">
      <c r="A434" t="s">
        <v>410</v>
      </c>
      <c r="B434">
        <v>2015</v>
      </c>
      <c r="C434" t="s">
        <v>382</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c r="X434" s="19">
        <f ca="1">DATE(LifeExpectancyData[[#This Row],[Year]],RANDBETWEEN(1,12),1)</f>
        <v>42064</v>
      </c>
    </row>
    <row r="435" spans="1:24" x14ac:dyDescent="0.25">
      <c r="A435" t="s">
        <v>410</v>
      </c>
      <c r="B435">
        <v>2014</v>
      </c>
      <c r="C435" t="s">
        <v>382</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c r="X435" s="19">
        <f ca="1">DATE(LifeExpectancyData[[#This Row],[Year]],RANDBETWEEN(1,12),1)</f>
        <v>41791</v>
      </c>
    </row>
    <row r="436" spans="1:24" x14ac:dyDescent="0.25">
      <c r="A436" t="s">
        <v>410</v>
      </c>
      <c r="B436">
        <v>2013</v>
      </c>
      <c r="C436" t="s">
        <v>382</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c r="X436" s="19">
        <f ca="1">DATE(LifeExpectancyData[[#This Row],[Year]],RANDBETWEEN(1,12),1)</f>
        <v>41487</v>
      </c>
    </row>
    <row r="437" spans="1:24" x14ac:dyDescent="0.25">
      <c r="A437" t="s">
        <v>410</v>
      </c>
      <c r="B437">
        <v>2012</v>
      </c>
      <c r="C437" t="s">
        <v>382</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c r="X437" s="19">
        <f ca="1">DATE(LifeExpectancyData[[#This Row],[Year]],RANDBETWEEN(1,12),1)</f>
        <v>41183</v>
      </c>
    </row>
    <row r="438" spans="1:24" x14ac:dyDescent="0.25">
      <c r="A438" t="s">
        <v>410</v>
      </c>
      <c r="B438">
        <v>2011</v>
      </c>
      <c r="C438" t="s">
        <v>382</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c r="X438" s="19">
        <f ca="1">DATE(LifeExpectancyData[[#This Row],[Year]],RANDBETWEEN(1,12),1)</f>
        <v>40787</v>
      </c>
    </row>
    <row r="439" spans="1:24" x14ac:dyDescent="0.25">
      <c r="A439" t="s">
        <v>410</v>
      </c>
      <c r="B439">
        <v>2010</v>
      </c>
      <c r="C439" t="s">
        <v>382</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c r="X439" s="19">
        <f ca="1">DATE(LifeExpectancyData[[#This Row],[Year]],RANDBETWEEN(1,12),1)</f>
        <v>40452</v>
      </c>
    </row>
    <row r="440" spans="1:24" x14ac:dyDescent="0.25">
      <c r="A440" t="s">
        <v>410</v>
      </c>
      <c r="B440">
        <v>2009</v>
      </c>
      <c r="C440" t="s">
        <v>382</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c r="X440" s="19">
        <f ca="1">DATE(LifeExpectancyData[[#This Row],[Year]],RANDBETWEEN(1,12),1)</f>
        <v>40118</v>
      </c>
    </row>
    <row r="441" spans="1:24" x14ac:dyDescent="0.25">
      <c r="A441" t="s">
        <v>410</v>
      </c>
      <c r="B441">
        <v>2008</v>
      </c>
      <c r="C441" t="s">
        <v>382</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c r="X441" s="19">
        <f ca="1">DATE(LifeExpectancyData[[#This Row],[Year]],RANDBETWEEN(1,12),1)</f>
        <v>39722</v>
      </c>
    </row>
    <row r="442" spans="1:24" x14ac:dyDescent="0.25">
      <c r="A442" t="s">
        <v>410</v>
      </c>
      <c r="B442">
        <v>2007</v>
      </c>
      <c r="C442" t="s">
        <v>382</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c r="X442" s="19">
        <f ca="1">DATE(LifeExpectancyData[[#This Row],[Year]],RANDBETWEEN(1,12),1)</f>
        <v>39356</v>
      </c>
    </row>
    <row r="443" spans="1:24" x14ac:dyDescent="0.25">
      <c r="A443" t="s">
        <v>410</v>
      </c>
      <c r="B443">
        <v>2006</v>
      </c>
      <c r="C443" t="s">
        <v>382</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c r="X443" s="19">
        <f ca="1">DATE(LifeExpectancyData[[#This Row],[Year]],RANDBETWEEN(1,12),1)</f>
        <v>38930</v>
      </c>
    </row>
    <row r="444" spans="1:24" x14ac:dyDescent="0.25">
      <c r="A444" t="s">
        <v>410</v>
      </c>
      <c r="B444">
        <v>2005</v>
      </c>
      <c r="C444" t="s">
        <v>382</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c r="X444" s="19">
        <f ca="1">DATE(LifeExpectancyData[[#This Row],[Year]],RANDBETWEEN(1,12),1)</f>
        <v>38412</v>
      </c>
    </row>
    <row r="445" spans="1:24" x14ac:dyDescent="0.25">
      <c r="A445" t="s">
        <v>410</v>
      </c>
      <c r="B445">
        <v>2004</v>
      </c>
      <c r="C445" t="s">
        <v>382</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c r="X445" s="19">
        <f ca="1">DATE(LifeExpectancyData[[#This Row],[Year]],RANDBETWEEN(1,12),1)</f>
        <v>38169</v>
      </c>
    </row>
    <row r="446" spans="1:24" x14ac:dyDescent="0.25">
      <c r="A446" t="s">
        <v>410</v>
      </c>
      <c r="B446">
        <v>2003</v>
      </c>
      <c r="C446" t="s">
        <v>382</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c r="X446" s="19">
        <f ca="1">DATE(LifeExpectancyData[[#This Row],[Year]],RANDBETWEEN(1,12),1)</f>
        <v>37622</v>
      </c>
    </row>
    <row r="447" spans="1:24" x14ac:dyDescent="0.25">
      <c r="A447" t="s">
        <v>410</v>
      </c>
      <c r="B447">
        <v>2002</v>
      </c>
      <c r="C447" t="s">
        <v>382</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c r="X447" s="19">
        <f ca="1">DATE(LifeExpectancyData[[#This Row],[Year]],RANDBETWEEN(1,12),1)</f>
        <v>37530</v>
      </c>
    </row>
    <row r="448" spans="1:24" x14ac:dyDescent="0.25">
      <c r="A448" t="s">
        <v>410</v>
      </c>
      <c r="B448">
        <v>2001</v>
      </c>
      <c r="C448" t="s">
        <v>382</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c r="X448" s="19">
        <f ca="1">DATE(LifeExpectancyData[[#This Row],[Year]],RANDBETWEEN(1,12),1)</f>
        <v>36892</v>
      </c>
    </row>
    <row r="449" spans="1:24" x14ac:dyDescent="0.25">
      <c r="A449" t="s">
        <v>410</v>
      </c>
      <c r="B449">
        <v>2000</v>
      </c>
      <c r="C449" t="s">
        <v>382</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c r="X449" s="19">
        <f ca="1">DATE(LifeExpectancyData[[#This Row],[Year]],RANDBETWEEN(1,12),1)</f>
        <v>36770</v>
      </c>
    </row>
    <row r="450" spans="1:24" x14ac:dyDescent="0.25">
      <c r="A450" t="s">
        <v>411</v>
      </c>
      <c r="B450">
        <v>2015</v>
      </c>
      <c r="C450" t="s">
        <v>382</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c r="X450" s="19">
        <f ca="1">DATE(LifeExpectancyData[[#This Row],[Year]],RANDBETWEEN(1,12),1)</f>
        <v>42036</v>
      </c>
    </row>
    <row r="451" spans="1:24" x14ac:dyDescent="0.25">
      <c r="A451" t="s">
        <v>411</v>
      </c>
      <c r="B451">
        <v>2014</v>
      </c>
      <c r="C451" t="s">
        <v>382</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c r="X451" s="19">
        <f ca="1">DATE(LifeExpectancyData[[#This Row],[Year]],RANDBETWEEN(1,12),1)</f>
        <v>41821</v>
      </c>
    </row>
    <row r="452" spans="1:24" x14ac:dyDescent="0.25">
      <c r="A452" t="s">
        <v>411</v>
      </c>
      <c r="B452">
        <v>2013</v>
      </c>
      <c r="C452" t="s">
        <v>382</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c r="X452" s="19">
        <f ca="1">DATE(LifeExpectancyData[[#This Row],[Year]],RANDBETWEEN(1,12),1)</f>
        <v>41426</v>
      </c>
    </row>
    <row r="453" spans="1:24" x14ac:dyDescent="0.25">
      <c r="A453" t="s">
        <v>411</v>
      </c>
      <c r="B453">
        <v>2012</v>
      </c>
      <c r="C453" t="s">
        <v>382</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c r="X453" s="19">
        <f ca="1">DATE(LifeExpectancyData[[#This Row],[Year]],RANDBETWEEN(1,12),1)</f>
        <v>40940</v>
      </c>
    </row>
    <row r="454" spans="1:24" x14ac:dyDescent="0.25">
      <c r="A454" t="s">
        <v>411</v>
      </c>
      <c r="B454">
        <v>2011</v>
      </c>
      <c r="C454" t="s">
        <v>382</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c r="X454" s="19">
        <f ca="1">DATE(LifeExpectancyData[[#This Row],[Year]],RANDBETWEEN(1,12),1)</f>
        <v>40725</v>
      </c>
    </row>
    <row r="455" spans="1:24" x14ac:dyDescent="0.25">
      <c r="A455" t="s">
        <v>411</v>
      </c>
      <c r="B455">
        <v>2010</v>
      </c>
      <c r="C455" t="s">
        <v>382</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c r="X455" s="19">
        <f ca="1">DATE(LifeExpectancyData[[#This Row],[Year]],RANDBETWEEN(1,12),1)</f>
        <v>40179</v>
      </c>
    </row>
    <row r="456" spans="1:24" x14ac:dyDescent="0.25">
      <c r="A456" t="s">
        <v>411</v>
      </c>
      <c r="B456">
        <v>2009</v>
      </c>
      <c r="C456" t="s">
        <v>382</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c r="X456" s="19">
        <f ca="1">DATE(LifeExpectancyData[[#This Row],[Year]],RANDBETWEEN(1,12),1)</f>
        <v>40118</v>
      </c>
    </row>
    <row r="457" spans="1:24" x14ac:dyDescent="0.25">
      <c r="A457" t="s">
        <v>411</v>
      </c>
      <c r="B457">
        <v>2008</v>
      </c>
      <c r="C457" t="s">
        <v>382</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c r="X457" s="19">
        <f ca="1">DATE(LifeExpectancyData[[#This Row],[Year]],RANDBETWEEN(1,12),1)</f>
        <v>39753</v>
      </c>
    </row>
    <row r="458" spans="1:24" x14ac:dyDescent="0.25">
      <c r="A458" t="s">
        <v>411</v>
      </c>
      <c r="B458">
        <v>2007</v>
      </c>
      <c r="C458" t="s">
        <v>382</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c r="X458" s="19">
        <f ca="1">DATE(LifeExpectancyData[[#This Row],[Year]],RANDBETWEEN(1,12),1)</f>
        <v>39356</v>
      </c>
    </row>
    <row r="459" spans="1:24" x14ac:dyDescent="0.25">
      <c r="A459" t="s">
        <v>411</v>
      </c>
      <c r="B459">
        <v>2006</v>
      </c>
      <c r="C459" t="s">
        <v>382</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c r="X459" s="19">
        <f ca="1">DATE(LifeExpectancyData[[#This Row],[Year]],RANDBETWEEN(1,12),1)</f>
        <v>38899</v>
      </c>
    </row>
    <row r="460" spans="1:24" x14ac:dyDescent="0.25">
      <c r="A460" t="s">
        <v>411</v>
      </c>
      <c r="B460">
        <v>2005</v>
      </c>
      <c r="C460" t="s">
        <v>382</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c r="X460" s="19">
        <f ca="1">DATE(LifeExpectancyData[[#This Row],[Year]],RANDBETWEEN(1,12),1)</f>
        <v>38626</v>
      </c>
    </row>
    <row r="461" spans="1:24" x14ac:dyDescent="0.25">
      <c r="A461" t="s">
        <v>411</v>
      </c>
      <c r="B461">
        <v>2004</v>
      </c>
      <c r="C461" t="s">
        <v>382</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c r="X461" s="19">
        <f ca="1">DATE(LifeExpectancyData[[#This Row],[Year]],RANDBETWEEN(1,12),1)</f>
        <v>37987</v>
      </c>
    </row>
    <row r="462" spans="1:24" x14ac:dyDescent="0.25">
      <c r="A462" t="s">
        <v>411</v>
      </c>
      <c r="B462">
        <v>2003</v>
      </c>
      <c r="C462" t="s">
        <v>382</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c r="X462" s="19">
        <f ca="1">DATE(LifeExpectancyData[[#This Row],[Year]],RANDBETWEEN(1,12),1)</f>
        <v>37834</v>
      </c>
    </row>
    <row r="463" spans="1:24" x14ac:dyDescent="0.25">
      <c r="A463" t="s">
        <v>411</v>
      </c>
      <c r="B463">
        <v>2002</v>
      </c>
      <c r="C463" t="s">
        <v>382</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c r="X463" s="19">
        <f ca="1">DATE(LifeExpectancyData[[#This Row],[Year]],RANDBETWEEN(1,12),1)</f>
        <v>37591</v>
      </c>
    </row>
    <row r="464" spans="1:24" x14ac:dyDescent="0.25">
      <c r="A464" t="s">
        <v>411</v>
      </c>
      <c r="B464">
        <v>2001</v>
      </c>
      <c r="C464" t="s">
        <v>382</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c r="X464" s="19">
        <f ca="1">DATE(LifeExpectancyData[[#This Row],[Year]],RANDBETWEEN(1,12),1)</f>
        <v>37135</v>
      </c>
    </row>
    <row r="465" spans="1:24" x14ac:dyDescent="0.25">
      <c r="A465" t="s">
        <v>411</v>
      </c>
      <c r="B465">
        <v>2000</v>
      </c>
      <c r="C465" t="s">
        <v>382</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c r="X465" s="19">
        <f ca="1">DATE(LifeExpectancyData[[#This Row],[Year]],RANDBETWEEN(1,12),1)</f>
        <v>36861</v>
      </c>
    </row>
    <row r="466" spans="1:24" x14ac:dyDescent="0.25">
      <c r="A466" t="s">
        <v>412</v>
      </c>
      <c r="B466">
        <v>2015</v>
      </c>
      <c r="C466" t="s">
        <v>382</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c r="X466" s="19">
        <f ca="1">DATE(LifeExpectancyData[[#This Row],[Year]],RANDBETWEEN(1,12),1)</f>
        <v>42217</v>
      </c>
    </row>
    <row r="467" spans="1:24" x14ac:dyDescent="0.25">
      <c r="A467" t="s">
        <v>412</v>
      </c>
      <c r="B467">
        <v>2014</v>
      </c>
      <c r="C467" t="s">
        <v>382</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c r="X467" s="19">
        <f ca="1">DATE(LifeExpectancyData[[#This Row],[Year]],RANDBETWEEN(1,12),1)</f>
        <v>41640</v>
      </c>
    </row>
    <row r="468" spans="1:24" x14ac:dyDescent="0.25">
      <c r="A468" t="s">
        <v>412</v>
      </c>
      <c r="B468">
        <v>2013</v>
      </c>
      <c r="C468" t="s">
        <v>382</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c r="X468" s="19">
        <f ca="1">DATE(LifeExpectancyData[[#This Row],[Year]],RANDBETWEEN(1,12),1)</f>
        <v>41395</v>
      </c>
    </row>
    <row r="469" spans="1:24" x14ac:dyDescent="0.25">
      <c r="A469" t="s">
        <v>412</v>
      </c>
      <c r="B469">
        <v>2012</v>
      </c>
      <c r="C469" t="s">
        <v>382</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c r="X469" s="19">
        <f ca="1">DATE(LifeExpectancyData[[#This Row],[Year]],RANDBETWEEN(1,12),1)</f>
        <v>40969</v>
      </c>
    </row>
    <row r="470" spans="1:24" x14ac:dyDescent="0.25">
      <c r="A470" t="s">
        <v>412</v>
      </c>
      <c r="B470">
        <v>2011</v>
      </c>
      <c r="C470" t="s">
        <v>382</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c r="X470" s="19">
        <f ca="1">DATE(LifeExpectancyData[[#This Row],[Year]],RANDBETWEEN(1,12),1)</f>
        <v>40756</v>
      </c>
    </row>
    <row r="471" spans="1:24" x14ac:dyDescent="0.25">
      <c r="A471" t="s">
        <v>412</v>
      </c>
      <c r="B471">
        <v>2010</v>
      </c>
      <c r="C471" t="s">
        <v>382</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c r="X471" s="19">
        <f ca="1">DATE(LifeExpectancyData[[#This Row],[Year]],RANDBETWEEN(1,12),1)</f>
        <v>40360</v>
      </c>
    </row>
    <row r="472" spans="1:24" x14ac:dyDescent="0.25">
      <c r="A472" t="s">
        <v>412</v>
      </c>
      <c r="B472">
        <v>2009</v>
      </c>
      <c r="C472" t="s">
        <v>382</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c r="X472" s="19">
        <f ca="1">DATE(LifeExpectancyData[[#This Row],[Year]],RANDBETWEEN(1,12),1)</f>
        <v>39814</v>
      </c>
    </row>
    <row r="473" spans="1:24" x14ac:dyDescent="0.25">
      <c r="A473" t="s">
        <v>412</v>
      </c>
      <c r="B473">
        <v>2008</v>
      </c>
      <c r="C473" t="s">
        <v>382</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c r="X473" s="19">
        <f ca="1">DATE(LifeExpectancyData[[#This Row],[Year]],RANDBETWEEN(1,12),1)</f>
        <v>39753</v>
      </c>
    </row>
    <row r="474" spans="1:24" x14ac:dyDescent="0.25">
      <c r="A474" t="s">
        <v>412</v>
      </c>
      <c r="B474">
        <v>2007</v>
      </c>
      <c r="C474" t="s">
        <v>382</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c r="X474" s="19">
        <f ca="1">DATE(LifeExpectancyData[[#This Row],[Year]],RANDBETWEEN(1,12),1)</f>
        <v>39295</v>
      </c>
    </row>
    <row r="475" spans="1:24" x14ac:dyDescent="0.25">
      <c r="A475" t="s">
        <v>412</v>
      </c>
      <c r="B475">
        <v>2006</v>
      </c>
      <c r="C475" t="s">
        <v>382</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c r="X475" s="19">
        <f ca="1">DATE(LifeExpectancyData[[#This Row],[Year]],RANDBETWEEN(1,12),1)</f>
        <v>39022</v>
      </c>
    </row>
    <row r="476" spans="1:24" x14ac:dyDescent="0.25">
      <c r="A476" t="s">
        <v>412</v>
      </c>
      <c r="B476">
        <v>2005</v>
      </c>
      <c r="C476" t="s">
        <v>382</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c r="X476" s="19">
        <f ca="1">DATE(LifeExpectancyData[[#This Row],[Year]],RANDBETWEEN(1,12),1)</f>
        <v>38412</v>
      </c>
    </row>
    <row r="477" spans="1:24" x14ac:dyDescent="0.25">
      <c r="A477" t="s">
        <v>412</v>
      </c>
      <c r="B477">
        <v>2004</v>
      </c>
      <c r="C477" t="s">
        <v>382</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c r="X477" s="19">
        <f ca="1">DATE(LifeExpectancyData[[#This Row],[Year]],RANDBETWEEN(1,12),1)</f>
        <v>38322</v>
      </c>
    </row>
    <row r="478" spans="1:24" x14ac:dyDescent="0.25">
      <c r="A478" t="s">
        <v>412</v>
      </c>
      <c r="B478">
        <v>2003</v>
      </c>
      <c r="C478" t="s">
        <v>382</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c r="X478" s="19">
        <f ca="1">DATE(LifeExpectancyData[[#This Row],[Year]],RANDBETWEEN(1,12),1)</f>
        <v>37622</v>
      </c>
    </row>
    <row r="479" spans="1:24" x14ac:dyDescent="0.25">
      <c r="A479" t="s">
        <v>412</v>
      </c>
      <c r="B479">
        <v>2002</v>
      </c>
      <c r="C479" t="s">
        <v>382</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c r="X479" s="19">
        <f ca="1">DATE(LifeExpectancyData[[#This Row],[Year]],RANDBETWEEN(1,12),1)</f>
        <v>37469</v>
      </c>
    </row>
    <row r="480" spans="1:24" x14ac:dyDescent="0.25">
      <c r="A480" t="s">
        <v>412</v>
      </c>
      <c r="B480">
        <v>2001</v>
      </c>
      <c r="C480" t="s">
        <v>382</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c r="X480" s="19">
        <f ca="1">DATE(LifeExpectancyData[[#This Row],[Year]],RANDBETWEEN(1,12),1)</f>
        <v>37073</v>
      </c>
    </row>
    <row r="481" spans="1:24" x14ac:dyDescent="0.25">
      <c r="A481" t="s">
        <v>412</v>
      </c>
      <c r="B481">
        <v>2000</v>
      </c>
      <c r="C481" t="s">
        <v>382</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c r="X481" s="19">
        <f ca="1">DATE(LifeExpectancyData[[#This Row],[Year]],RANDBETWEEN(1,12),1)</f>
        <v>36770</v>
      </c>
    </row>
    <row r="482" spans="1:24" x14ac:dyDescent="0.25">
      <c r="A482" t="s">
        <v>413</v>
      </c>
      <c r="B482">
        <v>2015</v>
      </c>
      <c r="C482" t="s">
        <v>382</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c r="X482" s="19">
        <f ca="1">DATE(LifeExpectancyData[[#This Row],[Year]],RANDBETWEEN(1,12),1)</f>
        <v>42339</v>
      </c>
    </row>
    <row r="483" spans="1:24" x14ac:dyDescent="0.25">
      <c r="A483" t="s">
        <v>413</v>
      </c>
      <c r="B483">
        <v>2014</v>
      </c>
      <c r="C483" t="s">
        <v>382</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c r="X483" s="19">
        <f ca="1">DATE(LifeExpectancyData[[#This Row],[Year]],RANDBETWEEN(1,12),1)</f>
        <v>41699</v>
      </c>
    </row>
    <row r="484" spans="1:24" x14ac:dyDescent="0.25">
      <c r="A484" t="s">
        <v>413</v>
      </c>
      <c r="B484">
        <v>2013</v>
      </c>
      <c r="C484" t="s">
        <v>382</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c r="X484" s="19">
        <f ca="1">DATE(LifeExpectancyData[[#This Row],[Year]],RANDBETWEEN(1,12),1)</f>
        <v>41426</v>
      </c>
    </row>
    <row r="485" spans="1:24" x14ac:dyDescent="0.25">
      <c r="A485" t="s">
        <v>413</v>
      </c>
      <c r="B485">
        <v>2012</v>
      </c>
      <c r="C485" t="s">
        <v>382</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c r="X485" s="19">
        <f ca="1">DATE(LifeExpectancyData[[#This Row],[Year]],RANDBETWEEN(1,12),1)</f>
        <v>40969</v>
      </c>
    </row>
    <row r="486" spans="1:24" x14ac:dyDescent="0.25">
      <c r="A486" t="s">
        <v>413</v>
      </c>
      <c r="B486">
        <v>2011</v>
      </c>
      <c r="C486" t="s">
        <v>382</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c r="X486" s="19">
        <f ca="1">DATE(LifeExpectancyData[[#This Row],[Year]],RANDBETWEEN(1,12),1)</f>
        <v>40634</v>
      </c>
    </row>
    <row r="487" spans="1:24" x14ac:dyDescent="0.25">
      <c r="A487" t="s">
        <v>413</v>
      </c>
      <c r="B487">
        <v>2010</v>
      </c>
      <c r="C487" t="s">
        <v>382</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c r="X487" s="19">
        <f ca="1">DATE(LifeExpectancyData[[#This Row],[Year]],RANDBETWEEN(1,12),1)</f>
        <v>40483</v>
      </c>
    </row>
    <row r="488" spans="1:24" x14ac:dyDescent="0.25">
      <c r="A488" t="s">
        <v>413</v>
      </c>
      <c r="B488">
        <v>2009</v>
      </c>
      <c r="C488" t="s">
        <v>382</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c r="X488" s="19">
        <f ca="1">DATE(LifeExpectancyData[[#This Row],[Year]],RANDBETWEEN(1,12),1)</f>
        <v>40148</v>
      </c>
    </row>
    <row r="489" spans="1:24" x14ac:dyDescent="0.25">
      <c r="A489" t="s">
        <v>413</v>
      </c>
      <c r="B489">
        <v>2008</v>
      </c>
      <c r="C489" t="s">
        <v>382</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c r="X489" s="19">
        <f ca="1">DATE(LifeExpectancyData[[#This Row],[Year]],RANDBETWEEN(1,12),1)</f>
        <v>39661</v>
      </c>
    </row>
    <row r="490" spans="1:24" x14ac:dyDescent="0.25">
      <c r="A490" t="s">
        <v>413</v>
      </c>
      <c r="B490">
        <v>2007</v>
      </c>
      <c r="C490" t="s">
        <v>382</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c r="X490" s="19">
        <f ca="1">DATE(LifeExpectancyData[[#This Row],[Year]],RANDBETWEEN(1,12),1)</f>
        <v>39264</v>
      </c>
    </row>
    <row r="491" spans="1:24" x14ac:dyDescent="0.25">
      <c r="A491" t="s">
        <v>413</v>
      </c>
      <c r="B491">
        <v>2006</v>
      </c>
      <c r="C491" t="s">
        <v>382</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c r="X491" s="19">
        <f ca="1">DATE(LifeExpectancyData[[#This Row],[Year]],RANDBETWEEN(1,12),1)</f>
        <v>38777</v>
      </c>
    </row>
    <row r="492" spans="1:24" x14ac:dyDescent="0.25">
      <c r="A492" t="s">
        <v>413</v>
      </c>
      <c r="B492">
        <v>2005</v>
      </c>
      <c r="C492" t="s">
        <v>382</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c r="X492" s="19">
        <f ca="1">DATE(LifeExpectancyData[[#This Row],[Year]],RANDBETWEEN(1,12),1)</f>
        <v>38534</v>
      </c>
    </row>
    <row r="493" spans="1:24" x14ac:dyDescent="0.25">
      <c r="A493" t="s">
        <v>413</v>
      </c>
      <c r="B493">
        <v>2004</v>
      </c>
      <c r="C493" t="s">
        <v>382</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c r="X493" s="19">
        <f ca="1">DATE(LifeExpectancyData[[#This Row],[Year]],RANDBETWEEN(1,12),1)</f>
        <v>38261</v>
      </c>
    </row>
    <row r="494" spans="1:24" x14ac:dyDescent="0.25">
      <c r="A494" t="s">
        <v>413</v>
      </c>
      <c r="B494">
        <v>2003</v>
      </c>
      <c r="C494" t="s">
        <v>382</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c r="X494" s="19">
        <f ca="1">DATE(LifeExpectancyData[[#This Row],[Year]],RANDBETWEEN(1,12),1)</f>
        <v>37773</v>
      </c>
    </row>
    <row r="495" spans="1:24" x14ac:dyDescent="0.25">
      <c r="A495" t="s">
        <v>413</v>
      </c>
      <c r="B495">
        <v>2002</v>
      </c>
      <c r="C495" t="s">
        <v>382</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c r="X495" s="19">
        <f ca="1">DATE(LifeExpectancyData[[#This Row],[Year]],RANDBETWEEN(1,12),1)</f>
        <v>37288</v>
      </c>
    </row>
    <row r="496" spans="1:24" x14ac:dyDescent="0.25">
      <c r="A496" t="s">
        <v>413</v>
      </c>
      <c r="B496">
        <v>2001</v>
      </c>
      <c r="C496" t="s">
        <v>382</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c r="X496" s="19">
        <f ca="1">DATE(LifeExpectancyData[[#This Row],[Year]],RANDBETWEEN(1,12),1)</f>
        <v>37073</v>
      </c>
    </row>
    <row r="497" spans="1:24" x14ac:dyDescent="0.25">
      <c r="A497" t="s">
        <v>413</v>
      </c>
      <c r="B497">
        <v>2000</v>
      </c>
      <c r="C497" t="s">
        <v>382</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c r="X497" s="19">
        <f ca="1">DATE(LifeExpectancyData[[#This Row],[Year]],RANDBETWEEN(1,12),1)</f>
        <v>36557</v>
      </c>
    </row>
    <row r="498" spans="1:24" x14ac:dyDescent="0.25">
      <c r="A498" t="s">
        <v>414</v>
      </c>
      <c r="B498">
        <v>2015</v>
      </c>
      <c r="C498" t="s">
        <v>382</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c r="X498" s="19">
        <f ca="1">DATE(LifeExpectancyData[[#This Row],[Year]],RANDBETWEEN(1,12),1)</f>
        <v>42125</v>
      </c>
    </row>
    <row r="499" spans="1:24" x14ac:dyDescent="0.25">
      <c r="A499" t="s">
        <v>414</v>
      </c>
      <c r="B499">
        <v>2014</v>
      </c>
      <c r="C499" t="s">
        <v>382</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c r="X499" s="19">
        <f ca="1">DATE(LifeExpectancyData[[#This Row],[Year]],RANDBETWEEN(1,12),1)</f>
        <v>41883</v>
      </c>
    </row>
    <row r="500" spans="1:24" x14ac:dyDescent="0.25">
      <c r="A500" t="s">
        <v>414</v>
      </c>
      <c r="B500">
        <v>2013</v>
      </c>
      <c r="C500" t="s">
        <v>382</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c r="X500" s="19">
        <f ca="1">DATE(LifeExpectancyData[[#This Row],[Year]],RANDBETWEEN(1,12),1)</f>
        <v>41395</v>
      </c>
    </row>
    <row r="501" spans="1:24" x14ac:dyDescent="0.25">
      <c r="A501" t="s">
        <v>414</v>
      </c>
      <c r="B501">
        <v>2012</v>
      </c>
      <c r="C501" t="s">
        <v>382</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c r="X501" s="19">
        <f ca="1">DATE(LifeExpectancyData[[#This Row],[Year]],RANDBETWEEN(1,12),1)</f>
        <v>40940</v>
      </c>
    </row>
    <row r="502" spans="1:24" x14ac:dyDescent="0.25">
      <c r="A502" t="s">
        <v>414</v>
      </c>
      <c r="B502">
        <v>2011</v>
      </c>
      <c r="C502" t="s">
        <v>382</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c r="X502" s="19">
        <f ca="1">DATE(LifeExpectancyData[[#This Row],[Year]],RANDBETWEEN(1,12),1)</f>
        <v>40634</v>
      </c>
    </row>
    <row r="503" spans="1:24" x14ac:dyDescent="0.25">
      <c r="A503" t="s">
        <v>414</v>
      </c>
      <c r="B503">
        <v>2010</v>
      </c>
      <c r="C503" t="s">
        <v>382</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c r="X503" s="19">
        <f ca="1">DATE(LifeExpectancyData[[#This Row],[Year]],RANDBETWEEN(1,12),1)</f>
        <v>40483</v>
      </c>
    </row>
    <row r="504" spans="1:24" x14ac:dyDescent="0.25">
      <c r="A504" t="s">
        <v>414</v>
      </c>
      <c r="B504">
        <v>2009</v>
      </c>
      <c r="C504" t="s">
        <v>382</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c r="X504" s="19">
        <f ca="1">DATE(LifeExpectancyData[[#This Row],[Year]],RANDBETWEEN(1,12),1)</f>
        <v>40057</v>
      </c>
    </row>
    <row r="505" spans="1:24" x14ac:dyDescent="0.25">
      <c r="A505" t="s">
        <v>414</v>
      </c>
      <c r="B505">
        <v>2008</v>
      </c>
      <c r="C505" t="s">
        <v>382</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c r="X505" s="19">
        <f ca="1">DATE(LifeExpectancyData[[#This Row],[Year]],RANDBETWEEN(1,12),1)</f>
        <v>39661</v>
      </c>
    </row>
    <row r="506" spans="1:24" x14ac:dyDescent="0.25">
      <c r="A506" t="s">
        <v>414</v>
      </c>
      <c r="B506">
        <v>2007</v>
      </c>
      <c r="C506" t="s">
        <v>382</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c r="X506" s="19">
        <f ca="1">DATE(LifeExpectancyData[[#This Row],[Year]],RANDBETWEEN(1,12),1)</f>
        <v>39326</v>
      </c>
    </row>
    <row r="507" spans="1:24" x14ac:dyDescent="0.25">
      <c r="A507" t="s">
        <v>414</v>
      </c>
      <c r="B507">
        <v>2006</v>
      </c>
      <c r="C507" t="s">
        <v>382</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c r="X507" s="19">
        <f ca="1">DATE(LifeExpectancyData[[#This Row],[Year]],RANDBETWEEN(1,12),1)</f>
        <v>38991</v>
      </c>
    </row>
    <row r="508" spans="1:24" x14ac:dyDescent="0.25">
      <c r="A508" t="s">
        <v>414</v>
      </c>
      <c r="B508">
        <v>2005</v>
      </c>
      <c r="C508" t="s">
        <v>382</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c r="X508" s="19">
        <f ca="1">DATE(LifeExpectancyData[[#This Row],[Year]],RANDBETWEEN(1,12),1)</f>
        <v>38596</v>
      </c>
    </row>
    <row r="509" spans="1:24" x14ac:dyDescent="0.25">
      <c r="A509" t="s">
        <v>414</v>
      </c>
      <c r="B509">
        <v>2004</v>
      </c>
      <c r="C509" t="s">
        <v>382</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c r="X509" s="19">
        <f ca="1">DATE(LifeExpectancyData[[#This Row],[Year]],RANDBETWEEN(1,12),1)</f>
        <v>38018</v>
      </c>
    </row>
    <row r="510" spans="1:24" x14ac:dyDescent="0.25">
      <c r="A510" t="s">
        <v>414</v>
      </c>
      <c r="B510">
        <v>2003</v>
      </c>
      <c r="C510" t="s">
        <v>382</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c r="X510" s="19">
        <f ca="1">DATE(LifeExpectancyData[[#This Row],[Year]],RANDBETWEEN(1,12),1)</f>
        <v>37773</v>
      </c>
    </row>
    <row r="511" spans="1:24" x14ac:dyDescent="0.25">
      <c r="A511" t="s">
        <v>414</v>
      </c>
      <c r="B511">
        <v>2002</v>
      </c>
      <c r="C511" t="s">
        <v>382</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c r="X511" s="19">
        <f ca="1">DATE(LifeExpectancyData[[#This Row],[Year]],RANDBETWEEN(1,12),1)</f>
        <v>37408</v>
      </c>
    </row>
    <row r="512" spans="1:24" x14ac:dyDescent="0.25">
      <c r="A512" t="s">
        <v>414</v>
      </c>
      <c r="B512">
        <v>2001</v>
      </c>
      <c r="C512" t="s">
        <v>382</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c r="X512" s="19">
        <f ca="1">DATE(LifeExpectancyData[[#This Row],[Year]],RANDBETWEEN(1,12),1)</f>
        <v>36951</v>
      </c>
    </row>
    <row r="513" spans="1:24" x14ac:dyDescent="0.25">
      <c r="A513" t="s">
        <v>414</v>
      </c>
      <c r="B513">
        <v>2000</v>
      </c>
      <c r="C513" t="s">
        <v>382</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c r="X513" s="19">
        <f ca="1">DATE(LifeExpectancyData[[#This Row],[Year]],RANDBETWEEN(1,12),1)</f>
        <v>36861</v>
      </c>
    </row>
    <row r="514" spans="1:24" x14ac:dyDescent="0.25">
      <c r="A514" t="s">
        <v>415</v>
      </c>
      <c r="B514">
        <v>2015</v>
      </c>
      <c r="C514" t="s">
        <v>382</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c r="X514" s="19">
        <f ca="1">DATE(LifeExpectancyData[[#This Row],[Year]],RANDBETWEEN(1,12),1)</f>
        <v>42095</v>
      </c>
    </row>
    <row r="515" spans="1:24" x14ac:dyDescent="0.25">
      <c r="A515" t="s">
        <v>415</v>
      </c>
      <c r="B515">
        <v>2014</v>
      </c>
      <c r="C515" t="s">
        <v>382</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c r="X515" s="19">
        <f ca="1">DATE(LifeExpectancyData[[#This Row],[Year]],RANDBETWEEN(1,12),1)</f>
        <v>41944</v>
      </c>
    </row>
    <row r="516" spans="1:24" x14ac:dyDescent="0.25">
      <c r="A516" t="s">
        <v>415</v>
      </c>
      <c r="B516">
        <v>2013</v>
      </c>
      <c r="C516" t="s">
        <v>382</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c r="X516" s="19">
        <f ca="1">DATE(LifeExpectancyData[[#This Row],[Year]],RANDBETWEEN(1,12),1)</f>
        <v>41334</v>
      </c>
    </row>
    <row r="517" spans="1:24" x14ac:dyDescent="0.25">
      <c r="A517" t="s">
        <v>415</v>
      </c>
      <c r="B517">
        <v>2012</v>
      </c>
      <c r="C517" t="s">
        <v>382</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c r="X517" s="19">
        <f ca="1">DATE(LifeExpectancyData[[#This Row],[Year]],RANDBETWEEN(1,12),1)</f>
        <v>41030</v>
      </c>
    </row>
    <row r="518" spans="1:24" x14ac:dyDescent="0.25">
      <c r="A518" t="s">
        <v>415</v>
      </c>
      <c r="B518">
        <v>2011</v>
      </c>
      <c r="C518" t="s">
        <v>382</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c r="X518" s="19">
        <f ca="1">DATE(LifeExpectancyData[[#This Row],[Year]],RANDBETWEEN(1,12),1)</f>
        <v>40664</v>
      </c>
    </row>
    <row r="519" spans="1:24" x14ac:dyDescent="0.25">
      <c r="A519" t="s">
        <v>415</v>
      </c>
      <c r="B519">
        <v>2010</v>
      </c>
      <c r="C519" t="s">
        <v>382</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c r="X519" s="19">
        <f ca="1">DATE(LifeExpectancyData[[#This Row],[Year]],RANDBETWEEN(1,12),1)</f>
        <v>40210</v>
      </c>
    </row>
    <row r="520" spans="1:24" x14ac:dyDescent="0.25">
      <c r="A520" t="s">
        <v>415</v>
      </c>
      <c r="B520">
        <v>2009</v>
      </c>
      <c r="C520" t="s">
        <v>382</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c r="X520" s="19">
        <f ca="1">DATE(LifeExpectancyData[[#This Row],[Year]],RANDBETWEEN(1,12),1)</f>
        <v>39904</v>
      </c>
    </row>
    <row r="521" spans="1:24" x14ac:dyDescent="0.25">
      <c r="A521" t="s">
        <v>415</v>
      </c>
      <c r="B521">
        <v>2008</v>
      </c>
      <c r="C521" t="s">
        <v>382</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c r="X521" s="19">
        <f ca="1">DATE(LifeExpectancyData[[#This Row],[Year]],RANDBETWEEN(1,12),1)</f>
        <v>39479</v>
      </c>
    </row>
    <row r="522" spans="1:24" x14ac:dyDescent="0.25">
      <c r="A522" t="s">
        <v>415</v>
      </c>
      <c r="B522">
        <v>2007</v>
      </c>
      <c r="C522" t="s">
        <v>382</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c r="X522" s="19">
        <f ca="1">DATE(LifeExpectancyData[[#This Row],[Year]],RANDBETWEEN(1,12),1)</f>
        <v>39264</v>
      </c>
    </row>
    <row r="523" spans="1:24" x14ac:dyDescent="0.25">
      <c r="A523" t="s">
        <v>415</v>
      </c>
      <c r="B523">
        <v>2006</v>
      </c>
      <c r="C523" t="s">
        <v>382</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c r="X523" s="19">
        <f ca="1">DATE(LifeExpectancyData[[#This Row],[Year]],RANDBETWEEN(1,12),1)</f>
        <v>38777</v>
      </c>
    </row>
    <row r="524" spans="1:24" x14ac:dyDescent="0.25">
      <c r="A524" t="s">
        <v>415</v>
      </c>
      <c r="B524">
        <v>2005</v>
      </c>
      <c r="C524" t="s">
        <v>382</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c r="X524" s="19">
        <f ca="1">DATE(LifeExpectancyData[[#This Row],[Year]],RANDBETWEEN(1,12),1)</f>
        <v>38687</v>
      </c>
    </row>
    <row r="525" spans="1:24" x14ac:dyDescent="0.25">
      <c r="A525" t="s">
        <v>415</v>
      </c>
      <c r="B525">
        <v>2004</v>
      </c>
      <c r="C525" t="s">
        <v>382</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c r="X525" s="19">
        <f ca="1">DATE(LifeExpectancyData[[#This Row],[Year]],RANDBETWEEN(1,12),1)</f>
        <v>38047</v>
      </c>
    </row>
    <row r="526" spans="1:24" x14ac:dyDescent="0.25">
      <c r="A526" t="s">
        <v>415</v>
      </c>
      <c r="B526">
        <v>2003</v>
      </c>
      <c r="C526" t="s">
        <v>382</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c r="X526" s="19">
        <f ca="1">DATE(LifeExpectancyData[[#This Row],[Year]],RANDBETWEEN(1,12),1)</f>
        <v>37773</v>
      </c>
    </row>
    <row r="527" spans="1:24" x14ac:dyDescent="0.25">
      <c r="A527" t="s">
        <v>415</v>
      </c>
      <c r="B527">
        <v>2002</v>
      </c>
      <c r="C527" t="s">
        <v>382</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c r="X527" s="19">
        <f ca="1">DATE(LifeExpectancyData[[#This Row],[Year]],RANDBETWEEN(1,12),1)</f>
        <v>37469</v>
      </c>
    </row>
    <row r="528" spans="1:24" x14ac:dyDescent="0.25">
      <c r="A528" t="s">
        <v>415</v>
      </c>
      <c r="B528">
        <v>2001</v>
      </c>
      <c r="C528" t="s">
        <v>382</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c r="X528" s="19">
        <f ca="1">DATE(LifeExpectancyData[[#This Row],[Year]],RANDBETWEEN(1,12),1)</f>
        <v>37104</v>
      </c>
    </row>
    <row r="529" spans="1:24" x14ac:dyDescent="0.25">
      <c r="A529" t="s">
        <v>415</v>
      </c>
      <c r="B529">
        <v>2000</v>
      </c>
      <c r="C529" t="s">
        <v>382</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c r="X529" s="19">
        <f ca="1">DATE(LifeExpectancyData[[#This Row],[Year]],RANDBETWEEN(1,12),1)</f>
        <v>36526</v>
      </c>
    </row>
    <row r="530" spans="1:24" x14ac:dyDescent="0.25">
      <c r="A530" t="s">
        <v>416</v>
      </c>
      <c r="B530">
        <v>2015</v>
      </c>
      <c r="C530" t="s">
        <v>382</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c r="X530" s="19">
        <f ca="1">DATE(LifeExpectancyData[[#This Row],[Year]],RANDBETWEEN(1,12),1)</f>
        <v>42248</v>
      </c>
    </row>
    <row r="531" spans="1:24" x14ac:dyDescent="0.25">
      <c r="A531" t="s">
        <v>416</v>
      </c>
      <c r="B531">
        <v>2014</v>
      </c>
      <c r="C531" t="s">
        <v>382</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c r="X531" s="19">
        <f ca="1">DATE(LifeExpectancyData[[#This Row],[Year]],RANDBETWEEN(1,12),1)</f>
        <v>41640</v>
      </c>
    </row>
    <row r="532" spans="1:24" x14ac:dyDescent="0.25">
      <c r="A532" t="s">
        <v>416</v>
      </c>
      <c r="B532">
        <v>2013</v>
      </c>
      <c r="C532" t="s">
        <v>382</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c r="X532" s="19">
        <f ca="1">DATE(LifeExpectancyData[[#This Row],[Year]],RANDBETWEEN(1,12),1)</f>
        <v>41275</v>
      </c>
    </row>
    <row r="533" spans="1:24" x14ac:dyDescent="0.25">
      <c r="A533" t="s">
        <v>416</v>
      </c>
      <c r="B533">
        <v>2012</v>
      </c>
      <c r="C533" t="s">
        <v>382</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c r="X533" s="19">
        <f ca="1">DATE(LifeExpectancyData[[#This Row],[Year]],RANDBETWEEN(1,12),1)</f>
        <v>40969</v>
      </c>
    </row>
    <row r="534" spans="1:24" x14ac:dyDescent="0.25">
      <c r="A534" t="s">
        <v>416</v>
      </c>
      <c r="B534">
        <v>2011</v>
      </c>
      <c r="C534" t="s">
        <v>382</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c r="X534" s="19">
        <f ca="1">DATE(LifeExpectancyData[[#This Row],[Year]],RANDBETWEEN(1,12),1)</f>
        <v>40695</v>
      </c>
    </row>
    <row r="535" spans="1:24" x14ac:dyDescent="0.25">
      <c r="A535" t="s">
        <v>416</v>
      </c>
      <c r="B535">
        <v>2010</v>
      </c>
      <c r="C535" t="s">
        <v>382</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c r="X535" s="19">
        <f ca="1">DATE(LifeExpectancyData[[#This Row],[Year]],RANDBETWEEN(1,12),1)</f>
        <v>40238</v>
      </c>
    </row>
    <row r="536" spans="1:24" x14ac:dyDescent="0.25">
      <c r="A536" t="s">
        <v>416</v>
      </c>
      <c r="B536">
        <v>2009</v>
      </c>
      <c r="C536" t="s">
        <v>382</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c r="X536" s="19">
        <f ca="1">DATE(LifeExpectancyData[[#This Row],[Year]],RANDBETWEEN(1,12),1)</f>
        <v>39873</v>
      </c>
    </row>
    <row r="537" spans="1:24" x14ac:dyDescent="0.25">
      <c r="A537" t="s">
        <v>416</v>
      </c>
      <c r="B537">
        <v>2008</v>
      </c>
      <c r="C537" t="s">
        <v>382</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c r="X537" s="19">
        <f ca="1">DATE(LifeExpectancyData[[#This Row],[Year]],RANDBETWEEN(1,12),1)</f>
        <v>39753</v>
      </c>
    </row>
    <row r="538" spans="1:24" x14ac:dyDescent="0.25">
      <c r="A538" t="s">
        <v>416</v>
      </c>
      <c r="B538">
        <v>2007</v>
      </c>
      <c r="C538" t="s">
        <v>382</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c r="X538" s="19">
        <f ca="1">DATE(LifeExpectancyData[[#This Row],[Year]],RANDBETWEEN(1,12),1)</f>
        <v>39234</v>
      </c>
    </row>
    <row r="539" spans="1:24" x14ac:dyDescent="0.25">
      <c r="A539" t="s">
        <v>416</v>
      </c>
      <c r="B539">
        <v>2006</v>
      </c>
      <c r="C539" t="s">
        <v>382</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c r="X539" s="19">
        <f ca="1">DATE(LifeExpectancyData[[#This Row],[Year]],RANDBETWEEN(1,12),1)</f>
        <v>38718</v>
      </c>
    </row>
    <row r="540" spans="1:24" x14ac:dyDescent="0.25">
      <c r="A540" t="s">
        <v>416</v>
      </c>
      <c r="B540">
        <v>2005</v>
      </c>
      <c r="C540" t="s">
        <v>382</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c r="X540" s="19">
        <f ca="1">DATE(LifeExpectancyData[[#This Row],[Year]],RANDBETWEEN(1,12),1)</f>
        <v>38412</v>
      </c>
    </row>
    <row r="541" spans="1:24" x14ac:dyDescent="0.25">
      <c r="A541" t="s">
        <v>416</v>
      </c>
      <c r="B541">
        <v>2004</v>
      </c>
      <c r="C541" t="s">
        <v>382</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c r="X541" s="19">
        <f ca="1">DATE(LifeExpectancyData[[#This Row],[Year]],RANDBETWEEN(1,12),1)</f>
        <v>38108</v>
      </c>
    </row>
    <row r="542" spans="1:24" x14ac:dyDescent="0.25">
      <c r="A542" t="s">
        <v>416</v>
      </c>
      <c r="B542">
        <v>2003</v>
      </c>
      <c r="C542" t="s">
        <v>382</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c r="X542" s="19">
        <f ca="1">DATE(LifeExpectancyData[[#This Row],[Year]],RANDBETWEEN(1,12),1)</f>
        <v>37926</v>
      </c>
    </row>
    <row r="543" spans="1:24" x14ac:dyDescent="0.25">
      <c r="A543" t="s">
        <v>416</v>
      </c>
      <c r="B543">
        <v>2002</v>
      </c>
      <c r="C543" t="s">
        <v>382</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c r="X543" s="19">
        <f ca="1">DATE(LifeExpectancyData[[#This Row],[Year]],RANDBETWEEN(1,12),1)</f>
        <v>37530</v>
      </c>
    </row>
    <row r="544" spans="1:24" x14ac:dyDescent="0.25">
      <c r="A544" t="s">
        <v>416</v>
      </c>
      <c r="B544">
        <v>2001</v>
      </c>
      <c r="C544" t="s">
        <v>382</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c r="X544" s="19">
        <f ca="1">DATE(LifeExpectancyData[[#This Row],[Year]],RANDBETWEEN(1,12),1)</f>
        <v>36923</v>
      </c>
    </row>
    <row r="545" spans="1:24" x14ac:dyDescent="0.25">
      <c r="A545" t="s">
        <v>416</v>
      </c>
      <c r="B545">
        <v>2000</v>
      </c>
      <c r="C545" t="s">
        <v>382</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c r="X545" s="19">
        <f ca="1">DATE(LifeExpectancyData[[#This Row],[Year]],RANDBETWEEN(1,12),1)</f>
        <v>36678</v>
      </c>
    </row>
    <row r="546" spans="1:24" x14ac:dyDescent="0.25">
      <c r="A546" t="s">
        <v>417</v>
      </c>
      <c r="B546">
        <v>2015</v>
      </c>
      <c r="C546" t="s">
        <v>382</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c r="X546" s="19">
        <f ca="1">DATE(LifeExpectancyData[[#This Row],[Year]],RANDBETWEEN(1,12),1)</f>
        <v>42248</v>
      </c>
    </row>
    <row r="547" spans="1:24" x14ac:dyDescent="0.25">
      <c r="A547" t="s">
        <v>417</v>
      </c>
      <c r="B547">
        <v>2014</v>
      </c>
      <c r="C547" t="s">
        <v>382</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c r="X547" s="19">
        <f ca="1">DATE(LifeExpectancyData[[#This Row],[Year]],RANDBETWEEN(1,12),1)</f>
        <v>41944</v>
      </c>
    </row>
    <row r="548" spans="1:24" x14ac:dyDescent="0.25">
      <c r="A548" t="s">
        <v>417</v>
      </c>
      <c r="B548">
        <v>2013</v>
      </c>
      <c r="C548" t="s">
        <v>382</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c r="X548" s="19">
        <f ca="1">DATE(LifeExpectancyData[[#This Row],[Year]],RANDBETWEEN(1,12),1)</f>
        <v>41579</v>
      </c>
    </row>
    <row r="549" spans="1:24" x14ac:dyDescent="0.25">
      <c r="A549" t="s">
        <v>417</v>
      </c>
      <c r="B549">
        <v>2012</v>
      </c>
      <c r="C549" t="s">
        <v>382</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c r="X549" s="19">
        <f ca="1">DATE(LifeExpectancyData[[#This Row],[Year]],RANDBETWEEN(1,12),1)</f>
        <v>40969</v>
      </c>
    </row>
    <row r="550" spans="1:24" x14ac:dyDescent="0.25">
      <c r="A550" t="s">
        <v>417</v>
      </c>
      <c r="B550">
        <v>2011</v>
      </c>
      <c r="C550" t="s">
        <v>382</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c r="X550" s="19">
        <f ca="1">DATE(LifeExpectancyData[[#This Row],[Year]],RANDBETWEEN(1,12),1)</f>
        <v>40878</v>
      </c>
    </row>
    <row r="551" spans="1:24" x14ac:dyDescent="0.25">
      <c r="A551" t="s">
        <v>417</v>
      </c>
      <c r="B551">
        <v>2010</v>
      </c>
      <c r="C551" t="s">
        <v>382</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c r="X551" s="19">
        <f ca="1">DATE(LifeExpectancyData[[#This Row],[Year]],RANDBETWEEN(1,12),1)</f>
        <v>40269</v>
      </c>
    </row>
    <row r="552" spans="1:24" x14ac:dyDescent="0.25">
      <c r="A552" t="s">
        <v>417</v>
      </c>
      <c r="B552">
        <v>2009</v>
      </c>
      <c r="C552" t="s">
        <v>382</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c r="X552" s="19">
        <f ca="1">DATE(LifeExpectancyData[[#This Row],[Year]],RANDBETWEEN(1,12),1)</f>
        <v>39934</v>
      </c>
    </row>
    <row r="553" spans="1:24" x14ac:dyDescent="0.25">
      <c r="A553" t="s">
        <v>417</v>
      </c>
      <c r="B553">
        <v>2008</v>
      </c>
      <c r="C553" t="s">
        <v>382</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c r="X553" s="19">
        <f ca="1">DATE(LifeExpectancyData[[#This Row],[Year]],RANDBETWEEN(1,12),1)</f>
        <v>39569</v>
      </c>
    </row>
    <row r="554" spans="1:24" x14ac:dyDescent="0.25">
      <c r="A554" t="s">
        <v>417</v>
      </c>
      <c r="B554">
        <v>2007</v>
      </c>
      <c r="C554" t="s">
        <v>382</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c r="X554" s="19">
        <f ca="1">DATE(LifeExpectancyData[[#This Row],[Year]],RANDBETWEEN(1,12),1)</f>
        <v>39326</v>
      </c>
    </row>
    <row r="555" spans="1:24" x14ac:dyDescent="0.25">
      <c r="A555" t="s">
        <v>417</v>
      </c>
      <c r="B555">
        <v>2006</v>
      </c>
      <c r="C555" t="s">
        <v>382</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c r="X555" s="19">
        <f ca="1">DATE(LifeExpectancyData[[#This Row],[Year]],RANDBETWEEN(1,12),1)</f>
        <v>38930</v>
      </c>
    </row>
    <row r="556" spans="1:24" x14ac:dyDescent="0.25">
      <c r="A556" t="s">
        <v>417</v>
      </c>
      <c r="B556">
        <v>2005</v>
      </c>
      <c r="C556" t="s">
        <v>382</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c r="X556" s="19">
        <f ca="1">DATE(LifeExpectancyData[[#This Row],[Year]],RANDBETWEEN(1,12),1)</f>
        <v>38565</v>
      </c>
    </row>
    <row r="557" spans="1:24" x14ac:dyDescent="0.25">
      <c r="A557" t="s">
        <v>417</v>
      </c>
      <c r="B557">
        <v>2004</v>
      </c>
      <c r="C557" t="s">
        <v>382</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c r="X557" s="19">
        <f ca="1">DATE(LifeExpectancyData[[#This Row],[Year]],RANDBETWEEN(1,12),1)</f>
        <v>37987</v>
      </c>
    </row>
    <row r="558" spans="1:24" x14ac:dyDescent="0.25">
      <c r="A558" t="s">
        <v>417</v>
      </c>
      <c r="B558">
        <v>2003</v>
      </c>
      <c r="C558" t="s">
        <v>382</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c r="X558" s="19">
        <f ca="1">DATE(LifeExpectancyData[[#This Row],[Year]],RANDBETWEEN(1,12),1)</f>
        <v>37773</v>
      </c>
    </row>
    <row r="559" spans="1:24" x14ac:dyDescent="0.25">
      <c r="A559" t="s">
        <v>417</v>
      </c>
      <c r="B559">
        <v>2002</v>
      </c>
      <c r="C559" t="s">
        <v>382</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c r="X559" s="19">
        <f ca="1">DATE(LifeExpectancyData[[#This Row],[Year]],RANDBETWEEN(1,12),1)</f>
        <v>37377</v>
      </c>
    </row>
    <row r="560" spans="1:24" x14ac:dyDescent="0.25">
      <c r="A560" t="s">
        <v>417</v>
      </c>
      <c r="B560">
        <v>2001</v>
      </c>
      <c r="C560" t="s">
        <v>382</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c r="X560" s="19">
        <f ca="1">DATE(LifeExpectancyData[[#This Row],[Year]],RANDBETWEEN(1,12),1)</f>
        <v>36892</v>
      </c>
    </row>
    <row r="561" spans="1:24" x14ac:dyDescent="0.25">
      <c r="A561" t="s">
        <v>417</v>
      </c>
      <c r="B561">
        <v>2000</v>
      </c>
      <c r="C561" t="s">
        <v>382</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c r="X561" s="19">
        <f ca="1">DATE(LifeExpectancyData[[#This Row],[Year]],RANDBETWEEN(1,12),1)</f>
        <v>36739</v>
      </c>
    </row>
    <row r="562" spans="1:24" x14ac:dyDescent="0.25">
      <c r="A562" t="s">
        <v>418</v>
      </c>
      <c r="B562">
        <v>2015</v>
      </c>
      <c r="C562" t="s">
        <v>382</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c r="X562" s="19">
        <f ca="1">DATE(LifeExpectancyData[[#This Row],[Year]],RANDBETWEEN(1,12),1)</f>
        <v>42186</v>
      </c>
    </row>
    <row r="563" spans="1:24" x14ac:dyDescent="0.25">
      <c r="A563" t="s">
        <v>418</v>
      </c>
      <c r="B563">
        <v>2014</v>
      </c>
      <c r="C563" t="s">
        <v>382</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c r="X563" s="19">
        <f ca="1">DATE(LifeExpectancyData[[#This Row],[Year]],RANDBETWEEN(1,12),1)</f>
        <v>41913</v>
      </c>
    </row>
    <row r="564" spans="1:24" x14ac:dyDescent="0.25">
      <c r="A564" t="s">
        <v>418</v>
      </c>
      <c r="B564">
        <v>2013</v>
      </c>
      <c r="C564" t="s">
        <v>382</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c r="X564" s="19">
        <f ca="1">DATE(LifeExpectancyData[[#This Row],[Year]],RANDBETWEEN(1,12),1)</f>
        <v>41275</v>
      </c>
    </row>
    <row r="565" spans="1:24" x14ac:dyDescent="0.25">
      <c r="A565" t="s">
        <v>418</v>
      </c>
      <c r="B565">
        <v>2012</v>
      </c>
      <c r="C565" t="s">
        <v>382</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c r="X565" s="19">
        <f ca="1">DATE(LifeExpectancyData[[#This Row],[Year]],RANDBETWEEN(1,12),1)</f>
        <v>41030</v>
      </c>
    </row>
    <row r="566" spans="1:24" x14ac:dyDescent="0.25">
      <c r="A566" t="s">
        <v>418</v>
      </c>
      <c r="B566">
        <v>2011</v>
      </c>
      <c r="C566" t="s">
        <v>382</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c r="X566" s="19">
        <f ca="1">DATE(LifeExpectancyData[[#This Row],[Year]],RANDBETWEEN(1,12),1)</f>
        <v>40817</v>
      </c>
    </row>
    <row r="567" spans="1:24" x14ac:dyDescent="0.25">
      <c r="A567" t="s">
        <v>418</v>
      </c>
      <c r="B567">
        <v>2010</v>
      </c>
      <c r="C567" t="s">
        <v>382</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c r="X567" s="19">
        <f ca="1">DATE(LifeExpectancyData[[#This Row],[Year]],RANDBETWEEN(1,12),1)</f>
        <v>40422</v>
      </c>
    </row>
    <row r="568" spans="1:24" x14ac:dyDescent="0.25">
      <c r="A568" t="s">
        <v>418</v>
      </c>
      <c r="B568">
        <v>2009</v>
      </c>
      <c r="C568" t="s">
        <v>382</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c r="X568" s="19">
        <f ca="1">DATE(LifeExpectancyData[[#This Row],[Year]],RANDBETWEEN(1,12),1)</f>
        <v>40087</v>
      </c>
    </row>
    <row r="569" spans="1:24" x14ac:dyDescent="0.25">
      <c r="A569" t="s">
        <v>418</v>
      </c>
      <c r="B569">
        <v>2008</v>
      </c>
      <c r="C569" t="s">
        <v>382</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c r="X569" s="19">
        <f ca="1">DATE(LifeExpectancyData[[#This Row],[Year]],RANDBETWEEN(1,12),1)</f>
        <v>39753</v>
      </c>
    </row>
    <row r="570" spans="1:24" x14ac:dyDescent="0.25">
      <c r="A570" t="s">
        <v>418</v>
      </c>
      <c r="B570">
        <v>2007</v>
      </c>
      <c r="C570" t="s">
        <v>382</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c r="X570" s="19">
        <f ca="1">DATE(LifeExpectancyData[[#This Row],[Year]],RANDBETWEEN(1,12),1)</f>
        <v>39083</v>
      </c>
    </row>
    <row r="571" spans="1:24" x14ac:dyDescent="0.25">
      <c r="A571" t="s">
        <v>418</v>
      </c>
      <c r="B571">
        <v>2006</v>
      </c>
      <c r="C571" t="s">
        <v>382</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c r="X571" s="19">
        <f ca="1">DATE(LifeExpectancyData[[#This Row],[Year]],RANDBETWEEN(1,12),1)</f>
        <v>39052</v>
      </c>
    </row>
    <row r="572" spans="1:24" x14ac:dyDescent="0.25">
      <c r="A572" t="s">
        <v>418</v>
      </c>
      <c r="B572">
        <v>2005</v>
      </c>
      <c r="C572" t="s">
        <v>382</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c r="X572" s="19">
        <f ca="1">DATE(LifeExpectancyData[[#This Row],[Year]],RANDBETWEEN(1,12),1)</f>
        <v>38384</v>
      </c>
    </row>
    <row r="573" spans="1:24" x14ac:dyDescent="0.25">
      <c r="A573" t="s">
        <v>418</v>
      </c>
      <c r="B573">
        <v>2004</v>
      </c>
      <c r="C573" t="s">
        <v>382</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c r="X573" s="19">
        <f ca="1">DATE(LifeExpectancyData[[#This Row],[Year]],RANDBETWEEN(1,12),1)</f>
        <v>38200</v>
      </c>
    </row>
    <row r="574" spans="1:24" x14ac:dyDescent="0.25">
      <c r="A574" t="s">
        <v>418</v>
      </c>
      <c r="B574">
        <v>2003</v>
      </c>
      <c r="C574" t="s">
        <v>382</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c r="X574" s="19">
        <f ca="1">DATE(LifeExpectancyData[[#This Row],[Year]],RANDBETWEEN(1,12),1)</f>
        <v>37865</v>
      </c>
    </row>
    <row r="575" spans="1:24" x14ac:dyDescent="0.25">
      <c r="A575" t="s">
        <v>418</v>
      </c>
      <c r="B575">
        <v>2002</v>
      </c>
      <c r="C575" t="s">
        <v>382</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c r="X575" s="19">
        <f ca="1">DATE(LifeExpectancyData[[#This Row],[Year]],RANDBETWEEN(1,12),1)</f>
        <v>37257</v>
      </c>
    </row>
    <row r="576" spans="1:24" x14ac:dyDescent="0.25">
      <c r="A576" t="s">
        <v>418</v>
      </c>
      <c r="B576">
        <v>2001</v>
      </c>
      <c r="C576" t="s">
        <v>382</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c r="X576" s="19">
        <f ca="1">DATE(LifeExpectancyData[[#This Row],[Year]],RANDBETWEEN(1,12),1)</f>
        <v>36951</v>
      </c>
    </row>
    <row r="577" spans="1:24" x14ac:dyDescent="0.25">
      <c r="A577" t="s">
        <v>418</v>
      </c>
      <c r="B577">
        <v>2000</v>
      </c>
      <c r="C577" t="s">
        <v>382</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c r="X577" s="19">
        <f ca="1">DATE(LifeExpectancyData[[#This Row],[Year]],RANDBETWEEN(1,12),1)</f>
        <v>36770</v>
      </c>
    </row>
    <row r="578" spans="1:24" x14ac:dyDescent="0.25">
      <c r="A578" t="s">
        <v>419</v>
      </c>
      <c r="B578">
        <v>2015</v>
      </c>
      <c r="C578" t="s">
        <v>382</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c r="X578" s="19">
        <f ca="1">DATE(LifeExpectancyData[[#This Row],[Year]],RANDBETWEEN(1,12),1)</f>
        <v>42248</v>
      </c>
    </row>
    <row r="579" spans="1:24" x14ac:dyDescent="0.25">
      <c r="A579" t="s">
        <v>419</v>
      </c>
      <c r="B579">
        <v>2014</v>
      </c>
      <c r="C579" t="s">
        <v>382</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c r="X579" s="19">
        <f ca="1">DATE(LifeExpectancyData[[#This Row],[Year]],RANDBETWEEN(1,12),1)</f>
        <v>41671</v>
      </c>
    </row>
    <row r="580" spans="1:24" x14ac:dyDescent="0.25">
      <c r="A580" t="s">
        <v>419</v>
      </c>
      <c r="B580">
        <v>2013</v>
      </c>
      <c r="C580" t="s">
        <v>382</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c r="X580" s="19">
        <f ca="1">DATE(LifeExpectancyData[[#This Row],[Year]],RANDBETWEEN(1,12),1)</f>
        <v>41456</v>
      </c>
    </row>
    <row r="581" spans="1:24" x14ac:dyDescent="0.25">
      <c r="A581" t="s">
        <v>419</v>
      </c>
      <c r="B581">
        <v>2012</v>
      </c>
      <c r="C581" t="s">
        <v>382</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c r="X581" s="19">
        <f ca="1">DATE(LifeExpectancyData[[#This Row],[Year]],RANDBETWEEN(1,12),1)</f>
        <v>40940</v>
      </c>
    </row>
    <row r="582" spans="1:24" x14ac:dyDescent="0.25">
      <c r="A582" t="s">
        <v>419</v>
      </c>
      <c r="B582">
        <v>2011</v>
      </c>
      <c r="C582" t="s">
        <v>382</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c r="X582" s="19">
        <f ca="1">DATE(LifeExpectancyData[[#This Row],[Year]],RANDBETWEEN(1,12),1)</f>
        <v>40664</v>
      </c>
    </row>
    <row r="583" spans="1:24" x14ac:dyDescent="0.25">
      <c r="A583" t="s">
        <v>419</v>
      </c>
      <c r="B583">
        <v>2010</v>
      </c>
      <c r="C583" t="s">
        <v>382</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c r="X583" s="19">
        <f ca="1">DATE(LifeExpectancyData[[#This Row],[Year]],RANDBETWEEN(1,12),1)</f>
        <v>40391</v>
      </c>
    </row>
    <row r="584" spans="1:24" x14ac:dyDescent="0.25">
      <c r="A584" t="s">
        <v>419</v>
      </c>
      <c r="B584">
        <v>2009</v>
      </c>
      <c r="C584" t="s">
        <v>382</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c r="X584" s="19">
        <f ca="1">DATE(LifeExpectancyData[[#This Row],[Year]],RANDBETWEEN(1,12),1)</f>
        <v>40057</v>
      </c>
    </row>
    <row r="585" spans="1:24" x14ac:dyDescent="0.25">
      <c r="A585" t="s">
        <v>419</v>
      </c>
      <c r="B585">
        <v>2008</v>
      </c>
      <c r="C585" t="s">
        <v>382</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c r="X585" s="19">
        <f ca="1">DATE(LifeExpectancyData[[#This Row],[Year]],RANDBETWEEN(1,12),1)</f>
        <v>39508</v>
      </c>
    </row>
    <row r="586" spans="1:24" x14ac:dyDescent="0.25">
      <c r="A586" t="s">
        <v>419</v>
      </c>
      <c r="B586">
        <v>2007</v>
      </c>
      <c r="C586" t="s">
        <v>382</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c r="X586" s="19">
        <f ca="1">DATE(LifeExpectancyData[[#This Row],[Year]],RANDBETWEEN(1,12),1)</f>
        <v>39356</v>
      </c>
    </row>
    <row r="587" spans="1:24" x14ac:dyDescent="0.25">
      <c r="A587" t="s">
        <v>419</v>
      </c>
      <c r="B587">
        <v>2006</v>
      </c>
      <c r="C587" t="s">
        <v>382</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c r="X587" s="19">
        <f ca="1">DATE(LifeExpectancyData[[#This Row],[Year]],RANDBETWEEN(1,12),1)</f>
        <v>39022</v>
      </c>
    </row>
    <row r="588" spans="1:24" x14ac:dyDescent="0.25">
      <c r="A588" t="s">
        <v>419</v>
      </c>
      <c r="B588">
        <v>2005</v>
      </c>
      <c r="C588" t="s">
        <v>382</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c r="X588" s="19">
        <f ca="1">DATE(LifeExpectancyData[[#This Row],[Year]],RANDBETWEEN(1,12),1)</f>
        <v>38353</v>
      </c>
    </row>
    <row r="589" spans="1:24" x14ac:dyDescent="0.25">
      <c r="A589" t="s">
        <v>419</v>
      </c>
      <c r="B589">
        <v>2004</v>
      </c>
      <c r="C589" t="s">
        <v>382</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c r="X589" s="19">
        <f ca="1">DATE(LifeExpectancyData[[#This Row],[Year]],RANDBETWEEN(1,12),1)</f>
        <v>38047</v>
      </c>
    </row>
    <row r="590" spans="1:24" x14ac:dyDescent="0.25">
      <c r="A590" t="s">
        <v>419</v>
      </c>
      <c r="B590">
        <v>2003</v>
      </c>
      <c r="C590" t="s">
        <v>382</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c r="X590" s="19">
        <f ca="1">DATE(LifeExpectancyData[[#This Row],[Year]],RANDBETWEEN(1,12),1)</f>
        <v>37834</v>
      </c>
    </row>
    <row r="591" spans="1:24" x14ac:dyDescent="0.25">
      <c r="A591" t="s">
        <v>419</v>
      </c>
      <c r="B591">
        <v>2002</v>
      </c>
      <c r="C591" t="s">
        <v>382</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c r="X591" s="19">
        <f ca="1">DATE(LifeExpectancyData[[#This Row],[Year]],RANDBETWEEN(1,12),1)</f>
        <v>37438</v>
      </c>
    </row>
    <row r="592" spans="1:24" x14ac:dyDescent="0.25">
      <c r="A592" t="s">
        <v>419</v>
      </c>
      <c r="B592">
        <v>2001</v>
      </c>
      <c r="C592" t="s">
        <v>382</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c r="X592" s="19">
        <f ca="1">DATE(LifeExpectancyData[[#This Row],[Year]],RANDBETWEEN(1,12),1)</f>
        <v>37226</v>
      </c>
    </row>
    <row r="593" spans="1:24" x14ac:dyDescent="0.25">
      <c r="A593" t="s">
        <v>419</v>
      </c>
      <c r="B593">
        <v>2000</v>
      </c>
      <c r="C593" t="s">
        <v>382</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c r="X593" s="19">
        <f ca="1">DATE(LifeExpectancyData[[#This Row],[Year]],RANDBETWEEN(1,12),1)</f>
        <v>36557</v>
      </c>
    </row>
    <row r="594" spans="1:24" x14ac:dyDescent="0.25">
      <c r="A594" t="s">
        <v>420</v>
      </c>
      <c r="B594">
        <v>2015</v>
      </c>
      <c r="C594" t="s">
        <v>382</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c r="X594" s="19">
        <f ca="1">DATE(LifeExpectancyData[[#This Row],[Year]],RANDBETWEEN(1,12),1)</f>
        <v>42156</v>
      </c>
    </row>
    <row r="595" spans="1:24" x14ac:dyDescent="0.25">
      <c r="A595" t="s">
        <v>420</v>
      </c>
      <c r="B595">
        <v>2014</v>
      </c>
      <c r="C595" t="s">
        <v>382</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c r="X595" s="19">
        <f ca="1">DATE(LifeExpectancyData[[#This Row],[Year]],RANDBETWEEN(1,12),1)</f>
        <v>41640</v>
      </c>
    </row>
    <row r="596" spans="1:24" x14ac:dyDescent="0.25">
      <c r="A596" t="s">
        <v>420</v>
      </c>
      <c r="B596">
        <v>2013</v>
      </c>
      <c r="C596" t="s">
        <v>382</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c r="X596" s="19">
        <f ca="1">DATE(LifeExpectancyData[[#This Row],[Year]],RANDBETWEEN(1,12),1)</f>
        <v>41456</v>
      </c>
    </row>
    <row r="597" spans="1:24" x14ac:dyDescent="0.25">
      <c r="A597" t="s">
        <v>420</v>
      </c>
      <c r="B597">
        <v>2012</v>
      </c>
      <c r="C597" t="s">
        <v>382</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c r="X597" s="19">
        <f ca="1">DATE(LifeExpectancyData[[#This Row],[Year]],RANDBETWEEN(1,12),1)</f>
        <v>41061</v>
      </c>
    </row>
    <row r="598" spans="1:24" x14ac:dyDescent="0.25">
      <c r="A598" t="s">
        <v>420</v>
      </c>
      <c r="B598">
        <v>2011</v>
      </c>
      <c r="C598" t="s">
        <v>382</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c r="X598" s="19">
        <f ca="1">DATE(LifeExpectancyData[[#This Row],[Year]],RANDBETWEEN(1,12),1)</f>
        <v>40603</v>
      </c>
    </row>
    <row r="599" spans="1:24" x14ac:dyDescent="0.25">
      <c r="A599" t="s">
        <v>420</v>
      </c>
      <c r="B599">
        <v>2010</v>
      </c>
      <c r="C599" t="s">
        <v>382</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c r="X599" s="19">
        <f ca="1">DATE(LifeExpectancyData[[#This Row],[Year]],RANDBETWEEN(1,12),1)</f>
        <v>40179</v>
      </c>
    </row>
    <row r="600" spans="1:24" x14ac:dyDescent="0.25">
      <c r="A600" t="s">
        <v>420</v>
      </c>
      <c r="B600">
        <v>2009</v>
      </c>
      <c r="C600" t="s">
        <v>382</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c r="X600" s="19">
        <f ca="1">DATE(LifeExpectancyData[[#This Row],[Year]],RANDBETWEEN(1,12),1)</f>
        <v>40148</v>
      </c>
    </row>
    <row r="601" spans="1:24" x14ac:dyDescent="0.25">
      <c r="A601" t="s">
        <v>420</v>
      </c>
      <c r="B601">
        <v>2008</v>
      </c>
      <c r="C601" t="s">
        <v>382</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c r="X601" s="19">
        <f ca="1">DATE(LifeExpectancyData[[#This Row],[Year]],RANDBETWEEN(1,12),1)</f>
        <v>39783</v>
      </c>
    </row>
    <row r="602" spans="1:24" x14ac:dyDescent="0.25">
      <c r="A602" t="s">
        <v>420</v>
      </c>
      <c r="B602">
        <v>2007</v>
      </c>
      <c r="C602" t="s">
        <v>382</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c r="X602" s="19">
        <f ca="1">DATE(LifeExpectancyData[[#This Row],[Year]],RANDBETWEEN(1,12),1)</f>
        <v>39173</v>
      </c>
    </row>
    <row r="603" spans="1:24" x14ac:dyDescent="0.25">
      <c r="A603" t="s">
        <v>420</v>
      </c>
      <c r="B603">
        <v>2006</v>
      </c>
      <c r="C603" t="s">
        <v>382</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c r="X603" s="19">
        <f ca="1">DATE(LifeExpectancyData[[#This Row],[Year]],RANDBETWEEN(1,12),1)</f>
        <v>39052</v>
      </c>
    </row>
    <row r="604" spans="1:24" x14ac:dyDescent="0.25">
      <c r="A604" t="s">
        <v>420</v>
      </c>
      <c r="B604">
        <v>2005</v>
      </c>
      <c r="C604" t="s">
        <v>382</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c r="X604" s="19">
        <f ca="1">DATE(LifeExpectancyData[[#This Row],[Year]],RANDBETWEEN(1,12),1)</f>
        <v>38443</v>
      </c>
    </row>
    <row r="605" spans="1:24" x14ac:dyDescent="0.25">
      <c r="A605" t="s">
        <v>420</v>
      </c>
      <c r="B605">
        <v>2004</v>
      </c>
      <c r="C605" t="s">
        <v>382</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c r="X605" s="19">
        <f ca="1">DATE(LifeExpectancyData[[#This Row],[Year]],RANDBETWEEN(1,12),1)</f>
        <v>38139</v>
      </c>
    </row>
    <row r="606" spans="1:24" x14ac:dyDescent="0.25">
      <c r="A606" t="s">
        <v>420</v>
      </c>
      <c r="B606">
        <v>2003</v>
      </c>
      <c r="C606" t="s">
        <v>382</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c r="X606" s="19">
        <f ca="1">DATE(LifeExpectancyData[[#This Row],[Year]],RANDBETWEEN(1,12),1)</f>
        <v>37956</v>
      </c>
    </row>
    <row r="607" spans="1:24" x14ac:dyDescent="0.25">
      <c r="A607" t="s">
        <v>420</v>
      </c>
      <c r="B607">
        <v>2002</v>
      </c>
      <c r="C607" t="s">
        <v>382</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c r="X607" s="19">
        <f ca="1">DATE(LifeExpectancyData[[#This Row],[Year]],RANDBETWEEN(1,12),1)</f>
        <v>37469</v>
      </c>
    </row>
    <row r="608" spans="1:24" x14ac:dyDescent="0.25">
      <c r="A608" t="s">
        <v>420</v>
      </c>
      <c r="B608">
        <v>2001</v>
      </c>
      <c r="C608" t="s">
        <v>382</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c r="X608" s="19">
        <f ca="1">DATE(LifeExpectancyData[[#This Row],[Year]],RANDBETWEEN(1,12),1)</f>
        <v>37226</v>
      </c>
    </row>
    <row r="609" spans="1:24" x14ac:dyDescent="0.25">
      <c r="A609" t="s">
        <v>420</v>
      </c>
      <c r="B609">
        <v>2000</v>
      </c>
      <c r="C609" t="s">
        <v>382</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c r="X609" s="19">
        <f ca="1">DATE(LifeExpectancyData[[#This Row],[Year]],RANDBETWEEN(1,12),1)</f>
        <v>36526</v>
      </c>
    </row>
    <row r="610" spans="1:24" x14ac:dyDescent="0.25">
      <c r="A610" t="s">
        <v>421</v>
      </c>
      <c r="B610">
        <v>2015</v>
      </c>
      <c r="C610" t="s">
        <v>382</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c r="X610" s="19">
        <f ca="1">DATE(LifeExpectancyData[[#This Row],[Year]],RANDBETWEEN(1,12),1)</f>
        <v>42005</v>
      </c>
    </row>
    <row r="611" spans="1:24" x14ac:dyDescent="0.25">
      <c r="A611" t="s">
        <v>421</v>
      </c>
      <c r="B611">
        <v>2014</v>
      </c>
      <c r="C611" t="s">
        <v>382</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c r="X611" s="19">
        <f ca="1">DATE(LifeExpectancyData[[#This Row],[Year]],RANDBETWEEN(1,12),1)</f>
        <v>41944</v>
      </c>
    </row>
    <row r="612" spans="1:24" x14ac:dyDescent="0.25">
      <c r="A612" t="s">
        <v>421</v>
      </c>
      <c r="B612">
        <v>2013</v>
      </c>
      <c r="C612" t="s">
        <v>382</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c r="X612" s="19">
        <f ca="1">DATE(LifeExpectancyData[[#This Row],[Year]],RANDBETWEEN(1,12),1)</f>
        <v>41426</v>
      </c>
    </row>
    <row r="613" spans="1:24" x14ac:dyDescent="0.25">
      <c r="A613" t="s">
        <v>421</v>
      </c>
      <c r="B613">
        <v>2012</v>
      </c>
      <c r="C613" t="s">
        <v>382</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c r="X613" s="19">
        <f ca="1">DATE(LifeExpectancyData[[#This Row],[Year]],RANDBETWEEN(1,12),1)</f>
        <v>41061</v>
      </c>
    </row>
    <row r="614" spans="1:24" x14ac:dyDescent="0.25">
      <c r="A614" t="s">
        <v>421</v>
      </c>
      <c r="B614">
        <v>2011</v>
      </c>
      <c r="C614" t="s">
        <v>382</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c r="X614" s="19">
        <f ca="1">DATE(LifeExpectancyData[[#This Row],[Year]],RANDBETWEEN(1,12),1)</f>
        <v>40817</v>
      </c>
    </row>
    <row r="615" spans="1:24" x14ac:dyDescent="0.25">
      <c r="A615" t="s">
        <v>421</v>
      </c>
      <c r="B615">
        <v>2010</v>
      </c>
      <c r="C615" t="s">
        <v>382</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c r="X615" s="19">
        <f ca="1">DATE(LifeExpectancyData[[#This Row],[Year]],RANDBETWEEN(1,12),1)</f>
        <v>40452</v>
      </c>
    </row>
    <row r="616" spans="1:24" x14ac:dyDescent="0.25">
      <c r="A616" t="s">
        <v>421</v>
      </c>
      <c r="B616">
        <v>2009</v>
      </c>
      <c r="C616" t="s">
        <v>382</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c r="X616" s="19">
        <f ca="1">DATE(LifeExpectancyData[[#This Row],[Year]],RANDBETWEEN(1,12),1)</f>
        <v>39814</v>
      </c>
    </row>
    <row r="617" spans="1:24" x14ac:dyDescent="0.25">
      <c r="A617" t="s">
        <v>421</v>
      </c>
      <c r="B617">
        <v>2008</v>
      </c>
      <c r="C617" t="s">
        <v>382</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c r="X617" s="19">
        <f ca="1">DATE(LifeExpectancyData[[#This Row],[Year]],RANDBETWEEN(1,12),1)</f>
        <v>39448</v>
      </c>
    </row>
    <row r="618" spans="1:24" x14ac:dyDescent="0.25">
      <c r="A618" t="s">
        <v>421</v>
      </c>
      <c r="B618">
        <v>2007</v>
      </c>
      <c r="C618" t="s">
        <v>382</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c r="X618" s="19">
        <f ca="1">DATE(LifeExpectancyData[[#This Row],[Year]],RANDBETWEEN(1,12),1)</f>
        <v>39417</v>
      </c>
    </row>
    <row r="619" spans="1:24" x14ac:dyDescent="0.25">
      <c r="A619" t="s">
        <v>421</v>
      </c>
      <c r="B619">
        <v>2006</v>
      </c>
      <c r="C619" t="s">
        <v>382</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c r="X619" s="19">
        <f ca="1">DATE(LifeExpectancyData[[#This Row],[Year]],RANDBETWEEN(1,12),1)</f>
        <v>39052</v>
      </c>
    </row>
    <row r="620" spans="1:24" x14ac:dyDescent="0.25">
      <c r="A620" t="s">
        <v>421</v>
      </c>
      <c r="B620">
        <v>2005</v>
      </c>
      <c r="C620" t="s">
        <v>382</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c r="X620" s="19">
        <f ca="1">DATE(LifeExpectancyData[[#This Row],[Year]],RANDBETWEEN(1,12),1)</f>
        <v>38473</v>
      </c>
    </row>
    <row r="621" spans="1:24" x14ac:dyDescent="0.25">
      <c r="A621" t="s">
        <v>421</v>
      </c>
      <c r="B621">
        <v>2004</v>
      </c>
      <c r="C621" t="s">
        <v>382</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c r="X621" s="19">
        <f ca="1">DATE(LifeExpectancyData[[#This Row],[Year]],RANDBETWEEN(1,12),1)</f>
        <v>38169</v>
      </c>
    </row>
    <row r="622" spans="1:24" x14ac:dyDescent="0.25">
      <c r="A622" t="s">
        <v>421</v>
      </c>
      <c r="B622">
        <v>2003</v>
      </c>
      <c r="C622" t="s">
        <v>382</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c r="X622" s="19">
        <f ca="1">DATE(LifeExpectancyData[[#This Row],[Year]],RANDBETWEEN(1,12),1)</f>
        <v>37712</v>
      </c>
    </row>
    <row r="623" spans="1:24" x14ac:dyDescent="0.25">
      <c r="A623" t="s">
        <v>421</v>
      </c>
      <c r="B623">
        <v>2002</v>
      </c>
      <c r="C623" t="s">
        <v>382</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c r="X623" s="19">
        <f ca="1">DATE(LifeExpectancyData[[#This Row],[Year]],RANDBETWEEN(1,12),1)</f>
        <v>37408</v>
      </c>
    </row>
    <row r="624" spans="1:24" x14ac:dyDescent="0.25">
      <c r="A624" t="s">
        <v>421</v>
      </c>
      <c r="B624">
        <v>2001</v>
      </c>
      <c r="C624" t="s">
        <v>382</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c r="X624" s="19">
        <f ca="1">DATE(LifeExpectancyData[[#This Row],[Year]],RANDBETWEEN(1,12),1)</f>
        <v>37196</v>
      </c>
    </row>
    <row r="625" spans="1:24" x14ac:dyDescent="0.25">
      <c r="A625" t="s">
        <v>421</v>
      </c>
      <c r="B625">
        <v>2000</v>
      </c>
      <c r="C625" t="s">
        <v>382</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c r="X625" s="19">
        <f ca="1">DATE(LifeExpectancyData[[#This Row],[Year]],RANDBETWEEN(1,12),1)</f>
        <v>36770</v>
      </c>
    </row>
    <row r="626" spans="1:24" x14ac:dyDescent="0.25">
      <c r="A626" t="s">
        <v>422</v>
      </c>
      <c r="B626">
        <v>2013</v>
      </c>
      <c r="C626" t="s">
        <v>382</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c r="X626" s="19">
        <f ca="1">DATE(LifeExpectancyData[[#This Row],[Year]],RANDBETWEEN(1,12),1)</f>
        <v>41426</v>
      </c>
    </row>
    <row r="627" spans="1:24" x14ac:dyDescent="0.25">
      <c r="A627" t="s">
        <v>423</v>
      </c>
      <c r="B627">
        <v>2015</v>
      </c>
      <c r="C627" t="s">
        <v>382</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c r="X627" s="19">
        <f ca="1">DATE(LifeExpectancyData[[#This Row],[Year]],RANDBETWEEN(1,12),1)</f>
        <v>42186</v>
      </c>
    </row>
    <row r="628" spans="1:24" x14ac:dyDescent="0.25">
      <c r="A628" t="s">
        <v>423</v>
      </c>
      <c r="B628">
        <v>2014</v>
      </c>
      <c r="C628" t="s">
        <v>382</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c r="X628" s="19">
        <f ca="1">DATE(LifeExpectancyData[[#This Row],[Year]],RANDBETWEEN(1,12),1)</f>
        <v>41883</v>
      </c>
    </row>
    <row r="629" spans="1:24" x14ac:dyDescent="0.25">
      <c r="A629" t="s">
        <v>423</v>
      </c>
      <c r="B629">
        <v>2013</v>
      </c>
      <c r="C629" t="s">
        <v>382</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c r="X629" s="19">
        <f ca="1">DATE(LifeExpectancyData[[#This Row],[Year]],RANDBETWEEN(1,12),1)</f>
        <v>41275</v>
      </c>
    </row>
    <row r="630" spans="1:24" x14ac:dyDescent="0.25">
      <c r="A630" t="s">
        <v>423</v>
      </c>
      <c r="B630">
        <v>2012</v>
      </c>
      <c r="C630" t="s">
        <v>382</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c r="X630" s="19">
        <f ca="1">DATE(LifeExpectancyData[[#This Row],[Year]],RANDBETWEEN(1,12),1)</f>
        <v>40940</v>
      </c>
    </row>
    <row r="631" spans="1:24" x14ac:dyDescent="0.25">
      <c r="A631" t="s">
        <v>423</v>
      </c>
      <c r="B631">
        <v>2011</v>
      </c>
      <c r="C631" t="s">
        <v>382</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c r="X631" s="19">
        <f ca="1">DATE(LifeExpectancyData[[#This Row],[Year]],RANDBETWEEN(1,12),1)</f>
        <v>40544</v>
      </c>
    </row>
    <row r="632" spans="1:24" x14ac:dyDescent="0.25">
      <c r="A632" t="s">
        <v>423</v>
      </c>
      <c r="B632">
        <v>2010</v>
      </c>
      <c r="C632" t="s">
        <v>382</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c r="X632" s="19">
        <f ca="1">DATE(LifeExpectancyData[[#This Row],[Year]],RANDBETWEEN(1,12),1)</f>
        <v>40513</v>
      </c>
    </row>
    <row r="633" spans="1:24" x14ac:dyDescent="0.25">
      <c r="A633" t="s">
        <v>423</v>
      </c>
      <c r="B633">
        <v>2009</v>
      </c>
      <c r="C633" t="s">
        <v>382</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c r="X633" s="19">
        <f ca="1">DATE(LifeExpectancyData[[#This Row],[Year]],RANDBETWEEN(1,12),1)</f>
        <v>39814</v>
      </c>
    </row>
    <row r="634" spans="1:24" x14ac:dyDescent="0.25">
      <c r="A634" t="s">
        <v>423</v>
      </c>
      <c r="B634">
        <v>2008</v>
      </c>
      <c r="C634" t="s">
        <v>382</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c r="X634" s="19">
        <f ca="1">DATE(LifeExpectancyData[[#This Row],[Year]],RANDBETWEEN(1,12),1)</f>
        <v>39448</v>
      </c>
    </row>
    <row r="635" spans="1:24" x14ac:dyDescent="0.25">
      <c r="A635" t="s">
        <v>423</v>
      </c>
      <c r="B635">
        <v>2007</v>
      </c>
      <c r="C635" t="s">
        <v>382</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c r="X635" s="19">
        <f ca="1">DATE(LifeExpectancyData[[#This Row],[Year]],RANDBETWEEN(1,12),1)</f>
        <v>39387</v>
      </c>
    </row>
    <row r="636" spans="1:24" x14ac:dyDescent="0.25">
      <c r="A636" t="s">
        <v>423</v>
      </c>
      <c r="B636">
        <v>2006</v>
      </c>
      <c r="C636" t="s">
        <v>382</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c r="X636" s="19">
        <f ca="1">DATE(LifeExpectancyData[[#This Row],[Year]],RANDBETWEEN(1,12),1)</f>
        <v>38930</v>
      </c>
    </row>
    <row r="637" spans="1:24" x14ac:dyDescent="0.25">
      <c r="A637" t="s">
        <v>423</v>
      </c>
      <c r="B637">
        <v>2005</v>
      </c>
      <c r="C637" t="s">
        <v>382</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c r="X637" s="19">
        <f ca="1">DATE(LifeExpectancyData[[#This Row],[Year]],RANDBETWEEN(1,12),1)</f>
        <v>38473</v>
      </c>
    </row>
    <row r="638" spans="1:24" x14ac:dyDescent="0.25">
      <c r="A638" t="s">
        <v>423</v>
      </c>
      <c r="B638">
        <v>2004</v>
      </c>
      <c r="C638" t="s">
        <v>382</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c r="X638" s="19">
        <f ca="1">DATE(LifeExpectancyData[[#This Row],[Year]],RANDBETWEEN(1,12),1)</f>
        <v>38078</v>
      </c>
    </row>
    <row r="639" spans="1:24" x14ac:dyDescent="0.25">
      <c r="A639" t="s">
        <v>423</v>
      </c>
      <c r="B639">
        <v>2003</v>
      </c>
      <c r="C639" t="s">
        <v>382</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c r="X639" s="19">
        <f ca="1">DATE(LifeExpectancyData[[#This Row],[Year]],RANDBETWEEN(1,12),1)</f>
        <v>37653</v>
      </c>
    </row>
    <row r="640" spans="1:24" x14ac:dyDescent="0.25">
      <c r="A640" t="s">
        <v>423</v>
      </c>
      <c r="B640">
        <v>2002</v>
      </c>
      <c r="C640" t="s">
        <v>382</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c r="X640" s="19">
        <f ca="1">DATE(LifeExpectancyData[[#This Row],[Year]],RANDBETWEEN(1,12),1)</f>
        <v>37469</v>
      </c>
    </row>
    <row r="641" spans="1:24" x14ac:dyDescent="0.25">
      <c r="A641" t="s">
        <v>423</v>
      </c>
      <c r="B641">
        <v>2001</v>
      </c>
      <c r="C641" t="s">
        <v>382</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c r="X641" s="19">
        <f ca="1">DATE(LifeExpectancyData[[#This Row],[Year]],RANDBETWEEN(1,12),1)</f>
        <v>37073</v>
      </c>
    </row>
    <row r="642" spans="1:24" x14ac:dyDescent="0.25">
      <c r="A642" t="s">
        <v>423</v>
      </c>
      <c r="B642">
        <v>2000</v>
      </c>
      <c r="C642" t="s">
        <v>382</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c r="X642" s="19">
        <f ca="1">DATE(LifeExpectancyData[[#This Row],[Year]],RANDBETWEEN(1,12),1)</f>
        <v>36770</v>
      </c>
    </row>
    <row r="643" spans="1:24" x14ac:dyDescent="0.25">
      <c r="A643" t="s">
        <v>424</v>
      </c>
      <c r="B643">
        <v>2015</v>
      </c>
      <c r="C643" t="s">
        <v>390</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c r="X643" s="19">
        <f ca="1">DATE(LifeExpectancyData[[#This Row],[Year]],RANDBETWEEN(1,12),1)</f>
        <v>42095</v>
      </c>
    </row>
    <row r="644" spans="1:24" x14ac:dyDescent="0.25">
      <c r="A644" t="s">
        <v>424</v>
      </c>
      <c r="B644">
        <v>2014</v>
      </c>
      <c r="C644" t="s">
        <v>390</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c r="X644" s="19">
        <f ca="1">DATE(LifeExpectancyData[[#This Row],[Year]],RANDBETWEEN(1,12),1)</f>
        <v>41730</v>
      </c>
    </row>
    <row r="645" spans="1:24" x14ac:dyDescent="0.25">
      <c r="A645" t="s">
        <v>424</v>
      </c>
      <c r="B645">
        <v>2013</v>
      </c>
      <c r="C645" t="s">
        <v>390</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c r="X645" s="19">
        <f ca="1">DATE(LifeExpectancyData[[#This Row],[Year]],RANDBETWEEN(1,12),1)</f>
        <v>41365</v>
      </c>
    </row>
    <row r="646" spans="1:24" x14ac:dyDescent="0.25">
      <c r="A646" t="s">
        <v>424</v>
      </c>
      <c r="B646">
        <v>2012</v>
      </c>
      <c r="C646" t="s">
        <v>390</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c r="X646" s="19">
        <f ca="1">DATE(LifeExpectancyData[[#This Row],[Year]],RANDBETWEEN(1,12),1)</f>
        <v>41122</v>
      </c>
    </row>
    <row r="647" spans="1:24" x14ac:dyDescent="0.25">
      <c r="A647" t="s">
        <v>424</v>
      </c>
      <c r="B647">
        <v>2011</v>
      </c>
      <c r="C647" t="s">
        <v>390</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c r="X647" s="19">
        <f ca="1">DATE(LifeExpectancyData[[#This Row],[Year]],RANDBETWEEN(1,12),1)</f>
        <v>40544</v>
      </c>
    </row>
    <row r="648" spans="1:24" x14ac:dyDescent="0.25">
      <c r="A648" t="s">
        <v>424</v>
      </c>
      <c r="B648">
        <v>2010</v>
      </c>
      <c r="C648" t="s">
        <v>390</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c r="X648" s="19">
        <f ca="1">DATE(LifeExpectancyData[[#This Row],[Year]],RANDBETWEEN(1,12),1)</f>
        <v>40391</v>
      </c>
    </row>
    <row r="649" spans="1:24" x14ac:dyDescent="0.25">
      <c r="A649" t="s">
        <v>424</v>
      </c>
      <c r="B649">
        <v>2009</v>
      </c>
      <c r="C649" t="s">
        <v>390</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c r="X649" s="19">
        <f ca="1">DATE(LifeExpectancyData[[#This Row],[Year]],RANDBETWEEN(1,12),1)</f>
        <v>40087</v>
      </c>
    </row>
    <row r="650" spans="1:24" x14ac:dyDescent="0.25">
      <c r="A650" t="s">
        <v>424</v>
      </c>
      <c r="B650">
        <v>2008</v>
      </c>
      <c r="C650" t="s">
        <v>390</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c r="X650" s="19">
        <f ca="1">DATE(LifeExpectancyData[[#This Row],[Year]],RANDBETWEEN(1,12),1)</f>
        <v>39508</v>
      </c>
    </row>
    <row r="651" spans="1:24" x14ac:dyDescent="0.25">
      <c r="A651" t="s">
        <v>424</v>
      </c>
      <c r="B651">
        <v>2007</v>
      </c>
      <c r="C651" t="s">
        <v>390</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c r="X651" s="19">
        <f ca="1">DATE(LifeExpectancyData[[#This Row],[Year]],RANDBETWEEN(1,12),1)</f>
        <v>39417</v>
      </c>
    </row>
    <row r="652" spans="1:24" x14ac:dyDescent="0.25">
      <c r="A652" t="s">
        <v>424</v>
      </c>
      <c r="B652">
        <v>2006</v>
      </c>
      <c r="C652" t="s">
        <v>390</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c r="X652" s="19">
        <f ca="1">DATE(LifeExpectancyData[[#This Row],[Year]],RANDBETWEEN(1,12),1)</f>
        <v>38991</v>
      </c>
    </row>
    <row r="653" spans="1:24" x14ac:dyDescent="0.25">
      <c r="A653" t="s">
        <v>424</v>
      </c>
      <c r="B653">
        <v>2005</v>
      </c>
      <c r="C653" t="s">
        <v>390</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c r="X653" s="19">
        <f ca="1">DATE(LifeExpectancyData[[#This Row],[Year]],RANDBETWEEN(1,12),1)</f>
        <v>38534</v>
      </c>
    </row>
    <row r="654" spans="1:24" x14ac:dyDescent="0.25">
      <c r="A654" t="s">
        <v>424</v>
      </c>
      <c r="B654">
        <v>2004</v>
      </c>
      <c r="C654" t="s">
        <v>390</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c r="X654" s="19">
        <f ca="1">DATE(LifeExpectancyData[[#This Row],[Year]],RANDBETWEEN(1,12),1)</f>
        <v>38261</v>
      </c>
    </row>
    <row r="655" spans="1:24" x14ac:dyDescent="0.25">
      <c r="A655" t="s">
        <v>424</v>
      </c>
      <c r="B655">
        <v>2003</v>
      </c>
      <c r="C655" t="s">
        <v>390</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c r="X655" s="19">
        <f ca="1">DATE(LifeExpectancyData[[#This Row],[Year]],RANDBETWEEN(1,12),1)</f>
        <v>37773</v>
      </c>
    </row>
    <row r="656" spans="1:24" x14ac:dyDescent="0.25">
      <c r="A656" t="s">
        <v>424</v>
      </c>
      <c r="B656">
        <v>2002</v>
      </c>
      <c r="C656" t="s">
        <v>390</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c r="X656" s="19">
        <f ca="1">DATE(LifeExpectancyData[[#This Row],[Year]],RANDBETWEEN(1,12),1)</f>
        <v>37408</v>
      </c>
    </row>
    <row r="657" spans="1:24" x14ac:dyDescent="0.25">
      <c r="A657" t="s">
        <v>424</v>
      </c>
      <c r="B657">
        <v>2001</v>
      </c>
      <c r="C657" t="s">
        <v>390</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c r="X657" s="19">
        <f ca="1">DATE(LifeExpectancyData[[#This Row],[Year]],RANDBETWEEN(1,12),1)</f>
        <v>37043</v>
      </c>
    </row>
    <row r="658" spans="1:24" x14ac:dyDescent="0.25">
      <c r="A658" t="s">
        <v>424</v>
      </c>
      <c r="B658">
        <v>2000</v>
      </c>
      <c r="C658" t="s">
        <v>390</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c r="X658" s="19">
        <f ca="1">DATE(LifeExpectancyData[[#This Row],[Year]],RANDBETWEEN(1,12),1)</f>
        <v>36526</v>
      </c>
    </row>
    <row r="659" spans="1:24" x14ac:dyDescent="0.25">
      <c r="A659" t="s">
        <v>425</v>
      </c>
      <c r="B659">
        <v>2015</v>
      </c>
      <c r="C659" t="s">
        <v>382</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c r="X659" s="19">
        <f ca="1">DATE(LifeExpectancyData[[#This Row],[Year]],RANDBETWEEN(1,12),1)</f>
        <v>42309</v>
      </c>
    </row>
    <row r="660" spans="1:24" x14ac:dyDescent="0.25">
      <c r="A660" t="s">
        <v>425</v>
      </c>
      <c r="B660">
        <v>2014</v>
      </c>
      <c r="C660" t="s">
        <v>382</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c r="X660" s="19">
        <f ca="1">DATE(LifeExpectancyData[[#This Row],[Year]],RANDBETWEEN(1,12),1)</f>
        <v>41640</v>
      </c>
    </row>
    <row r="661" spans="1:24" x14ac:dyDescent="0.25">
      <c r="A661" t="s">
        <v>425</v>
      </c>
      <c r="B661">
        <v>2013</v>
      </c>
      <c r="C661" t="s">
        <v>382</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c r="X661" s="19">
        <f ca="1">DATE(LifeExpectancyData[[#This Row],[Year]],RANDBETWEEN(1,12),1)</f>
        <v>41487</v>
      </c>
    </row>
    <row r="662" spans="1:24" x14ac:dyDescent="0.25">
      <c r="A662" t="s">
        <v>425</v>
      </c>
      <c r="B662">
        <v>2012</v>
      </c>
      <c r="C662" t="s">
        <v>382</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c r="X662" s="19">
        <f ca="1">DATE(LifeExpectancyData[[#This Row],[Year]],RANDBETWEEN(1,12),1)</f>
        <v>41244</v>
      </c>
    </row>
    <row r="663" spans="1:24" x14ac:dyDescent="0.25">
      <c r="A663" t="s">
        <v>425</v>
      </c>
      <c r="B663">
        <v>2011</v>
      </c>
      <c r="C663" t="s">
        <v>382</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c r="X663" s="19">
        <f ca="1">DATE(LifeExpectancyData[[#This Row],[Year]],RANDBETWEEN(1,12),1)</f>
        <v>40634</v>
      </c>
    </row>
    <row r="664" spans="1:24" x14ac:dyDescent="0.25">
      <c r="A664" t="s">
        <v>425</v>
      </c>
      <c r="B664">
        <v>2010</v>
      </c>
      <c r="C664" t="s">
        <v>382</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c r="X664" s="19">
        <f ca="1">DATE(LifeExpectancyData[[#This Row],[Year]],RANDBETWEEN(1,12),1)</f>
        <v>40299</v>
      </c>
    </row>
    <row r="665" spans="1:24" x14ac:dyDescent="0.25">
      <c r="A665" t="s">
        <v>425</v>
      </c>
      <c r="B665">
        <v>2009</v>
      </c>
      <c r="C665" t="s">
        <v>382</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c r="X665" s="19">
        <f ca="1">DATE(LifeExpectancyData[[#This Row],[Year]],RANDBETWEEN(1,12),1)</f>
        <v>40118</v>
      </c>
    </row>
    <row r="666" spans="1:24" x14ac:dyDescent="0.25">
      <c r="A666" t="s">
        <v>425</v>
      </c>
      <c r="B666">
        <v>2008</v>
      </c>
      <c r="C666" t="s">
        <v>382</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c r="X666" s="19">
        <f ca="1">DATE(LifeExpectancyData[[#This Row],[Year]],RANDBETWEEN(1,12),1)</f>
        <v>39630</v>
      </c>
    </row>
    <row r="667" spans="1:24" x14ac:dyDescent="0.25">
      <c r="A667" t="s">
        <v>425</v>
      </c>
      <c r="B667">
        <v>2007</v>
      </c>
      <c r="C667" t="s">
        <v>382</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c r="X667" s="19">
        <f ca="1">DATE(LifeExpectancyData[[#This Row],[Year]],RANDBETWEEN(1,12),1)</f>
        <v>39417</v>
      </c>
    </row>
    <row r="668" spans="1:24" x14ac:dyDescent="0.25">
      <c r="A668" t="s">
        <v>425</v>
      </c>
      <c r="B668">
        <v>2006</v>
      </c>
      <c r="C668" t="s">
        <v>382</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c r="X668" s="19">
        <f ca="1">DATE(LifeExpectancyData[[#This Row],[Year]],RANDBETWEEN(1,12),1)</f>
        <v>38961</v>
      </c>
    </row>
    <row r="669" spans="1:24" x14ac:dyDescent="0.25">
      <c r="A669" t="s">
        <v>425</v>
      </c>
      <c r="B669">
        <v>2005</v>
      </c>
      <c r="C669" t="s">
        <v>382</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c r="X669" s="19">
        <f ca="1">DATE(LifeExpectancyData[[#This Row],[Year]],RANDBETWEEN(1,12),1)</f>
        <v>38384</v>
      </c>
    </row>
    <row r="670" spans="1:24" x14ac:dyDescent="0.25">
      <c r="A670" t="s">
        <v>425</v>
      </c>
      <c r="B670">
        <v>2004</v>
      </c>
      <c r="C670" t="s">
        <v>382</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c r="X670" s="19">
        <f ca="1">DATE(LifeExpectancyData[[#This Row],[Year]],RANDBETWEEN(1,12),1)</f>
        <v>38322</v>
      </c>
    </row>
    <row r="671" spans="1:24" x14ac:dyDescent="0.25">
      <c r="A671" t="s">
        <v>425</v>
      </c>
      <c r="B671">
        <v>2003</v>
      </c>
      <c r="C671" t="s">
        <v>382</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c r="X671" s="19">
        <f ca="1">DATE(LifeExpectancyData[[#This Row],[Year]],RANDBETWEEN(1,12),1)</f>
        <v>37865</v>
      </c>
    </row>
    <row r="672" spans="1:24" x14ac:dyDescent="0.25">
      <c r="A672" t="s">
        <v>425</v>
      </c>
      <c r="B672">
        <v>2002</v>
      </c>
      <c r="C672" t="s">
        <v>382</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c r="X672" s="19">
        <f ca="1">DATE(LifeExpectancyData[[#This Row],[Year]],RANDBETWEEN(1,12),1)</f>
        <v>37408</v>
      </c>
    </row>
    <row r="673" spans="1:24" x14ac:dyDescent="0.25">
      <c r="A673" t="s">
        <v>425</v>
      </c>
      <c r="B673">
        <v>2001</v>
      </c>
      <c r="C673" t="s">
        <v>382</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c r="X673" s="19">
        <f ca="1">DATE(LifeExpectancyData[[#This Row],[Year]],RANDBETWEEN(1,12),1)</f>
        <v>37073</v>
      </c>
    </row>
    <row r="674" spans="1:24" x14ac:dyDescent="0.25">
      <c r="A674" t="s">
        <v>425</v>
      </c>
      <c r="B674">
        <v>2000</v>
      </c>
      <c r="C674" t="s">
        <v>382</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c r="X674" s="19">
        <f ca="1">DATE(LifeExpectancyData[[#This Row],[Year]],RANDBETWEEN(1,12),1)</f>
        <v>36831</v>
      </c>
    </row>
    <row r="675" spans="1:24" x14ac:dyDescent="0.25">
      <c r="A675" t="s">
        <v>426</v>
      </c>
      <c r="B675">
        <v>2015</v>
      </c>
      <c r="C675" t="s">
        <v>390</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c r="X675" s="19">
        <f ca="1">DATE(LifeExpectancyData[[#This Row],[Year]],RANDBETWEEN(1,12),1)</f>
        <v>42217</v>
      </c>
    </row>
    <row r="676" spans="1:24" x14ac:dyDescent="0.25">
      <c r="A676" t="s">
        <v>426</v>
      </c>
      <c r="B676">
        <v>2014</v>
      </c>
      <c r="C676" t="s">
        <v>390</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c r="X676" s="19">
        <f ca="1">DATE(LifeExpectancyData[[#This Row],[Year]],RANDBETWEEN(1,12),1)</f>
        <v>41913</v>
      </c>
    </row>
    <row r="677" spans="1:24" x14ac:dyDescent="0.25">
      <c r="A677" t="s">
        <v>426</v>
      </c>
      <c r="B677">
        <v>2013</v>
      </c>
      <c r="C677" t="s">
        <v>390</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c r="X677" s="19">
        <f ca="1">DATE(LifeExpectancyData[[#This Row],[Year]],RANDBETWEEN(1,12),1)</f>
        <v>41487</v>
      </c>
    </row>
    <row r="678" spans="1:24" x14ac:dyDescent="0.25">
      <c r="A678" t="s">
        <v>426</v>
      </c>
      <c r="B678">
        <v>2012</v>
      </c>
      <c r="C678" t="s">
        <v>390</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c r="X678" s="19">
        <f ca="1">DATE(LifeExpectancyData[[#This Row],[Year]],RANDBETWEEN(1,12),1)</f>
        <v>40909</v>
      </c>
    </row>
    <row r="679" spans="1:24" x14ac:dyDescent="0.25">
      <c r="A679" t="s">
        <v>426</v>
      </c>
      <c r="B679">
        <v>2011</v>
      </c>
      <c r="C679" t="s">
        <v>390</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c r="X679" s="19">
        <f ca="1">DATE(LifeExpectancyData[[#This Row],[Year]],RANDBETWEEN(1,12),1)</f>
        <v>40603</v>
      </c>
    </row>
    <row r="680" spans="1:24" x14ac:dyDescent="0.25">
      <c r="A680" t="s">
        <v>426</v>
      </c>
      <c r="B680">
        <v>2010</v>
      </c>
      <c r="C680" t="s">
        <v>390</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c r="X680" s="19">
        <f ca="1">DATE(LifeExpectancyData[[#This Row],[Year]],RANDBETWEEN(1,12),1)</f>
        <v>40179</v>
      </c>
    </row>
    <row r="681" spans="1:24" x14ac:dyDescent="0.25">
      <c r="A681" t="s">
        <v>426</v>
      </c>
      <c r="B681">
        <v>2009</v>
      </c>
      <c r="C681" t="s">
        <v>390</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c r="X681" s="19">
        <f ca="1">DATE(LifeExpectancyData[[#This Row],[Year]],RANDBETWEEN(1,12),1)</f>
        <v>40057</v>
      </c>
    </row>
    <row r="682" spans="1:24" x14ac:dyDescent="0.25">
      <c r="A682" t="s">
        <v>426</v>
      </c>
      <c r="B682">
        <v>2008</v>
      </c>
      <c r="C682" t="s">
        <v>390</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c r="X682" s="19">
        <f ca="1">DATE(LifeExpectancyData[[#This Row],[Year]],RANDBETWEEN(1,12),1)</f>
        <v>39783</v>
      </c>
    </row>
    <row r="683" spans="1:24" x14ac:dyDescent="0.25">
      <c r="A683" t="s">
        <v>426</v>
      </c>
      <c r="B683">
        <v>2007</v>
      </c>
      <c r="C683" t="s">
        <v>390</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c r="X683" s="19">
        <f ca="1">DATE(LifeExpectancyData[[#This Row],[Year]],RANDBETWEEN(1,12),1)</f>
        <v>39264</v>
      </c>
    </row>
    <row r="684" spans="1:24" x14ac:dyDescent="0.25">
      <c r="A684" t="s">
        <v>426</v>
      </c>
      <c r="B684">
        <v>2006</v>
      </c>
      <c r="C684" t="s">
        <v>390</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c r="X684" s="19">
        <f ca="1">DATE(LifeExpectancyData[[#This Row],[Year]],RANDBETWEEN(1,12),1)</f>
        <v>38749</v>
      </c>
    </row>
    <row r="685" spans="1:24" x14ac:dyDescent="0.25">
      <c r="A685" t="s">
        <v>426</v>
      </c>
      <c r="B685">
        <v>2005</v>
      </c>
      <c r="C685" t="s">
        <v>390</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c r="X685" s="19">
        <f ca="1">DATE(LifeExpectancyData[[#This Row],[Year]],RANDBETWEEN(1,12),1)</f>
        <v>38443</v>
      </c>
    </row>
    <row r="686" spans="1:24" x14ac:dyDescent="0.25">
      <c r="A686" t="s">
        <v>426</v>
      </c>
      <c r="B686">
        <v>2004</v>
      </c>
      <c r="C686" t="s">
        <v>390</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c r="X686" s="19">
        <f ca="1">DATE(LifeExpectancyData[[#This Row],[Year]],RANDBETWEEN(1,12),1)</f>
        <v>38261</v>
      </c>
    </row>
    <row r="687" spans="1:24" x14ac:dyDescent="0.25">
      <c r="A687" t="s">
        <v>426</v>
      </c>
      <c r="B687">
        <v>2003</v>
      </c>
      <c r="C687" t="s">
        <v>390</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c r="X687" s="19">
        <f ca="1">DATE(LifeExpectancyData[[#This Row],[Year]],RANDBETWEEN(1,12),1)</f>
        <v>37865</v>
      </c>
    </row>
    <row r="688" spans="1:24" x14ac:dyDescent="0.25">
      <c r="A688" t="s">
        <v>426</v>
      </c>
      <c r="B688">
        <v>2002</v>
      </c>
      <c r="C688" t="s">
        <v>390</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c r="X688" s="19">
        <f ca="1">DATE(LifeExpectancyData[[#This Row],[Year]],RANDBETWEEN(1,12),1)</f>
        <v>37347</v>
      </c>
    </row>
    <row r="689" spans="1:24" x14ac:dyDescent="0.25">
      <c r="A689" t="s">
        <v>426</v>
      </c>
      <c r="B689">
        <v>2001</v>
      </c>
      <c r="C689" t="s">
        <v>390</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c r="X689" s="19">
        <f ca="1">DATE(LifeExpectancyData[[#This Row],[Year]],RANDBETWEEN(1,12),1)</f>
        <v>37196</v>
      </c>
    </row>
    <row r="690" spans="1:24" x14ac:dyDescent="0.25">
      <c r="A690" t="s">
        <v>426</v>
      </c>
      <c r="B690">
        <v>2000</v>
      </c>
      <c r="C690" t="s">
        <v>390</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c r="X690" s="19">
        <f ca="1">DATE(LifeExpectancyData[[#This Row],[Year]],RANDBETWEEN(1,12),1)</f>
        <v>36770</v>
      </c>
    </row>
    <row r="691" spans="1:24" x14ac:dyDescent="0.25">
      <c r="A691" t="s">
        <v>427</v>
      </c>
      <c r="B691">
        <v>2015</v>
      </c>
      <c r="C691" t="s">
        <v>390</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c r="X691" s="19">
        <f ca="1">DATE(LifeExpectancyData[[#This Row],[Year]],RANDBETWEEN(1,12),1)</f>
        <v>42036</v>
      </c>
    </row>
    <row r="692" spans="1:24" x14ac:dyDescent="0.25">
      <c r="A692" t="s">
        <v>427</v>
      </c>
      <c r="B692">
        <v>2014</v>
      </c>
      <c r="C692" t="s">
        <v>390</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c r="X692" s="19">
        <f ca="1">DATE(LifeExpectancyData[[#This Row],[Year]],RANDBETWEEN(1,12),1)</f>
        <v>41640</v>
      </c>
    </row>
    <row r="693" spans="1:24" x14ac:dyDescent="0.25">
      <c r="A693" t="s">
        <v>427</v>
      </c>
      <c r="B693">
        <v>2013</v>
      </c>
      <c r="C693" t="s">
        <v>390</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c r="X693" s="19">
        <f ca="1">DATE(LifeExpectancyData[[#This Row],[Year]],RANDBETWEEN(1,12),1)</f>
        <v>41609</v>
      </c>
    </row>
    <row r="694" spans="1:24" x14ac:dyDescent="0.25">
      <c r="A694" t="s">
        <v>427</v>
      </c>
      <c r="B694">
        <v>2012</v>
      </c>
      <c r="C694" t="s">
        <v>390</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c r="X694" s="19">
        <f ca="1">DATE(LifeExpectancyData[[#This Row],[Year]],RANDBETWEEN(1,12),1)</f>
        <v>40940</v>
      </c>
    </row>
    <row r="695" spans="1:24" x14ac:dyDescent="0.25">
      <c r="A695" t="s">
        <v>427</v>
      </c>
      <c r="B695">
        <v>2011</v>
      </c>
      <c r="C695" t="s">
        <v>390</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c r="X695" s="19">
        <f ca="1">DATE(LifeExpectancyData[[#This Row],[Year]],RANDBETWEEN(1,12),1)</f>
        <v>40695</v>
      </c>
    </row>
    <row r="696" spans="1:24" x14ac:dyDescent="0.25">
      <c r="A696" t="s">
        <v>427</v>
      </c>
      <c r="B696">
        <v>2010</v>
      </c>
      <c r="C696" t="s">
        <v>390</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c r="X696" s="19">
        <f ca="1">DATE(LifeExpectancyData[[#This Row],[Year]],RANDBETWEEN(1,12),1)</f>
        <v>40179</v>
      </c>
    </row>
    <row r="697" spans="1:24" x14ac:dyDescent="0.25">
      <c r="A697" t="s">
        <v>427</v>
      </c>
      <c r="B697">
        <v>2009</v>
      </c>
      <c r="C697" t="s">
        <v>390</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c r="X697" s="19">
        <f ca="1">DATE(LifeExpectancyData[[#This Row],[Year]],RANDBETWEEN(1,12),1)</f>
        <v>39845</v>
      </c>
    </row>
    <row r="698" spans="1:24" x14ac:dyDescent="0.25">
      <c r="A698" t="s">
        <v>427</v>
      </c>
      <c r="B698">
        <v>2008</v>
      </c>
      <c r="C698" t="s">
        <v>390</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c r="X698" s="19">
        <f ca="1">DATE(LifeExpectancyData[[#This Row],[Year]],RANDBETWEEN(1,12),1)</f>
        <v>39722</v>
      </c>
    </row>
    <row r="699" spans="1:24" x14ac:dyDescent="0.25">
      <c r="A699" t="s">
        <v>427</v>
      </c>
      <c r="B699">
        <v>2007</v>
      </c>
      <c r="C699" t="s">
        <v>390</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c r="X699" s="19">
        <f ca="1">DATE(LifeExpectancyData[[#This Row],[Year]],RANDBETWEEN(1,12),1)</f>
        <v>39173</v>
      </c>
    </row>
    <row r="700" spans="1:24" x14ac:dyDescent="0.25">
      <c r="A700" t="s">
        <v>427</v>
      </c>
      <c r="B700">
        <v>2006</v>
      </c>
      <c r="C700" t="s">
        <v>390</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c r="X700" s="19">
        <f ca="1">DATE(LifeExpectancyData[[#This Row],[Year]],RANDBETWEEN(1,12),1)</f>
        <v>38991</v>
      </c>
    </row>
    <row r="701" spans="1:24" x14ac:dyDescent="0.25">
      <c r="A701" t="s">
        <v>427</v>
      </c>
      <c r="B701">
        <v>2005</v>
      </c>
      <c r="C701" t="s">
        <v>390</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c r="X701" s="19">
        <f ca="1">DATE(LifeExpectancyData[[#This Row],[Year]],RANDBETWEEN(1,12),1)</f>
        <v>38687</v>
      </c>
    </row>
    <row r="702" spans="1:24" x14ac:dyDescent="0.25">
      <c r="A702" t="s">
        <v>427</v>
      </c>
      <c r="B702">
        <v>2004</v>
      </c>
      <c r="C702" t="s">
        <v>390</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c r="X702" s="19">
        <f ca="1">DATE(LifeExpectancyData[[#This Row],[Year]],RANDBETWEEN(1,12),1)</f>
        <v>38018</v>
      </c>
    </row>
    <row r="703" spans="1:24" x14ac:dyDescent="0.25">
      <c r="A703" t="s">
        <v>427</v>
      </c>
      <c r="B703">
        <v>2003</v>
      </c>
      <c r="C703" t="s">
        <v>390</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c r="X703" s="19">
        <f ca="1">DATE(LifeExpectancyData[[#This Row],[Year]],RANDBETWEEN(1,12),1)</f>
        <v>37865</v>
      </c>
    </row>
    <row r="704" spans="1:24" x14ac:dyDescent="0.25">
      <c r="A704" t="s">
        <v>427</v>
      </c>
      <c r="B704">
        <v>2002</v>
      </c>
      <c r="C704" t="s">
        <v>390</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c r="X704" s="19">
        <f ca="1">DATE(LifeExpectancyData[[#This Row],[Year]],RANDBETWEEN(1,12),1)</f>
        <v>37288</v>
      </c>
    </row>
    <row r="705" spans="1:24" x14ac:dyDescent="0.25">
      <c r="A705" t="s">
        <v>427</v>
      </c>
      <c r="B705">
        <v>2001</v>
      </c>
      <c r="C705" t="s">
        <v>390</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c r="X705" s="19">
        <f ca="1">DATE(LifeExpectancyData[[#This Row],[Year]],RANDBETWEEN(1,12),1)</f>
        <v>36982</v>
      </c>
    </row>
    <row r="706" spans="1:24" x14ac:dyDescent="0.25">
      <c r="A706" t="s">
        <v>427</v>
      </c>
      <c r="B706">
        <v>2000</v>
      </c>
      <c r="C706" t="s">
        <v>390</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c r="X706" s="19">
        <f ca="1">DATE(LifeExpectancyData[[#This Row],[Year]],RANDBETWEEN(1,12),1)</f>
        <v>36526</v>
      </c>
    </row>
    <row r="707" spans="1:24" x14ac:dyDescent="0.25">
      <c r="A707" t="s">
        <v>428</v>
      </c>
      <c r="B707">
        <v>2015</v>
      </c>
      <c r="C707" t="s">
        <v>382</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c r="X707" s="19">
        <f ca="1">DATE(LifeExpectancyData[[#This Row],[Year]],RANDBETWEEN(1,12),1)</f>
        <v>42156</v>
      </c>
    </row>
    <row r="708" spans="1:24" x14ac:dyDescent="0.25">
      <c r="A708" t="s">
        <v>428</v>
      </c>
      <c r="B708">
        <v>2014</v>
      </c>
      <c r="C708" t="s">
        <v>382</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c r="X708" s="19">
        <f ca="1">DATE(LifeExpectancyData[[#This Row],[Year]],RANDBETWEEN(1,12),1)</f>
        <v>41883</v>
      </c>
    </row>
    <row r="709" spans="1:24" x14ac:dyDescent="0.25">
      <c r="A709" t="s">
        <v>428</v>
      </c>
      <c r="B709">
        <v>2013</v>
      </c>
      <c r="C709" t="s">
        <v>382</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c r="X709" s="19">
        <f ca="1">DATE(LifeExpectancyData[[#This Row],[Year]],RANDBETWEEN(1,12),1)</f>
        <v>41365</v>
      </c>
    </row>
    <row r="710" spans="1:24" x14ac:dyDescent="0.25">
      <c r="A710" t="s">
        <v>428</v>
      </c>
      <c r="B710">
        <v>2012</v>
      </c>
      <c r="C710" t="s">
        <v>382</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c r="X710" s="19">
        <f ca="1">DATE(LifeExpectancyData[[#This Row],[Year]],RANDBETWEEN(1,12),1)</f>
        <v>40940</v>
      </c>
    </row>
    <row r="711" spans="1:24" x14ac:dyDescent="0.25">
      <c r="A711" t="s">
        <v>428</v>
      </c>
      <c r="B711">
        <v>2011</v>
      </c>
      <c r="C711" t="s">
        <v>382</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c r="X711" s="19">
        <f ca="1">DATE(LifeExpectancyData[[#This Row],[Year]],RANDBETWEEN(1,12),1)</f>
        <v>40575</v>
      </c>
    </row>
    <row r="712" spans="1:24" x14ac:dyDescent="0.25">
      <c r="A712" t="s">
        <v>428</v>
      </c>
      <c r="B712">
        <v>2010</v>
      </c>
      <c r="C712" t="s">
        <v>382</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c r="X712" s="19">
        <f ca="1">DATE(LifeExpectancyData[[#This Row],[Year]],RANDBETWEEN(1,12),1)</f>
        <v>40330</v>
      </c>
    </row>
    <row r="713" spans="1:24" x14ac:dyDescent="0.25">
      <c r="A713" t="s">
        <v>428</v>
      </c>
      <c r="B713">
        <v>2009</v>
      </c>
      <c r="C713" t="s">
        <v>382</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c r="X713" s="19">
        <f ca="1">DATE(LifeExpectancyData[[#This Row],[Year]],RANDBETWEEN(1,12),1)</f>
        <v>40026</v>
      </c>
    </row>
    <row r="714" spans="1:24" x14ac:dyDescent="0.25">
      <c r="A714" t="s">
        <v>428</v>
      </c>
      <c r="B714">
        <v>2008</v>
      </c>
      <c r="C714" t="s">
        <v>382</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c r="X714" s="19">
        <f ca="1">DATE(LifeExpectancyData[[#This Row],[Year]],RANDBETWEEN(1,12),1)</f>
        <v>39692</v>
      </c>
    </row>
    <row r="715" spans="1:24" x14ac:dyDescent="0.25">
      <c r="A715" t="s">
        <v>428</v>
      </c>
      <c r="B715">
        <v>2007</v>
      </c>
      <c r="C715" t="s">
        <v>382</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c r="X715" s="19">
        <f ca="1">DATE(LifeExpectancyData[[#This Row],[Year]],RANDBETWEEN(1,12),1)</f>
        <v>39295</v>
      </c>
    </row>
    <row r="716" spans="1:24" x14ac:dyDescent="0.25">
      <c r="A716" t="s">
        <v>428</v>
      </c>
      <c r="B716">
        <v>2006</v>
      </c>
      <c r="C716" t="s">
        <v>382</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c r="X716" s="19">
        <f ca="1">DATE(LifeExpectancyData[[#This Row],[Year]],RANDBETWEEN(1,12),1)</f>
        <v>38718</v>
      </c>
    </row>
    <row r="717" spans="1:24" x14ac:dyDescent="0.25">
      <c r="A717" t="s">
        <v>428</v>
      </c>
      <c r="B717">
        <v>2005</v>
      </c>
      <c r="C717" t="s">
        <v>382</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c r="X717" s="19">
        <f ca="1">DATE(LifeExpectancyData[[#This Row],[Year]],RANDBETWEEN(1,12),1)</f>
        <v>38353</v>
      </c>
    </row>
    <row r="718" spans="1:24" x14ac:dyDescent="0.25">
      <c r="A718" t="s">
        <v>428</v>
      </c>
      <c r="B718">
        <v>2004</v>
      </c>
      <c r="C718" t="s">
        <v>382</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c r="X718" s="19">
        <f ca="1">DATE(LifeExpectancyData[[#This Row],[Year]],RANDBETWEEN(1,12),1)</f>
        <v>38139</v>
      </c>
    </row>
    <row r="719" spans="1:24" x14ac:dyDescent="0.25">
      <c r="A719" t="s">
        <v>428</v>
      </c>
      <c r="B719">
        <v>2003</v>
      </c>
      <c r="C719" t="s">
        <v>382</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c r="X719" s="19">
        <f ca="1">DATE(LifeExpectancyData[[#This Row],[Year]],RANDBETWEEN(1,12),1)</f>
        <v>37803</v>
      </c>
    </row>
    <row r="720" spans="1:24" x14ac:dyDescent="0.25">
      <c r="A720" t="s">
        <v>428</v>
      </c>
      <c r="B720">
        <v>2002</v>
      </c>
      <c r="C720" t="s">
        <v>382</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c r="X720" s="19">
        <f ca="1">DATE(LifeExpectancyData[[#This Row],[Year]],RANDBETWEEN(1,12),1)</f>
        <v>37377</v>
      </c>
    </row>
    <row r="721" spans="1:24" x14ac:dyDescent="0.25">
      <c r="A721" t="s">
        <v>428</v>
      </c>
      <c r="B721">
        <v>2001</v>
      </c>
      <c r="C721" t="s">
        <v>382</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c r="X721" s="19">
        <f ca="1">DATE(LifeExpectancyData[[#This Row],[Year]],RANDBETWEEN(1,12),1)</f>
        <v>36892</v>
      </c>
    </row>
    <row r="722" spans="1:24" x14ac:dyDescent="0.25">
      <c r="A722" t="s">
        <v>428</v>
      </c>
      <c r="B722">
        <v>2000</v>
      </c>
      <c r="C722" t="s">
        <v>382</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c r="X722" s="19">
        <f ca="1">DATE(LifeExpectancyData[[#This Row],[Year]],RANDBETWEEN(1,12),1)</f>
        <v>36557</v>
      </c>
    </row>
    <row r="723" spans="1:24" x14ac:dyDescent="0.25">
      <c r="A723" t="s">
        <v>429</v>
      </c>
      <c r="B723">
        <v>2015</v>
      </c>
      <c r="C723" t="s">
        <v>382</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c r="X723" s="19">
        <f ca="1">DATE(LifeExpectancyData[[#This Row],[Year]],RANDBETWEEN(1,12),1)</f>
        <v>42005</v>
      </c>
    </row>
    <row r="724" spans="1:24" x14ac:dyDescent="0.25">
      <c r="A724" t="s">
        <v>429</v>
      </c>
      <c r="B724">
        <v>2014</v>
      </c>
      <c r="C724" t="s">
        <v>382</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c r="X724" s="19">
        <f ca="1">DATE(LifeExpectancyData[[#This Row],[Year]],RANDBETWEEN(1,12),1)</f>
        <v>41730</v>
      </c>
    </row>
    <row r="725" spans="1:24" x14ac:dyDescent="0.25">
      <c r="A725" t="s">
        <v>429</v>
      </c>
      <c r="B725">
        <v>2013</v>
      </c>
      <c r="C725" t="s">
        <v>382</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c r="X725" s="19">
        <f ca="1">DATE(LifeExpectancyData[[#This Row],[Year]],RANDBETWEEN(1,12),1)</f>
        <v>41275</v>
      </c>
    </row>
    <row r="726" spans="1:24" x14ac:dyDescent="0.25">
      <c r="A726" t="s">
        <v>429</v>
      </c>
      <c r="B726">
        <v>2012</v>
      </c>
      <c r="C726" t="s">
        <v>382</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c r="X726" s="19">
        <f ca="1">DATE(LifeExpectancyData[[#This Row],[Year]],RANDBETWEEN(1,12),1)</f>
        <v>41000</v>
      </c>
    </row>
    <row r="727" spans="1:24" x14ac:dyDescent="0.25">
      <c r="A727" t="s">
        <v>429</v>
      </c>
      <c r="B727">
        <v>2011</v>
      </c>
      <c r="C727" t="s">
        <v>382</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c r="X727" s="19">
        <f ca="1">DATE(LifeExpectancyData[[#This Row],[Year]],RANDBETWEEN(1,12),1)</f>
        <v>40575</v>
      </c>
    </row>
    <row r="728" spans="1:24" x14ac:dyDescent="0.25">
      <c r="A728" t="s">
        <v>429</v>
      </c>
      <c r="B728">
        <v>2010</v>
      </c>
      <c r="C728" t="s">
        <v>382</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c r="X728" s="19">
        <f ca="1">DATE(LifeExpectancyData[[#This Row],[Year]],RANDBETWEEN(1,12),1)</f>
        <v>40238</v>
      </c>
    </row>
    <row r="729" spans="1:24" x14ac:dyDescent="0.25">
      <c r="A729" t="s">
        <v>429</v>
      </c>
      <c r="B729">
        <v>2009</v>
      </c>
      <c r="C729" t="s">
        <v>382</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c r="X729" s="19">
        <f ca="1">DATE(LifeExpectancyData[[#This Row],[Year]],RANDBETWEEN(1,12),1)</f>
        <v>39814</v>
      </c>
    </row>
    <row r="730" spans="1:24" x14ac:dyDescent="0.25">
      <c r="A730" t="s">
        <v>429</v>
      </c>
      <c r="B730">
        <v>2008</v>
      </c>
      <c r="C730" t="s">
        <v>382</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c r="X730" s="19">
        <f ca="1">DATE(LifeExpectancyData[[#This Row],[Year]],RANDBETWEEN(1,12),1)</f>
        <v>39508</v>
      </c>
    </row>
    <row r="731" spans="1:24" x14ac:dyDescent="0.25">
      <c r="A731" t="s">
        <v>429</v>
      </c>
      <c r="B731">
        <v>2007</v>
      </c>
      <c r="C731" t="s">
        <v>382</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c r="X731" s="19">
        <f ca="1">DATE(LifeExpectancyData[[#This Row],[Year]],RANDBETWEEN(1,12),1)</f>
        <v>39326</v>
      </c>
    </row>
    <row r="732" spans="1:24" x14ac:dyDescent="0.25">
      <c r="A732" t="s">
        <v>429</v>
      </c>
      <c r="B732">
        <v>2006</v>
      </c>
      <c r="C732" t="s">
        <v>382</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c r="X732" s="19">
        <f ca="1">DATE(LifeExpectancyData[[#This Row],[Year]],RANDBETWEEN(1,12),1)</f>
        <v>39052</v>
      </c>
    </row>
    <row r="733" spans="1:24" x14ac:dyDescent="0.25">
      <c r="A733" t="s">
        <v>429</v>
      </c>
      <c r="B733">
        <v>2005</v>
      </c>
      <c r="C733" t="s">
        <v>382</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c r="X733" s="19">
        <f ca="1">DATE(LifeExpectancyData[[#This Row],[Year]],RANDBETWEEN(1,12),1)</f>
        <v>38473</v>
      </c>
    </row>
    <row r="734" spans="1:24" x14ac:dyDescent="0.25">
      <c r="A734" t="s">
        <v>429</v>
      </c>
      <c r="B734">
        <v>2004</v>
      </c>
      <c r="C734" t="s">
        <v>382</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c r="X734" s="19">
        <f ca="1">DATE(LifeExpectancyData[[#This Row],[Year]],RANDBETWEEN(1,12),1)</f>
        <v>38322</v>
      </c>
    </row>
    <row r="735" spans="1:24" x14ac:dyDescent="0.25">
      <c r="A735" t="s">
        <v>429</v>
      </c>
      <c r="B735">
        <v>2003</v>
      </c>
      <c r="C735" t="s">
        <v>382</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c r="X735" s="19">
        <f ca="1">DATE(LifeExpectancyData[[#This Row],[Year]],RANDBETWEEN(1,12),1)</f>
        <v>37895</v>
      </c>
    </row>
    <row r="736" spans="1:24" x14ac:dyDescent="0.25">
      <c r="A736" t="s">
        <v>429</v>
      </c>
      <c r="B736">
        <v>2002</v>
      </c>
      <c r="C736" t="s">
        <v>382</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c r="X736" s="19">
        <f ca="1">DATE(LifeExpectancyData[[#This Row],[Year]],RANDBETWEEN(1,12),1)</f>
        <v>37530</v>
      </c>
    </row>
    <row r="737" spans="1:24" x14ac:dyDescent="0.25">
      <c r="A737" t="s">
        <v>429</v>
      </c>
      <c r="B737">
        <v>2001</v>
      </c>
      <c r="C737" t="s">
        <v>382</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c r="X737" s="19">
        <f ca="1">DATE(LifeExpectancyData[[#This Row],[Year]],RANDBETWEEN(1,12),1)</f>
        <v>37073</v>
      </c>
    </row>
    <row r="738" spans="1:24" x14ac:dyDescent="0.25">
      <c r="A738" t="s">
        <v>429</v>
      </c>
      <c r="B738">
        <v>2000</v>
      </c>
      <c r="C738" t="s">
        <v>382</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c r="X738" s="19">
        <f ca="1">DATE(LifeExpectancyData[[#This Row],[Year]],RANDBETWEEN(1,12),1)</f>
        <v>36800</v>
      </c>
    </row>
    <row r="739" spans="1:24" x14ac:dyDescent="0.25">
      <c r="A739" t="s">
        <v>430</v>
      </c>
      <c r="B739">
        <v>2015</v>
      </c>
      <c r="C739" t="s">
        <v>390</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c r="X739" s="19">
        <f ca="1">DATE(LifeExpectancyData[[#This Row],[Year]],RANDBETWEEN(1,12),1)</f>
        <v>42005</v>
      </c>
    </row>
    <row r="740" spans="1:24" x14ac:dyDescent="0.25">
      <c r="A740" t="s">
        <v>430</v>
      </c>
      <c r="B740">
        <v>2014</v>
      </c>
      <c r="C740" t="s">
        <v>390</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c r="X740" s="19">
        <f ca="1">DATE(LifeExpectancyData[[#This Row],[Year]],RANDBETWEEN(1,12),1)</f>
        <v>41821</v>
      </c>
    </row>
    <row r="741" spans="1:24" x14ac:dyDescent="0.25">
      <c r="A741" t="s">
        <v>430</v>
      </c>
      <c r="B741">
        <v>2013</v>
      </c>
      <c r="C741" t="s">
        <v>390</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c r="X741" s="19">
        <f ca="1">DATE(LifeExpectancyData[[#This Row],[Year]],RANDBETWEEN(1,12),1)</f>
        <v>41306</v>
      </c>
    </row>
    <row r="742" spans="1:24" x14ac:dyDescent="0.25">
      <c r="A742" t="s">
        <v>430</v>
      </c>
      <c r="B742">
        <v>2012</v>
      </c>
      <c r="C742" t="s">
        <v>390</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c r="X742" s="19">
        <f ca="1">DATE(LifeExpectancyData[[#This Row],[Year]],RANDBETWEEN(1,12),1)</f>
        <v>41000</v>
      </c>
    </row>
    <row r="743" spans="1:24" x14ac:dyDescent="0.25">
      <c r="A743" t="s">
        <v>430</v>
      </c>
      <c r="B743">
        <v>2011</v>
      </c>
      <c r="C743" t="s">
        <v>390</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c r="X743" s="19">
        <f ca="1">DATE(LifeExpectancyData[[#This Row],[Year]],RANDBETWEEN(1,12),1)</f>
        <v>40664</v>
      </c>
    </row>
    <row r="744" spans="1:24" x14ac:dyDescent="0.25">
      <c r="A744" t="s">
        <v>430</v>
      </c>
      <c r="B744">
        <v>2010</v>
      </c>
      <c r="C744" t="s">
        <v>390</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c r="X744" s="19">
        <f ca="1">DATE(LifeExpectancyData[[#This Row],[Year]],RANDBETWEEN(1,12),1)</f>
        <v>40391</v>
      </c>
    </row>
    <row r="745" spans="1:24" x14ac:dyDescent="0.25">
      <c r="A745" t="s">
        <v>430</v>
      </c>
      <c r="B745">
        <v>2009</v>
      </c>
      <c r="C745" t="s">
        <v>390</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c r="X745" s="19">
        <f ca="1">DATE(LifeExpectancyData[[#This Row],[Year]],RANDBETWEEN(1,12),1)</f>
        <v>40057</v>
      </c>
    </row>
    <row r="746" spans="1:24" x14ac:dyDescent="0.25">
      <c r="A746" t="s">
        <v>430</v>
      </c>
      <c r="B746">
        <v>2008</v>
      </c>
      <c r="C746" t="s">
        <v>390</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c r="X746" s="19">
        <f ca="1">DATE(LifeExpectancyData[[#This Row],[Year]],RANDBETWEEN(1,12),1)</f>
        <v>39479</v>
      </c>
    </row>
    <row r="747" spans="1:24" x14ac:dyDescent="0.25">
      <c r="A747" t="s">
        <v>430</v>
      </c>
      <c r="B747">
        <v>2007</v>
      </c>
      <c r="C747" t="s">
        <v>390</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c r="X747" s="19">
        <f ca="1">DATE(LifeExpectancyData[[#This Row],[Year]],RANDBETWEEN(1,12),1)</f>
        <v>39203</v>
      </c>
    </row>
    <row r="748" spans="1:24" x14ac:dyDescent="0.25">
      <c r="A748" t="s">
        <v>430</v>
      </c>
      <c r="B748">
        <v>2006</v>
      </c>
      <c r="C748" t="s">
        <v>390</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c r="X748" s="19">
        <f ca="1">DATE(LifeExpectancyData[[#This Row],[Year]],RANDBETWEEN(1,12),1)</f>
        <v>38991</v>
      </c>
    </row>
    <row r="749" spans="1:24" x14ac:dyDescent="0.25">
      <c r="A749" t="s">
        <v>430</v>
      </c>
      <c r="B749">
        <v>2005</v>
      </c>
      <c r="C749" t="s">
        <v>390</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c r="X749" s="19">
        <f ca="1">DATE(LifeExpectancyData[[#This Row],[Year]],RANDBETWEEN(1,12),1)</f>
        <v>38353</v>
      </c>
    </row>
    <row r="750" spans="1:24" x14ac:dyDescent="0.25">
      <c r="A750" t="s">
        <v>430</v>
      </c>
      <c r="B750">
        <v>2004</v>
      </c>
      <c r="C750" t="s">
        <v>390</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c r="X750" s="19">
        <f ca="1">DATE(LifeExpectancyData[[#This Row],[Year]],RANDBETWEEN(1,12),1)</f>
        <v>38108</v>
      </c>
    </row>
    <row r="751" spans="1:24" x14ac:dyDescent="0.25">
      <c r="A751" t="s">
        <v>430</v>
      </c>
      <c r="B751">
        <v>2003</v>
      </c>
      <c r="C751" t="s">
        <v>390</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c r="X751" s="19">
        <f ca="1">DATE(LifeExpectancyData[[#This Row],[Year]],RANDBETWEEN(1,12),1)</f>
        <v>37865</v>
      </c>
    </row>
    <row r="752" spans="1:24" x14ac:dyDescent="0.25">
      <c r="A752" t="s">
        <v>430</v>
      </c>
      <c r="B752">
        <v>2002</v>
      </c>
      <c r="C752" t="s">
        <v>390</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c r="X752" s="19">
        <f ca="1">DATE(LifeExpectancyData[[#This Row],[Year]],RANDBETWEEN(1,12),1)</f>
        <v>37408</v>
      </c>
    </row>
    <row r="753" spans="1:24" x14ac:dyDescent="0.25">
      <c r="A753" t="s">
        <v>430</v>
      </c>
      <c r="B753">
        <v>2001</v>
      </c>
      <c r="C753" t="s">
        <v>390</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c r="X753" s="19">
        <f ca="1">DATE(LifeExpectancyData[[#This Row],[Year]],RANDBETWEEN(1,12),1)</f>
        <v>37226</v>
      </c>
    </row>
    <row r="754" spans="1:24" x14ac:dyDescent="0.25">
      <c r="A754" t="s">
        <v>430</v>
      </c>
      <c r="B754">
        <v>2000</v>
      </c>
      <c r="C754" t="s">
        <v>390</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c r="X754" s="19">
        <f ca="1">DATE(LifeExpectancyData[[#This Row],[Year]],RANDBETWEEN(1,12),1)</f>
        <v>36831</v>
      </c>
    </row>
    <row r="755" spans="1:24" x14ac:dyDescent="0.25">
      <c r="A755" t="s">
        <v>431</v>
      </c>
      <c r="B755">
        <v>2015</v>
      </c>
      <c r="C755" t="s">
        <v>382</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c r="X755" s="19">
        <f ca="1">DATE(LifeExpectancyData[[#This Row],[Year]],RANDBETWEEN(1,12),1)</f>
        <v>42309</v>
      </c>
    </row>
    <row r="756" spans="1:24" x14ac:dyDescent="0.25">
      <c r="A756" t="s">
        <v>431</v>
      </c>
      <c r="B756">
        <v>2014</v>
      </c>
      <c r="C756" t="s">
        <v>382</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c r="X756" s="19">
        <f ca="1">DATE(LifeExpectancyData[[#This Row],[Year]],RANDBETWEEN(1,12),1)</f>
        <v>41944</v>
      </c>
    </row>
    <row r="757" spans="1:24" x14ac:dyDescent="0.25">
      <c r="A757" t="s">
        <v>431</v>
      </c>
      <c r="B757">
        <v>2013</v>
      </c>
      <c r="C757" t="s">
        <v>382</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c r="X757" s="19">
        <f ca="1">DATE(LifeExpectancyData[[#This Row],[Year]],RANDBETWEEN(1,12),1)</f>
        <v>41548</v>
      </c>
    </row>
    <row r="758" spans="1:24" x14ac:dyDescent="0.25">
      <c r="A758" t="s">
        <v>431</v>
      </c>
      <c r="B758">
        <v>2012</v>
      </c>
      <c r="C758" t="s">
        <v>382</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c r="X758" s="19">
        <f ca="1">DATE(LifeExpectancyData[[#This Row],[Year]],RANDBETWEEN(1,12),1)</f>
        <v>41183</v>
      </c>
    </row>
    <row r="759" spans="1:24" x14ac:dyDescent="0.25">
      <c r="A759" t="s">
        <v>431</v>
      </c>
      <c r="B759">
        <v>2011</v>
      </c>
      <c r="C759" t="s">
        <v>382</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c r="X759" s="19">
        <f ca="1">DATE(LifeExpectancyData[[#This Row],[Year]],RANDBETWEEN(1,12),1)</f>
        <v>40878</v>
      </c>
    </row>
    <row r="760" spans="1:24" x14ac:dyDescent="0.25">
      <c r="A760" t="s">
        <v>431</v>
      </c>
      <c r="B760">
        <v>2010</v>
      </c>
      <c r="C760" t="s">
        <v>382</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c r="X760" s="19">
        <f ca="1">DATE(LifeExpectancyData[[#This Row],[Year]],RANDBETWEEN(1,12),1)</f>
        <v>40238</v>
      </c>
    </row>
    <row r="761" spans="1:24" x14ac:dyDescent="0.25">
      <c r="A761" t="s">
        <v>431</v>
      </c>
      <c r="B761">
        <v>2009</v>
      </c>
      <c r="C761" t="s">
        <v>382</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c r="X761" s="19">
        <f ca="1">DATE(LifeExpectancyData[[#This Row],[Year]],RANDBETWEEN(1,12),1)</f>
        <v>40026</v>
      </c>
    </row>
    <row r="762" spans="1:24" x14ac:dyDescent="0.25">
      <c r="A762" t="s">
        <v>431</v>
      </c>
      <c r="B762">
        <v>2008</v>
      </c>
      <c r="C762" t="s">
        <v>382</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c r="X762" s="19">
        <f ca="1">DATE(LifeExpectancyData[[#This Row],[Year]],RANDBETWEEN(1,12),1)</f>
        <v>39539</v>
      </c>
    </row>
    <row r="763" spans="1:24" x14ac:dyDescent="0.25">
      <c r="A763" t="s">
        <v>431</v>
      </c>
      <c r="B763">
        <v>2007</v>
      </c>
      <c r="C763" t="s">
        <v>382</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c r="X763" s="19">
        <f ca="1">DATE(LifeExpectancyData[[#This Row],[Year]],RANDBETWEEN(1,12),1)</f>
        <v>39142</v>
      </c>
    </row>
    <row r="764" spans="1:24" x14ac:dyDescent="0.25">
      <c r="A764" t="s">
        <v>431</v>
      </c>
      <c r="B764">
        <v>2006</v>
      </c>
      <c r="C764" t="s">
        <v>382</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c r="X764" s="19">
        <f ca="1">DATE(LifeExpectancyData[[#This Row],[Year]],RANDBETWEEN(1,12),1)</f>
        <v>38838</v>
      </c>
    </row>
    <row r="765" spans="1:24" x14ac:dyDescent="0.25">
      <c r="A765" t="s">
        <v>431</v>
      </c>
      <c r="B765">
        <v>2005</v>
      </c>
      <c r="C765" t="s">
        <v>382</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c r="X765" s="19">
        <f ca="1">DATE(LifeExpectancyData[[#This Row],[Year]],RANDBETWEEN(1,12),1)</f>
        <v>38657</v>
      </c>
    </row>
    <row r="766" spans="1:24" x14ac:dyDescent="0.25">
      <c r="A766" t="s">
        <v>431</v>
      </c>
      <c r="B766">
        <v>2004</v>
      </c>
      <c r="C766" t="s">
        <v>382</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c r="X766" s="19">
        <f ca="1">DATE(LifeExpectancyData[[#This Row],[Year]],RANDBETWEEN(1,12),1)</f>
        <v>38108</v>
      </c>
    </row>
    <row r="767" spans="1:24" x14ac:dyDescent="0.25">
      <c r="A767" t="s">
        <v>431</v>
      </c>
      <c r="B767">
        <v>2003</v>
      </c>
      <c r="C767" t="s">
        <v>382</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c r="X767" s="19">
        <f ca="1">DATE(LifeExpectancyData[[#This Row],[Year]],RANDBETWEEN(1,12),1)</f>
        <v>37653</v>
      </c>
    </row>
    <row r="768" spans="1:24" x14ac:dyDescent="0.25">
      <c r="A768" t="s">
        <v>431</v>
      </c>
      <c r="B768">
        <v>2002</v>
      </c>
      <c r="C768" t="s">
        <v>382</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c r="X768" s="19">
        <f ca="1">DATE(LifeExpectancyData[[#This Row],[Year]],RANDBETWEEN(1,12),1)</f>
        <v>37257</v>
      </c>
    </row>
    <row r="769" spans="1:24" x14ac:dyDescent="0.25">
      <c r="A769" t="s">
        <v>431</v>
      </c>
      <c r="B769">
        <v>2001</v>
      </c>
      <c r="C769" t="s">
        <v>382</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c r="X769" s="19">
        <f ca="1">DATE(LifeExpectancyData[[#This Row],[Year]],RANDBETWEEN(1,12),1)</f>
        <v>36923</v>
      </c>
    </row>
    <row r="770" spans="1:24" x14ac:dyDescent="0.25">
      <c r="A770" t="s">
        <v>431</v>
      </c>
      <c r="B770">
        <v>2000</v>
      </c>
      <c r="C770" t="s">
        <v>382</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c r="X770" s="19">
        <f ca="1">DATE(LifeExpectancyData[[#This Row],[Year]],RANDBETWEEN(1,12),1)</f>
        <v>36831</v>
      </c>
    </row>
    <row r="771" spans="1:24" x14ac:dyDescent="0.25">
      <c r="A771" t="s">
        <v>432</v>
      </c>
      <c r="B771">
        <v>2013</v>
      </c>
      <c r="C771" t="s">
        <v>382</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c r="X771" s="19">
        <f ca="1">DATE(LifeExpectancyData[[#This Row],[Year]],RANDBETWEEN(1,12),1)</f>
        <v>41579</v>
      </c>
    </row>
    <row r="772" spans="1:24" x14ac:dyDescent="0.25">
      <c r="A772" t="s">
        <v>433</v>
      </c>
      <c r="B772">
        <v>2015</v>
      </c>
      <c r="C772" t="s">
        <v>382</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c r="X772" s="19">
        <f ca="1">DATE(LifeExpectancyData[[#This Row],[Year]],RANDBETWEEN(1,12),1)</f>
        <v>42339</v>
      </c>
    </row>
    <row r="773" spans="1:24" x14ac:dyDescent="0.25">
      <c r="A773" t="s">
        <v>433</v>
      </c>
      <c r="B773">
        <v>2014</v>
      </c>
      <c r="C773" t="s">
        <v>382</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c r="X773" s="19">
        <f ca="1">DATE(LifeExpectancyData[[#This Row],[Year]],RANDBETWEEN(1,12),1)</f>
        <v>41821</v>
      </c>
    </row>
    <row r="774" spans="1:24" x14ac:dyDescent="0.25">
      <c r="A774" t="s">
        <v>433</v>
      </c>
      <c r="B774">
        <v>2013</v>
      </c>
      <c r="C774" t="s">
        <v>382</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c r="X774" s="19">
        <f ca="1">DATE(LifeExpectancyData[[#This Row],[Year]],RANDBETWEEN(1,12),1)</f>
        <v>41487</v>
      </c>
    </row>
    <row r="775" spans="1:24" x14ac:dyDescent="0.25">
      <c r="A775" t="s">
        <v>433</v>
      </c>
      <c r="B775">
        <v>2012</v>
      </c>
      <c r="C775" t="s">
        <v>382</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c r="X775" s="19">
        <f ca="1">DATE(LifeExpectancyData[[#This Row],[Year]],RANDBETWEEN(1,12),1)</f>
        <v>41091</v>
      </c>
    </row>
    <row r="776" spans="1:24" x14ac:dyDescent="0.25">
      <c r="A776" t="s">
        <v>433</v>
      </c>
      <c r="B776">
        <v>2011</v>
      </c>
      <c r="C776" t="s">
        <v>382</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c r="X776" s="19">
        <f ca="1">DATE(LifeExpectancyData[[#This Row],[Year]],RANDBETWEEN(1,12),1)</f>
        <v>40817</v>
      </c>
    </row>
    <row r="777" spans="1:24" x14ac:dyDescent="0.25">
      <c r="A777" t="s">
        <v>433</v>
      </c>
      <c r="B777">
        <v>2010</v>
      </c>
      <c r="C777" t="s">
        <v>382</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c r="X777" s="19">
        <f ca="1">DATE(LifeExpectancyData[[#This Row],[Year]],RANDBETWEEN(1,12),1)</f>
        <v>40269</v>
      </c>
    </row>
    <row r="778" spans="1:24" x14ac:dyDescent="0.25">
      <c r="A778" t="s">
        <v>433</v>
      </c>
      <c r="B778">
        <v>2009</v>
      </c>
      <c r="C778" t="s">
        <v>382</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c r="X778" s="19">
        <f ca="1">DATE(LifeExpectancyData[[#This Row],[Year]],RANDBETWEEN(1,12),1)</f>
        <v>40057</v>
      </c>
    </row>
    <row r="779" spans="1:24" x14ac:dyDescent="0.25">
      <c r="A779" t="s">
        <v>433</v>
      </c>
      <c r="B779">
        <v>2008</v>
      </c>
      <c r="C779" t="s">
        <v>382</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c r="X779" s="19">
        <f ca="1">DATE(LifeExpectancyData[[#This Row],[Year]],RANDBETWEEN(1,12),1)</f>
        <v>39508</v>
      </c>
    </row>
    <row r="780" spans="1:24" x14ac:dyDescent="0.25">
      <c r="A780" t="s">
        <v>433</v>
      </c>
      <c r="B780">
        <v>2007</v>
      </c>
      <c r="C780" t="s">
        <v>382</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c r="X780" s="19">
        <f ca="1">DATE(LifeExpectancyData[[#This Row],[Year]],RANDBETWEEN(1,12),1)</f>
        <v>39295</v>
      </c>
    </row>
    <row r="781" spans="1:24" x14ac:dyDescent="0.25">
      <c r="A781" t="s">
        <v>433</v>
      </c>
      <c r="B781">
        <v>2006</v>
      </c>
      <c r="C781" t="s">
        <v>382</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c r="X781" s="19">
        <f ca="1">DATE(LifeExpectancyData[[#This Row],[Year]],RANDBETWEEN(1,12),1)</f>
        <v>38718</v>
      </c>
    </row>
    <row r="782" spans="1:24" x14ac:dyDescent="0.25">
      <c r="A782" t="s">
        <v>433</v>
      </c>
      <c r="B782">
        <v>2005</v>
      </c>
      <c r="C782" t="s">
        <v>382</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c r="X782" s="19">
        <f ca="1">DATE(LifeExpectancyData[[#This Row],[Year]],RANDBETWEEN(1,12),1)</f>
        <v>38596</v>
      </c>
    </row>
    <row r="783" spans="1:24" x14ac:dyDescent="0.25">
      <c r="A783" t="s">
        <v>433</v>
      </c>
      <c r="B783">
        <v>2004</v>
      </c>
      <c r="C783" t="s">
        <v>382</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c r="X783" s="19">
        <f ca="1">DATE(LifeExpectancyData[[#This Row],[Year]],RANDBETWEEN(1,12),1)</f>
        <v>38169</v>
      </c>
    </row>
    <row r="784" spans="1:24" x14ac:dyDescent="0.25">
      <c r="A784" t="s">
        <v>433</v>
      </c>
      <c r="B784">
        <v>2003</v>
      </c>
      <c r="C784" t="s">
        <v>382</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c r="X784" s="19">
        <f ca="1">DATE(LifeExpectancyData[[#This Row],[Year]],RANDBETWEEN(1,12),1)</f>
        <v>37773</v>
      </c>
    </row>
    <row r="785" spans="1:24" x14ac:dyDescent="0.25">
      <c r="A785" t="s">
        <v>433</v>
      </c>
      <c r="B785">
        <v>2002</v>
      </c>
      <c r="C785" t="s">
        <v>382</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c r="X785" s="19">
        <f ca="1">DATE(LifeExpectancyData[[#This Row],[Year]],RANDBETWEEN(1,12),1)</f>
        <v>37561</v>
      </c>
    </row>
    <row r="786" spans="1:24" x14ac:dyDescent="0.25">
      <c r="A786" t="s">
        <v>433</v>
      </c>
      <c r="B786">
        <v>2001</v>
      </c>
      <c r="C786" t="s">
        <v>382</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c r="X786" s="19">
        <f ca="1">DATE(LifeExpectancyData[[#This Row],[Year]],RANDBETWEEN(1,12),1)</f>
        <v>37135</v>
      </c>
    </row>
    <row r="787" spans="1:24" x14ac:dyDescent="0.25">
      <c r="A787" t="s">
        <v>433</v>
      </c>
      <c r="B787">
        <v>2000</v>
      </c>
      <c r="C787" t="s">
        <v>382</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c r="X787" s="19">
        <f ca="1">DATE(LifeExpectancyData[[#This Row],[Year]],RANDBETWEEN(1,12),1)</f>
        <v>36739</v>
      </c>
    </row>
    <row r="788" spans="1:24" x14ac:dyDescent="0.25">
      <c r="A788" t="s">
        <v>434</v>
      </c>
      <c r="B788">
        <v>2015</v>
      </c>
      <c r="C788" t="s">
        <v>382</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c r="X788" s="19">
        <f ca="1">DATE(LifeExpectancyData[[#This Row],[Year]],RANDBETWEEN(1,12),1)</f>
        <v>42125</v>
      </c>
    </row>
    <row r="789" spans="1:24" x14ac:dyDescent="0.25">
      <c r="A789" t="s">
        <v>434</v>
      </c>
      <c r="B789">
        <v>2014</v>
      </c>
      <c r="C789" t="s">
        <v>382</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c r="X789" s="19">
        <f ca="1">DATE(LifeExpectancyData[[#This Row],[Year]],RANDBETWEEN(1,12),1)</f>
        <v>41760</v>
      </c>
    </row>
    <row r="790" spans="1:24" x14ac:dyDescent="0.25">
      <c r="A790" t="s">
        <v>434</v>
      </c>
      <c r="B790">
        <v>2013</v>
      </c>
      <c r="C790" t="s">
        <v>382</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c r="X790" s="19">
        <f ca="1">DATE(LifeExpectancyData[[#This Row],[Year]],RANDBETWEEN(1,12),1)</f>
        <v>41395</v>
      </c>
    </row>
    <row r="791" spans="1:24" x14ac:dyDescent="0.25">
      <c r="A791" t="s">
        <v>434</v>
      </c>
      <c r="B791">
        <v>2012</v>
      </c>
      <c r="C791" t="s">
        <v>382</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c r="X791" s="19">
        <f ca="1">DATE(LifeExpectancyData[[#This Row],[Year]],RANDBETWEEN(1,12),1)</f>
        <v>41153</v>
      </c>
    </row>
    <row r="792" spans="1:24" x14ac:dyDescent="0.25">
      <c r="A792" t="s">
        <v>434</v>
      </c>
      <c r="B792">
        <v>2011</v>
      </c>
      <c r="C792" t="s">
        <v>382</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c r="X792" s="19">
        <f ca="1">DATE(LifeExpectancyData[[#This Row],[Year]],RANDBETWEEN(1,12),1)</f>
        <v>40756</v>
      </c>
    </row>
    <row r="793" spans="1:24" x14ac:dyDescent="0.25">
      <c r="A793" t="s">
        <v>434</v>
      </c>
      <c r="B793">
        <v>2010</v>
      </c>
      <c r="C793" t="s">
        <v>382</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c r="X793" s="19">
        <f ca="1">DATE(LifeExpectancyData[[#This Row],[Year]],RANDBETWEEN(1,12),1)</f>
        <v>40179</v>
      </c>
    </row>
    <row r="794" spans="1:24" x14ac:dyDescent="0.25">
      <c r="A794" t="s">
        <v>434</v>
      </c>
      <c r="B794">
        <v>2009</v>
      </c>
      <c r="C794" t="s">
        <v>382</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c r="X794" s="19">
        <f ca="1">DATE(LifeExpectancyData[[#This Row],[Year]],RANDBETWEEN(1,12),1)</f>
        <v>40057</v>
      </c>
    </row>
    <row r="795" spans="1:24" x14ac:dyDescent="0.25">
      <c r="A795" t="s">
        <v>434</v>
      </c>
      <c r="B795">
        <v>2008</v>
      </c>
      <c r="C795" t="s">
        <v>382</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c r="X795" s="19">
        <f ca="1">DATE(LifeExpectancyData[[#This Row],[Year]],RANDBETWEEN(1,12),1)</f>
        <v>39539</v>
      </c>
    </row>
    <row r="796" spans="1:24" x14ac:dyDescent="0.25">
      <c r="A796" t="s">
        <v>434</v>
      </c>
      <c r="B796">
        <v>2007</v>
      </c>
      <c r="C796" t="s">
        <v>382</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c r="X796" s="19">
        <f ca="1">DATE(LifeExpectancyData[[#This Row],[Year]],RANDBETWEEN(1,12),1)</f>
        <v>39387</v>
      </c>
    </row>
    <row r="797" spans="1:24" x14ac:dyDescent="0.25">
      <c r="A797" t="s">
        <v>434</v>
      </c>
      <c r="B797">
        <v>2006</v>
      </c>
      <c r="C797" t="s">
        <v>382</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c r="X797" s="19">
        <f ca="1">DATE(LifeExpectancyData[[#This Row],[Year]],RANDBETWEEN(1,12),1)</f>
        <v>38808</v>
      </c>
    </row>
    <row r="798" spans="1:24" x14ac:dyDescent="0.25">
      <c r="A798" t="s">
        <v>434</v>
      </c>
      <c r="B798">
        <v>2005</v>
      </c>
      <c r="C798" t="s">
        <v>382</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c r="X798" s="19">
        <f ca="1">DATE(LifeExpectancyData[[#This Row],[Year]],RANDBETWEEN(1,12),1)</f>
        <v>38353</v>
      </c>
    </row>
    <row r="799" spans="1:24" x14ac:dyDescent="0.25">
      <c r="A799" t="s">
        <v>434</v>
      </c>
      <c r="B799">
        <v>2004</v>
      </c>
      <c r="C799" t="s">
        <v>382</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c r="X799" s="19">
        <f ca="1">DATE(LifeExpectancyData[[#This Row],[Year]],RANDBETWEEN(1,12),1)</f>
        <v>38292</v>
      </c>
    </row>
    <row r="800" spans="1:24" x14ac:dyDescent="0.25">
      <c r="A800" t="s">
        <v>434</v>
      </c>
      <c r="B800">
        <v>2003</v>
      </c>
      <c r="C800" t="s">
        <v>382</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c r="X800" s="19">
        <f ca="1">DATE(LifeExpectancyData[[#This Row],[Year]],RANDBETWEEN(1,12),1)</f>
        <v>37681</v>
      </c>
    </row>
    <row r="801" spans="1:24" x14ac:dyDescent="0.25">
      <c r="A801" t="s">
        <v>434</v>
      </c>
      <c r="B801">
        <v>2002</v>
      </c>
      <c r="C801" t="s">
        <v>382</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c r="X801" s="19">
        <f ca="1">DATE(LifeExpectancyData[[#This Row],[Year]],RANDBETWEEN(1,12),1)</f>
        <v>37438</v>
      </c>
    </row>
    <row r="802" spans="1:24" x14ac:dyDescent="0.25">
      <c r="A802" t="s">
        <v>434</v>
      </c>
      <c r="B802">
        <v>2001</v>
      </c>
      <c r="C802" t="s">
        <v>382</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c r="X802" s="19">
        <f ca="1">DATE(LifeExpectancyData[[#This Row],[Year]],RANDBETWEEN(1,12),1)</f>
        <v>36923</v>
      </c>
    </row>
    <row r="803" spans="1:24" x14ac:dyDescent="0.25">
      <c r="A803" t="s">
        <v>434</v>
      </c>
      <c r="B803">
        <v>2000</v>
      </c>
      <c r="C803" t="s">
        <v>382</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c r="X803" s="19">
        <f ca="1">DATE(LifeExpectancyData[[#This Row],[Year]],RANDBETWEEN(1,12),1)</f>
        <v>36617</v>
      </c>
    </row>
    <row r="804" spans="1:24" x14ac:dyDescent="0.25">
      <c r="A804" t="s">
        <v>435</v>
      </c>
      <c r="B804">
        <v>2015</v>
      </c>
      <c r="C804" t="s">
        <v>382</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c r="X804" s="19">
        <f ca="1">DATE(LifeExpectancyData[[#This Row],[Year]],RANDBETWEEN(1,12),1)</f>
        <v>42036</v>
      </c>
    </row>
    <row r="805" spans="1:24" x14ac:dyDescent="0.25">
      <c r="A805" t="s">
        <v>435</v>
      </c>
      <c r="B805">
        <v>2014</v>
      </c>
      <c r="C805" t="s">
        <v>382</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c r="X805" s="19">
        <f ca="1">DATE(LifeExpectancyData[[#This Row],[Year]],RANDBETWEEN(1,12),1)</f>
        <v>41730</v>
      </c>
    </row>
    <row r="806" spans="1:24" x14ac:dyDescent="0.25">
      <c r="A806" t="s">
        <v>435</v>
      </c>
      <c r="B806">
        <v>2013</v>
      </c>
      <c r="C806" t="s">
        <v>382</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c r="X806" s="19">
        <f ca="1">DATE(LifeExpectancyData[[#This Row],[Year]],RANDBETWEEN(1,12),1)</f>
        <v>41609</v>
      </c>
    </row>
    <row r="807" spans="1:24" x14ac:dyDescent="0.25">
      <c r="A807" t="s">
        <v>435</v>
      </c>
      <c r="B807">
        <v>2012</v>
      </c>
      <c r="C807" t="s">
        <v>382</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c r="X807" s="19">
        <f ca="1">DATE(LifeExpectancyData[[#This Row],[Year]],RANDBETWEEN(1,12),1)</f>
        <v>41091</v>
      </c>
    </row>
    <row r="808" spans="1:24" x14ac:dyDescent="0.25">
      <c r="A808" t="s">
        <v>435</v>
      </c>
      <c r="B808">
        <v>2011</v>
      </c>
      <c r="C808" t="s">
        <v>382</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c r="X808" s="19">
        <f ca="1">DATE(LifeExpectancyData[[#This Row],[Year]],RANDBETWEEN(1,12),1)</f>
        <v>40787</v>
      </c>
    </row>
    <row r="809" spans="1:24" x14ac:dyDescent="0.25">
      <c r="A809" t="s">
        <v>435</v>
      </c>
      <c r="B809">
        <v>2010</v>
      </c>
      <c r="C809" t="s">
        <v>382</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c r="X809" s="19">
        <f ca="1">DATE(LifeExpectancyData[[#This Row],[Year]],RANDBETWEEN(1,12),1)</f>
        <v>40360</v>
      </c>
    </row>
    <row r="810" spans="1:24" x14ac:dyDescent="0.25">
      <c r="A810" t="s">
        <v>435</v>
      </c>
      <c r="B810">
        <v>2009</v>
      </c>
      <c r="C810" t="s">
        <v>382</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c r="X810" s="19">
        <f ca="1">DATE(LifeExpectancyData[[#This Row],[Year]],RANDBETWEEN(1,12),1)</f>
        <v>40118</v>
      </c>
    </row>
    <row r="811" spans="1:24" x14ac:dyDescent="0.25">
      <c r="A811" t="s">
        <v>435</v>
      </c>
      <c r="B811">
        <v>2008</v>
      </c>
      <c r="C811" t="s">
        <v>382</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c r="X811" s="19">
        <f ca="1">DATE(LifeExpectancyData[[#This Row],[Year]],RANDBETWEEN(1,12),1)</f>
        <v>39569</v>
      </c>
    </row>
    <row r="812" spans="1:24" x14ac:dyDescent="0.25">
      <c r="A812" t="s">
        <v>435</v>
      </c>
      <c r="B812">
        <v>2007</v>
      </c>
      <c r="C812" t="s">
        <v>382</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c r="X812" s="19">
        <f ca="1">DATE(LifeExpectancyData[[#This Row],[Year]],RANDBETWEEN(1,12),1)</f>
        <v>39203</v>
      </c>
    </row>
    <row r="813" spans="1:24" x14ac:dyDescent="0.25">
      <c r="A813" t="s">
        <v>435</v>
      </c>
      <c r="B813">
        <v>2006</v>
      </c>
      <c r="C813" t="s">
        <v>382</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c r="X813" s="19">
        <f ca="1">DATE(LifeExpectancyData[[#This Row],[Year]],RANDBETWEEN(1,12),1)</f>
        <v>38869</v>
      </c>
    </row>
    <row r="814" spans="1:24" x14ac:dyDescent="0.25">
      <c r="A814" t="s">
        <v>435</v>
      </c>
      <c r="B814">
        <v>2005</v>
      </c>
      <c r="C814" t="s">
        <v>382</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c r="X814" s="19">
        <f ca="1">DATE(LifeExpectancyData[[#This Row],[Year]],RANDBETWEEN(1,12),1)</f>
        <v>38565</v>
      </c>
    </row>
    <row r="815" spans="1:24" x14ac:dyDescent="0.25">
      <c r="A815" t="s">
        <v>435</v>
      </c>
      <c r="B815">
        <v>2004</v>
      </c>
      <c r="C815" t="s">
        <v>382</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c r="X815" s="19">
        <f ca="1">DATE(LifeExpectancyData[[#This Row],[Year]],RANDBETWEEN(1,12),1)</f>
        <v>38078</v>
      </c>
    </row>
    <row r="816" spans="1:24" x14ac:dyDescent="0.25">
      <c r="A816" t="s">
        <v>435</v>
      </c>
      <c r="B816">
        <v>2003</v>
      </c>
      <c r="C816" t="s">
        <v>382</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c r="X816" s="19">
        <f ca="1">DATE(LifeExpectancyData[[#This Row],[Year]],RANDBETWEEN(1,12),1)</f>
        <v>37803</v>
      </c>
    </row>
    <row r="817" spans="1:24" x14ac:dyDescent="0.25">
      <c r="A817" t="s">
        <v>435</v>
      </c>
      <c r="B817">
        <v>2002</v>
      </c>
      <c r="C817" t="s">
        <v>382</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c r="X817" s="19">
        <f ca="1">DATE(LifeExpectancyData[[#This Row],[Year]],RANDBETWEEN(1,12),1)</f>
        <v>37288</v>
      </c>
    </row>
    <row r="818" spans="1:24" x14ac:dyDescent="0.25">
      <c r="A818" t="s">
        <v>435</v>
      </c>
      <c r="B818">
        <v>2001</v>
      </c>
      <c r="C818" t="s">
        <v>382</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c r="X818" s="19">
        <f ca="1">DATE(LifeExpectancyData[[#This Row],[Year]],RANDBETWEEN(1,12),1)</f>
        <v>37196</v>
      </c>
    </row>
    <row r="819" spans="1:24" x14ac:dyDescent="0.25">
      <c r="A819" t="s">
        <v>435</v>
      </c>
      <c r="B819">
        <v>2000</v>
      </c>
      <c r="C819" t="s">
        <v>382</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c r="X819" s="19">
        <f ca="1">DATE(LifeExpectancyData[[#This Row],[Year]],RANDBETWEEN(1,12),1)</f>
        <v>36617</v>
      </c>
    </row>
    <row r="820" spans="1:24" x14ac:dyDescent="0.25">
      <c r="A820" t="s">
        <v>436</v>
      </c>
      <c r="B820">
        <v>2015</v>
      </c>
      <c r="C820" t="s">
        <v>382</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c r="X820" s="19">
        <f ca="1">DATE(LifeExpectancyData[[#This Row],[Year]],RANDBETWEEN(1,12),1)</f>
        <v>42005</v>
      </c>
    </row>
    <row r="821" spans="1:24" x14ac:dyDescent="0.25">
      <c r="A821" t="s">
        <v>436</v>
      </c>
      <c r="B821">
        <v>2014</v>
      </c>
      <c r="C821" t="s">
        <v>382</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c r="X821" s="19">
        <f ca="1">DATE(LifeExpectancyData[[#This Row],[Year]],RANDBETWEEN(1,12),1)</f>
        <v>41852</v>
      </c>
    </row>
    <row r="822" spans="1:24" x14ac:dyDescent="0.25">
      <c r="A822" t="s">
        <v>436</v>
      </c>
      <c r="B822">
        <v>2013</v>
      </c>
      <c r="C822" t="s">
        <v>382</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c r="X822" s="19">
        <f ca="1">DATE(LifeExpectancyData[[#This Row],[Year]],RANDBETWEEN(1,12),1)</f>
        <v>41334</v>
      </c>
    </row>
    <row r="823" spans="1:24" x14ac:dyDescent="0.25">
      <c r="A823" t="s">
        <v>436</v>
      </c>
      <c r="B823">
        <v>2012</v>
      </c>
      <c r="C823" t="s">
        <v>382</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c r="X823" s="19">
        <f ca="1">DATE(LifeExpectancyData[[#This Row],[Year]],RANDBETWEEN(1,12),1)</f>
        <v>41153</v>
      </c>
    </row>
    <row r="824" spans="1:24" x14ac:dyDescent="0.25">
      <c r="A824" t="s">
        <v>436</v>
      </c>
      <c r="B824">
        <v>2011</v>
      </c>
      <c r="C824" t="s">
        <v>382</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c r="X824" s="19">
        <f ca="1">DATE(LifeExpectancyData[[#This Row],[Year]],RANDBETWEEN(1,12),1)</f>
        <v>40787</v>
      </c>
    </row>
    <row r="825" spans="1:24" x14ac:dyDescent="0.25">
      <c r="A825" t="s">
        <v>436</v>
      </c>
      <c r="B825">
        <v>2010</v>
      </c>
      <c r="C825" t="s">
        <v>382</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c r="X825" s="19">
        <f ca="1">DATE(LifeExpectancyData[[#This Row],[Year]],RANDBETWEEN(1,12),1)</f>
        <v>40330</v>
      </c>
    </row>
    <row r="826" spans="1:24" x14ac:dyDescent="0.25">
      <c r="A826" t="s">
        <v>436</v>
      </c>
      <c r="B826">
        <v>2009</v>
      </c>
      <c r="C826" t="s">
        <v>382</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c r="X826" s="19">
        <f ca="1">DATE(LifeExpectancyData[[#This Row],[Year]],RANDBETWEEN(1,12),1)</f>
        <v>40057</v>
      </c>
    </row>
    <row r="827" spans="1:24" x14ac:dyDescent="0.25">
      <c r="A827" t="s">
        <v>436</v>
      </c>
      <c r="B827">
        <v>2008</v>
      </c>
      <c r="C827" t="s">
        <v>382</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c r="X827" s="19">
        <f ca="1">DATE(LifeExpectancyData[[#This Row],[Year]],RANDBETWEEN(1,12),1)</f>
        <v>39661</v>
      </c>
    </row>
    <row r="828" spans="1:24" x14ac:dyDescent="0.25">
      <c r="A828" t="s">
        <v>436</v>
      </c>
      <c r="B828">
        <v>2007</v>
      </c>
      <c r="C828" t="s">
        <v>382</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c r="X828" s="19">
        <f ca="1">DATE(LifeExpectancyData[[#This Row],[Year]],RANDBETWEEN(1,12),1)</f>
        <v>39203</v>
      </c>
    </row>
    <row r="829" spans="1:24" x14ac:dyDescent="0.25">
      <c r="A829" t="s">
        <v>436</v>
      </c>
      <c r="B829">
        <v>2006</v>
      </c>
      <c r="C829" t="s">
        <v>382</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c r="X829" s="19">
        <f ca="1">DATE(LifeExpectancyData[[#This Row],[Year]],RANDBETWEEN(1,12),1)</f>
        <v>38930</v>
      </c>
    </row>
    <row r="830" spans="1:24" x14ac:dyDescent="0.25">
      <c r="A830" t="s">
        <v>436</v>
      </c>
      <c r="B830">
        <v>2005</v>
      </c>
      <c r="C830" t="s">
        <v>382</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c r="X830" s="19">
        <f ca="1">DATE(LifeExpectancyData[[#This Row],[Year]],RANDBETWEEN(1,12),1)</f>
        <v>38504</v>
      </c>
    </row>
    <row r="831" spans="1:24" x14ac:dyDescent="0.25">
      <c r="A831" t="s">
        <v>436</v>
      </c>
      <c r="B831">
        <v>2004</v>
      </c>
      <c r="C831" t="s">
        <v>382</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c r="X831" s="19">
        <f ca="1">DATE(LifeExpectancyData[[#This Row],[Year]],RANDBETWEEN(1,12),1)</f>
        <v>38047</v>
      </c>
    </row>
    <row r="832" spans="1:24" x14ac:dyDescent="0.25">
      <c r="A832" t="s">
        <v>436</v>
      </c>
      <c r="B832">
        <v>2003</v>
      </c>
      <c r="C832" t="s">
        <v>382</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c r="X832" s="19">
        <f ca="1">DATE(LifeExpectancyData[[#This Row],[Year]],RANDBETWEEN(1,12),1)</f>
        <v>37895</v>
      </c>
    </row>
    <row r="833" spans="1:24" x14ac:dyDescent="0.25">
      <c r="A833" t="s">
        <v>436</v>
      </c>
      <c r="B833">
        <v>2002</v>
      </c>
      <c r="C833" t="s">
        <v>382</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c r="X833" s="19">
        <f ca="1">DATE(LifeExpectancyData[[#This Row],[Year]],RANDBETWEEN(1,12),1)</f>
        <v>37469</v>
      </c>
    </row>
    <row r="834" spans="1:24" x14ac:dyDescent="0.25">
      <c r="A834" t="s">
        <v>436</v>
      </c>
      <c r="B834">
        <v>2001</v>
      </c>
      <c r="C834" t="s">
        <v>382</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c r="X834" s="19">
        <f ca="1">DATE(LifeExpectancyData[[#This Row],[Year]],RANDBETWEEN(1,12),1)</f>
        <v>37043</v>
      </c>
    </row>
    <row r="835" spans="1:24" x14ac:dyDescent="0.25">
      <c r="A835" t="s">
        <v>436</v>
      </c>
      <c r="B835">
        <v>2000</v>
      </c>
      <c r="C835" t="s">
        <v>382</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c r="X835" s="19">
        <f ca="1">DATE(LifeExpectancyData[[#This Row],[Year]],RANDBETWEEN(1,12),1)</f>
        <v>36861</v>
      </c>
    </row>
    <row r="836" spans="1:24" x14ac:dyDescent="0.25">
      <c r="A836" t="s">
        <v>437</v>
      </c>
      <c r="B836">
        <v>2015</v>
      </c>
      <c r="C836" t="s">
        <v>382</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c r="X836" s="19">
        <f ca="1">DATE(LifeExpectancyData[[#This Row],[Year]],RANDBETWEEN(1,12),1)</f>
        <v>42339</v>
      </c>
    </row>
    <row r="837" spans="1:24" x14ac:dyDescent="0.25">
      <c r="A837" t="s">
        <v>437</v>
      </c>
      <c r="B837">
        <v>2014</v>
      </c>
      <c r="C837" t="s">
        <v>382</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c r="X837" s="19">
        <f ca="1">DATE(LifeExpectancyData[[#This Row],[Year]],RANDBETWEEN(1,12),1)</f>
        <v>41699</v>
      </c>
    </row>
    <row r="838" spans="1:24" x14ac:dyDescent="0.25">
      <c r="A838" t="s">
        <v>437</v>
      </c>
      <c r="B838">
        <v>2013</v>
      </c>
      <c r="C838" t="s">
        <v>382</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c r="X838" s="19">
        <f ca="1">DATE(LifeExpectancyData[[#This Row],[Year]],RANDBETWEEN(1,12),1)</f>
        <v>41426</v>
      </c>
    </row>
    <row r="839" spans="1:24" x14ac:dyDescent="0.25">
      <c r="A839" t="s">
        <v>437</v>
      </c>
      <c r="B839">
        <v>2012</v>
      </c>
      <c r="C839" t="s">
        <v>382</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c r="X839" s="19">
        <f ca="1">DATE(LifeExpectancyData[[#This Row],[Year]],RANDBETWEEN(1,12),1)</f>
        <v>41153</v>
      </c>
    </row>
    <row r="840" spans="1:24" x14ac:dyDescent="0.25">
      <c r="A840" t="s">
        <v>437</v>
      </c>
      <c r="B840">
        <v>2011</v>
      </c>
      <c r="C840" t="s">
        <v>382</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c r="X840" s="19">
        <f ca="1">DATE(LifeExpectancyData[[#This Row],[Year]],RANDBETWEEN(1,12),1)</f>
        <v>40756</v>
      </c>
    </row>
    <row r="841" spans="1:24" x14ac:dyDescent="0.25">
      <c r="A841" t="s">
        <v>437</v>
      </c>
      <c r="B841">
        <v>2010</v>
      </c>
      <c r="C841" t="s">
        <v>382</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c r="X841" s="19">
        <f ca="1">DATE(LifeExpectancyData[[#This Row],[Year]],RANDBETWEEN(1,12),1)</f>
        <v>40452</v>
      </c>
    </row>
    <row r="842" spans="1:24" x14ac:dyDescent="0.25">
      <c r="A842" t="s">
        <v>437</v>
      </c>
      <c r="B842">
        <v>2009</v>
      </c>
      <c r="C842" t="s">
        <v>382</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c r="X842" s="19">
        <f ca="1">DATE(LifeExpectancyData[[#This Row],[Year]],RANDBETWEEN(1,12),1)</f>
        <v>39904</v>
      </c>
    </row>
    <row r="843" spans="1:24" x14ac:dyDescent="0.25">
      <c r="A843" t="s">
        <v>437</v>
      </c>
      <c r="B843">
        <v>2008</v>
      </c>
      <c r="C843" t="s">
        <v>382</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c r="X843" s="19">
        <f ca="1">DATE(LifeExpectancyData[[#This Row],[Year]],RANDBETWEEN(1,12),1)</f>
        <v>39630</v>
      </c>
    </row>
    <row r="844" spans="1:24" x14ac:dyDescent="0.25">
      <c r="A844" t="s">
        <v>437</v>
      </c>
      <c r="B844">
        <v>2007</v>
      </c>
      <c r="C844" t="s">
        <v>382</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c r="X844" s="19">
        <f ca="1">DATE(LifeExpectancyData[[#This Row],[Year]],RANDBETWEEN(1,12),1)</f>
        <v>39083</v>
      </c>
    </row>
    <row r="845" spans="1:24" x14ac:dyDescent="0.25">
      <c r="A845" t="s">
        <v>437</v>
      </c>
      <c r="B845">
        <v>2006</v>
      </c>
      <c r="C845" t="s">
        <v>382</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c r="X845" s="19">
        <f ca="1">DATE(LifeExpectancyData[[#This Row],[Year]],RANDBETWEEN(1,12),1)</f>
        <v>38749</v>
      </c>
    </row>
    <row r="846" spans="1:24" x14ac:dyDescent="0.25">
      <c r="A846" t="s">
        <v>437</v>
      </c>
      <c r="B846">
        <v>2005</v>
      </c>
      <c r="C846" t="s">
        <v>382</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c r="X846" s="19">
        <f ca="1">DATE(LifeExpectancyData[[#This Row],[Year]],RANDBETWEEN(1,12),1)</f>
        <v>38353</v>
      </c>
    </row>
    <row r="847" spans="1:24" x14ac:dyDescent="0.25">
      <c r="A847" t="s">
        <v>437</v>
      </c>
      <c r="B847">
        <v>2004</v>
      </c>
      <c r="C847" t="s">
        <v>382</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c r="X847" s="19">
        <f ca="1">DATE(LifeExpectancyData[[#This Row],[Year]],RANDBETWEEN(1,12),1)</f>
        <v>38322</v>
      </c>
    </row>
    <row r="848" spans="1:24" x14ac:dyDescent="0.25">
      <c r="A848" t="s">
        <v>437</v>
      </c>
      <c r="B848">
        <v>2003</v>
      </c>
      <c r="C848" t="s">
        <v>382</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c r="X848" s="19">
        <f ca="1">DATE(LifeExpectancyData[[#This Row],[Year]],RANDBETWEEN(1,12),1)</f>
        <v>37653</v>
      </c>
    </row>
    <row r="849" spans="1:24" x14ac:dyDescent="0.25">
      <c r="A849" t="s">
        <v>437</v>
      </c>
      <c r="B849">
        <v>2002</v>
      </c>
      <c r="C849" t="s">
        <v>382</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c r="X849" s="19">
        <f ca="1">DATE(LifeExpectancyData[[#This Row],[Year]],RANDBETWEEN(1,12),1)</f>
        <v>37316</v>
      </c>
    </row>
    <row r="850" spans="1:24" x14ac:dyDescent="0.25">
      <c r="A850" t="s">
        <v>437</v>
      </c>
      <c r="B850">
        <v>2001</v>
      </c>
      <c r="C850" t="s">
        <v>382</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c r="X850" s="19">
        <f ca="1">DATE(LifeExpectancyData[[#This Row],[Year]],RANDBETWEEN(1,12),1)</f>
        <v>37135</v>
      </c>
    </row>
    <row r="851" spans="1:24" x14ac:dyDescent="0.25">
      <c r="A851" t="s">
        <v>437</v>
      </c>
      <c r="B851">
        <v>2000</v>
      </c>
      <c r="C851" t="s">
        <v>382</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c r="X851" s="19">
        <f ca="1">DATE(LifeExpectancyData[[#This Row],[Year]],RANDBETWEEN(1,12),1)</f>
        <v>36526</v>
      </c>
    </row>
    <row r="852" spans="1:24" x14ac:dyDescent="0.25">
      <c r="A852" t="s">
        <v>438</v>
      </c>
      <c r="B852">
        <v>2015</v>
      </c>
      <c r="C852" t="s">
        <v>382</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c r="X852" s="19">
        <f ca="1">DATE(LifeExpectancyData[[#This Row],[Year]],RANDBETWEEN(1,12),1)</f>
        <v>42186</v>
      </c>
    </row>
    <row r="853" spans="1:24" x14ac:dyDescent="0.25">
      <c r="A853" t="s">
        <v>438</v>
      </c>
      <c r="B853">
        <v>2014</v>
      </c>
      <c r="C853" t="s">
        <v>382</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c r="X853" s="19">
        <f ca="1">DATE(LifeExpectancyData[[#This Row],[Year]],RANDBETWEEN(1,12),1)</f>
        <v>41974</v>
      </c>
    </row>
    <row r="854" spans="1:24" x14ac:dyDescent="0.25">
      <c r="A854" t="s">
        <v>438</v>
      </c>
      <c r="B854">
        <v>2013</v>
      </c>
      <c r="C854" t="s">
        <v>382</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c r="X854" s="19">
        <f ca="1">DATE(LifeExpectancyData[[#This Row],[Year]],RANDBETWEEN(1,12),1)</f>
        <v>41487</v>
      </c>
    </row>
    <row r="855" spans="1:24" x14ac:dyDescent="0.25">
      <c r="A855" t="s">
        <v>438</v>
      </c>
      <c r="B855">
        <v>2012</v>
      </c>
      <c r="C855" t="s">
        <v>382</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c r="X855" s="19">
        <f ca="1">DATE(LifeExpectancyData[[#This Row],[Year]],RANDBETWEEN(1,12),1)</f>
        <v>41091</v>
      </c>
    </row>
    <row r="856" spans="1:24" x14ac:dyDescent="0.25">
      <c r="A856" t="s">
        <v>438</v>
      </c>
      <c r="B856">
        <v>2011</v>
      </c>
      <c r="C856" t="s">
        <v>382</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c r="X856" s="19">
        <f ca="1">DATE(LifeExpectancyData[[#This Row],[Year]],RANDBETWEEN(1,12),1)</f>
        <v>40575</v>
      </c>
    </row>
    <row r="857" spans="1:24" x14ac:dyDescent="0.25">
      <c r="A857" t="s">
        <v>438</v>
      </c>
      <c r="B857">
        <v>2010</v>
      </c>
      <c r="C857" t="s">
        <v>382</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c r="X857" s="19">
        <f ca="1">DATE(LifeExpectancyData[[#This Row],[Year]],RANDBETWEEN(1,12),1)</f>
        <v>40210</v>
      </c>
    </row>
    <row r="858" spans="1:24" x14ac:dyDescent="0.25">
      <c r="A858" t="s">
        <v>438</v>
      </c>
      <c r="B858">
        <v>2009</v>
      </c>
      <c r="C858" t="s">
        <v>382</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c r="X858" s="19">
        <f ca="1">DATE(LifeExpectancyData[[#This Row],[Year]],RANDBETWEEN(1,12),1)</f>
        <v>40026</v>
      </c>
    </row>
    <row r="859" spans="1:24" x14ac:dyDescent="0.25">
      <c r="A859" t="s">
        <v>438</v>
      </c>
      <c r="B859">
        <v>2008</v>
      </c>
      <c r="C859" t="s">
        <v>382</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c r="X859" s="19">
        <f ca="1">DATE(LifeExpectancyData[[#This Row],[Year]],RANDBETWEEN(1,12),1)</f>
        <v>39448</v>
      </c>
    </row>
    <row r="860" spans="1:24" x14ac:dyDescent="0.25">
      <c r="A860" t="s">
        <v>438</v>
      </c>
      <c r="B860">
        <v>2007</v>
      </c>
      <c r="C860" t="s">
        <v>382</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c r="X860" s="19">
        <f ca="1">DATE(LifeExpectancyData[[#This Row],[Year]],RANDBETWEEN(1,12),1)</f>
        <v>39203</v>
      </c>
    </row>
    <row r="861" spans="1:24" x14ac:dyDescent="0.25">
      <c r="A861" t="s">
        <v>438</v>
      </c>
      <c r="B861">
        <v>2006</v>
      </c>
      <c r="C861" t="s">
        <v>382</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c r="X861" s="19">
        <f ca="1">DATE(LifeExpectancyData[[#This Row],[Year]],RANDBETWEEN(1,12),1)</f>
        <v>38961</v>
      </c>
    </row>
    <row r="862" spans="1:24" x14ac:dyDescent="0.25">
      <c r="A862" t="s">
        <v>438</v>
      </c>
      <c r="B862">
        <v>2005</v>
      </c>
      <c r="C862" t="s">
        <v>382</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c r="X862" s="19">
        <f ca="1">DATE(LifeExpectancyData[[#This Row],[Year]],RANDBETWEEN(1,12),1)</f>
        <v>38626</v>
      </c>
    </row>
    <row r="863" spans="1:24" x14ac:dyDescent="0.25">
      <c r="A863" t="s">
        <v>438</v>
      </c>
      <c r="B863">
        <v>2004</v>
      </c>
      <c r="C863" t="s">
        <v>382</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c r="X863" s="19">
        <f ca="1">DATE(LifeExpectancyData[[#This Row],[Year]],RANDBETWEEN(1,12),1)</f>
        <v>38018</v>
      </c>
    </row>
    <row r="864" spans="1:24" x14ac:dyDescent="0.25">
      <c r="A864" t="s">
        <v>438</v>
      </c>
      <c r="B864">
        <v>2003</v>
      </c>
      <c r="C864" t="s">
        <v>382</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c r="X864" s="19">
        <f ca="1">DATE(LifeExpectancyData[[#This Row],[Year]],RANDBETWEEN(1,12),1)</f>
        <v>37622</v>
      </c>
    </row>
    <row r="865" spans="1:24" x14ac:dyDescent="0.25">
      <c r="A865" t="s">
        <v>438</v>
      </c>
      <c r="B865">
        <v>2002</v>
      </c>
      <c r="C865" t="s">
        <v>382</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c r="X865" s="19">
        <f ca="1">DATE(LifeExpectancyData[[#This Row],[Year]],RANDBETWEEN(1,12),1)</f>
        <v>37530</v>
      </c>
    </row>
    <row r="866" spans="1:24" x14ac:dyDescent="0.25">
      <c r="A866" t="s">
        <v>438</v>
      </c>
      <c r="B866">
        <v>2001</v>
      </c>
      <c r="C866" t="s">
        <v>382</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c r="X866" s="19">
        <f ca="1">DATE(LifeExpectancyData[[#This Row],[Year]],RANDBETWEEN(1,12),1)</f>
        <v>37073</v>
      </c>
    </row>
    <row r="867" spans="1:24" x14ac:dyDescent="0.25">
      <c r="A867" t="s">
        <v>438</v>
      </c>
      <c r="B867">
        <v>2000</v>
      </c>
      <c r="C867" t="s">
        <v>382</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c r="X867" s="19">
        <f ca="1">DATE(LifeExpectancyData[[#This Row],[Year]],RANDBETWEEN(1,12),1)</f>
        <v>36586</v>
      </c>
    </row>
    <row r="868" spans="1:24" x14ac:dyDescent="0.25">
      <c r="A868" t="s">
        <v>439</v>
      </c>
      <c r="B868">
        <v>2015</v>
      </c>
      <c r="C868" t="s">
        <v>382</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c r="X868" s="19">
        <f ca="1">DATE(LifeExpectancyData[[#This Row],[Year]],RANDBETWEEN(1,12),1)</f>
        <v>42095</v>
      </c>
    </row>
    <row r="869" spans="1:24" x14ac:dyDescent="0.25">
      <c r="A869" t="s">
        <v>439</v>
      </c>
      <c r="B869">
        <v>2014</v>
      </c>
      <c r="C869" t="s">
        <v>382</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c r="X869" s="19">
        <f ca="1">DATE(LifeExpectancyData[[#This Row],[Year]],RANDBETWEEN(1,12),1)</f>
        <v>41852</v>
      </c>
    </row>
    <row r="870" spans="1:24" x14ac:dyDescent="0.25">
      <c r="A870" t="s">
        <v>439</v>
      </c>
      <c r="B870">
        <v>2013</v>
      </c>
      <c r="C870" t="s">
        <v>382</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c r="X870" s="19">
        <f ca="1">DATE(LifeExpectancyData[[#This Row],[Year]],RANDBETWEEN(1,12),1)</f>
        <v>41518</v>
      </c>
    </row>
    <row r="871" spans="1:24" x14ac:dyDescent="0.25">
      <c r="A871" t="s">
        <v>439</v>
      </c>
      <c r="B871">
        <v>2012</v>
      </c>
      <c r="C871" t="s">
        <v>382</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c r="X871" s="19">
        <f ca="1">DATE(LifeExpectancyData[[#This Row],[Year]],RANDBETWEEN(1,12),1)</f>
        <v>41000</v>
      </c>
    </row>
    <row r="872" spans="1:24" x14ac:dyDescent="0.25">
      <c r="A872" t="s">
        <v>439</v>
      </c>
      <c r="B872">
        <v>2011</v>
      </c>
      <c r="C872" t="s">
        <v>382</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c r="X872" s="19">
        <f ca="1">DATE(LifeExpectancyData[[#This Row],[Year]],RANDBETWEEN(1,12),1)</f>
        <v>40634</v>
      </c>
    </row>
    <row r="873" spans="1:24" x14ac:dyDescent="0.25">
      <c r="A873" t="s">
        <v>439</v>
      </c>
      <c r="B873">
        <v>2010</v>
      </c>
      <c r="C873" t="s">
        <v>382</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c r="X873" s="19">
        <f ca="1">DATE(LifeExpectancyData[[#This Row],[Year]],RANDBETWEEN(1,12),1)</f>
        <v>40422</v>
      </c>
    </row>
    <row r="874" spans="1:24" x14ac:dyDescent="0.25">
      <c r="A874" t="s">
        <v>439</v>
      </c>
      <c r="B874">
        <v>2009</v>
      </c>
      <c r="C874" t="s">
        <v>382</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c r="X874" s="19">
        <f ca="1">DATE(LifeExpectancyData[[#This Row],[Year]],RANDBETWEEN(1,12),1)</f>
        <v>39814</v>
      </c>
    </row>
    <row r="875" spans="1:24" x14ac:dyDescent="0.25">
      <c r="A875" t="s">
        <v>439</v>
      </c>
      <c r="B875">
        <v>2008</v>
      </c>
      <c r="C875" t="s">
        <v>382</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c r="X875" s="19">
        <f ca="1">DATE(LifeExpectancyData[[#This Row],[Year]],RANDBETWEEN(1,12),1)</f>
        <v>39600</v>
      </c>
    </row>
    <row r="876" spans="1:24" x14ac:dyDescent="0.25">
      <c r="A876" t="s">
        <v>439</v>
      </c>
      <c r="B876">
        <v>2007</v>
      </c>
      <c r="C876" t="s">
        <v>382</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c r="X876" s="19">
        <f ca="1">DATE(LifeExpectancyData[[#This Row],[Year]],RANDBETWEEN(1,12),1)</f>
        <v>39173</v>
      </c>
    </row>
    <row r="877" spans="1:24" x14ac:dyDescent="0.25">
      <c r="A877" t="s">
        <v>439</v>
      </c>
      <c r="B877">
        <v>2006</v>
      </c>
      <c r="C877" t="s">
        <v>382</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c r="X877" s="19">
        <f ca="1">DATE(LifeExpectancyData[[#This Row],[Year]],RANDBETWEEN(1,12),1)</f>
        <v>38838</v>
      </c>
    </row>
    <row r="878" spans="1:24" x14ac:dyDescent="0.25">
      <c r="A878" t="s">
        <v>439</v>
      </c>
      <c r="B878">
        <v>2005</v>
      </c>
      <c r="C878" t="s">
        <v>382</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c r="X878" s="19">
        <f ca="1">DATE(LifeExpectancyData[[#This Row],[Year]],RANDBETWEEN(1,12),1)</f>
        <v>38687</v>
      </c>
    </row>
    <row r="879" spans="1:24" x14ac:dyDescent="0.25">
      <c r="A879" t="s">
        <v>439</v>
      </c>
      <c r="B879">
        <v>2004</v>
      </c>
      <c r="C879" t="s">
        <v>382</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c r="X879" s="19">
        <f ca="1">DATE(LifeExpectancyData[[#This Row],[Year]],RANDBETWEEN(1,12),1)</f>
        <v>38292</v>
      </c>
    </row>
    <row r="880" spans="1:24" x14ac:dyDescent="0.25">
      <c r="A880" t="s">
        <v>439</v>
      </c>
      <c r="B880">
        <v>2003</v>
      </c>
      <c r="C880" t="s">
        <v>382</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c r="X880" s="19">
        <f ca="1">DATE(LifeExpectancyData[[#This Row],[Year]],RANDBETWEEN(1,12),1)</f>
        <v>37681</v>
      </c>
    </row>
    <row r="881" spans="1:24" x14ac:dyDescent="0.25">
      <c r="A881" t="s">
        <v>439</v>
      </c>
      <c r="B881">
        <v>2002</v>
      </c>
      <c r="C881" t="s">
        <v>382</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c r="X881" s="19">
        <f ca="1">DATE(LifeExpectancyData[[#This Row],[Year]],RANDBETWEEN(1,12),1)</f>
        <v>37530</v>
      </c>
    </row>
    <row r="882" spans="1:24" x14ac:dyDescent="0.25">
      <c r="A882" t="s">
        <v>439</v>
      </c>
      <c r="B882">
        <v>2001</v>
      </c>
      <c r="C882" t="s">
        <v>382</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c r="X882" s="19">
        <f ca="1">DATE(LifeExpectancyData[[#This Row],[Year]],RANDBETWEEN(1,12),1)</f>
        <v>37196</v>
      </c>
    </row>
    <row r="883" spans="1:24" x14ac:dyDescent="0.25">
      <c r="A883" t="s">
        <v>439</v>
      </c>
      <c r="B883">
        <v>2000</v>
      </c>
      <c r="C883" t="s">
        <v>382</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c r="X883" s="19">
        <f ca="1">DATE(LifeExpectancyData[[#This Row],[Year]],RANDBETWEEN(1,12),1)</f>
        <v>36831</v>
      </c>
    </row>
    <row r="884" spans="1:24" x14ac:dyDescent="0.25">
      <c r="A884" t="s">
        <v>440</v>
      </c>
      <c r="B884">
        <v>2015</v>
      </c>
      <c r="C884" t="s">
        <v>382</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c r="X884" s="19">
        <f ca="1">DATE(LifeExpectancyData[[#This Row],[Year]],RANDBETWEEN(1,12),1)</f>
        <v>42248</v>
      </c>
    </row>
    <row r="885" spans="1:24" x14ac:dyDescent="0.25">
      <c r="A885" t="s">
        <v>440</v>
      </c>
      <c r="B885">
        <v>2014</v>
      </c>
      <c r="C885" t="s">
        <v>382</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c r="X885" s="19">
        <f ca="1">DATE(LifeExpectancyData[[#This Row],[Year]],RANDBETWEEN(1,12),1)</f>
        <v>41760</v>
      </c>
    </row>
    <row r="886" spans="1:24" x14ac:dyDescent="0.25">
      <c r="A886" t="s">
        <v>440</v>
      </c>
      <c r="B886">
        <v>2013</v>
      </c>
      <c r="C886" t="s">
        <v>382</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c r="X886" s="19">
        <f ca="1">DATE(LifeExpectancyData[[#This Row],[Year]],RANDBETWEEN(1,12),1)</f>
        <v>41365</v>
      </c>
    </row>
    <row r="887" spans="1:24" x14ac:dyDescent="0.25">
      <c r="A887" t="s">
        <v>440</v>
      </c>
      <c r="B887">
        <v>2012</v>
      </c>
      <c r="C887" t="s">
        <v>382</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c r="X887" s="19">
        <f ca="1">DATE(LifeExpectancyData[[#This Row],[Year]],RANDBETWEEN(1,12),1)</f>
        <v>41000</v>
      </c>
    </row>
    <row r="888" spans="1:24" x14ac:dyDescent="0.25">
      <c r="A888" t="s">
        <v>440</v>
      </c>
      <c r="B888">
        <v>2011</v>
      </c>
      <c r="C888" t="s">
        <v>382</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c r="X888" s="19">
        <f ca="1">DATE(LifeExpectancyData[[#This Row],[Year]],RANDBETWEEN(1,12),1)</f>
        <v>40817</v>
      </c>
    </row>
    <row r="889" spans="1:24" x14ac:dyDescent="0.25">
      <c r="A889" t="s">
        <v>440</v>
      </c>
      <c r="B889">
        <v>2010</v>
      </c>
      <c r="C889" t="s">
        <v>382</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c r="X889" s="19">
        <f ca="1">DATE(LifeExpectancyData[[#This Row],[Year]],RANDBETWEEN(1,12),1)</f>
        <v>40483</v>
      </c>
    </row>
    <row r="890" spans="1:24" x14ac:dyDescent="0.25">
      <c r="A890" t="s">
        <v>440</v>
      </c>
      <c r="B890">
        <v>2009</v>
      </c>
      <c r="C890" t="s">
        <v>382</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c r="X890" s="19">
        <f ca="1">DATE(LifeExpectancyData[[#This Row],[Year]],RANDBETWEEN(1,12),1)</f>
        <v>39995</v>
      </c>
    </row>
    <row r="891" spans="1:24" x14ac:dyDescent="0.25">
      <c r="A891" t="s">
        <v>440</v>
      </c>
      <c r="B891">
        <v>2008</v>
      </c>
      <c r="C891" t="s">
        <v>382</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c r="X891" s="19">
        <f ca="1">DATE(LifeExpectancyData[[#This Row],[Year]],RANDBETWEEN(1,12),1)</f>
        <v>39600</v>
      </c>
    </row>
    <row r="892" spans="1:24" x14ac:dyDescent="0.25">
      <c r="A892" t="s">
        <v>440</v>
      </c>
      <c r="B892">
        <v>2007</v>
      </c>
      <c r="C892" t="s">
        <v>382</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c r="X892" s="19">
        <f ca="1">DATE(LifeExpectancyData[[#This Row],[Year]],RANDBETWEEN(1,12),1)</f>
        <v>39417</v>
      </c>
    </row>
    <row r="893" spans="1:24" x14ac:dyDescent="0.25">
      <c r="A893" t="s">
        <v>440</v>
      </c>
      <c r="B893">
        <v>2006</v>
      </c>
      <c r="C893" t="s">
        <v>382</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c r="X893" s="19">
        <f ca="1">DATE(LifeExpectancyData[[#This Row],[Year]],RANDBETWEEN(1,12),1)</f>
        <v>38869</v>
      </c>
    </row>
    <row r="894" spans="1:24" x14ac:dyDescent="0.25">
      <c r="A894" t="s">
        <v>440</v>
      </c>
      <c r="B894">
        <v>2005</v>
      </c>
      <c r="C894" t="s">
        <v>382</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c r="X894" s="19">
        <f ca="1">DATE(LifeExpectancyData[[#This Row],[Year]],RANDBETWEEN(1,12),1)</f>
        <v>38384</v>
      </c>
    </row>
    <row r="895" spans="1:24" x14ac:dyDescent="0.25">
      <c r="A895" t="s">
        <v>440</v>
      </c>
      <c r="B895">
        <v>2004</v>
      </c>
      <c r="C895" t="s">
        <v>382</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c r="X895" s="19">
        <f ca="1">DATE(LifeExpectancyData[[#This Row],[Year]],RANDBETWEEN(1,12),1)</f>
        <v>37987</v>
      </c>
    </row>
    <row r="896" spans="1:24" x14ac:dyDescent="0.25">
      <c r="A896" t="s">
        <v>440</v>
      </c>
      <c r="B896">
        <v>2003</v>
      </c>
      <c r="C896" t="s">
        <v>382</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c r="X896" s="19">
        <f ca="1">DATE(LifeExpectancyData[[#This Row],[Year]],RANDBETWEEN(1,12),1)</f>
        <v>37773</v>
      </c>
    </row>
    <row r="897" spans="1:24" x14ac:dyDescent="0.25">
      <c r="A897" t="s">
        <v>440</v>
      </c>
      <c r="B897">
        <v>2002</v>
      </c>
      <c r="C897" t="s">
        <v>382</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c r="X897" s="19">
        <f ca="1">DATE(LifeExpectancyData[[#This Row],[Year]],RANDBETWEEN(1,12),1)</f>
        <v>37377</v>
      </c>
    </row>
    <row r="898" spans="1:24" x14ac:dyDescent="0.25">
      <c r="A898" t="s">
        <v>440</v>
      </c>
      <c r="B898">
        <v>2001</v>
      </c>
      <c r="C898" t="s">
        <v>382</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c r="X898" s="19">
        <f ca="1">DATE(LifeExpectancyData[[#This Row],[Year]],RANDBETWEEN(1,12),1)</f>
        <v>37073</v>
      </c>
    </row>
    <row r="899" spans="1:24" x14ac:dyDescent="0.25">
      <c r="A899" t="s">
        <v>440</v>
      </c>
      <c r="B899">
        <v>2000</v>
      </c>
      <c r="C899" t="s">
        <v>382</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c r="X899" s="19">
        <f ca="1">DATE(LifeExpectancyData[[#This Row],[Year]],RANDBETWEEN(1,12),1)</f>
        <v>36586</v>
      </c>
    </row>
    <row r="900" spans="1:24" x14ac:dyDescent="0.25">
      <c r="A900" t="s">
        <v>441</v>
      </c>
      <c r="B900">
        <v>2015</v>
      </c>
      <c r="C900" t="s">
        <v>382</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c r="X900" s="19">
        <f ca="1">DATE(LifeExpectancyData[[#This Row],[Year]],RANDBETWEEN(1,12),1)</f>
        <v>42005</v>
      </c>
    </row>
    <row r="901" spans="1:24" x14ac:dyDescent="0.25">
      <c r="A901" t="s">
        <v>441</v>
      </c>
      <c r="B901">
        <v>2014</v>
      </c>
      <c r="C901" t="s">
        <v>382</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c r="X901" s="19">
        <f ca="1">DATE(LifeExpectancyData[[#This Row],[Year]],RANDBETWEEN(1,12),1)</f>
        <v>41760</v>
      </c>
    </row>
    <row r="902" spans="1:24" x14ac:dyDescent="0.25">
      <c r="A902" t="s">
        <v>441</v>
      </c>
      <c r="B902">
        <v>2013</v>
      </c>
      <c r="C902" t="s">
        <v>382</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c r="X902" s="19">
        <f ca="1">DATE(LifeExpectancyData[[#This Row],[Year]],RANDBETWEEN(1,12),1)</f>
        <v>41518</v>
      </c>
    </row>
    <row r="903" spans="1:24" x14ac:dyDescent="0.25">
      <c r="A903" t="s">
        <v>441</v>
      </c>
      <c r="B903">
        <v>2012</v>
      </c>
      <c r="C903" t="s">
        <v>382</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c r="X903" s="19">
        <f ca="1">DATE(LifeExpectancyData[[#This Row],[Year]],RANDBETWEEN(1,12),1)</f>
        <v>41214</v>
      </c>
    </row>
    <row r="904" spans="1:24" x14ac:dyDescent="0.25">
      <c r="A904" t="s">
        <v>441</v>
      </c>
      <c r="B904">
        <v>2011</v>
      </c>
      <c r="C904" t="s">
        <v>382</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c r="X904" s="19">
        <f ca="1">DATE(LifeExpectancyData[[#This Row],[Year]],RANDBETWEEN(1,12),1)</f>
        <v>40603</v>
      </c>
    </row>
    <row r="905" spans="1:24" x14ac:dyDescent="0.25">
      <c r="A905" t="s">
        <v>441</v>
      </c>
      <c r="B905">
        <v>2010</v>
      </c>
      <c r="C905" t="s">
        <v>382</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c r="X905" s="19">
        <f ca="1">DATE(LifeExpectancyData[[#This Row],[Year]],RANDBETWEEN(1,12),1)</f>
        <v>40513</v>
      </c>
    </row>
    <row r="906" spans="1:24" x14ac:dyDescent="0.25">
      <c r="A906" t="s">
        <v>441</v>
      </c>
      <c r="B906">
        <v>2009</v>
      </c>
      <c r="C906" t="s">
        <v>382</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c r="X906" s="19">
        <f ca="1">DATE(LifeExpectancyData[[#This Row],[Year]],RANDBETWEEN(1,12),1)</f>
        <v>40026</v>
      </c>
    </row>
    <row r="907" spans="1:24" x14ac:dyDescent="0.25">
      <c r="A907" t="s">
        <v>441</v>
      </c>
      <c r="B907">
        <v>2008</v>
      </c>
      <c r="C907" t="s">
        <v>382</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c r="X907" s="19">
        <f ca="1">DATE(LifeExpectancyData[[#This Row],[Year]],RANDBETWEEN(1,12),1)</f>
        <v>39783</v>
      </c>
    </row>
    <row r="908" spans="1:24" x14ac:dyDescent="0.25">
      <c r="A908" t="s">
        <v>441</v>
      </c>
      <c r="B908">
        <v>2007</v>
      </c>
      <c r="C908" t="s">
        <v>382</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c r="X908" s="19">
        <f ca="1">DATE(LifeExpectancyData[[#This Row],[Year]],RANDBETWEEN(1,12),1)</f>
        <v>39387</v>
      </c>
    </row>
    <row r="909" spans="1:24" x14ac:dyDescent="0.25">
      <c r="A909" t="s">
        <v>441</v>
      </c>
      <c r="B909">
        <v>2006</v>
      </c>
      <c r="C909" t="s">
        <v>382</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c r="X909" s="19">
        <f ca="1">DATE(LifeExpectancyData[[#This Row],[Year]],RANDBETWEEN(1,12),1)</f>
        <v>38749</v>
      </c>
    </row>
    <row r="910" spans="1:24" x14ac:dyDescent="0.25">
      <c r="A910" t="s">
        <v>441</v>
      </c>
      <c r="B910">
        <v>2005</v>
      </c>
      <c r="C910" t="s">
        <v>382</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c r="X910" s="19">
        <f ca="1">DATE(LifeExpectancyData[[#This Row],[Year]],RANDBETWEEN(1,12),1)</f>
        <v>38384</v>
      </c>
    </row>
    <row r="911" spans="1:24" x14ac:dyDescent="0.25">
      <c r="A911" t="s">
        <v>441</v>
      </c>
      <c r="B911">
        <v>2004</v>
      </c>
      <c r="C911" t="s">
        <v>382</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c r="X911" s="19">
        <f ca="1">DATE(LifeExpectancyData[[#This Row],[Year]],RANDBETWEEN(1,12),1)</f>
        <v>38169</v>
      </c>
    </row>
    <row r="912" spans="1:24" x14ac:dyDescent="0.25">
      <c r="A912" t="s">
        <v>441</v>
      </c>
      <c r="B912">
        <v>2003</v>
      </c>
      <c r="C912" t="s">
        <v>382</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c r="X912" s="19">
        <f ca="1">DATE(LifeExpectancyData[[#This Row],[Year]],RANDBETWEEN(1,12),1)</f>
        <v>37742</v>
      </c>
    </row>
    <row r="913" spans="1:24" x14ac:dyDescent="0.25">
      <c r="A913" t="s">
        <v>441</v>
      </c>
      <c r="B913">
        <v>2002</v>
      </c>
      <c r="C913" t="s">
        <v>382</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c r="X913" s="19">
        <f ca="1">DATE(LifeExpectancyData[[#This Row],[Year]],RANDBETWEEN(1,12),1)</f>
        <v>37316</v>
      </c>
    </row>
    <row r="914" spans="1:24" x14ac:dyDescent="0.25">
      <c r="A914" t="s">
        <v>441</v>
      </c>
      <c r="B914">
        <v>2001</v>
      </c>
      <c r="C914" t="s">
        <v>382</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c r="X914" s="19">
        <f ca="1">DATE(LifeExpectancyData[[#This Row],[Year]],RANDBETWEEN(1,12),1)</f>
        <v>36923</v>
      </c>
    </row>
    <row r="915" spans="1:24" x14ac:dyDescent="0.25">
      <c r="A915" t="s">
        <v>441</v>
      </c>
      <c r="B915">
        <v>2000</v>
      </c>
      <c r="C915" t="s">
        <v>382</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c r="X915" s="19">
        <f ca="1">DATE(LifeExpectancyData[[#This Row],[Year]],RANDBETWEEN(1,12),1)</f>
        <v>36557</v>
      </c>
    </row>
    <row r="916" spans="1:24" x14ac:dyDescent="0.25">
      <c r="A916" t="s">
        <v>442</v>
      </c>
      <c r="B916">
        <v>2015</v>
      </c>
      <c r="C916" t="s">
        <v>382</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c r="X916" s="19">
        <f ca="1">DATE(LifeExpectancyData[[#This Row],[Year]],RANDBETWEEN(1,12),1)</f>
        <v>42309</v>
      </c>
    </row>
    <row r="917" spans="1:24" x14ac:dyDescent="0.25">
      <c r="A917" t="s">
        <v>442</v>
      </c>
      <c r="B917">
        <v>2014</v>
      </c>
      <c r="C917" t="s">
        <v>382</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c r="X917" s="19">
        <f ca="1">DATE(LifeExpectancyData[[#This Row],[Year]],RANDBETWEEN(1,12),1)</f>
        <v>41730</v>
      </c>
    </row>
    <row r="918" spans="1:24" x14ac:dyDescent="0.25">
      <c r="A918" t="s">
        <v>442</v>
      </c>
      <c r="B918">
        <v>2013</v>
      </c>
      <c r="C918" t="s">
        <v>382</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c r="X918" s="19">
        <f ca="1">DATE(LifeExpectancyData[[#This Row],[Year]],RANDBETWEEN(1,12),1)</f>
        <v>41518</v>
      </c>
    </row>
    <row r="919" spans="1:24" x14ac:dyDescent="0.25">
      <c r="A919" t="s">
        <v>442</v>
      </c>
      <c r="B919">
        <v>2012</v>
      </c>
      <c r="C919" t="s">
        <v>382</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c r="X919" s="19">
        <f ca="1">DATE(LifeExpectancyData[[#This Row],[Year]],RANDBETWEEN(1,12),1)</f>
        <v>41244</v>
      </c>
    </row>
    <row r="920" spans="1:24" x14ac:dyDescent="0.25">
      <c r="A920" t="s">
        <v>442</v>
      </c>
      <c r="B920">
        <v>2011</v>
      </c>
      <c r="C920" t="s">
        <v>382</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c r="X920" s="19">
        <f ca="1">DATE(LifeExpectancyData[[#This Row],[Year]],RANDBETWEEN(1,12),1)</f>
        <v>40725</v>
      </c>
    </row>
    <row r="921" spans="1:24" x14ac:dyDescent="0.25">
      <c r="A921" t="s">
        <v>442</v>
      </c>
      <c r="B921">
        <v>2010</v>
      </c>
      <c r="C921" t="s">
        <v>382</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c r="X921" s="19">
        <f ca="1">DATE(LifeExpectancyData[[#This Row],[Year]],RANDBETWEEN(1,12),1)</f>
        <v>40179</v>
      </c>
    </row>
    <row r="922" spans="1:24" x14ac:dyDescent="0.25">
      <c r="A922" t="s">
        <v>442</v>
      </c>
      <c r="B922">
        <v>2009</v>
      </c>
      <c r="C922" t="s">
        <v>382</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c r="X922" s="19">
        <f ca="1">DATE(LifeExpectancyData[[#This Row],[Year]],RANDBETWEEN(1,12),1)</f>
        <v>40057</v>
      </c>
    </row>
    <row r="923" spans="1:24" x14ac:dyDescent="0.25">
      <c r="A923" t="s">
        <v>442</v>
      </c>
      <c r="B923">
        <v>2008</v>
      </c>
      <c r="C923" t="s">
        <v>382</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c r="X923" s="19">
        <f ca="1">DATE(LifeExpectancyData[[#This Row],[Year]],RANDBETWEEN(1,12),1)</f>
        <v>39692</v>
      </c>
    </row>
    <row r="924" spans="1:24" x14ac:dyDescent="0.25">
      <c r="A924" t="s">
        <v>442</v>
      </c>
      <c r="B924">
        <v>2007</v>
      </c>
      <c r="C924" t="s">
        <v>382</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c r="X924" s="19">
        <f ca="1">DATE(LifeExpectancyData[[#This Row],[Year]],RANDBETWEEN(1,12),1)</f>
        <v>39295</v>
      </c>
    </row>
    <row r="925" spans="1:24" x14ac:dyDescent="0.25">
      <c r="A925" t="s">
        <v>442</v>
      </c>
      <c r="B925">
        <v>2006</v>
      </c>
      <c r="C925" t="s">
        <v>382</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c r="X925" s="19">
        <f ca="1">DATE(LifeExpectancyData[[#This Row],[Year]],RANDBETWEEN(1,12),1)</f>
        <v>38899</v>
      </c>
    </row>
    <row r="926" spans="1:24" x14ac:dyDescent="0.25">
      <c r="A926" t="s">
        <v>442</v>
      </c>
      <c r="B926">
        <v>2005</v>
      </c>
      <c r="C926" t="s">
        <v>382</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c r="X926" s="19">
        <f ca="1">DATE(LifeExpectancyData[[#This Row],[Year]],RANDBETWEEN(1,12),1)</f>
        <v>38626</v>
      </c>
    </row>
    <row r="927" spans="1:24" x14ac:dyDescent="0.25">
      <c r="A927" t="s">
        <v>442</v>
      </c>
      <c r="B927">
        <v>2004</v>
      </c>
      <c r="C927" t="s">
        <v>382</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c r="X927" s="19">
        <f ca="1">DATE(LifeExpectancyData[[#This Row],[Year]],RANDBETWEEN(1,12),1)</f>
        <v>38200</v>
      </c>
    </row>
    <row r="928" spans="1:24" x14ac:dyDescent="0.25">
      <c r="A928" t="s">
        <v>442</v>
      </c>
      <c r="B928">
        <v>2003</v>
      </c>
      <c r="C928" t="s">
        <v>382</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c r="X928" s="19">
        <f ca="1">DATE(LifeExpectancyData[[#This Row],[Year]],RANDBETWEEN(1,12),1)</f>
        <v>37834</v>
      </c>
    </row>
    <row r="929" spans="1:24" x14ac:dyDescent="0.25">
      <c r="A929" t="s">
        <v>442</v>
      </c>
      <c r="B929">
        <v>2002</v>
      </c>
      <c r="C929" t="s">
        <v>382</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c r="X929" s="19">
        <f ca="1">DATE(LifeExpectancyData[[#This Row],[Year]],RANDBETWEEN(1,12),1)</f>
        <v>37500</v>
      </c>
    </row>
    <row r="930" spans="1:24" x14ac:dyDescent="0.25">
      <c r="A930" t="s">
        <v>442</v>
      </c>
      <c r="B930">
        <v>2001</v>
      </c>
      <c r="C930" t="s">
        <v>382</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c r="X930" s="19">
        <f ca="1">DATE(LifeExpectancyData[[#This Row],[Year]],RANDBETWEEN(1,12),1)</f>
        <v>37104</v>
      </c>
    </row>
    <row r="931" spans="1:24" x14ac:dyDescent="0.25">
      <c r="A931" t="s">
        <v>442</v>
      </c>
      <c r="B931">
        <v>2000</v>
      </c>
      <c r="C931" t="s">
        <v>382</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c r="X931" s="19">
        <f ca="1">DATE(LifeExpectancyData[[#This Row],[Year]],RANDBETWEEN(1,12),1)</f>
        <v>36678</v>
      </c>
    </row>
    <row r="932" spans="1:24" x14ac:dyDescent="0.25">
      <c r="A932" t="s">
        <v>443</v>
      </c>
      <c r="B932">
        <v>2015</v>
      </c>
      <c r="C932" t="s">
        <v>382</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c r="X932" s="19">
        <f ca="1">DATE(LifeExpectancyData[[#This Row],[Year]],RANDBETWEEN(1,12),1)</f>
        <v>42156</v>
      </c>
    </row>
    <row r="933" spans="1:24" x14ac:dyDescent="0.25">
      <c r="A933" t="s">
        <v>443</v>
      </c>
      <c r="B933">
        <v>2014</v>
      </c>
      <c r="C933" t="s">
        <v>382</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c r="X933" s="19">
        <f ca="1">DATE(LifeExpectancyData[[#This Row],[Year]],RANDBETWEEN(1,12),1)</f>
        <v>41791</v>
      </c>
    </row>
    <row r="934" spans="1:24" x14ac:dyDescent="0.25">
      <c r="A934" t="s">
        <v>443</v>
      </c>
      <c r="B934">
        <v>2013</v>
      </c>
      <c r="C934" t="s">
        <v>382</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c r="X934" s="19">
        <f ca="1">DATE(LifeExpectancyData[[#This Row],[Year]],RANDBETWEEN(1,12),1)</f>
        <v>41609</v>
      </c>
    </row>
    <row r="935" spans="1:24" x14ac:dyDescent="0.25">
      <c r="A935" t="s">
        <v>443</v>
      </c>
      <c r="B935">
        <v>2012</v>
      </c>
      <c r="C935" t="s">
        <v>382</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c r="X935" s="19">
        <f ca="1">DATE(LifeExpectancyData[[#This Row],[Year]],RANDBETWEEN(1,12),1)</f>
        <v>41091</v>
      </c>
    </row>
    <row r="936" spans="1:24" x14ac:dyDescent="0.25">
      <c r="A936" t="s">
        <v>443</v>
      </c>
      <c r="B936">
        <v>2011</v>
      </c>
      <c r="C936" t="s">
        <v>382</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c r="X936" s="19">
        <f ca="1">DATE(LifeExpectancyData[[#This Row],[Year]],RANDBETWEEN(1,12),1)</f>
        <v>40575</v>
      </c>
    </row>
    <row r="937" spans="1:24" x14ac:dyDescent="0.25">
      <c r="A937" t="s">
        <v>443</v>
      </c>
      <c r="B937">
        <v>2010</v>
      </c>
      <c r="C937" t="s">
        <v>382</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c r="X937" s="19">
        <f ca="1">DATE(LifeExpectancyData[[#This Row],[Year]],RANDBETWEEN(1,12),1)</f>
        <v>40269</v>
      </c>
    </row>
    <row r="938" spans="1:24" x14ac:dyDescent="0.25">
      <c r="A938" t="s">
        <v>443</v>
      </c>
      <c r="B938">
        <v>2009</v>
      </c>
      <c r="C938" t="s">
        <v>382</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c r="X938" s="19">
        <f ca="1">DATE(LifeExpectancyData[[#This Row],[Year]],RANDBETWEEN(1,12),1)</f>
        <v>39814</v>
      </c>
    </row>
    <row r="939" spans="1:24" x14ac:dyDescent="0.25">
      <c r="A939" t="s">
        <v>443</v>
      </c>
      <c r="B939">
        <v>2008</v>
      </c>
      <c r="C939" t="s">
        <v>382</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c r="X939" s="19">
        <f ca="1">DATE(LifeExpectancyData[[#This Row],[Year]],RANDBETWEEN(1,12),1)</f>
        <v>39539</v>
      </c>
    </row>
    <row r="940" spans="1:24" x14ac:dyDescent="0.25">
      <c r="A940" t="s">
        <v>443</v>
      </c>
      <c r="B940">
        <v>2007</v>
      </c>
      <c r="C940" t="s">
        <v>382</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c r="X940" s="19">
        <f ca="1">DATE(LifeExpectancyData[[#This Row],[Year]],RANDBETWEEN(1,12),1)</f>
        <v>39083</v>
      </c>
    </row>
    <row r="941" spans="1:24" x14ac:dyDescent="0.25">
      <c r="A941" t="s">
        <v>443</v>
      </c>
      <c r="B941">
        <v>2006</v>
      </c>
      <c r="C941" t="s">
        <v>382</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c r="X941" s="19">
        <f ca="1">DATE(LifeExpectancyData[[#This Row],[Year]],RANDBETWEEN(1,12),1)</f>
        <v>38869</v>
      </c>
    </row>
    <row r="942" spans="1:24" x14ac:dyDescent="0.25">
      <c r="A942" t="s">
        <v>443</v>
      </c>
      <c r="B942">
        <v>2005</v>
      </c>
      <c r="C942" t="s">
        <v>382</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c r="X942" s="19">
        <f ca="1">DATE(LifeExpectancyData[[#This Row],[Year]],RANDBETWEEN(1,12),1)</f>
        <v>38384</v>
      </c>
    </row>
    <row r="943" spans="1:24" x14ac:dyDescent="0.25">
      <c r="A943" t="s">
        <v>443</v>
      </c>
      <c r="B943">
        <v>2004</v>
      </c>
      <c r="C943" t="s">
        <v>382</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c r="X943" s="19">
        <f ca="1">DATE(LifeExpectancyData[[#This Row],[Year]],RANDBETWEEN(1,12),1)</f>
        <v>38169</v>
      </c>
    </row>
    <row r="944" spans="1:24" x14ac:dyDescent="0.25">
      <c r="A944" t="s">
        <v>443</v>
      </c>
      <c r="B944">
        <v>2003</v>
      </c>
      <c r="C944" t="s">
        <v>382</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c r="X944" s="19">
        <f ca="1">DATE(LifeExpectancyData[[#This Row],[Year]],RANDBETWEEN(1,12),1)</f>
        <v>37742</v>
      </c>
    </row>
    <row r="945" spans="1:24" x14ac:dyDescent="0.25">
      <c r="A945" t="s">
        <v>443</v>
      </c>
      <c r="B945">
        <v>2002</v>
      </c>
      <c r="C945" t="s">
        <v>382</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c r="X945" s="19">
        <f ca="1">DATE(LifeExpectancyData[[#This Row],[Year]],RANDBETWEEN(1,12),1)</f>
        <v>37408</v>
      </c>
    </row>
    <row r="946" spans="1:24" x14ac:dyDescent="0.25">
      <c r="A946" t="s">
        <v>443</v>
      </c>
      <c r="B946">
        <v>2001</v>
      </c>
      <c r="C946" t="s">
        <v>382</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c r="X946" s="19">
        <f ca="1">DATE(LifeExpectancyData[[#This Row],[Year]],RANDBETWEEN(1,12),1)</f>
        <v>37073</v>
      </c>
    </row>
    <row r="947" spans="1:24" x14ac:dyDescent="0.25">
      <c r="A947" t="s">
        <v>443</v>
      </c>
      <c r="B947">
        <v>2000</v>
      </c>
      <c r="C947" t="s">
        <v>382</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c r="X947" s="19">
        <f ca="1">DATE(LifeExpectancyData[[#This Row],[Year]],RANDBETWEEN(1,12),1)</f>
        <v>36831</v>
      </c>
    </row>
    <row r="948" spans="1:24" x14ac:dyDescent="0.25">
      <c r="A948" t="s">
        <v>444</v>
      </c>
      <c r="B948">
        <v>2015</v>
      </c>
      <c r="C948" t="s">
        <v>382</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c r="X948" s="19">
        <f ca="1">DATE(LifeExpectancyData[[#This Row],[Year]],RANDBETWEEN(1,12),1)</f>
        <v>42278</v>
      </c>
    </row>
    <row r="949" spans="1:24" x14ac:dyDescent="0.25">
      <c r="A949" t="s">
        <v>444</v>
      </c>
      <c r="B949">
        <v>2014</v>
      </c>
      <c r="C949" t="s">
        <v>382</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c r="X949" s="19">
        <f ca="1">DATE(LifeExpectancyData[[#This Row],[Year]],RANDBETWEEN(1,12),1)</f>
        <v>41944</v>
      </c>
    </row>
    <row r="950" spans="1:24" x14ac:dyDescent="0.25">
      <c r="A950" t="s">
        <v>444</v>
      </c>
      <c r="B950">
        <v>2013</v>
      </c>
      <c r="C950" t="s">
        <v>382</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c r="X950" s="19">
        <f ca="1">DATE(LifeExpectancyData[[#This Row],[Year]],RANDBETWEEN(1,12),1)</f>
        <v>41395</v>
      </c>
    </row>
    <row r="951" spans="1:24" x14ac:dyDescent="0.25">
      <c r="A951" t="s">
        <v>444</v>
      </c>
      <c r="B951">
        <v>2012</v>
      </c>
      <c r="C951" t="s">
        <v>382</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c r="X951" s="19">
        <f ca="1">DATE(LifeExpectancyData[[#This Row],[Year]],RANDBETWEEN(1,12),1)</f>
        <v>41214</v>
      </c>
    </row>
    <row r="952" spans="1:24" x14ac:dyDescent="0.25">
      <c r="A952" t="s">
        <v>444</v>
      </c>
      <c r="B952">
        <v>2011</v>
      </c>
      <c r="C952" t="s">
        <v>382</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c r="X952" s="19">
        <f ca="1">DATE(LifeExpectancyData[[#This Row],[Year]],RANDBETWEEN(1,12),1)</f>
        <v>40848</v>
      </c>
    </row>
    <row r="953" spans="1:24" x14ac:dyDescent="0.25">
      <c r="A953" t="s">
        <v>444</v>
      </c>
      <c r="B953">
        <v>2010</v>
      </c>
      <c r="C953" t="s">
        <v>382</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c r="X953" s="19">
        <f ca="1">DATE(LifeExpectancyData[[#This Row],[Year]],RANDBETWEEN(1,12),1)</f>
        <v>40422</v>
      </c>
    </row>
    <row r="954" spans="1:24" x14ac:dyDescent="0.25">
      <c r="A954" t="s">
        <v>444</v>
      </c>
      <c r="B954">
        <v>2009</v>
      </c>
      <c r="C954" t="s">
        <v>382</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c r="X954" s="19">
        <f ca="1">DATE(LifeExpectancyData[[#This Row],[Year]],RANDBETWEEN(1,12),1)</f>
        <v>40087</v>
      </c>
    </row>
    <row r="955" spans="1:24" x14ac:dyDescent="0.25">
      <c r="A955" t="s">
        <v>444</v>
      </c>
      <c r="B955">
        <v>2008</v>
      </c>
      <c r="C955" t="s">
        <v>382</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c r="X955" s="19">
        <f ca="1">DATE(LifeExpectancyData[[#This Row],[Year]],RANDBETWEEN(1,12),1)</f>
        <v>39539</v>
      </c>
    </row>
    <row r="956" spans="1:24" x14ac:dyDescent="0.25">
      <c r="A956" t="s">
        <v>444</v>
      </c>
      <c r="B956">
        <v>2007</v>
      </c>
      <c r="C956" t="s">
        <v>382</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c r="X956" s="19">
        <f ca="1">DATE(LifeExpectancyData[[#This Row],[Year]],RANDBETWEEN(1,12),1)</f>
        <v>39203</v>
      </c>
    </row>
    <row r="957" spans="1:24" x14ac:dyDescent="0.25">
      <c r="A957" t="s">
        <v>444</v>
      </c>
      <c r="B957">
        <v>2006</v>
      </c>
      <c r="C957" t="s">
        <v>382</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c r="X957" s="19">
        <f ca="1">DATE(LifeExpectancyData[[#This Row],[Year]],RANDBETWEEN(1,12),1)</f>
        <v>38930</v>
      </c>
    </row>
    <row r="958" spans="1:24" x14ac:dyDescent="0.25">
      <c r="A958" t="s">
        <v>444</v>
      </c>
      <c r="B958">
        <v>2005</v>
      </c>
      <c r="C958" t="s">
        <v>382</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c r="X958" s="19">
        <f ca="1">DATE(LifeExpectancyData[[#This Row],[Year]],RANDBETWEEN(1,12),1)</f>
        <v>38565</v>
      </c>
    </row>
    <row r="959" spans="1:24" x14ac:dyDescent="0.25">
      <c r="A959" t="s">
        <v>444</v>
      </c>
      <c r="B959">
        <v>2004</v>
      </c>
      <c r="C959" t="s">
        <v>382</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c r="X959" s="19">
        <f ca="1">DATE(LifeExpectancyData[[#This Row],[Year]],RANDBETWEEN(1,12),1)</f>
        <v>38322</v>
      </c>
    </row>
    <row r="960" spans="1:24" x14ac:dyDescent="0.25">
      <c r="A960" t="s">
        <v>444</v>
      </c>
      <c r="B960">
        <v>2003</v>
      </c>
      <c r="C960" t="s">
        <v>382</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c r="X960" s="19">
        <f ca="1">DATE(LifeExpectancyData[[#This Row],[Year]],RANDBETWEEN(1,12),1)</f>
        <v>37956</v>
      </c>
    </row>
    <row r="961" spans="1:24" x14ac:dyDescent="0.25">
      <c r="A961" t="s">
        <v>444</v>
      </c>
      <c r="B961">
        <v>2002</v>
      </c>
      <c r="C961" t="s">
        <v>382</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c r="X961" s="19">
        <f ca="1">DATE(LifeExpectancyData[[#This Row],[Year]],RANDBETWEEN(1,12),1)</f>
        <v>37408</v>
      </c>
    </row>
    <row r="962" spans="1:24" x14ac:dyDescent="0.25">
      <c r="A962" t="s">
        <v>444</v>
      </c>
      <c r="B962">
        <v>2001</v>
      </c>
      <c r="C962" t="s">
        <v>382</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c r="X962" s="19">
        <f ca="1">DATE(LifeExpectancyData[[#This Row],[Year]],RANDBETWEEN(1,12),1)</f>
        <v>37104</v>
      </c>
    </row>
    <row r="963" spans="1:24" x14ac:dyDescent="0.25">
      <c r="A963" t="s">
        <v>444</v>
      </c>
      <c r="B963">
        <v>2000</v>
      </c>
      <c r="C963" t="s">
        <v>382</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c r="X963" s="19">
        <f ca="1">DATE(LifeExpectancyData[[#This Row],[Year]],RANDBETWEEN(1,12),1)</f>
        <v>36557</v>
      </c>
    </row>
    <row r="964" spans="1:24" x14ac:dyDescent="0.25">
      <c r="A964" t="s">
        <v>445</v>
      </c>
      <c r="B964">
        <v>2015</v>
      </c>
      <c r="C964" t="s">
        <v>382</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c r="X964" s="19">
        <f ca="1">DATE(LifeExpectancyData[[#This Row],[Year]],RANDBETWEEN(1,12),1)</f>
        <v>42036</v>
      </c>
    </row>
    <row r="965" spans="1:24" x14ac:dyDescent="0.25">
      <c r="A965" t="s">
        <v>445</v>
      </c>
      <c r="B965">
        <v>2014</v>
      </c>
      <c r="C965" t="s">
        <v>382</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c r="X965" s="19">
        <f ca="1">DATE(LifeExpectancyData[[#This Row],[Year]],RANDBETWEEN(1,12),1)</f>
        <v>41791</v>
      </c>
    </row>
    <row r="966" spans="1:24" x14ac:dyDescent="0.25">
      <c r="A966" t="s">
        <v>445</v>
      </c>
      <c r="B966">
        <v>2013</v>
      </c>
      <c r="C966" t="s">
        <v>382</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c r="X966" s="19">
        <f ca="1">DATE(LifeExpectancyData[[#This Row],[Year]],RANDBETWEEN(1,12),1)</f>
        <v>41456</v>
      </c>
    </row>
    <row r="967" spans="1:24" x14ac:dyDescent="0.25">
      <c r="A967" t="s">
        <v>445</v>
      </c>
      <c r="B967">
        <v>2012</v>
      </c>
      <c r="C967" t="s">
        <v>382</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c r="X967" s="19">
        <f ca="1">DATE(LifeExpectancyData[[#This Row],[Year]],RANDBETWEEN(1,12),1)</f>
        <v>40940</v>
      </c>
    </row>
    <row r="968" spans="1:24" x14ac:dyDescent="0.25">
      <c r="A968" t="s">
        <v>445</v>
      </c>
      <c r="B968">
        <v>2011</v>
      </c>
      <c r="C968" t="s">
        <v>382</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c r="X968" s="19">
        <f ca="1">DATE(LifeExpectancyData[[#This Row],[Year]],RANDBETWEEN(1,12),1)</f>
        <v>40756</v>
      </c>
    </row>
    <row r="969" spans="1:24" x14ac:dyDescent="0.25">
      <c r="A969" t="s">
        <v>445</v>
      </c>
      <c r="B969">
        <v>2010</v>
      </c>
      <c r="C969" t="s">
        <v>382</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c r="X969" s="19">
        <f ca="1">DATE(LifeExpectancyData[[#This Row],[Year]],RANDBETWEEN(1,12),1)</f>
        <v>40238</v>
      </c>
    </row>
    <row r="970" spans="1:24" x14ac:dyDescent="0.25">
      <c r="A970" t="s">
        <v>445</v>
      </c>
      <c r="B970">
        <v>2009</v>
      </c>
      <c r="C970" t="s">
        <v>382</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c r="X970" s="19">
        <f ca="1">DATE(LifeExpectancyData[[#This Row],[Year]],RANDBETWEEN(1,12),1)</f>
        <v>40087</v>
      </c>
    </row>
    <row r="971" spans="1:24" x14ac:dyDescent="0.25">
      <c r="A971" t="s">
        <v>445</v>
      </c>
      <c r="B971">
        <v>2008</v>
      </c>
      <c r="C971" t="s">
        <v>382</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c r="X971" s="19">
        <f ca="1">DATE(LifeExpectancyData[[#This Row],[Year]],RANDBETWEEN(1,12),1)</f>
        <v>39753</v>
      </c>
    </row>
    <row r="972" spans="1:24" x14ac:dyDescent="0.25">
      <c r="A972" t="s">
        <v>445</v>
      </c>
      <c r="B972">
        <v>2007</v>
      </c>
      <c r="C972" t="s">
        <v>382</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c r="X972" s="19">
        <f ca="1">DATE(LifeExpectancyData[[#This Row],[Year]],RANDBETWEEN(1,12),1)</f>
        <v>39295</v>
      </c>
    </row>
    <row r="973" spans="1:24" x14ac:dyDescent="0.25">
      <c r="A973" t="s">
        <v>445</v>
      </c>
      <c r="B973">
        <v>2006</v>
      </c>
      <c r="C973" t="s">
        <v>382</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c r="X973" s="19">
        <f ca="1">DATE(LifeExpectancyData[[#This Row],[Year]],RANDBETWEEN(1,12),1)</f>
        <v>38869</v>
      </c>
    </row>
    <row r="974" spans="1:24" x14ac:dyDescent="0.25">
      <c r="A974" t="s">
        <v>445</v>
      </c>
      <c r="B974">
        <v>2005</v>
      </c>
      <c r="C974" t="s">
        <v>382</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c r="X974" s="19">
        <f ca="1">DATE(LifeExpectancyData[[#This Row],[Year]],RANDBETWEEN(1,12),1)</f>
        <v>38534</v>
      </c>
    </row>
    <row r="975" spans="1:24" x14ac:dyDescent="0.25">
      <c r="A975" t="s">
        <v>445</v>
      </c>
      <c r="B975">
        <v>2004</v>
      </c>
      <c r="C975" t="s">
        <v>382</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c r="X975" s="19">
        <f ca="1">DATE(LifeExpectancyData[[#This Row],[Year]],RANDBETWEEN(1,12),1)</f>
        <v>38018</v>
      </c>
    </row>
    <row r="976" spans="1:24" x14ac:dyDescent="0.25">
      <c r="A976" t="s">
        <v>445</v>
      </c>
      <c r="B976">
        <v>2003</v>
      </c>
      <c r="C976" t="s">
        <v>382</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c r="X976" s="19">
        <f ca="1">DATE(LifeExpectancyData[[#This Row],[Year]],RANDBETWEEN(1,12),1)</f>
        <v>37865</v>
      </c>
    </row>
    <row r="977" spans="1:24" x14ac:dyDescent="0.25">
      <c r="A977" t="s">
        <v>445</v>
      </c>
      <c r="B977">
        <v>2002</v>
      </c>
      <c r="C977" t="s">
        <v>382</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c r="X977" s="19">
        <f ca="1">DATE(LifeExpectancyData[[#This Row],[Year]],RANDBETWEEN(1,12),1)</f>
        <v>37561</v>
      </c>
    </row>
    <row r="978" spans="1:24" x14ac:dyDescent="0.25">
      <c r="A978" t="s">
        <v>445</v>
      </c>
      <c r="B978">
        <v>2001</v>
      </c>
      <c r="C978" t="s">
        <v>382</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c r="X978" s="19">
        <f ca="1">DATE(LifeExpectancyData[[#This Row],[Year]],RANDBETWEEN(1,12),1)</f>
        <v>37104</v>
      </c>
    </row>
    <row r="979" spans="1:24" x14ac:dyDescent="0.25">
      <c r="A979" t="s">
        <v>445</v>
      </c>
      <c r="B979">
        <v>2000</v>
      </c>
      <c r="C979" t="s">
        <v>382</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c r="X979" s="19">
        <f ca="1">DATE(LifeExpectancyData[[#This Row],[Year]],RANDBETWEEN(1,12),1)</f>
        <v>36647</v>
      </c>
    </row>
    <row r="980" spans="1:24" x14ac:dyDescent="0.25">
      <c r="A980" t="s">
        <v>446</v>
      </c>
      <c r="B980">
        <v>2015</v>
      </c>
      <c r="C980" t="s">
        <v>382</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c r="X980" s="19">
        <f ca="1">DATE(LifeExpectancyData[[#This Row],[Year]],RANDBETWEEN(1,12),1)</f>
        <v>42309</v>
      </c>
    </row>
    <row r="981" spans="1:24" x14ac:dyDescent="0.25">
      <c r="A981" t="s">
        <v>446</v>
      </c>
      <c r="B981">
        <v>2014</v>
      </c>
      <c r="C981" t="s">
        <v>382</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c r="X981" s="19">
        <f ca="1">DATE(LifeExpectancyData[[#This Row],[Year]],RANDBETWEEN(1,12),1)</f>
        <v>41852</v>
      </c>
    </row>
    <row r="982" spans="1:24" x14ac:dyDescent="0.25">
      <c r="A982" t="s">
        <v>446</v>
      </c>
      <c r="B982">
        <v>2013</v>
      </c>
      <c r="C982" t="s">
        <v>382</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c r="X982" s="19">
        <f ca="1">DATE(LifeExpectancyData[[#This Row],[Year]],RANDBETWEEN(1,12),1)</f>
        <v>41579</v>
      </c>
    </row>
    <row r="983" spans="1:24" x14ac:dyDescent="0.25">
      <c r="A983" t="s">
        <v>446</v>
      </c>
      <c r="B983">
        <v>2012</v>
      </c>
      <c r="C983" t="s">
        <v>382</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c r="X983" s="19">
        <f ca="1">DATE(LifeExpectancyData[[#This Row],[Year]],RANDBETWEEN(1,12),1)</f>
        <v>40969</v>
      </c>
    </row>
    <row r="984" spans="1:24" x14ac:dyDescent="0.25">
      <c r="A984" t="s">
        <v>446</v>
      </c>
      <c r="B984">
        <v>2011</v>
      </c>
      <c r="C984" t="s">
        <v>382</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c r="X984" s="19">
        <f ca="1">DATE(LifeExpectancyData[[#This Row],[Year]],RANDBETWEEN(1,12),1)</f>
        <v>40603</v>
      </c>
    </row>
    <row r="985" spans="1:24" x14ac:dyDescent="0.25">
      <c r="A985" t="s">
        <v>446</v>
      </c>
      <c r="B985">
        <v>2010</v>
      </c>
      <c r="C985" t="s">
        <v>382</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c r="X985" s="19">
        <f ca="1">DATE(LifeExpectancyData[[#This Row],[Year]],RANDBETWEEN(1,12),1)</f>
        <v>40513</v>
      </c>
    </row>
    <row r="986" spans="1:24" x14ac:dyDescent="0.25">
      <c r="A986" t="s">
        <v>446</v>
      </c>
      <c r="B986">
        <v>2009</v>
      </c>
      <c r="C986" t="s">
        <v>382</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c r="X986" s="19">
        <f ca="1">DATE(LifeExpectancyData[[#This Row],[Year]],RANDBETWEEN(1,12),1)</f>
        <v>39904</v>
      </c>
    </row>
    <row r="987" spans="1:24" x14ac:dyDescent="0.25">
      <c r="A987" t="s">
        <v>446</v>
      </c>
      <c r="B987">
        <v>2008</v>
      </c>
      <c r="C987" t="s">
        <v>382</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c r="X987" s="19">
        <f ca="1">DATE(LifeExpectancyData[[#This Row],[Year]],RANDBETWEEN(1,12),1)</f>
        <v>39508</v>
      </c>
    </row>
    <row r="988" spans="1:24" x14ac:dyDescent="0.25">
      <c r="A988" t="s">
        <v>446</v>
      </c>
      <c r="B988">
        <v>2007</v>
      </c>
      <c r="C988" t="s">
        <v>382</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c r="X988" s="19">
        <f ca="1">DATE(LifeExpectancyData[[#This Row],[Year]],RANDBETWEEN(1,12),1)</f>
        <v>39326</v>
      </c>
    </row>
    <row r="989" spans="1:24" x14ac:dyDescent="0.25">
      <c r="A989" t="s">
        <v>446</v>
      </c>
      <c r="B989">
        <v>2006</v>
      </c>
      <c r="C989" t="s">
        <v>382</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c r="X989" s="19">
        <f ca="1">DATE(LifeExpectancyData[[#This Row],[Year]],RANDBETWEEN(1,12),1)</f>
        <v>38808</v>
      </c>
    </row>
    <row r="990" spans="1:24" x14ac:dyDescent="0.25">
      <c r="A990" t="s">
        <v>446</v>
      </c>
      <c r="B990">
        <v>2005</v>
      </c>
      <c r="C990" t="s">
        <v>382</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c r="X990" s="19">
        <f ca="1">DATE(LifeExpectancyData[[#This Row],[Year]],RANDBETWEEN(1,12),1)</f>
        <v>38687</v>
      </c>
    </row>
    <row r="991" spans="1:24" x14ac:dyDescent="0.25">
      <c r="A991" t="s">
        <v>446</v>
      </c>
      <c r="B991">
        <v>2004</v>
      </c>
      <c r="C991" t="s">
        <v>382</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c r="X991" s="19">
        <f ca="1">DATE(LifeExpectancyData[[#This Row],[Year]],RANDBETWEEN(1,12),1)</f>
        <v>38292</v>
      </c>
    </row>
    <row r="992" spans="1:24" x14ac:dyDescent="0.25">
      <c r="A992" t="s">
        <v>446</v>
      </c>
      <c r="B992">
        <v>2003</v>
      </c>
      <c r="C992" t="s">
        <v>382</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c r="X992" s="19">
        <f ca="1">DATE(LifeExpectancyData[[#This Row],[Year]],RANDBETWEEN(1,12),1)</f>
        <v>37956</v>
      </c>
    </row>
    <row r="993" spans="1:24" x14ac:dyDescent="0.25">
      <c r="A993" t="s">
        <v>446</v>
      </c>
      <c r="B993">
        <v>2002</v>
      </c>
      <c r="C993" t="s">
        <v>382</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c r="X993" s="19">
        <f ca="1">DATE(LifeExpectancyData[[#This Row],[Year]],RANDBETWEEN(1,12),1)</f>
        <v>37438</v>
      </c>
    </row>
    <row r="994" spans="1:24" x14ac:dyDescent="0.25">
      <c r="A994" t="s">
        <v>446</v>
      </c>
      <c r="B994">
        <v>2001</v>
      </c>
      <c r="C994" t="s">
        <v>382</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c r="X994" s="19">
        <f ca="1">DATE(LifeExpectancyData[[#This Row],[Year]],RANDBETWEEN(1,12),1)</f>
        <v>36923</v>
      </c>
    </row>
    <row r="995" spans="1:24" x14ac:dyDescent="0.25">
      <c r="A995" t="s">
        <v>446</v>
      </c>
      <c r="B995">
        <v>2000</v>
      </c>
      <c r="C995" t="s">
        <v>382</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c r="X995" s="19">
        <f ca="1">DATE(LifeExpectancyData[[#This Row],[Year]],RANDBETWEEN(1,12),1)</f>
        <v>36678</v>
      </c>
    </row>
    <row r="996" spans="1:24" x14ac:dyDescent="0.25">
      <c r="A996" t="s">
        <v>447</v>
      </c>
      <c r="B996">
        <v>2015</v>
      </c>
      <c r="C996" t="s">
        <v>390</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c r="X996" s="19">
        <f ca="1">DATE(LifeExpectancyData[[#This Row],[Year]],RANDBETWEEN(1,12),1)</f>
        <v>42186</v>
      </c>
    </row>
    <row r="997" spans="1:24" x14ac:dyDescent="0.25">
      <c r="A997" t="s">
        <v>447</v>
      </c>
      <c r="B997">
        <v>2014</v>
      </c>
      <c r="C997" t="s">
        <v>390</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c r="X997" s="19">
        <f ca="1">DATE(LifeExpectancyData[[#This Row],[Year]],RANDBETWEEN(1,12),1)</f>
        <v>41760</v>
      </c>
    </row>
    <row r="998" spans="1:24" x14ac:dyDescent="0.25">
      <c r="A998" t="s">
        <v>447</v>
      </c>
      <c r="B998">
        <v>2013</v>
      </c>
      <c r="C998" t="s">
        <v>390</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c r="X998" s="19">
        <f ca="1">DATE(LifeExpectancyData[[#This Row],[Year]],RANDBETWEEN(1,12),1)</f>
        <v>41306</v>
      </c>
    </row>
    <row r="999" spans="1:24" x14ac:dyDescent="0.25">
      <c r="A999" t="s">
        <v>447</v>
      </c>
      <c r="B999">
        <v>2012</v>
      </c>
      <c r="C999" t="s">
        <v>390</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c r="X999" s="19">
        <f ca="1">DATE(LifeExpectancyData[[#This Row],[Year]],RANDBETWEEN(1,12),1)</f>
        <v>40940</v>
      </c>
    </row>
    <row r="1000" spans="1:24" x14ac:dyDescent="0.25">
      <c r="A1000" t="s">
        <v>447</v>
      </c>
      <c r="B1000">
        <v>2011</v>
      </c>
      <c r="C1000" t="s">
        <v>390</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c r="X1000" s="19">
        <f ca="1">DATE(LifeExpectancyData[[#This Row],[Year]],RANDBETWEEN(1,12),1)</f>
        <v>40878</v>
      </c>
    </row>
    <row r="1001" spans="1:24" x14ac:dyDescent="0.25">
      <c r="A1001" t="s">
        <v>447</v>
      </c>
      <c r="B1001">
        <v>2010</v>
      </c>
      <c r="C1001" t="s">
        <v>390</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c r="X1001" s="19">
        <f ca="1">DATE(LifeExpectancyData[[#This Row],[Year]],RANDBETWEEN(1,12),1)</f>
        <v>40422</v>
      </c>
    </row>
    <row r="1002" spans="1:24" x14ac:dyDescent="0.25">
      <c r="A1002" t="s">
        <v>447</v>
      </c>
      <c r="B1002">
        <v>2009</v>
      </c>
      <c r="C1002" t="s">
        <v>390</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c r="X1002" s="19">
        <f ca="1">DATE(LifeExpectancyData[[#This Row],[Year]],RANDBETWEEN(1,12),1)</f>
        <v>40026</v>
      </c>
    </row>
    <row r="1003" spans="1:24" x14ac:dyDescent="0.25">
      <c r="A1003" t="s">
        <v>447</v>
      </c>
      <c r="B1003">
        <v>2008</v>
      </c>
      <c r="C1003" t="s">
        <v>390</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c r="X1003" s="19">
        <f ca="1">DATE(LifeExpectancyData[[#This Row],[Year]],RANDBETWEEN(1,12),1)</f>
        <v>39753</v>
      </c>
    </row>
    <row r="1004" spans="1:24" x14ac:dyDescent="0.25">
      <c r="A1004" t="s">
        <v>447</v>
      </c>
      <c r="B1004">
        <v>2007</v>
      </c>
      <c r="C1004" t="s">
        <v>390</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c r="X1004" s="19">
        <f ca="1">DATE(LifeExpectancyData[[#This Row],[Year]],RANDBETWEEN(1,12),1)</f>
        <v>39083</v>
      </c>
    </row>
    <row r="1005" spans="1:24" x14ac:dyDescent="0.25">
      <c r="A1005" t="s">
        <v>447</v>
      </c>
      <c r="B1005">
        <v>2006</v>
      </c>
      <c r="C1005" t="s">
        <v>390</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c r="X1005" s="19">
        <f ca="1">DATE(LifeExpectancyData[[#This Row],[Year]],RANDBETWEEN(1,12),1)</f>
        <v>38961</v>
      </c>
    </row>
    <row r="1006" spans="1:24" x14ac:dyDescent="0.25">
      <c r="A1006" t="s">
        <v>447</v>
      </c>
      <c r="B1006">
        <v>2005</v>
      </c>
      <c r="C1006" t="s">
        <v>390</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c r="X1006" s="19">
        <f ca="1">DATE(LifeExpectancyData[[#This Row],[Year]],RANDBETWEEN(1,12),1)</f>
        <v>38384</v>
      </c>
    </row>
    <row r="1007" spans="1:24" x14ac:dyDescent="0.25">
      <c r="A1007" t="s">
        <v>447</v>
      </c>
      <c r="B1007">
        <v>2004</v>
      </c>
      <c r="C1007" t="s">
        <v>390</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c r="X1007" s="19">
        <f ca="1">DATE(LifeExpectancyData[[#This Row],[Year]],RANDBETWEEN(1,12),1)</f>
        <v>38018</v>
      </c>
    </row>
    <row r="1008" spans="1:24" x14ac:dyDescent="0.25">
      <c r="A1008" t="s">
        <v>447</v>
      </c>
      <c r="B1008">
        <v>2003</v>
      </c>
      <c r="C1008" t="s">
        <v>390</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c r="X1008" s="19">
        <f ca="1">DATE(LifeExpectancyData[[#This Row],[Year]],RANDBETWEEN(1,12),1)</f>
        <v>37865</v>
      </c>
    </row>
    <row r="1009" spans="1:24" x14ac:dyDescent="0.25">
      <c r="A1009" t="s">
        <v>447</v>
      </c>
      <c r="B1009">
        <v>2002</v>
      </c>
      <c r="C1009" t="s">
        <v>390</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c r="X1009" s="19">
        <f ca="1">DATE(LifeExpectancyData[[#This Row],[Year]],RANDBETWEEN(1,12),1)</f>
        <v>37500</v>
      </c>
    </row>
    <row r="1010" spans="1:24" x14ac:dyDescent="0.25">
      <c r="A1010" t="s">
        <v>447</v>
      </c>
      <c r="B1010">
        <v>2001</v>
      </c>
      <c r="C1010" t="s">
        <v>390</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c r="X1010" s="19">
        <f ca="1">DATE(LifeExpectancyData[[#This Row],[Year]],RANDBETWEEN(1,12),1)</f>
        <v>36951</v>
      </c>
    </row>
    <row r="1011" spans="1:24" x14ac:dyDescent="0.25">
      <c r="A1011" t="s">
        <v>447</v>
      </c>
      <c r="B1011">
        <v>2000</v>
      </c>
      <c r="C1011" t="s">
        <v>390</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c r="X1011" s="19">
        <f ca="1">DATE(LifeExpectancyData[[#This Row],[Year]],RANDBETWEEN(1,12),1)</f>
        <v>36770</v>
      </c>
    </row>
    <row r="1012" spans="1:24" x14ac:dyDescent="0.25">
      <c r="A1012" t="s">
        <v>448</v>
      </c>
      <c r="B1012">
        <v>2015</v>
      </c>
      <c r="C1012" t="s">
        <v>382</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c r="X1012" s="19">
        <f ca="1">DATE(LifeExpectancyData[[#This Row],[Year]],RANDBETWEEN(1,12),1)</f>
        <v>42064</v>
      </c>
    </row>
    <row r="1013" spans="1:24" x14ac:dyDescent="0.25">
      <c r="A1013" t="s">
        <v>448</v>
      </c>
      <c r="B1013">
        <v>2014</v>
      </c>
      <c r="C1013" t="s">
        <v>382</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c r="X1013" s="19">
        <f ca="1">DATE(LifeExpectancyData[[#This Row],[Year]],RANDBETWEEN(1,12),1)</f>
        <v>41913</v>
      </c>
    </row>
    <row r="1014" spans="1:24" x14ac:dyDescent="0.25">
      <c r="A1014" t="s">
        <v>448</v>
      </c>
      <c r="B1014">
        <v>2013</v>
      </c>
      <c r="C1014" t="s">
        <v>382</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c r="X1014" s="19">
        <f ca="1">DATE(LifeExpectancyData[[#This Row],[Year]],RANDBETWEEN(1,12),1)</f>
        <v>41275</v>
      </c>
    </row>
    <row r="1015" spans="1:24" x14ac:dyDescent="0.25">
      <c r="A1015" t="s">
        <v>448</v>
      </c>
      <c r="B1015">
        <v>2012</v>
      </c>
      <c r="C1015" t="s">
        <v>382</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c r="X1015" s="19">
        <f ca="1">DATE(LifeExpectancyData[[#This Row],[Year]],RANDBETWEEN(1,12),1)</f>
        <v>41030</v>
      </c>
    </row>
    <row r="1016" spans="1:24" x14ac:dyDescent="0.25">
      <c r="A1016" t="s">
        <v>448</v>
      </c>
      <c r="B1016">
        <v>2011</v>
      </c>
      <c r="C1016" t="s">
        <v>382</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c r="X1016" s="19">
        <f ca="1">DATE(LifeExpectancyData[[#This Row],[Year]],RANDBETWEEN(1,12),1)</f>
        <v>40603</v>
      </c>
    </row>
    <row r="1017" spans="1:24" x14ac:dyDescent="0.25">
      <c r="A1017" t="s">
        <v>448</v>
      </c>
      <c r="B1017">
        <v>2010</v>
      </c>
      <c r="C1017" t="s">
        <v>382</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c r="X1017" s="19">
        <f ca="1">DATE(LifeExpectancyData[[#This Row],[Year]],RANDBETWEEN(1,12),1)</f>
        <v>40179</v>
      </c>
    </row>
    <row r="1018" spans="1:24" x14ac:dyDescent="0.25">
      <c r="A1018" t="s">
        <v>448</v>
      </c>
      <c r="B1018">
        <v>2009</v>
      </c>
      <c r="C1018" t="s">
        <v>382</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c r="X1018" s="19">
        <f ca="1">DATE(LifeExpectancyData[[#This Row],[Year]],RANDBETWEEN(1,12),1)</f>
        <v>39904</v>
      </c>
    </row>
    <row r="1019" spans="1:24" x14ac:dyDescent="0.25">
      <c r="A1019" t="s">
        <v>448</v>
      </c>
      <c r="B1019">
        <v>2008</v>
      </c>
      <c r="C1019" t="s">
        <v>382</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c r="X1019" s="19">
        <f ca="1">DATE(LifeExpectancyData[[#This Row],[Year]],RANDBETWEEN(1,12),1)</f>
        <v>39630</v>
      </c>
    </row>
    <row r="1020" spans="1:24" x14ac:dyDescent="0.25">
      <c r="A1020" t="s">
        <v>448</v>
      </c>
      <c r="B1020">
        <v>2007</v>
      </c>
      <c r="C1020" t="s">
        <v>382</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c r="X1020" s="19">
        <f ca="1">DATE(LifeExpectancyData[[#This Row],[Year]],RANDBETWEEN(1,12),1)</f>
        <v>39173</v>
      </c>
    </row>
    <row r="1021" spans="1:24" x14ac:dyDescent="0.25">
      <c r="A1021" t="s">
        <v>448</v>
      </c>
      <c r="B1021">
        <v>2006</v>
      </c>
      <c r="C1021" t="s">
        <v>382</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c r="X1021" s="19">
        <f ca="1">DATE(LifeExpectancyData[[#This Row],[Year]],RANDBETWEEN(1,12),1)</f>
        <v>38899</v>
      </c>
    </row>
    <row r="1022" spans="1:24" x14ac:dyDescent="0.25">
      <c r="A1022" t="s">
        <v>448</v>
      </c>
      <c r="B1022">
        <v>2005</v>
      </c>
      <c r="C1022" t="s">
        <v>382</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c r="X1022" s="19">
        <f ca="1">DATE(LifeExpectancyData[[#This Row],[Year]],RANDBETWEEN(1,12),1)</f>
        <v>38443</v>
      </c>
    </row>
    <row r="1023" spans="1:24" x14ac:dyDescent="0.25">
      <c r="A1023" t="s">
        <v>448</v>
      </c>
      <c r="B1023">
        <v>2004</v>
      </c>
      <c r="C1023" t="s">
        <v>382</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c r="X1023" s="19">
        <f ca="1">DATE(LifeExpectancyData[[#This Row],[Year]],RANDBETWEEN(1,12),1)</f>
        <v>38108</v>
      </c>
    </row>
    <row r="1024" spans="1:24" x14ac:dyDescent="0.25">
      <c r="A1024" t="s">
        <v>448</v>
      </c>
      <c r="B1024">
        <v>2003</v>
      </c>
      <c r="C1024" t="s">
        <v>382</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c r="X1024" s="19">
        <f ca="1">DATE(LifeExpectancyData[[#This Row],[Year]],RANDBETWEEN(1,12),1)</f>
        <v>37956</v>
      </c>
    </row>
    <row r="1025" spans="1:24" x14ac:dyDescent="0.25">
      <c r="A1025" t="s">
        <v>448</v>
      </c>
      <c r="B1025">
        <v>2002</v>
      </c>
      <c r="C1025" t="s">
        <v>382</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c r="X1025" s="19">
        <f ca="1">DATE(LifeExpectancyData[[#This Row],[Year]],RANDBETWEEN(1,12),1)</f>
        <v>37257</v>
      </c>
    </row>
    <row r="1026" spans="1:24" x14ac:dyDescent="0.25">
      <c r="A1026" t="s">
        <v>448</v>
      </c>
      <c r="B1026">
        <v>2001</v>
      </c>
      <c r="C1026" t="s">
        <v>382</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c r="X1026" s="19">
        <f ca="1">DATE(LifeExpectancyData[[#This Row],[Year]],RANDBETWEEN(1,12),1)</f>
        <v>37073</v>
      </c>
    </row>
    <row r="1027" spans="1:24" x14ac:dyDescent="0.25">
      <c r="A1027" t="s">
        <v>448</v>
      </c>
      <c r="B1027">
        <v>2000</v>
      </c>
      <c r="C1027" t="s">
        <v>382</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c r="X1027" s="19">
        <f ca="1">DATE(LifeExpectancyData[[#This Row],[Year]],RANDBETWEEN(1,12),1)</f>
        <v>36708</v>
      </c>
    </row>
    <row r="1028" spans="1:24" x14ac:dyDescent="0.25">
      <c r="A1028" t="s">
        <v>449</v>
      </c>
      <c r="B1028">
        <v>2015</v>
      </c>
      <c r="C1028" t="s">
        <v>382</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c r="X1028" s="19">
        <f ca="1">DATE(LifeExpectancyData[[#This Row],[Year]],RANDBETWEEN(1,12),1)</f>
        <v>42248</v>
      </c>
    </row>
    <row r="1029" spans="1:24" x14ac:dyDescent="0.25">
      <c r="A1029" t="s">
        <v>449</v>
      </c>
      <c r="B1029">
        <v>2014</v>
      </c>
      <c r="C1029" t="s">
        <v>382</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c r="X1029" s="19">
        <f ca="1">DATE(LifeExpectancyData[[#This Row],[Year]],RANDBETWEEN(1,12),1)</f>
        <v>41821</v>
      </c>
    </row>
    <row r="1030" spans="1:24" x14ac:dyDescent="0.25">
      <c r="A1030" t="s">
        <v>449</v>
      </c>
      <c r="B1030">
        <v>2013</v>
      </c>
      <c r="C1030" t="s">
        <v>382</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c r="X1030" s="19">
        <f ca="1">DATE(LifeExpectancyData[[#This Row],[Year]],RANDBETWEEN(1,12),1)</f>
        <v>41275</v>
      </c>
    </row>
    <row r="1031" spans="1:24" x14ac:dyDescent="0.25">
      <c r="A1031" t="s">
        <v>449</v>
      </c>
      <c r="B1031">
        <v>2012</v>
      </c>
      <c r="C1031" t="s">
        <v>382</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c r="X1031" s="19">
        <f ca="1">DATE(LifeExpectancyData[[#This Row],[Year]],RANDBETWEEN(1,12),1)</f>
        <v>41091</v>
      </c>
    </row>
    <row r="1032" spans="1:24" x14ac:dyDescent="0.25">
      <c r="A1032" t="s">
        <v>449</v>
      </c>
      <c r="B1032">
        <v>2011</v>
      </c>
      <c r="C1032" t="s">
        <v>382</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c r="X1032" s="19">
        <f ca="1">DATE(LifeExpectancyData[[#This Row],[Year]],RANDBETWEEN(1,12),1)</f>
        <v>40787</v>
      </c>
    </row>
    <row r="1033" spans="1:24" x14ac:dyDescent="0.25">
      <c r="A1033" t="s">
        <v>449</v>
      </c>
      <c r="B1033">
        <v>2010</v>
      </c>
      <c r="C1033" t="s">
        <v>382</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c r="X1033" s="19">
        <f ca="1">DATE(LifeExpectancyData[[#This Row],[Year]],RANDBETWEEN(1,12),1)</f>
        <v>40330</v>
      </c>
    </row>
    <row r="1034" spans="1:24" x14ac:dyDescent="0.25">
      <c r="A1034" t="s">
        <v>449</v>
      </c>
      <c r="B1034">
        <v>2009</v>
      </c>
      <c r="C1034" t="s">
        <v>382</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c r="X1034" s="19">
        <f ca="1">DATE(LifeExpectancyData[[#This Row],[Year]],RANDBETWEEN(1,12),1)</f>
        <v>39995</v>
      </c>
    </row>
    <row r="1035" spans="1:24" x14ac:dyDescent="0.25">
      <c r="A1035" t="s">
        <v>449</v>
      </c>
      <c r="B1035">
        <v>2008</v>
      </c>
      <c r="C1035" t="s">
        <v>382</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c r="X1035" s="19">
        <f ca="1">DATE(LifeExpectancyData[[#This Row],[Year]],RANDBETWEEN(1,12),1)</f>
        <v>39479</v>
      </c>
    </row>
    <row r="1036" spans="1:24" x14ac:dyDescent="0.25">
      <c r="A1036" t="s">
        <v>449</v>
      </c>
      <c r="B1036">
        <v>2007</v>
      </c>
      <c r="C1036" t="s">
        <v>382</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c r="X1036" s="19">
        <f ca="1">DATE(LifeExpectancyData[[#This Row],[Year]],RANDBETWEEN(1,12),1)</f>
        <v>39173</v>
      </c>
    </row>
    <row r="1037" spans="1:24" x14ac:dyDescent="0.25">
      <c r="A1037" t="s">
        <v>449</v>
      </c>
      <c r="B1037">
        <v>2006</v>
      </c>
      <c r="C1037" t="s">
        <v>382</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c r="X1037" s="19">
        <f ca="1">DATE(LifeExpectancyData[[#This Row],[Year]],RANDBETWEEN(1,12),1)</f>
        <v>38961</v>
      </c>
    </row>
    <row r="1038" spans="1:24" x14ac:dyDescent="0.25">
      <c r="A1038" t="s">
        <v>449</v>
      </c>
      <c r="B1038">
        <v>2005</v>
      </c>
      <c r="C1038" t="s">
        <v>382</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c r="X1038" s="19">
        <f ca="1">DATE(LifeExpectancyData[[#This Row],[Year]],RANDBETWEEN(1,12),1)</f>
        <v>38687</v>
      </c>
    </row>
    <row r="1039" spans="1:24" x14ac:dyDescent="0.25">
      <c r="A1039" t="s">
        <v>449</v>
      </c>
      <c r="B1039">
        <v>2004</v>
      </c>
      <c r="C1039" t="s">
        <v>382</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c r="X1039" s="19">
        <f ca="1">DATE(LifeExpectancyData[[#This Row],[Year]],RANDBETWEEN(1,12),1)</f>
        <v>37987</v>
      </c>
    </row>
    <row r="1040" spans="1:24" x14ac:dyDescent="0.25">
      <c r="A1040" t="s">
        <v>449</v>
      </c>
      <c r="B1040">
        <v>2003</v>
      </c>
      <c r="C1040" t="s">
        <v>382</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c r="X1040" s="19">
        <f ca="1">DATE(LifeExpectancyData[[#This Row],[Year]],RANDBETWEEN(1,12),1)</f>
        <v>37895</v>
      </c>
    </row>
    <row r="1041" spans="1:24" x14ac:dyDescent="0.25">
      <c r="A1041" t="s">
        <v>449</v>
      </c>
      <c r="B1041">
        <v>2002</v>
      </c>
      <c r="C1041" t="s">
        <v>382</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c r="X1041" s="19">
        <f ca="1">DATE(LifeExpectancyData[[#This Row],[Year]],RANDBETWEEN(1,12),1)</f>
        <v>37347</v>
      </c>
    </row>
    <row r="1042" spans="1:24" x14ac:dyDescent="0.25">
      <c r="A1042" t="s">
        <v>449</v>
      </c>
      <c r="B1042">
        <v>2001</v>
      </c>
      <c r="C1042" t="s">
        <v>382</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c r="X1042" s="19">
        <f ca="1">DATE(LifeExpectancyData[[#This Row],[Year]],RANDBETWEEN(1,12),1)</f>
        <v>37104</v>
      </c>
    </row>
    <row r="1043" spans="1:24" x14ac:dyDescent="0.25">
      <c r="A1043" t="s">
        <v>449</v>
      </c>
      <c r="B1043">
        <v>2000</v>
      </c>
      <c r="C1043" t="s">
        <v>382</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c r="X1043" s="19">
        <f ca="1">DATE(LifeExpectancyData[[#This Row],[Year]],RANDBETWEEN(1,12),1)</f>
        <v>36647</v>
      </c>
    </row>
    <row r="1044" spans="1:24" x14ac:dyDescent="0.25">
      <c r="A1044" t="s">
        <v>450</v>
      </c>
      <c r="B1044">
        <v>2015</v>
      </c>
      <c r="C1044" t="s">
        <v>382</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c r="X1044" s="19">
        <f ca="1">DATE(LifeExpectancyData[[#This Row],[Year]],RANDBETWEEN(1,12),1)</f>
        <v>42125</v>
      </c>
    </row>
    <row r="1045" spans="1:24" x14ac:dyDescent="0.25">
      <c r="A1045" t="s">
        <v>450</v>
      </c>
      <c r="B1045">
        <v>2014</v>
      </c>
      <c r="C1045" t="s">
        <v>382</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c r="X1045" s="19">
        <f ca="1">DATE(LifeExpectancyData[[#This Row],[Year]],RANDBETWEEN(1,12),1)</f>
        <v>41913</v>
      </c>
    </row>
    <row r="1046" spans="1:24" x14ac:dyDescent="0.25">
      <c r="A1046" t="s">
        <v>450</v>
      </c>
      <c r="B1046">
        <v>2013</v>
      </c>
      <c r="C1046" t="s">
        <v>382</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c r="X1046" s="19">
        <f ca="1">DATE(LifeExpectancyData[[#This Row],[Year]],RANDBETWEEN(1,12),1)</f>
        <v>41306</v>
      </c>
    </row>
    <row r="1047" spans="1:24" x14ac:dyDescent="0.25">
      <c r="A1047" t="s">
        <v>450</v>
      </c>
      <c r="B1047">
        <v>2012</v>
      </c>
      <c r="C1047" t="s">
        <v>382</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c r="X1047" s="19">
        <f ca="1">DATE(LifeExpectancyData[[#This Row],[Year]],RANDBETWEEN(1,12),1)</f>
        <v>41030</v>
      </c>
    </row>
    <row r="1048" spans="1:24" x14ac:dyDescent="0.25">
      <c r="A1048" t="s">
        <v>450</v>
      </c>
      <c r="B1048">
        <v>2011</v>
      </c>
      <c r="C1048" t="s">
        <v>382</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c r="X1048" s="19">
        <f ca="1">DATE(LifeExpectancyData[[#This Row],[Year]],RANDBETWEEN(1,12),1)</f>
        <v>40756</v>
      </c>
    </row>
    <row r="1049" spans="1:24" x14ac:dyDescent="0.25">
      <c r="A1049" t="s">
        <v>450</v>
      </c>
      <c r="B1049">
        <v>2010</v>
      </c>
      <c r="C1049" t="s">
        <v>382</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c r="X1049" s="19">
        <f ca="1">DATE(LifeExpectancyData[[#This Row],[Year]],RANDBETWEEN(1,12),1)</f>
        <v>40391</v>
      </c>
    </row>
    <row r="1050" spans="1:24" x14ac:dyDescent="0.25">
      <c r="A1050" t="s">
        <v>450</v>
      </c>
      <c r="B1050">
        <v>2009</v>
      </c>
      <c r="C1050" t="s">
        <v>382</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c r="X1050" s="19">
        <f ca="1">DATE(LifeExpectancyData[[#This Row],[Year]],RANDBETWEEN(1,12),1)</f>
        <v>39845</v>
      </c>
    </row>
    <row r="1051" spans="1:24" x14ac:dyDescent="0.25">
      <c r="A1051" t="s">
        <v>450</v>
      </c>
      <c r="B1051">
        <v>2008</v>
      </c>
      <c r="C1051" t="s">
        <v>382</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c r="X1051" s="19">
        <f ca="1">DATE(LifeExpectancyData[[#This Row],[Year]],RANDBETWEEN(1,12),1)</f>
        <v>39722</v>
      </c>
    </row>
    <row r="1052" spans="1:24" x14ac:dyDescent="0.25">
      <c r="A1052" t="s">
        <v>450</v>
      </c>
      <c r="B1052">
        <v>2007</v>
      </c>
      <c r="C1052" t="s">
        <v>382</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c r="X1052" s="19">
        <f ca="1">DATE(LifeExpectancyData[[#This Row],[Year]],RANDBETWEEN(1,12),1)</f>
        <v>39173</v>
      </c>
    </row>
    <row r="1053" spans="1:24" x14ac:dyDescent="0.25">
      <c r="A1053" t="s">
        <v>450</v>
      </c>
      <c r="B1053">
        <v>2006</v>
      </c>
      <c r="C1053" t="s">
        <v>382</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c r="X1053" s="19">
        <f ca="1">DATE(LifeExpectancyData[[#This Row],[Year]],RANDBETWEEN(1,12),1)</f>
        <v>38961</v>
      </c>
    </row>
    <row r="1054" spans="1:24" x14ac:dyDescent="0.25">
      <c r="A1054" t="s">
        <v>450</v>
      </c>
      <c r="B1054">
        <v>2005</v>
      </c>
      <c r="C1054" t="s">
        <v>382</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c r="X1054" s="19">
        <f ca="1">DATE(LifeExpectancyData[[#This Row],[Year]],RANDBETWEEN(1,12),1)</f>
        <v>38596</v>
      </c>
    </row>
    <row r="1055" spans="1:24" x14ac:dyDescent="0.25">
      <c r="A1055" t="s">
        <v>450</v>
      </c>
      <c r="B1055">
        <v>2004</v>
      </c>
      <c r="C1055" t="s">
        <v>382</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c r="X1055" s="19">
        <f ca="1">DATE(LifeExpectancyData[[#This Row],[Year]],RANDBETWEEN(1,12),1)</f>
        <v>38231</v>
      </c>
    </row>
    <row r="1056" spans="1:24" x14ac:dyDescent="0.25">
      <c r="A1056" t="s">
        <v>450</v>
      </c>
      <c r="B1056">
        <v>2003</v>
      </c>
      <c r="C1056" t="s">
        <v>382</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c r="X1056" s="19">
        <f ca="1">DATE(LifeExpectancyData[[#This Row],[Year]],RANDBETWEEN(1,12),1)</f>
        <v>37712</v>
      </c>
    </row>
    <row r="1057" spans="1:24" x14ac:dyDescent="0.25">
      <c r="A1057" t="s">
        <v>450</v>
      </c>
      <c r="B1057">
        <v>2002</v>
      </c>
      <c r="C1057" t="s">
        <v>382</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c r="X1057" s="19">
        <f ca="1">DATE(LifeExpectancyData[[#This Row],[Year]],RANDBETWEEN(1,12),1)</f>
        <v>37438</v>
      </c>
    </row>
    <row r="1058" spans="1:24" x14ac:dyDescent="0.25">
      <c r="A1058" t="s">
        <v>450</v>
      </c>
      <c r="B1058">
        <v>2001</v>
      </c>
      <c r="C1058" t="s">
        <v>382</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c r="X1058" s="19">
        <f ca="1">DATE(LifeExpectancyData[[#This Row],[Year]],RANDBETWEEN(1,12),1)</f>
        <v>36892</v>
      </c>
    </row>
    <row r="1059" spans="1:24" x14ac:dyDescent="0.25">
      <c r="A1059" t="s">
        <v>450</v>
      </c>
      <c r="B1059">
        <v>2000</v>
      </c>
      <c r="C1059" t="s">
        <v>382</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c r="X1059" s="19">
        <f ca="1">DATE(LifeExpectancyData[[#This Row],[Year]],RANDBETWEEN(1,12),1)</f>
        <v>36861</v>
      </c>
    </row>
    <row r="1060" spans="1:24" x14ac:dyDescent="0.25">
      <c r="A1060" t="s">
        <v>451</v>
      </c>
      <c r="B1060">
        <v>2015</v>
      </c>
      <c r="C1060" t="s">
        <v>382</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c r="X1060" s="19">
        <f ca="1">DATE(LifeExpectancyData[[#This Row],[Year]],RANDBETWEEN(1,12),1)</f>
        <v>42095</v>
      </c>
    </row>
    <row r="1061" spans="1:24" x14ac:dyDescent="0.25">
      <c r="A1061" t="s">
        <v>451</v>
      </c>
      <c r="B1061">
        <v>2014</v>
      </c>
      <c r="C1061" t="s">
        <v>382</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c r="X1061" s="19">
        <f ca="1">DATE(LifeExpectancyData[[#This Row],[Year]],RANDBETWEEN(1,12),1)</f>
        <v>41640</v>
      </c>
    </row>
    <row r="1062" spans="1:24" x14ac:dyDescent="0.25">
      <c r="A1062" t="s">
        <v>451</v>
      </c>
      <c r="B1062">
        <v>2013</v>
      </c>
      <c r="C1062" t="s">
        <v>382</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c r="X1062" s="19">
        <f ca="1">DATE(LifeExpectancyData[[#This Row],[Year]],RANDBETWEEN(1,12),1)</f>
        <v>41395</v>
      </c>
    </row>
    <row r="1063" spans="1:24" x14ac:dyDescent="0.25">
      <c r="A1063" t="s">
        <v>451</v>
      </c>
      <c r="B1063">
        <v>2012</v>
      </c>
      <c r="C1063" t="s">
        <v>382</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c r="X1063" s="19">
        <f ca="1">DATE(LifeExpectancyData[[#This Row],[Year]],RANDBETWEEN(1,12),1)</f>
        <v>41091</v>
      </c>
    </row>
    <row r="1064" spans="1:24" x14ac:dyDescent="0.25">
      <c r="A1064" t="s">
        <v>451</v>
      </c>
      <c r="B1064">
        <v>2011</v>
      </c>
      <c r="C1064" t="s">
        <v>382</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c r="X1064" s="19">
        <f ca="1">DATE(LifeExpectancyData[[#This Row],[Year]],RANDBETWEEN(1,12),1)</f>
        <v>40817</v>
      </c>
    </row>
    <row r="1065" spans="1:24" x14ac:dyDescent="0.25">
      <c r="A1065" t="s">
        <v>451</v>
      </c>
      <c r="B1065">
        <v>2010</v>
      </c>
      <c r="C1065" t="s">
        <v>382</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c r="X1065" s="19">
        <f ca="1">DATE(LifeExpectancyData[[#This Row],[Year]],RANDBETWEEN(1,12),1)</f>
        <v>40483</v>
      </c>
    </row>
    <row r="1066" spans="1:24" x14ac:dyDescent="0.25">
      <c r="A1066" t="s">
        <v>451</v>
      </c>
      <c r="B1066">
        <v>2009</v>
      </c>
      <c r="C1066" t="s">
        <v>382</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c r="X1066" s="19">
        <f ca="1">DATE(LifeExpectancyData[[#This Row],[Year]],RANDBETWEEN(1,12),1)</f>
        <v>39845</v>
      </c>
    </row>
    <row r="1067" spans="1:24" x14ac:dyDescent="0.25">
      <c r="A1067" t="s">
        <v>451</v>
      </c>
      <c r="B1067">
        <v>2008</v>
      </c>
      <c r="C1067" t="s">
        <v>382</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c r="X1067" s="19">
        <f ca="1">DATE(LifeExpectancyData[[#This Row],[Year]],RANDBETWEEN(1,12),1)</f>
        <v>39600</v>
      </c>
    </row>
    <row r="1068" spans="1:24" x14ac:dyDescent="0.25">
      <c r="A1068" t="s">
        <v>451</v>
      </c>
      <c r="B1068">
        <v>2007</v>
      </c>
      <c r="C1068" t="s">
        <v>382</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c r="X1068" s="19">
        <f ca="1">DATE(LifeExpectancyData[[#This Row],[Year]],RANDBETWEEN(1,12),1)</f>
        <v>39234</v>
      </c>
    </row>
    <row r="1069" spans="1:24" x14ac:dyDescent="0.25">
      <c r="A1069" t="s">
        <v>451</v>
      </c>
      <c r="B1069">
        <v>2006</v>
      </c>
      <c r="C1069" t="s">
        <v>382</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c r="X1069" s="19">
        <f ca="1">DATE(LifeExpectancyData[[#This Row],[Year]],RANDBETWEEN(1,12),1)</f>
        <v>38838</v>
      </c>
    </row>
    <row r="1070" spans="1:24" x14ac:dyDescent="0.25">
      <c r="A1070" t="s">
        <v>451</v>
      </c>
      <c r="B1070">
        <v>2005</v>
      </c>
      <c r="C1070" t="s">
        <v>382</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c r="X1070" s="19">
        <f ca="1">DATE(LifeExpectancyData[[#This Row],[Year]],RANDBETWEEN(1,12),1)</f>
        <v>38534</v>
      </c>
    </row>
    <row r="1071" spans="1:24" x14ac:dyDescent="0.25">
      <c r="A1071" t="s">
        <v>451</v>
      </c>
      <c r="B1071">
        <v>2004</v>
      </c>
      <c r="C1071" t="s">
        <v>382</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c r="X1071" s="19">
        <f ca="1">DATE(LifeExpectancyData[[#This Row],[Year]],RANDBETWEEN(1,12),1)</f>
        <v>38047</v>
      </c>
    </row>
    <row r="1072" spans="1:24" x14ac:dyDescent="0.25">
      <c r="A1072" t="s">
        <v>451</v>
      </c>
      <c r="B1072">
        <v>2003</v>
      </c>
      <c r="C1072" t="s">
        <v>382</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c r="X1072" s="19">
        <f ca="1">DATE(LifeExpectancyData[[#This Row],[Year]],RANDBETWEEN(1,12),1)</f>
        <v>37773</v>
      </c>
    </row>
    <row r="1073" spans="1:24" x14ac:dyDescent="0.25">
      <c r="A1073" t="s">
        <v>451</v>
      </c>
      <c r="B1073">
        <v>2002</v>
      </c>
      <c r="C1073" t="s">
        <v>382</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c r="X1073" s="19">
        <f ca="1">DATE(LifeExpectancyData[[#This Row],[Year]],RANDBETWEEN(1,12),1)</f>
        <v>37288</v>
      </c>
    </row>
    <row r="1074" spans="1:24" x14ac:dyDescent="0.25">
      <c r="A1074" t="s">
        <v>451</v>
      </c>
      <c r="B1074">
        <v>2001</v>
      </c>
      <c r="C1074" t="s">
        <v>382</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c r="X1074" s="19">
        <f ca="1">DATE(LifeExpectancyData[[#This Row],[Year]],RANDBETWEEN(1,12),1)</f>
        <v>37073</v>
      </c>
    </row>
    <row r="1075" spans="1:24" x14ac:dyDescent="0.25">
      <c r="A1075" t="s">
        <v>451</v>
      </c>
      <c r="B1075">
        <v>2000</v>
      </c>
      <c r="C1075" t="s">
        <v>382</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c r="X1075" s="19">
        <f ca="1">DATE(LifeExpectancyData[[#This Row],[Year]],RANDBETWEEN(1,12),1)</f>
        <v>36586</v>
      </c>
    </row>
    <row r="1076" spans="1:24" x14ac:dyDescent="0.25">
      <c r="A1076" t="s">
        <v>452</v>
      </c>
      <c r="B1076">
        <v>2015</v>
      </c>
      <c r="C1076" t="s">
        <v>382</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c r="X1076" s="19">
        <f ca="1">DATE(LifeExpectancyData[[#This Row],[Year]],RANDBETWEEN(1,12),1)</f>
        <v>42156</v>
      </c>
    </row>
    <row r="1077" spans="1:24" x14ac:dyDescent="0.25">
      <c r="A1077" t="s">
        <v>452</v>
      </c>
      <c r="B1077">
        <v>2014</v>
      </c>
      <c r="C1077" t="s">
        <v>382</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c r="X1077" s="19">
        <f ca="1">DATE(LifeExpectancyData[[#This Row],[Year]],RANDBETWEEN(1,12),1)</f>
        <v>41852</v>
      </c>
    </row>
    <row r="1078" spans="1:24" x14ac:dyDescent="0.25">
      <c r="A1078" t="s">
        <v>452</v>
      </c>
      <c r="B1078">
        <v>2013</v>
      </c>
      <c r="C1078" t="s">
        <v>382</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c r="X1078" s="19">
        <f ca="1">DATE(LifeExpectancyData[[#This Row],[Year]],RANDBETWEEN(1,12),1)</f>
        <v>41426</v>
      </c>
    </row>
    <row r="1079" spans="1:24" x14ac:dyDescent="0.25">
      <c r="A1079" t="s">
        <v>452</v>
      </c>
      <c r="B1079">
        <v>2012</v>
      </c>
      <c r="C1079" t="s">
        <v>382</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c r="X1079" s="19">
        <f ca="1">DATE(LifeExpectancyData[[#This Row],[Year]],RANDBETWEEN(1,12),1)</f>
        <v>41000</v>
      </c>
    </row>
    <row r="1080" spans="1:24" x14ac:dyDescent="0.25">
      <c r="A1080" t="s">
        <v>452</v>
      </c>
      <c r="B1080">
        <v>2011</v>
      </c>
      <c r="C1080" t="s">
        <v>382</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c r="X1080" s="19">
        <f ca="1">DATE(LifeExpectancyData[[#This Row],[Year]],RANDBETWEEN(1,12),1)</f>
        <v>40725</v>
      </c>
    </row>
    <row r="1081" spans="1:24" x14ac:dyDescent="0.25">
      <c r="A1081" t="s">
        <v>452</v>
      </c>
      <c r="B1081">
        <v>2010</v>
      </c>
      <c r="C1081" t="s">
        <v>382</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c r="X1081" s="19">
        <f ca="1">DATE(LifeExpectancyData[[#This Row],[Year]],RANDBETWEEN(1,12),1)</f>
        <v>40210</v>
      </c>
    </row>
    <row r="1082" spans="1:24" x14ac:dyDescent="0.25">
      <c r="A1082" t="s">
        <v>452</v>
      </c>
      <c r="B1082">
        <v>2009</v>
      </c>
      <c r="C1082" t="s">
        <v>382</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c r="X1082" s="19">
        <f ca="1">DATE(LifeExpectancyData[[#This Row],[Year]],RANDBETWEEN(1,12),1)</f>
        <v>40148</v>
      </c>
    </row>
    <row r="1083" spans="1:24" x14ac:dyDescent="0.25">
      <c r="A1083" t="s">
        <v>452</v>
      </c>
      <c r="B1083">
        <v>2008</v>
      </c>
      <c r="C1083" t="s">
        <v>382</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c r="X1083" s="19">
        <f ca="1">DATE(LifeExpectancyData[[#This Row],[Year]],RANDBETWEEN(1,12),1)</f>
        <v>39753</v>
      </c>
    </row>
    <row r="1084" spans="1:24" x14ac:dyDescent="0.25">
      <c r="A1084" t="s">
        <v>452</v>
      </c>
      <c r="B1084">
        <v>2007</v>
      </c>
      <c r="C1084" t="s">
        <v>382</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c r="X1084" s="19">
        <f ca="1">DATE(LifeExpectancyData[[#This Row],[Year]],RANDBETWEEN(1,12),1)</f>
        <v>39203</v>
      </c>
    </row>
    <row r="1085" spans="1:24" x14ac:dyDescent="0.25">
      <c r="A1085" t="s">
        <v>452</v>
      </c>
      <c r="B1085">
        <v>2006</v>
      </c>
      <c r="C1085" t="s">
        <v>382</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c r="X1085" s="19">
        <f ca="1">DATE(LifeExpectancyData[[#This Row],[Year]],RANDBETWEEN(1,12),1)</f>
        <v>39052</v>
      </c>
    </row>
    <row r="1086" spans="1:24" x14ac:dyDescent="0.25">
      <c r="A1086" t="s">
        <v>452</v>
      </c>
      <c r="B1086">
        <v>2005</v>
      </c>
      <c r="C1086" t="s">
        <v>382</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c r="X1086" s="19">
        <f ca="1">DATE(LifeExpectancyData[[#This Row],[Year]],RANDBETWEEN(1,12),1)</f>
        <v>38443</v>
      </c>
    </row>
    <row r="1087" spans="1:24" x14ac:dyDescent="0.25">
      <c r="A1087" t="s">
        <v>452</v>
      </c>
      <c r="B1087">
        <v>2004</v>
      </c>
      <c r="C1087" t="s">
        <v>382</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c r="X1087" s="19">
        <f ca="1">DATE(LifeExpectancyData[[#This Row],[Year]],RANDBETWEEN(1,12),1)</f>
        <v>38018</v>
      </c>
    </row>
    <row r="1088" spans="1:24" x14ac:dyDescent="0.25">
      <c r="A1088" t="s">
        <v>452</v>
      </c>
      <c r="B1088">
        <v>2003</v>
      </c>
      <c r="C1088" t="s">
        <v>382</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c r="X1088" s="19">
        <f ca="1">DATE(LifeExpectancyData[[#This Row],[Year]],RANDBETWEEN(1,12),1)</f>
        <v>37895</v>
      </c>
    </row>
    <row r="1089" spans="1:24" x14ac:dyDescent="0.25">
      <c r="A1089" t="s">
        <v>452</v>
      </c>
      <c r="B1089">
        <v>2002</v>
      </c>
      <c r="C1089" t="s">
        <v>382</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c r="X1089" s="19">
        <f ca="1">DATE(LifeExpectancyData[[#This Row],[Year]],RANDBETWEEN(1,12),1)</f>
        <v>37500</v>
      </c>
    </row>
    <row r="1090" spans="1:24" x14ac:dyDescent="0.25">
      <c r="A1090" t="s">
        <v>452</v>
      </c>
      <c r="B1090">
        <v>2001</v>
      </c>
      <c r="C1090" t="s">
        <v>382</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c r="X1090" s="19">
        <f ca="1">DATE(LifeExpectancyData[[#This Row],[Year]],RANDBETWEEN(1,12),1)</f>
        <v>36892</v>
      </c>
    </row>
    <row r="1091" spans="1:24" x14ac:dyDescent="0.25">
      <c r="A1091" t="s">
        <v>452</v>
      </c>
      <c r="B1091">
        <v>2000</v>
      </c>
      <c r="C1091" t="s">
        <v>382</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c r="X1091" s="19">
        <f ca="1">DATE(LifeExpectancyData[[#This Row],[Year]],RANDBETWEEN(1,12),1)</f>
        <v>36586</v>
      </c>
    </row>
    <row r="1092" spans="1:24" x14ac:dyDescent="0.25">
      <c r="A1092" t="s">
        <v>453</v>
      </c>
      <c r="B1092">
        <v>2015</v>
      </c>
      <c r="C1092" t="s">
        <v>382</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c r="X1092" s="19">
        <f ca="1">DATE(LifeExpectancyData[[#This Row],[Year]],RANDBETWEEN(1,12),1)</f>
        <v>42036</v>
      </c>
    </row>
    <row r="1093" spans="1:24" x14ac:dyDescent="0.25">
      <c r="A1093" t="s">
        <v>453</v>
      </c>
      <c r="B1093">
        <v>2014</v>
      </c>
      <c r="C1093" t="s">
        <v>382</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c r="X1093" s="19">
        <f ca="1">DATE(LifeExpectancyData[[#This Row],[Year]],RANDBETWEEN(1,12),1)</f>
        <v>41671</v>
      </c>
    </row>
    <row r="1094" spans="1:24" x14ac:dyDescent="0.25">
      <c r="A1094" t="s">
        <v>453</v>
      </c>
      <c r="B1094">
        <v>2013</v>
      </c>
      <c r="C1094" t="s">
        <v>382</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c r="X1094" s="19">
        <f ca="1">DATE(LifeExpectancyData[[#This Row],[Year]],RANDBETWEEN(1,12),1)</f>
        <v>41334</v>
      </c>
    </row>
    <row r="1095" spans="1:24" x14ac:dyDescent="0.25">
      <c r="A1095" t="s">
        <v>453</v>
      </c>
      <c r="B1095">
        <v>2012</v>
      </c>
      <c r="C1095" t="s">
        <v>382</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c r="X1095" s="19">
        <f ca="1">DATE(LifeExpectancyData[[#This Row],[Year]],RANDBETWEEN(1,12),1)</f>
        <v>41244</v>
      </c>
    </row>
    <row r="1096" spans="1:24" x14ac:dyDescent="0.25">
      <c r="A1096" t="s">
        <v>453</v>
      </c>
      <c r="B1096">
        <v>2011</v>
      </c>
      <c r="C1096" t="s">
        <v>382</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c r="X1096" s="19">
        <f ca="1">DATE(LifeExpectancyData[[#This Row],[Year]],RANDBETWEEN(1,12),1)</f>
        <v>40878</v>
      </c>
    </row>
    <row r="1097" spans="1:24" x14ac:dyDescent="0.25">
      <c r="A1097" t="s">
        <v>453</v>
      </c>
      <c r="B1097">
        <v>2010</v>
      </c>
      <c r="C1097" t="s">
        <v>382</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c r="X1097" s="19">
        <f ca="1">DATE(LifeExpectancyData[[#This Row],[Year]],RANDBETWEEN(1,12),1)</f>
        <v>40269</v>
      </c>
    </row>
    <row r="1098" spans="1:24" x14ac:dyDescent="0.25">
      <c r="A1098" t="s">
        <v>453</v>
      </c>
      <c r="B1098">
        <v>2009</v>
      </c>
      <c r="C1098" t="s">
        <v>382</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c r="X1098" s="19">
        <f ca="1">DATE(LifeExpectancyData[[#This Row],[Year]],RANDBETWEEN(1,12),1)</f>
        <v>40026</v>
      </c>
    </row>
    <row r="1099" spans="1:24" x14ac:dyDescent="0.25">
      <c r="A1099" t="s">
        <v>453</v>
      </c>
      <c r="B1099">
        <v>2008</v>
      </c>
      <c r="C1099" t="s">
        <v>382</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c r="X1099" s="19">
        <f ca="1">DATE(LifeExpectancyData[[#This Row],[Year]],RANDBETWEEN(1,12),1)</f>
        <v>39692</v>
      </c>
    </row>
    <row r="1100" spans="1:24" x14ac:dyDescent="0.25">
      <c r="A1100" t="s">
        <v>453</v>
      </c>
      <c r="B1100">
        <v>2007</v>
      </c>
      <c r="C1100" t="s">
        <v>382</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c r="X1100" s="19">
        <f ca="1">DATE(LifeExpectancyData[[#This Row],[Year]],RANDBETWEEN(1,12),1)</f>
        <v>39083</v>
      </c>
    </row>
    <row r="1101" spans="1:24" x14ac:dyDescent="0.25">
      <c r="A1101" t="s">
        <v>453</v>
      </c>
      <c r="B1101">
        <v>2006</v>
      </c>
      <c r="C1101" t="s">
        <v>382</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c r="X1101" s="19">
        <f ca="1">DATE(LifeExpectancyData[[#This Row],[Year]],RANDBETWEEN(1,12),1)</f>
        <v>38930</v>
      </c>
    </row>
    <row r="1102" spans="1:24" x14ac:dyDescent="0.25">
      <c r="A1102" t="s">
        <v>453</v>
      </c>
      <c r="B1102">
        <v>2005</v>
      </c>
      <c r="C1102" t="s">
        <v>382</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c r="X1102" s="19">
        <f ca="1">DATE(LifeExpectancyData[[#This Row],[Year]],RANDBETWEEN(1,12),1)</f>
        <v>38626</v>
      </c>
    </row>
    <row r="1103" spans="1:24" x14ac:dyDescent="0.25">
      <c r="A1103" t="s">
        <v>453</v>
      </c>
      <c r="B1103">
        <v>2004</v>
      </c>
      <c r="C1103" t="s">
        <v>382</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c r="X1103" s="19">
        <f ca="1">DATE(LifeExpectancyData[[#This Row],[Year]],RANDBETWEEN(1,12),1)</f>
        <v>38231</v>
      </c>
    </row>
    <row r="1104" spans="1:24" x14ac:dyDescent="0.25">
      <c r="A1104" t="s">
        <v>453</v>
      </c>
      <c r="B1104">
        <v>2003</v>
      </c>
      <c r="C1104" t="s">
        <v>382</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c r="X1104" s="19">
        <f ca="1">DATE(LifeExpectancyData[[#This Row],[Year]],RANDBETWEEN(1,12),1)</f>
        <v>37926</v>
      </c>
    </row>
    <row r="1105" spans="1:24" x14ac:dyDescent="0.25">
      <c r="A1105" t="s">
        <v>453</v>
      </c>
      <c r="B1105">
        <v>2002</v>
      </c>
      <c r="C1105" t="s">
        <v>382</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c r="X1105" s="19">
        <f ca="1">DATE(LifeExpectancyData[[#This Row],[Year]],RANDBETWEEN(1,12),1)</f>
        <v>37500</v>
      </c>
    </row>
    <row r="1106" spans="1:24" x14ac:dyDescent="0.25">
      <c r="A1106" t="s">
        <v>453</v>
      </c>
      <c r="B1106">
        <v>2001</v>
      </c>
      <c r="C1106" t="s">
        <v>382</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c r="X1106" s="19">
        <f ca="1">DATE(LifeExpectancyData[[#This Row],[Year]],RANDBETWEEN(1,12),1)</f>
        <v>37073</v>
      </c>
    </row>
    <row r="1107" spans="1:24" x14ac:dyDescent="0.25">
      <c r="A1107" t="s">
        <v>453</v>
      </c>
      <c r="B1107">
        <v>2000</v>
      </c>
      <c r="C1107" t="s">
        <v>382</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c r="X1107" s="19">
        <f ca="1">DATE(LifeExpectancyData[[#This Row],[Year]],RANDBETWEEN(1,12),1)</f>
        <v>36678</v>
      </c>
    </row>
    <row r="1108" spans="1:24" x14ac:dyDescent="0.25">
      <c r="A1108" t="s">
        <v>454</v>
      </c>
      <c r="B1108">
        <v>2015</v>
      </c>
      <c r="C1108" t="s">
        <v>382</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c r="X1108" s="19">
        <f ca="1">DATE(LifeExpectancyData[[#This Row],[Year]],RANDBETWEEN(1,12),1)</f>
        <v>42125</v>
      </c>
    </row>
    <row r="1109" spans="1:24" x14ac:dyDescent="0.25">
      <c r="A1109" t="s">
        <v>454</v>
      </c>
      <c r="B1109">
        <v>2014</v>
      </c>
      <c r="C1109" t="s">
        <v>382</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c r="X1109" s="19">
        <f ca="1">DATE(LifeExpectancyData[[#This Row],[Year]],RANDBETWEEN(1,12),1)</f>
        <v>41883</v>
      </c>
    </row>
    <row r="1110" spans="1:24" x14ac:dyDescent="0.25">
      <c r="A1110" t="s">
        <v>454</v>
      </c>
      <c r="B1110">
        <v>2013</v>
      </c>
      <c r="C1110" t="s">
        <v>382</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c r="X1110" s="19">
        <f ca="1">DATE(LifeExpectancyData[[#This Row],[Year]],RANDBETWEEN(1,12),1)</f>
        <v>41426</v>
      </c>
    </row>
    <row r="1111" spans="1:24" x14ac:dyDescent="0.25">
      <c r="A1111" t="s">
        <v>454</v>
      </c>
      <c r="B1111">
        <v>2012</v>
      </c>
      <c r="C1111" t="s">
        <v>382</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c r="X1111" s="19">
        <f ca="1">DATE(LifeExpectancyData[[#This Row],[Year]],RANDBETWEEN(1,12),1)</f>
        <v>41091</v>
      </c>
    </row>
    <row r="1112" spans="1:24" x14ac:dyDescent="0.25">
      <c r="A1112" t="s">
        <v>454</v>
      </c>
      <c r="B1112">
        <v>2011</v>
      </c>
      <c r="C1112" t="s">
        <v>382</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c r="X1112" s="19">
        <f ca="1">DATE(LifeExpectancyData[[#This Row],[Year]],RANDBETWEEN(1,12),1)</f>
        <v>40634</v>
      </c>
    </row>
    <row r="1113" spans="1:24" x14ac:dyDescent="0.25">
      <c r="A1113" t="s">
        <v>454</v>
      </c>
      <c r="B1113">
        <v>2010</v>
      </c>
      <c r="C1113" t="s">
        <v>382</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c r="X1113" s="19">
        <f ca="1">DATE(LifeExpectancyData[[#This Row],[Year]],RANDBETWEEN(1,12),1)</f>
        <v>40269</v>
      </c>
    </row>
    <row r="1114" spans="1:24" x14ac:dyDescent="0.25">
      <c r="A1114" t="s">
        <v>454</v>
      </c>
      <c r="B1114">
        <v>2009</v>
      </c>
      <c r="C1114" t="s">
        <v>382</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c r="X1114" s="19">
        <f ca="1">DATE(LifeExpectancyData[[#This Row],[Year]],RANDBETWEEN(1,12),1)</f>
        <v>39995</v>
      </c>
    </row>
    <row r="1115" spans="1:24" x14ac:dyDescent="0.25">
      <c r="A1115" t="s">
        <v>454</v>
      </c>
      <c r="B1115">
        <v>2008</v>
      </c>
      <c r="C1115" t="s">
        <v>382</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c r="X1115" s="19">
        <f ca="1">DATE(LifeExpectancyData[[#This Row],[Year]],RANDBETWEEN(1,12),1)</f>
        <v>39692</v>
      </c>
    </row>
    <row r="1116" spans="1:24" x14ac:dyDescent="0.25">
      <c r="A1116" t="s">
        <v>454</v>
      </c>
      <c r="B1116">
        <v>2007</v>
      </c>
      <c r="C1116" t="s">
        <v>382</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c r="X1116" s="19">
        <f ca="1">DATE(LifeExpectancyData[[#This Row],[Year]],RANDBETWEEN(1,12),1)</f>
        <v>39417</v>
      </c>
    </row>
    <row r="1117" spans="1:24" x14ac:dyDescent="0.25">
      <c r="A1117" t="s">
        <v>454</v>
      </c>
      <c r="B1117">
        <v>2006</v>
      </c>
      <c r="C1117" t="s">
        <v>382</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c r="X1117" s="19">
        <f ca="1">DATE(LifeExpectancyData[[#This Row],[Year]],RANDBETWEEN(1,12),1)</f>
        <v>38838</v>
      </c>
    </row>
    <row r="1118" spans="1:24" x14ac:dyDescent="0.25">
      <c r="A1118" t="s">
        <v>454</v>
      </c>
      <c r="B1118">
        <v>2005</v>
      </c>
      <c r="C1118" t="s">
        <v>382</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c r="X1118" s="19">
        <f ca="1">DATE(LifeExpectancyData[[#This Row],[Year]],RANDBETWEEN(1,12),1)</f>
        <v>38504</v>
      </c>
    </row>
    <row r="1119" spans="1:24" x14ac:dyDescent="0.25">
      <c r="A1119" t="s">
        <v>454</v>
      </c>
      <c r="B1119">
        <v>2004</v>
      </c>
      <c r="C1119" t="s">
        <v>382</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c r="X1119" s="19">
        <f ca="1">DATE(LifeExpectancyData[[#This Row],[Year]],RANDBETWEEN(1,12),1)</f>
        <v>38292</v>
      </c>
    </row>
    <row r="1120" spans="1:24" x14ac:dyDescent="0.25">
      <c r="A1120" t="s">
        <v>454</v>
      </c>
      <c r="B1120">
        <v>2003</v>
      </c>
      <c r="C1120" t="s">
        <v>382</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c r="X1120" s="19">
        <f ca="1">DATE(LifeExpectancyData[[#This Row],[Year]],RANDBETWEEN(1,12),1)</f>
        <v>37653</v>
      </c>
    </row>
    <row r="1121" spans="1:24" x14ac:dyDescent="0.25">
      <c r="A1121" t="s">
        <v>454</v>
      </c>
      <c r="B1121">
        <v>2002</v>
      </c>
      <c r="C1121" t="s">
        <v>382</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c r="X1121" s="19">
        <f ca="1">DATE(LifeExpectancyData[[#This Row],[Year]],RANDBETWEEN(1,12),1)</f>
        <v>37347</v>
      </c>
    </row>
    <row r="1122" spans="1:24" x14ac:dyDescent="0.25">
      <c r="A1122" t="s">
        <v>454</v>
      </c>
      <c r="B1122">
        <v>2001</v>
      </c>
      <c r="C1122" t="s">
        <v>382</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c r="X1122" s="19">
        <f ca="1">DATE(LifeExpectancyData[[#This Row],[Year]],RANDBETWEEN(1,12),1)</f>
        <v>37165</v>
      </c>
    </row>
    <row r="1123" spans="1:24" x14ac:dyDescent="0.25">
      <c r="A1123" t="s">
        <v>454</v>
      </c>
      <c r="B1123">
        <v>2000</v>
      </c>
      <c r="C1123" t="s">
        <v>382</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c r="X1123" s="19">
        <f ca="1">DATE(LifeExpectancyData[[#This Row],[Year]],RANDBETWEEN(1,12),1)</f>
        <v>36800</v>
      </c>
    </row>
    <row r="1124" spans="1:24" x14ac:dyDescent="0.25">
      <c r="A1124" t="s">
        <v>455</v>
      </c>
      <c r="B1124">
        <v>2015</v>
      </c>
      <c r="C1124" t="s">
        <v>382</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c r="X1124" s="19">
        <f ca="1">DATE(LifeExpectancyData[[#This Row],[Year]],RANDBETWEEN(1,12),1)</f>
        <v>42339</v>
      </c>
    </row>
    <row r="1125" spans="1:24" x14ac:dyDescent="0.25">
      <c r="A1125" t="s">
        <v>455</v>
      </c>
      <c r="B1125">
        <v>2014</v>
      </c>
      <c r="C1125" t="s">
        <v>382</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c r="X1125" s="19">
        <f ca="1">DATE(LifeExpectancyData[[#This Row],[Year]],RANDBETWEEN(1,12),1)</f>
        <v>41640</v>
      </c>
    </row>
    <row r="1126" spans="1:24" x14ac:dyDescent="0.25">
      <c r="A1126" t="s">
        <v>455</v>
      </c>
      <c r="B1126">
        <v>2013</v>
      </c>
      <c r="C1126" t="s">
        <v>382</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c r="X1126" s="19">
        <f ca="1">DATE(LifeExpectancyData[[#This Row],[Year]],RANDBETWEEN(1,12),1)</f>
        <v>41609</v>
      </c>
    </row>
    <row r="1127" spans="1:24" x14ac:dyDescent="0.25">
      <c r="A1127" t="s">
        <v>455</v>
      </c>
      <c r="B1127">
        <v>2012</v>
      </c>
      <c r="C1127" t="s">
        <v>382</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c r="X1127" s="19">
        <f ca="1">DATE(LifeExpectancyData[[#This Row],[Year]],RANDBETWEEN(1,12),1)</f>
        <v>40909</v>
      </c>
    </row>
    <row r="1128" spans="1:24" x14ac:dyDescent="0.25">
      <c r="A1128" t="s">
        <v>455</v>
      </c>
      <c r="B1128">
        <v>2011</v>
      </c>
      <c r="C1128" t="s">
        <v>382</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c r="X1128" s="19">
        <f ca="1">DATE(LifeExpectancyData[[#This Row],[Year]],RANDBETWEEN(1,12),1)</f>
        <v>40664</v>
      </c>
    </row>
    <row r="1129" spans="1:24" x14ac:dyDescent="0.25">
      <c r="A1129" t="s">
        <v>455</v>
      </c>
      <c r="B1129">
        <v>2010</v>
      </c>
      <c r="C1129" t="s">
        <v>382</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c r="X1129" s="19">
        <f ca="1">DATE(LifeExpectancyData[[#This Row],[Year]],RANDBETWEEN(1,12),1)</f>
        <v>40483</v>
      </c>
    </row>
    <row r="1130" spans="1:24" x14ac:dyDescent="0.25">
      <c r="A1130" t="s">
        <v>455</v>
      </c>
      <c r="B1130">
        <v>2009</v>
      </c>
      <c r="C1130" t="s">
        <v>382</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c r="X1130" s="19">
        <f ca="1">DATE(LifeExpectancyData[[#This Row],[Year]],RANDBETWEEN(1,12),1)</f>
        <v>39845</v>
      </c>
    </row>
    <row r="1131" spans="1:24" x14ac:dyDescent="0.25">
      <c r="A1131" t="s">
        <v>455</v>
      </c>
      <c r="B1131">
        <v>2008</v>
      </c>
      <c r="C1131" t="s">
        <v>382</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c r="X1131" s="19">
        <f ca="1">DATE(LifeExpectancyData[[#This Row],[Year]],RANDBETWEEN(1,12),1)</f>
        <v>39753</v>
      </c>
    </row>
    <row r="1132" spans="1:24" x14ac:dyDescent="0.25">
      <c r="A1132" t="s">
        <v>455</v>
      </c>
      <c r="B1132">
        <v>2007</v>
      </c>
      <c r="C1132" t="s">
        <v>382</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c r="X1132" s="19">
        <f ca="1">DATE(LifeExpectancyData[[#This Row],[Year]],RANDBETWEEN(1,12),1)</f>
        <v>39387</v>
      </c>
    </row>
    <row r="1133" spans="1:24" x14ac:dyDescent="0.25">
      <c r="A1133" t="s">
        <v>455</v>
      </c>
      <c r="B1133">
        <v>2006</v>
      </c>
      <c r="C1133" t="s">
        <v>382</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c r="X1133" s="19">
        <f ca="1">DATE(LifeExpectancyData[[#This Row],[Year]],RANDBETWEEN(1,12),1)</f>
        <v>38777</v>
      </c>
    </row>
    <row r="1134" spans="1:24" x14ac:dyDescent="0.25">
      <c r="A1134" t="s">
        <v>455</v>
      </c>
      <c r="B1134">
        <v>2005</v>
      </c>
      <c r="C1134" t="s">
        <v>382</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c r="X1134" s="19">
        <f ca="1">DATE(LifeExpectancyData[[#This Row],[Year]],RANDBETWEEN(1,12),1)</f>
        <v>38657</v>
      </c>
    </row>
    <row r="1135" spans="1:24" x14ac:dyDescent="0.25">
      <c r="A1135" t="s">
        <v>455</v>
      </c>
      <c r="B1135">
        <v>2004</v>
      </c>
      <c r="C1135" t="s">
        <v>382</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c r="X1135" s="19">
        <f ca="1">DATE(LifeExpectancyData[[#This Row],[Year]],RANDBETWEEN(1,12),1)</f>
        <v>38108</v>
      </c>
    </row>
    <row r="1136" spans="1:24" x14ac:dyDescent="0.25">
      <c r="A1136" t="s">
        <v>455</v>
      </c>
      <c r="B1136">
        <v>2003</v>
      </c>
      <c r="C1136" t="s">
        <v>382</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c r="X1136" s="19">
        <f ca="1">DATE(LifeExpectancyData[[#This Row],[Year]],RANDBETWEEN(1,12),1)</f>
        <v>37622</v>
      </c>
    </row>
    <row r="1137" spans="1:24" x14ac:dyDescent="0.25">
      <c r="A1137" t="s">
        <v>455</v>
      </c>
      <c r="B1137">
        <v>2002</v>
      </c>
      <c r="C1137" t="s">
        <v>382</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c r="X1137" s="19">
        <f ca="1">DATE(LifeExpectancyData[[#This Row],[Year]],RANDBETWEEN(1,12),1)</f>
        <v>37438</v>
      </c>
    </row>
    <row r="1138" spans="1:24" x14ac:dyDescent="0.25">
      <c r="A1138" t="s">
        <v>455</v>
      </c>
      <c r="B1138">
        <v>2001</v>
      </c>
      <c r="C1138" t="s">
        <v>382</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c r="X1138" s="19">
        <f ca="1">DATE(LifeExpectancyData[[#This Row],[Year]],RANDBETWEEN(1,12),1)</f>
        <v>37043</v>
      </c>
    </row>
    <row r="1139" spans="1:24" x14ac:dyDescent="0.25">
      <c r="A1139" t="s">
        <v>455</v>
      </c>
      <c r="B1139">
        <v>2000</v>
      </c>
      <c r="C1139" t="s">
        <v>382</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c r="X1139" s="19">
        <f ca="1">DATE(LifeExpectancyData[[#This Row],[Year]],RANDBETWEEN(1,12),1)</f>
        <v>36770</v>
      </c>
    </row>
    <row r="1140" spans="1:24" x14ac:dyDescent="0.25">
      <c r="A1140" t="s">
        <v>456</v>
      </c>
      <c r="B1140">
        <v>2015</v>
      </c>
      <c r="C1140" t="s">
        <v>382</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c r="X1140" s="19">
        <f ca="1">DATE(LifeExpectancyData[[#This Row],[Year]],RANDBETWEEN(1,12),1)</f>
        <v>42186</v>
      </c>
    </row>
    <row r="1141" spans="1:24" x14ac:dyDescent="0.25">
      <c r="A1141" t="s">
        <v>456</v>
      </c>
      <c r="B1141">
        <v>2014</v>
      </c>
      <c r="C1141" t="s">
        <v>382</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c r="X1141" s="19">
        <f ca="1">DATE(LifeExpectancyData[[#This Row],[Year]],RANDBETWEEN(1,12),1)</f>
        <v>41883</v>
      </c>
    </row>
    <row r="1142" spans="1:24" x14ac:dyDescent="0.25">
      <c r="A1142" t="s">
        <v>456</v>
      </c>
      <c r="B1142">
        <v>2013</v>
      </c>
      <c r="C1142" t="s">
        <v>382</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c r="X1142" s="19">
        <f ca="1">DATE(LifeExpectancyData[[#This Row],[Year]],RANDBETWEEN(1,12),1)</f>
        <v>41518</v>
      </c>
    </row>
    <row r="1143" spans="1:24" x14ac:dyDescent="0.25">
      <c r="A1143" t="s">
        <v>456</v>
      </c>
      <c r="B1143">
        <v>2012</v>
      </c>
      <c r="C1143" t="s">
        <v>382</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c r="X1143" s="19">
        <f ca="1">DATE(LifeExpectancyData[[#This Row],[Year]],RANDBETWEEN(1,12),1)</f>
        <v>41030</v>
      </c>
    </row>
    <row r="1144" spans="1:24" x14ac:dyDescent="0.25">
      <c r="A1144" t="s">
        <v>456</v>
      </c>
      <c r="B1144">
        <v>2011</v>
      </c>
      <c r="C1144" t="s">
        <v>382</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c r="X1144" s="19">
        <f ca="1">DATE(LifeExpectancyData[[#This Row],[Year]],RANDBETWEEN(1,12),1)</f>
        <v>40817</v>
      </c>
    </row>
    <row r="1145" spans="1:24" x14ac:dyDescent="0.25">
      <c r="A1145" t="s">
        <v>456</v>
      </c>
      <c r="B1145">
        <v>2010</v>
      </c>
      <c r="C1145" t="s">
        <v>382</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c r="X1145" s="19">
        <f ca="1">DATE(LifeExpectancyData[[#This Row],[Year]],RANDBETWEEN(1,12),1)</f>
        <v>40391</v>
      </c>
    </row>
    <row r="1146" spans="1:24" x14ac:dyDescent="0.25">
      <c r="A1146" t="s">
        <v>456</v>
      </c>
      <c r="B1146">
        <v>2009</v>
      </c>
      <c r="C1146" t="s">
        <v>382</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c r="X1146" s="19">
        <f ca="1">DATE(LifeExpectancyData[[#This Row],[Year]],RANDBETWEEN(1,12),1)</f>
        <v>40087</v>
      </c>
    </row>
    <row r="1147" spans="1:24" x14ac:dyDescent="0.25">
      <c r="A1147" t="s">
        <v>456</v>
      </c>
      <c r="B1147">
        <v>2008</v>
      </c>
      <c r="C1147" t="s">
        <v>382</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c r="X1147" s="19">
        <f ca="1">DATE(LifeExpectancyData[[#This Row],[Year]],RANDBETWEEN(1,12),1)</f>
        <v>39569</v>
      </c>
    </row>
    <row r="1148" spans="1:24" x14ac:dyDescent="0.25">
      <c r="A1148" t="s">
        <v>456</v>
      </c>
      <c r="B1148">
        <v>2007</v>
      </c>
      <c r="C1148" t="s">
        <v>382</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c r="X1148" s="19">
        <f ca="1">DATE(LifeExpectancyData[[#This Row],[Year]],RANDBETWEEN(1,12),1)</f>
        <v>39234</v>
      </c>
    </row>
    <row r="1149" spans="1:24" x14ac:dyDescent="0.25">
      <c r="A1149" t="s">
        <v>456</v>
      </c>
      <c r="B1149">
        <v>2006</v>
      </c>
      <c r="C1149" t="s">
        <v>382</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c r="X1149" s="19">
        <f ca="1">DATE(LifeExpectancyData[[#This Row],[Year]],RANDBETWEEN(1,12),1)</f>
        <v>38749</v>
      </c>
    </row>
    <row r="1150" spans="1:24" x14ac:dyDescent="0.25">
      <c r="A1150" t="s">
        <v>456</v>
      </c>
      <c r="B1150">
        <v>2005</v>
      </c>
      <c r="C1150" t="s">
        <v>382</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c r="X1150" s="19">
        <f ca="1">DATE(LifeExpectancyData[[#This Row],[Year]],RANDBETWEEN(1,12),1)</f>
        <v>38504</v>
      </c>
    </row>
    <row r="1151" spans="1:24" x14ac:dyDescent="0.25">
      <c r="A1151" t="s">
        <v>456</v>
      </c>
      <c r="B1151">
        <v>2004</v>
      </c>
      <c r="C1151" t="s">
        <v>382</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c r="X1151" s="19">
        <f ca="1">DATE(LifeExpectancyData[[#This Row],[Year]],RANDBETWEEN(1,12),1)</f>
        <v>38292</v>
      </c>
    </row>
    <row r="1152" spans="1:24" x14ac:dyDescent="0.25">
      <c r="A1152" t="s">
        <v>456</v>
      </c>
      <c r="B1152">
        <v>2003</v>
      </c>
      <c r="C1152" t="s">
        <v>382</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c r="X1152" s="19">
        <f ca="1">DATE(LifeExpectancyData[[#This Row],[Year]],RANDBETWEEN(1,12),1)</f>
        <v>37895</v>
      </c>
    </row>
    <row r="1153" spans="1:24" x14ac:dyDescent="0.25">
      <c r="A1153" t="s">
        <v>456</v>
      </c>
      <c r="B1153">
        <v>2002</v>
      </c>
      <c r="C1153" t="s">
        <v>382</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c r="X1153" s="19">
        <f ca="1">DATE(LifeExpectancyData[[#This Row],[Year]],RANDBETWEEN(1,12),1)</f>
        <v>37469</v>
      </c>
    </row>
    <row r="1154" spans="1:24" x14ac:dyDescent="0.25">
      <c r="A1154" t="s">
        <v>456</v>
      </c>
      <c r="B1154">
        <v>2001</v>
      </c>
      <c r="C1154" t="s">
        <v>382</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c r="X1154" s="19">
        <f ca="1">DATE(LifeExpectancyData[[#This Row],[Year]],RANDBETWEEN(1,12),1)</f>
        <v>36892</v>
      </c>
    </row>
    <row r="1155" spans="1:24" x14ac:dyDescent="0.25">
      <c r="A1155" t="s">
        <v>456</v>
      </c>
      <c r="B1155">
        <v>2000</v>
      </c>
      <c r="C1155" t="s">
        <v>382</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c r="X1155" s="19">
        <f ca="1">DATE(LifeExpectancyData[[#This Row],[Year]],RANDBETWEEN(1,12),1)</f>
        <v>36557</v>
      </c>
    </row>
    <row r="1156" spans="1:24" x14ac:dyDescent="0.25">
      <c r="A1156" t="s">
        <v>457</v>
      </c>
      <c r="B1156">
        <v>2015</v>
      </c>
      <c r="C1156" t="s">
        <v>390</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c r="X1156" s="19">
        <f ca="1">DATE(LifeExpectancyData[[#This Row],[Year]],RANDBETWEEN(1,12),1)</f>
        <v>42095</v>
      </c>
    </row>
    <row r="1157" spans="1:24" x14ac:dyDescent="0.25">
      <c r="A1157" t="s">
        <v>457</v>
      </c>
      <c r="B1157">
        <v>2014</v>
      </c>
      <c r="C1157" t="s">
        <v>390</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c r="X1157" s="19">
        <f ca="1">DATE(LifeExpectancyData[[#This Row],[Year]],RANDBETWEEN(1,12),1)</f>
        <v>41699</v>
      </c>
    </row>
    <row r="1158" spans="1:24" x14ac:dyDescent="0.25">
      <c r="A1158" t="s">
        <v>457</v>
      </c>
      <c r="B1158">
        <v>2013</v>
      </c>
      <c r="C1158" t="s">
        <v>390</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c r="X1158" s="19">
        <f ca="1">DATE(LifeExpectancyData[[#This Row],[Year]],RANDBETWEEN(1,12),1)</f>
        <v>41275</v>
      </c>
    </row>
    <row r="1159" spans="1:24" x14ac:dyDescent="0.25">
      <c r="A1159" t="s">
        <v>457</v>
      </c>
      <c r="B1159">
        <v>2012</v>
      </c>
      <c r="C1159" t="s">
        <v>390</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c r="X1159" s="19">
        <f ca="1">DATE(LifeExpectancyData[[#This Row],[Year]],RANDBETWEEN(1,12),1)</f>
        <v>41122</v>
      </c>
    </row>
    <row r="1160" spans="1:24" x14ac:dyDescent="0.25">
      <c r="A1160" t="s">
        <v>457</v>
      </c>
      <c r="B1160">
        <v>2011</v>
      </c>
      <c r="C1160" t="s">
        <v>390</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c r="X1160" s="19">
        <f ca="1">DATE(LifeExpectancyData[[#This Row],[Year]],RANDBETWEEN(1,12),1)</f>
        <v>40878</v>
      </c>
    </row>
    <row r="1161" spans="1:24" x14ac:dyDescent="0.25">
      <c r="A1161" t="s">
        <v>457</v>
      </c>
      <c r="B1161">
        <v>2010</v>
      </c>
      <c r="C1161" t="s">
        <v>390</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c r="X1161" s="19">
        <f ca="1">DATE(LifeExpectancyData[[#This Row],[Year]],RANDBETWEEN(1,12),1)</f>
        <v>40513</v>
      </c>
    </row>
    <row r="1162" spans="1:24" x14ac:dyDescent="0.25">
      <c r="A1162" t="s">
        <v>457</v>
      </c>
      <c r="B1162">
        <v>2009</v>
      </c>
      <c r="C1162" t="s">
        <v>390</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c r="X1162" s="19">
        <f ca="1">DATE(LifeExpectancyData[[#This Row],[Year]],RANDBETWEEN(1,12),1)</f>
        <v>40118</v>
      </c>
    </row>
    <row r="1163" spans="1:24" x14ac:dyDescent="0.25">
      <c r="A1163" t="s">
        <v>457</v>
      </c>
      <c r="B1163">
        <v>2008</v>
      </c>
      <c r="C1163" t="s">
        <v>390</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c r="X1163" s="19">
        <f ca="1">DATE(LifeExpectancyData[[#This Row],[Year]],RANDBETWEEN(1,12),1)</f>
        <v>39630</v>
      </c>
    </row>
    <row r="1164" spans="1:24" x14ac:dyDescent="0.25">
      <c r="A1164" t="s">
        <v>457</v>
      </c>
      <c r="B1164">
        <v>2007</v>
      </c>
      <c r="C1164" t="s">
        <v>390</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c r="X1164" s="19">
        <f ca="1">DATE(LifeExpectancyData[[#This Row],[Year]],RANDBETWEEN(1,12),1)</f>
        <v>39326</v>
      </c>
    </row>
    <row r="1165" spans="1:24" x14ac:dyDescent="0.25">
      <c r="A1165" t="s">
        <v>457</v>
      </c>
      <c r="B1165">
        <v>2006</v>
      </c>
      <c r="C1165" t="s">
        <v>390</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c r="X1165" s="19">
        <f ca="1">DATE(LifeExpectancyData[[#This Row],[Year]],RANDBETWEEN(1,12),1)</f>
        <v>39022</v>
      </c>
    </row>
    <row r="1166" spans="1:24" x14ac:dyDescent="0.25">
      <c r="A1166" t="s">
        <v>457</v>
      </c>
      <c r="B1166">
        <v>2005</v>
      </c>
      <c r="C1166" t="s">
        <v>390</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c r="X1166" s="19">
        <f ca="1">DATE(LifeExpectancyData[[#This Row],[Year]],RANDBETWEEN(1,12),1)</f>
        <v>38534</v>
      </c>
    </row>
    <row r="1167" spans="1:24" x14ac:dyDescent="0.25">
      <c r="A1167" t="s">
        <v>457</v>
      </c>
      <c r="B1167">
        <v>2004</v>
      </c>
      <c r="C1167" t="s">
        <v>390</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c r="X1167" s="19">
        <f ca="1">DATE(LifeExpectancyData[[#This Row],[Year]],RANDBETWEEN(1,12),1)</f>
        <v>38139</v>
      </c>
    </row>
    <row r="1168" spans="1:24" x14ac:dyDescent="0.25">
      <c r="A1168" t="s">
        <v>457</v>
      </c>
      <c r="B1168">
        <v>2003</v>
      </c>
      <c r="C1168" t="s">
        <v>390</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c r="X1168" s="19">
        <f ca="1">DATE(LifeExpectancyData[[#This Row],[Year]],RANDBETWEEN(1,12),1)</f>
        <v>37865</v>
      </c>
    </row>
    <row r="1169" spans="1:24" x14ac:dyDescent="0.25">
      <c r="A1169" t="s">
        <v>457</v>
      </c>
      <c r="B1169">
        <v>2002</v>
      </c>
      <c r="C1169" t="s">
        <v>390</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c r="X1169" s="19">
        <f ca="1">DATE(LifeExpectancyData[[#This Row],[Year]],RANDBETWEEN(1,12),1)</f>
        <v>37469</v>
      </c>
    </row>
    <row r="1170" spans="1:24" x14ac:dyDescent="0.25">
      <c r="A1170" t="s">
        <v>457</v>
      </c>
      <c r="B1170">
        <v>2001</v>
      </c>
      <c r="C1170" t="s">
        <v>390</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c r="X1170" s="19">
        <f ca="1">DATE(LifeExpectancyData[[#This Row],[Year]],RANDBETWEEN(1,12),1)</f>
        <v>37196</v>
      </c>
    </row>
    <row r="1171" spans="1:24" x14ac:dyDescent="0.25">
      <c r="A1171" t="s">
        <v>457</v>
      </c>
      <c r="B1171">
        <v>2000</v>
      </c>
      <c r="C1171" t="s">
        <v>390</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c r="X1171" s="19">
        <f ca="1">DATE(LifeExpectancyData[[#This Row],[Year]],RANDBETWEEN(1,12),1)</f>
        <v>36770</v>
      </c>
    </row>
    <row r="1172" spans="1:24" x14ac:dyDescent="0.25">
      <c r="A1172" t="s">
        <v>458</v>
      </c>
      <c r="B1172">
        <v>2015</v>
      </c>
      <c r="C1172" t="s">
        <v>390</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c r="X1172" s="19">
        <f ca="1">DATE(LifeExpectancyData[[#This Row],[Year]],RANDBETWEEN(1,12),1)</f>
        <v>42217</v>
      </c>
    </row>
    <row r="1173" spans="1:24" x14ac:dyDescent="0.25">
      <c r="A1173" t="s">
        <v>458</v>
      </c>
      <c r="B1173">
        <v>2014</v>
      </c>
      <c r="C1173" t="s">
        <v>390</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c r="X1173" s="19">
        <f ca="1">DATE(LifeExpectancyData[[#This Row],[Year]],RANDBETWEEN(1,12),1)</f>
        <v>41640</v>
      </c>
    </row>
    <row r="1174" spans="1:24" x14ac:dyDescent="0.25">
      <c r="A1174" t="s">
        <v>458</v>
      </c>
      <c r="B1174">
        <v>2013</v>
      </c>
      <c r="C1174" t="s">
        <v>390</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c r="X1174" s="19">
        <f ca="1">DATE(LifeExpectancyData[[#This Row],[Year]],RANDBETWEEN(1,12),1)</f>
        <v>41456</v>
      </c>
    </row>
    <row r="1175" spans="1:24" x14ac:dyDescent="0.25">
      <c r="A1175" t="s">
        <v>458</v>
      </c>
      <c r="B1175">
        <v>2012</v>
      </c>
      <c r="C1175" t="s">
        <v>390</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c r="X1175" s="19">
        <f ca="1">DATE(LifeExpectancyData[[#This Row],[Year]],RANDBETWEEN(1,12),1)</f>
        <v>40909</v>
      </c>
    </row>
    <row r="1176" spans="1:24" x14ac:dyDescent="0.25">
      <c r="A1176" t="s">
        <v>458</v>
      </c>
      <c r="B1176">
        <v>2011</v>
      </c>
      <c r="C1176" t="s">
        <v>390</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c r="X1176" s="19">
        <f ca="1">DATE(LifeExpectancyData[[#This Row],[Year]],RANDBETWEEN(1,12),1)</f>
        <v>40544</v>
      </c>
    </row>
    <row r="1177" spans="1:24" x14ac:dyDescent="0.25">
      <c r="A1177" t="s">
        <v>458</v>
      </c>
      <c r="B1177">
        <v>2010</v>
      </c>
      <c r="C1177" t="s">
        <v>390</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c r="X1177" s="19">
        <f ca="1">DATE(LifeExpectancyData[[#This Row],[Year]],RANDBETWEEN(1,12),1)</f>
        <v>40299</v>
      </c>
    </row>
    <row r="1178" spans="1:24" x14ac:dyDescent="0.25">
      <c r="A1178" t="s">
        <v>458</v>
      </c>
      <c r="B1178">
        <v>2009</v>
      </c>
      <c r="C1178" t="s">
        <v>390</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c r="X1178" s="19">
        <f ca="1">DATE(LifeExpectancyData[[#This Row],[Year]],RANDBETWEEN(1,12),1)</f>
        <v>39904</v>
      </c>
    </row>
    <row r="1179" spans="1:24" x14ac:dyDescent="0.25">
      <c r="A1179" t="s">
        <v>458</v>
      </c>
      <c r="B1179">
        <v>2008</v>
      </c>
      <c r="C1179" t="s">
        <v>390</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c r="X1179" s="19">
        <f ca="1">DATE(LifeExpectancyData[[#This Row],[Year]],RANDBETWEEN(1,12),1)</f>
        <v>39479</v>
      </c>
    </row>
    <row r="1180" spans="1:24" x14ac:dyDescent="0.25">
      <c r="A1180" t="s">
        <v>458</v>
      </c>
      <c r="B1180">
        <v>2007</v>
      </c>
      <c r="C1180" t="s">
        <v>390</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c r="X1180" s="19">
        <f ca="1">DATE(LifeExpectancyData[[#This Row],[Year]],RANDBETWEEN(1,12),1)</f>
        <v>39326</v>
      </c>
    </row>
    <row r="1181" spans="1:24" x14ac:dyDescent="0.25">
      <c r="A1181" t="s">
        <v>458</v>
      </c>
      <c r="B1181">
        <v>2006</v>
      </c>
      <c r="C1181" t="s">
        <v>390</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c r="X1181" s="19">
        <f ca="1">DATE(LifeExpectancyData[[#This Row],[Year]],RANDBETWEEN(1,12),1)</f>
        <v>38808</v>
      </c>
    </row>
    <row r="1182" spans="1:24" x14ac:dyDescent="0.25">
      <c r="A1182" t="s">
        <v>458</v>
      </c>
      <c r="B1182">
        <v>2005</v>
      </c>
      <c r="C1182" t="s">
        <v>390</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c r="X1182" s="19">
        <f ca="1">DATE(LifeExpectancyData[[#This Row],[Year]],RANDBETWEEN(1,12),1)</f>
        <v>38626</v>
      </c>
    </row>
    <row r="1183" spans="1:24" x14ac:dyDescent="0.25">
      <c r="A1183" t="s">
        <v>458</v>
      </c>
      <c r="B1183">
        <v>2004</v>
      </c>
      <c r="C1183" t="s">
        <v>390</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c r="X1183" s="19">
        <f ca="1">DATE(LifeExpectancyData[[#This Row],[Year]],RANDBETWEEN(1,12),1)</f>
        <v>38078</v>
      </c>
    </row>
    <row r="1184" spans="1:24" x14ac:dyDescent="0.25">
      <c r="A1184" t="s">
        <v>458</v>
      </c>
      <c r="B1184">
        <v>2003</v>
      </c>
      <c r="C1184" t="s">
        <v>390</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c r="X1184" s="19">
        <f ca="1">DATE(LifeExpectancyData[[#This Row],[Year]],RANDBETWEEN(1,12),1)</f>
        <v>37956</v>
      </c>
    </row>
    <row r="1185" spans="1:24" x14ac:dyDescent="0.25">
      <c r="A1185" t="s">
        <v>458</v>
      </c>
      <c r="B1185">
        <v>2002</v>
      </c>
      <c r="C1185" t="s">
        <v>390</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c r="X1185" s="19">
        <f ca="1">DATE(LifeExpectancyData[[#This Row],[Year]],RANDBETWEEN(1,12),1)</f>
        <v>37288</v>
      </c>
    </row>
    <row r="1186" spans="1:24" x14ac:dyDescent="0.25">
      <c r="A1186" t="s">
        <v>458</v>
      </c>
      <c r="B1186">
        <v>2001</v>
      </c>
      <c r="C1186" t="s">
        <v>390</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c r="X1186" s="19">
        <f ca="1">DATE(LifeExpectancyData[[#This Row],[Year]],RANDBETWEEN(1,12),1)</f>
        <v>37012</v>
      </c>
    </row>
    <row r="1187" spans="1:24" x14ac:dyDescent="0.25">
      <c r="A1187" t="s">
        <v>458</v>
      </c>
      <c r="B1187">
        <v>2000</v>
      </c>
      <c r="C1187" t="s">
        <v>390</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c r="X1187" s="19">
        <f ca="1">DATE(LifeExpectancyData[[#This Row],[Year]],RANDBETWEEN(1,12),1)</f>
        <v>36647</v>
      </c>
    </row>
    <row r="1188" spans="1:24" x14ac:dyDescent="0.25">
      <c r="A1188" t="s">
        <v>459</v>
      </c>
      <c r="B1188">
        <v>2015</v>
      </c>
      <c r="C1188" t="s">
        <v>382</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c r="X1188" s="19">
        <f ca="1">DATE(LifeExpectancyData[[#This Row],[Year]],RANDBETWEEN(1,12),1)</f>
        <v>42005</v>
      </c>
    </row>
    <row r="1189" spans="1:24" x14ac:dyDescent="0.25">
      <c r="A1189" t="s">
        <v>459</v>
      </c>
      <c r="B1189">
        <v>2014</v>
      </c>
      <c r="C1189" t="s">
        <v>382</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c r="X1189" s="19">
        <f ca="1">DATE(LifeExpectancyData[[#This Row],[Year]],RANDBETWEEN(1,12),1)</f>
        <v>41699</v>
      </c>
    </row>
    <row r="1190" spans="1:24" x14ac:dyDescent="0.25">
      <c r="A1190" t="s">
        <v>459</v>
      </c>
      <c r="B1190">
        <v>2013</v>
      </c>
      <c r="C1190" t="s">
        <v>382</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c r="X1190" s="19">
        <f ca="1">DATE(LifeExpectancyData[[#This Row],[Year]],RANDBETWEEN(1,12),1)</f>
        <v>41518</v>
      </c>
    </row>
    <row r="1191" spans="1:24" x14ac:dyDescent="0.25">
      <c r="A1191" t="s">
        <v>459</v>
      </c>
      <c r="B1191">
        <v>2012</v>
      </c>
      <c r="C1191" t="s">
        <v>382</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c r="X1191" s="19">
        <f ca="1">DATE(LifeExpectancyData[[#This Row],[Year]],RANDBETWEEN(1,12),1)</f>
        <v>41030</v>
      </c>
    </row>
    <row r="1192" spans="1:24" x14ac:dyDescent="0.25">
      <c r="A1192" t="s">
        <v>459</v>
      </c>
      <c r="B1192">
        <v>2011</v>
      </c>
      <c r="C1192" t="s">
        <v>382</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c r="X1192" s="19">
        <f ca="1">DATE(LifeExpectancyData[[#This Row],[Year]],RANDBETWEEN(1,12),1)</f>
        <v>40695</v>
      </c>
    </row>
    <row r="1193" spans="1:24" x14ac:dyDescent="0.25">
      <c r="A1193" t="s">
        <v>459</v>
      </c>
      <c r="B1193">
        <v>2010</v>
      </c>
      <c r="C1193" t="s">
        <v>382</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c r="X1193" s="19">
        <f ca="1">DATE(LifeExpectancyData[[#This Row],[Year]],RANDBETWEEN(1,12),1)</f>
        <v>40210</v>
      </c>
    </row>
    <row r="1194" spans="1:24" x14ac:dyDescent="0.25">
      <c r="A1194" t="s">
        <v>459</v>
      </c>
      <c r="B1194">
        <v>2009</v>
      </c>
      <c r="C1194" t="s">
        <v>382</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c r="X1194" s="19">
        <f ca="1">DATE(LifeExpectancyData[[#This Row],[Year]],RANDBETWEEN(1,12),1)</f>
        <v>40118</v>
      </c>
    </row>
    <row r="1195" spans="1:24" x14ac:dyDescent="0.25">
      <c r="A1195" t="s">
        <v>459</v>
      </c>
      <c r="B1195">
        <v>2008</v>
      </c>
      <c r="C1195" t="s">
        <v>382</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c r="X1195" s="19">
        <f ca="1">DATE(LifeExpectancyData[[#This Row],[Year]],RANDBETWEEN(1,12),1)</f>
        <v>39630</v>
      </c>
    </row>
    <row r="1196" spans="1:24" x14ac:dyDescent="0.25">
      <c r="A1196" t="s">
        <v>459</v>
      </c>
      <c r="B1196">
        <v>2007</v>
      </c>
      <c r="C1196" t="s">
        <v>382</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c r="X1196" s="19">
        <f ca="1">DATE(LifeExpectancyData[[#This Row],[Year]],RANDBETWEEN(1,12),1)</f>
        <v>39142</v>
      </c>
    </row>
    <row r="1197" spans="1:24" x14ac:dyDescent="0.25">
      <c r="A1197" t="s">
        <v>459</v>
      </c>
      <c r="B1197">
        <v>2006</v>
      </c>
      <c r="C1197" t="s">
        <v>382</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c r="X1197" s="19">
        <f ca="1">DATE(LifeExpectancyData[[#This Row],[Year]],RANDBETWEEN(1,12),1)</f>
        <v>38838</v>
      </c>
    </row>
    <row r="1198" spans="1:24" x14ac:dyDescent="0.25">
      <c r="A1198" t="s">
        <v>459</v>
      </c>
      <c r="B1198">
        <v>2005</v>
      </c>
      <c r="C1198" t="s">
        <v>382</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c r="X1198" s="19">
        <f ca="1">DATE(LifeExpectancyData[[#This Row],[Year]],RANDBETWEEN(1,12),1)</f>
        <v>38443</v>
      </c>
    </row>
    <row r="1199" spans="1:24" x14ac:dyDescent="0.25">
      <c r="A1199" t="s">
        <v>459</v>
      </c>
      <c r="B1199">
        <v>2004</v>
      </c>
      <c r="C1199" t="s">
        <v>382</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c r="X1199" s="19">
        <f ca="1">DATE(LifeExpectancyData[[#This Row],[Year]],RANDBETWEEN(1,12),1)</f>
        <v>38018</v>
      </c>
    </row>
    <row r="1200" spans="1:24" x14ac:dyDescent="0.25">
      <c r="A1200" t="s">
        <v>459</v>
      </c>
      <c r="B1200">
        <v>2003</v>
      </c>
      <c r="C1200" t="s">
        <v>382</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c r="X1200" s="19">
        <f ca="1">DATE(LifeExpectancyData[[#This Row],[Year]],RANDBETWEEN(1,12),1)</f>
        <v>37773</v>
      </c>
    </row>
    <row r="1201" spans="1:24" x14ac:dyDescent="0.25">
      <c r="A1201" t="s">
        <v>459</v>
      </c>
      <c r="B1201">
        <v>2002</v>
      </c>
      <c r="C1201" t="s">
        <v>382</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c r="X1201" s="19">
        <f ca="1">DATE(LifeExpectancyData[[#This Row],[Year]],RANDBETWEEN(1,12),1)</f>
        <v>37469</v>
      </c>
    </row>
    <row r="1202" spans="1:24" x14ac:dyDescent="0.25">
      <c r="A1202" t="s">
        <v>459</v>
      </c>
      <c r="B1202">
        <v>2001</v>
      </c>
      <c r="C1202" t="s">
        <v>382</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c r="X1202" s="19">
        <f ca="1">DATE(LifeExpectancyData[[#This Row],[Year]],RANDBETWEEN(1,12),1)</f>
        <v>36892</v>
      </c>
    </row>
    <row r="1203" spans="1:24" x14ac:dyDescent="0.25">
      <c r="A1203" t="s">
        <v>459</v>
      </c>
      <c r="B1203">
        <v>2000</v>
      </c>
      <c r="C1203" t="s">
        <v>382</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c r="X1203" s="19">
        <f ca="1">DATE(LifeExpectancyData[[#This Row],[Year]],RANDBETWEEN(1,12),1)</f>
        <v>36770</v>
      </c>
    </row>
    <row r="1204" spans="1:24" x14ac:dyDescent="0.25">
      <c r="A1204" t="s">
        <v>460</v>
      </c>
      <c r="B1204">
        <v>2015</v>
      </c>
      <c r="C1204" t="s">
        <v>382</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c r="X1204" s="19">
        <f ca="1">DATE(LifeExpectancyData[[#This Row],[Year]],RANDBETWEEN(1,12),1)</f>
        <v>42005</v>
      </c>
    </row>
    <row r="1205" spans="1:24" x14ac:dyDescent="0.25">
      <c r="A1205" t="s">
        <v>460</v>
      </c>
      <c r="B1205">
        <v>2014</v>
      </c>
      <c r="C1205" t="s">
        <v>382</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c r="X1205" s="19">
        <f ca="1">DATE(LifeExpectancyData[[#This Row],[Year]],RANDBETWEEN(1,12),1)</f>
        <v>41640</v>
      </c>
    </row>
    <row r="1206" spans="1:24" x14ac:dyDescent="0.25">
      <c r="A1206" t="s">
        <v>460</v>
      </c>
      <c r="B1206">
        <v>2013</v>
      </c>
      <c r="C1206" t="s">
        <v>382</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c r="X1206" s="19">
        <f ca="1">DATE(LifeExpectancyData[[#This Row],[Year]],RANDBETWEEN(1,12),1)</f>
        <v>41609</v>
      </c>
    </row>
    <row r="1207" spans="1:24" x14ac:dyDescent="0.25">
      <c r="A1207" t="s">
        <v>460</v>
      </c>
      <c r="B1207">
        <v>2012</v>
      </c>
      <c r="C1207" t="s">
        <v>382</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c r="X1207" s="19">
        <f ca="1">DATE(LifeExpectancyData[[#This Row],[Year]],RANDBETWEEN(1,12),1)</f>
        <v>41030</v>
      </c>
    </row>
    <row r="1208" spans="1:24" x14ac:dyDescent="0.25">
      <c r="A1208" t="s">
        <v>460</v>
      </c>
      <c r="B1208">
        <v>2011</v>
      </c>
      <c r="C1208" t="s">
        <v>382</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c r="X1208" s="19">
        <f ca="1">DATE(LifeExpectancyData[[#This Row],[Year]],RANDBETWEEN(1,12),1)</f>
        <v>40878</v>
      </c>
    </row>
    <row r="1209" spans="1:24" x14ac:dyDescent="0.25">
      <c r="A1209" t="s">
        <v>460</v>
      </c>
      <c r="B1209">
        <v>2010</v>
      </c>
      <c r="C1209" t="s">
        <v>382</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c r="X1209" s="19">
        <f ca="1">DATE(LifeExpectancyData[[#This Row],[Year]],RANDBETWEEN(1,12),1)</f>
        <v>40483</v>
      </c>
    </row>
    <row r="1210" spans="1:24" x14ac:dyDescent="0.25">
      <c r="A1210" t="s">
        <v>460</v>
      </c>
      <c r="B1210">
        <v>2009</v>
      </c>
      <c r="C1210" t="s">
        <v>382</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c r="X1210" s="19">
        <f ca="1">DATE(LifeExpectancyData[[#This Row],[Year]],RANDBETWEEN(1,12),1)</f>
        <v>39965</v>
      </c>
    </row>
    <row r="1211" spans="1:24" x14ac:dyDescent="0.25">
      <c r="A1211" t="s">
        <v>460</v>
      </c>
      <c r="B1211">
        <v>2008</v>
      </c>
      <c r="C1211" t="s">
        <v>382</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c r="X1211" s="19">
        <f ca="1">DATE(LifeExpectancyData[[#This Row],[Year]],RANDBETWEEN(1,12),1)</f>
        <v>39508</v>
      </c>
    </row>
    <row r="1212" spans="1:24" x14ac:dyDescent="0.25">
      <c r="A1212" t="s">
        <v>460</v>
      </c>
      <c r="B1212">
        <v>2007</v>
      </c>
      <c r="C1212" t="s">
        <v>382</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c r="X1212" s="19">
        <f ca="1">DATE(LifeExpectancyData[[#This Row],[Year]],RANDBETWEEN(1,12),1)</f>
        <v>39114</v>
      </c>
    </row>
    <row r="1213" spans="1:24" x14ac:dyDescent="0.25">
      <c r="A1213" t="s">
        <v>460</v>
      </c>
      <c r="B1213">
        <v>2006</v>
      </c>
      <c r="C1213" t="s">
        <v>382</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c r="X1213" s="19">
        <f ca="1">DATE(LifeExpectancyData[[#This Row],[Year]],RANDBETWEEN(1,12),1)</f>
        <v>38869</v>
      </c>
    </row>
    <row r="1214" spans="1:24" x14ac:dyDescent="0.25">
      <c r="A1214" t="s">
        <v>460</v>
      </c>
      <c r="B1214">
        <v>2005</v>
      </c>
      <c r="C1214" t="s">
        <v>382</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c r="X1214" s="19">
        <f ca="1">DATE(LifeExpectancyData[[#This Row],[Year]],RANDBETWEEN(1,12),1)</f>
        <v>38353</v>
      </c>
    </row>
    <row r="1215" spans="1:24" x14ac:dyDescent="0.25">
      <c r="A1215" t="s">
        <v>460</v>
      </c>
      <c r="B1215">
        <v>2004</v>
      </c>
      <c r="C1215" t="s">
        <v>382</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c r="X1215" s="19">
        <f ca="1">DATE(LifeExpectancyData[[#This Row],[Year]],RANDBETWEEN(1,12),1)</f>
        <v>38231</v>
      </c>
    </row>
    <row r="1216" spans="1:24" x14ac:dyDescent="0.25">
      <c r="A1216" t="s">
        <v>460</v>
      </c>
      <c r="B1216">
        <v>2003</v>
      </c>
      <c r="C1216" t="s">
        <v>382</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c r="X1216" s="19">
        <f ca="1">DATE(LifeExpectancyData[[#This Row],[Year]],RANDBETWEEN(1,12),1)</f>
        <v>37681</v>
      </c>
    </row>
    <row r="1217" spans="1:24" x14ac:dyDescent="0.25">
      <c r="A1217" t="s">
        <v>460</v>
      </c>
      <c r="B1217">
        <v>2002</v>
      </c>
      <c r="C1217" t="s">
        <v>382</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c r="X1217" s="19">
        <f ca="1">DATE(LifeExpectancyData[[#This Row],[Year]],RANDBETWEEN(1,12),1)</f>
        <v>37530</v>
      </c>
    </row>
    <row r="1218" spans="1:24" x14ac:dyDescent="0.25">
      <c r="A1218" t="s">
        <v>460</v>
      </c>
      <c r="B1218">
        <v>2001</v>
      </c>
      <c r="C1218" t="s">
        <v>382</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c r="X1218" s="19">
        <f ca="1">DATE(LifeExpectancyData[[#This Row],[Year]],RANDBETWEEN(1,12),1)</f>
        <v>36892</v>
      </c>
    </row>
    <row r="1219" spans="1:24" x14ac:dyDescent="0.25">
      <c r="A1219" t="s">
        <v>460</v>
      </c>
      <c r="B1219">
        <v>2000</v>
      </c>
      <c r="C1219" t="s">
        <v>382</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c r="X1219" s="19">
        <f ca="1">DATE(LifeExpectancyData[[#This Row],[Year]],RANDBETWEEN(1,12),1)</f>
        <v>36526</v>
      </c>
    </row>
    <row r="1220" spans="1:24" x14ac:dyDescent="0.25">
      <c r="A1220" t="s">
        <v>461</v>
      </c>
      <c r="B1220">
        <v>2015</v>
      </c>
      <c r="C1220" t="s">
        <v>382</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c r="X1220" s="19">
        <f ca="1">DATE(LifeExpectancyData[[#This Row],[Year]],RANDBETWEEN(1,12),1)</f>
        <v>42309</v>
      </c>
    </row>
    <row r="1221" spans="1:24" x14ac:dyDescent="0.25">
      <c r="A1221" t="s">
        <v>461</v>
      </c>
      <c r="B1221">
        <v>2014</v>
      </c>
      <c r="C1221" t="s">
        <v>382</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c r="X1221" s="19">
        <f ca="1">DATE(LifeExpectancyData[[#This Row],[Year]],RANDBETWEEN(1,12),1)</f>
        <v>41791</v>
      </c>
    </row>
    <row r="1222" spans="1:24" x14ac:dyDescent="0.25">
      <c r="A1222" t="s">
        <v>461</v>
      </c>
      <c r="B1222">
        <v>2013</v>
      </c>
      <c r="C1222" t="s">
        <v>382</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c r="X1222" s="19">
        <f ca="1">DATE(LifeExpectancyData[[#This Row],[Year]],RANDBETWEEN(1,12),1)</f>
        <v>41334</v>
      </c>
    </row>
    <row r="1223" spans="1:24" x14ac:dyDescent="0.25">
      <c r="A1223" t="s">
        <v>461</v>
      </c>
      <c r="B1223">
        <v>2012</v>
      </c>
      <c r="C1223" t="s">
        <v>382</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c r="X1223" s="19">
        <f ca="1">DATE(LifeExpectancyData[[#This Row],[Year]],RANDBETWEEN(1,12),1)</f>
        <v>41030</v>
      </c>
    </row>
    <row r="1224" spans="1:24" x14ac:dyDescent="0.25">
      <c r="A1224" t="s">
        <v>461</v>
      </c>
      <c r="B1224">
        <v>2011</v>
      </c>
      <c r="C1224" t="s">
        <v>382</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c r="X1224" s="19">
        <f ca="1">DATE(LifeExpectancyData[[#This Row],[Year]],RANDBETWEEN(1,12),1)</f>
        <v>40756</v>
      </c>
    </row>
    <row r="1225" spans="1:24" x14ac:dyDescent="0.25">
      <c r="A1225" t="s">
        <v>461</v>
      </c>
      <c r="B1225">
        <v>2010</v>
      </c>
      <c r="C1225" t="s">
        <v>382</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c r="X1225" s="19">
        <f ca="1">DATE(LifeExpectancyData[[#This Row],[Year]],RANDBETWEEN(1,12),1)</f>
        <v>40299</v>
      </c>
    </row>
    <row r="1226" spans="1:24" x14ac:dyDescent="0.25">
      <c r="A1226" t="s">
        <v>461</v>
      </c>
      <c r="B1226">
        <v>2009</v>
      </c>
      <c r="C1226" t="s">
        <v>382</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c r="X1226" s="19">
        <f ca="1">DATE(LifeExpectancyData[[#This Row],[Year]],RANDBETWEEN(1,12),1)</f>
        <v>39814</v>
      </c>
    </row>
    <row r="1227" spans="1:24" x14ac:dyDescent="0.25">
      <c r="A1227" t="s">
        <v>461</v>
      </c>
      <c r="B1227">
        <v>2008</v>
      </c>
      <c r="C1227" t="s">
        <v>382</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c r="X1227" s="19">
        <f ca="1">DATE(LifeExpectancyData[[#This Row],[Year]],RANDBETWEEN(1,12),1)</f>
        <v>39448</v>
      </c>
    </row>
    <row r="1228" spans="1:24" x14ac:dyDescent="0.25">
      <c r="A1228" t="s">
        <v>461</v>
      </c>
      <c r="B1228">
        <v>2007</v>
      </c>
      <c r="C1228" t="s">
        <v>382</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c r="X1228" s="19">
        <f ca="1">DATE(LifeExpectancyData[[#This Row],[Year]],RANDBETWEEN(1,12),1)</f>
        <v>39173</v>
      </c>
    </row>
    <row r="1229" spans="1:24" x14ac:dyDescent="0.25">
      <c r="A1229" t="s">
        <v>461</v>
      </c>
      <c r="B1229">
        <v>2006</v>
      </c>
      <c r="C1229" t="s">
        <v>382</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c r="X1229" s="19">
        <f ca="1">DATE(LifeExpectancyData[[#This Row],[Year]],RANDBETWEEN(1,12),1)</f>
        <v>38749</v>
      </c>
    </row>
    <row r="1230" spans="1:24" x14ac:dyDescent="0.25">
      <c r="A1230" t="s">
        <v>461</v>
      </c>
      <c r="B1230">
        <v>2005</v>
      </c>
      <c r="C1230" t="s">
        <v>382</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c r="X1230" s="19">
        <f ca="1">DATE(LifeExpectancyData[[#This Row],[Year]],RANDBETWEEN(1,12),1)</f>
        <v>38412</v>
      </c>
    </row>
    <row r="1231" spans="1:24" x14ac:dyDescent="0.25">
      <c r="A1231" t="s">
        <v>461</v>
      </c>
      <c r="B1231">
        <v>2004</v>
      </c>
      <c r="C1231" t="s">
        <v>382</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c r="X1231" s="19">
        <f ca="1">DATE(LifeExpectancyData[[#This Row],[Year]],RANDBETWEEN(1,12),1)</f>
        <v>37987</v>
      </c>
    </row>
    <row r="1232" spans="1:24" x14ac:dyDescent="0.25">
      <c r="A1232" t="s">
        <v>461</v>
      </c>
      <c r="B1232">
        <v>2003</v>
      </c>
      <c r="C1232" t="s">
        <v>382</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c r="X1232" s="19">
        <f ca="1">DATE(LifeExpectancyData[[#This Row],[Year]],RANDBETWEEN(1,12),1)</f>
        <v>37653</v>
      </c>
    </row>
    <row r="1233" spans="1:24" x14ac:dyDescent="0.25">
      <c r="A1233" t="s">
        <v>461</v>
      </c>
      <c r="B1233">
        <v>2002</v>
      </c>
      <c r="C1233" t="s">
        <v>382</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c r="X1233" s="19">
        <f ca="1">DATE(LifeExpectancyData[[#This Row],[Year]],RANDBETWEEN(1,12),1)</f>
        <v>37438</v>
      </c>
    </row>
    <row r="1234" spans="1:24" x14ac:dyDescent="0.25">
      <c r="A1234" t="s">
        <v>461</v>
      </c>
      <c r="B1234">
        <v>2001</v>
      </c>
      <c r="C1234" t="s">
        <v>382</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c r="X1234" s="19">
        <f ca="1">DATE(LifeExpectancyData[[#This Row],[Year]],RANDBETWEEN(1,12),1)</f>
        <v>37226</v>
      </c>
    </row>
    <row r="1235" spans="1:24" x14ac:dyDescent="0.25">
      <c r="A1235" t="s">
        <v>461</v>
      </c>
      <c r="B1235">
        <v>2000</v>
      </c>
      <c r="C1235" t="s">
        <v>382</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c r="X1235" s="19">
        <f ca="1">DATE(LifeExpectancyData[[#This Row],[Year]],RANDBETWEEN(1,12),1)</f>
        <v>36831</v>
      </c>
    </row>
    <row r="1236" spans="1:24" x14ac:dyDescent="0.25">
      <c r="A1236" t="s">
        <v>462</v>
      </c>
      <c r="B1236">
        <v>2015</v>
      </c>
      <c r="C1236" t="s">
        <v>382</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c r="X1236" s="19">
        <f ca="1">DATE(LifeExpectancyData[[#This Row],[Year]],RANDBETWEEN(1,12),1)</f>
        <v>42309</v>
      </c>
    </row>
    <row r="1237" spans="1:24" x14ac:dyDescent="0.25">
      <c r="A1237" t="s">
        <v>462</v>
      </c>
      <c r="B1237">
        <v>2014</v>
      </c>
      <c r="C1237" t="s">
        <v>382</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c r="X1237" s="19">
        <f ca="1">DATE(LifeExpectancyData[[#This Row],[Year]],RANDBETWEEN(1,12),1)</f>
        <v>41699</v>
      </c>
    </row>
    <row r="1238" spans="1:24" x14ac:dyDescent="0.25">
      <c r="A1238" t="s">
        <v>462</v>
      </c>
      <c r="B1238">
        <v>2013</v>
      </c>
      <c r="C1238" t="s">
        <v>382</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c r="X1238" s="19">
        <f ca="1">DATE(LifeExpectancyData[[#This Row],[Year]],RANDBETWEEN(1,12),1)</f>
        <v>41487</v>
      </c>
    </row>
    <row r="1239" spans="1:24" x14ac:dyDescent="0.25">
      <c r="A1239" t="s">
        <v>462</v>
      </c>
      <c r="B1239">
        <v>2012</v>
      </c>
      <c r="C1239" t="s">
        <v>382</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c r="X1239" s="19">
        <f ca="1">DATE(LifeExpectancyData[[#This Row],[Year]],RANDBETWEEN(1,12),1)</f>
        <v>41091</v>
      </c>
    </row>
    <row r="1240" spans="1:24" x14ac:dyDescent="0.25">
      <c r="A1240" t="s">
        <v>462</v>
      </c>
      <c r="B1240">
        <v>2011</v>
      </c>
      <c r="C1240" t="s">
        <v>382</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c r="X1240" s="19">
        <f ca="1">DATE(LifeExpectancyData[[#This Row],[Year]],RANDBETWEEN(1,12),1)</f>
        <v>40634</v>
      </c>
    </row>
    <row r="1241" spans="1:24" x14ac:dyDescent="0.25">
      <c r="A1241" t="s">
        <v>462</v>
      </c>
      <c r="B1241">
        <v>2010</v>
      </c>
      <c r="C1241" t="s">
        <v>382</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c r="X1241" s="19">
        <f ca="1">DATE(LifeExpectancyData[[#This Row],[Year]],RANDBETWEEN(1,12),1)</f>
        <v>40179</v>
      </c>
    </row>
    <row r="1242" spans="1:24" x14ac:dyDescent="0.25">
      <c r="A1242" t="s">
        <v>462</v>
      </c>
      <c r="B1242">
        <v>2009</v>
      </c>
      <c r="C1242" t="s">
        <v>382</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c r="X1242" s="19">
        <f ca="1">DATE(LifeExpectancyData[[#This Row],[Year]],RANDBETWEEN(1,12),1)</f>
        <v>40118</v>
      </c>
    </row>
    <row r="1243" spans="1:24" x14ac:dyDescent="0.25">
      <c r="A1243" t="s">
        <v>462</v>
      </c>
      <c r="B1243">
        <v>2008</v>
      </c>
      <c r="C1243" t="s">
        <v>382</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c r="X1243" s="19">
        <f ca="1">DATE(LifeExpectancyData[[#This Row],[Year]],RANDBETWEEN(1,12),1)</f>
        <v>39630</v>
      </c>
    </row>
    <row r="1244" spans="1:24" x14ac:dyDescent="0.25">
      <c r="A1244" t="s">
        <v>462</v>
      </c>
      <c r="B1244">
        <v>2007</v>
      </c>
      <c r="C1244" t="s">
        <v>382</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c r="X1244" s="19">
        <f ca="1">DATE(LifeExpectancyData[[#This Row],[Year]],RANDBETWEEN(1,12),1)</f>
        <v>39142</v>
      </c>
    </row>
    <row r="1245" spans="1:24" x14ac:dyDescent="0.25">
      <c r="A1245" t="s">
        <v>462</v>
      </c>
      <c r="B1245">
        <v>2006</v>
      </c>
      <c r="C1245" t="s">
        <v>382</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c r="X1245" s="19">
        <f ca="1">DATE(LifeExpectancyData[[#This Row],[Year]],RANDBETWEEN(1,12),1)</f>
        <v>38749</v>
      </c>
    </row>
    <row r="1246" spans="1:24" x14ac:dyDescent="0.25">
      <c r="A1246" t="s">
        <v>462</v>
      </c>
      <c r="B1246">
        <v>2005</v>
      </c>
      <c r="C1246" t="s">
        <v>382</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c r="X1246" s="19">
        <f ca="1">DATE(LifeExpectancyData[[#This Row],[Year]],RANDBETWEEN(1,12),1)</f>
        <v>38504</v>
      </c>
    </row>
    <row r="1247" spans="1:24" x14ac:dyDescent="0.25">
      <c r="A1247" t="s">
        <v>462</v>
      </c>
      <c r="B1247">
        <v>2004</v>
      </c>
      <c r="C1247" t="s">
        <v>382</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c r="X1247" s="19">
        <f ca="1">DATE(LifeExpectancyData[[#This Row],[Year]],RANDBETWEEN(1,12),1)</f>
        <v>38200</v>
      </c>
    </row>
    <row r="1248" spans="1:24" x14ac:dyDescent="0.25">
      <c r="A1248" t="s">
        <v>462</v>
      </c>
      <c r="B1248">
        <v>2003</v>
      </c>
      <c r="C1248" t="s">
        <v>382</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c r="X1248" s="19">
        <f ca="1">DATE(LifeExpectancyData[[#This Row],[Year]],RANDBETWEEN(1,12),1)</f>
        <v>37895</v>
      </c>
    </row>
    <row r="1249" spans="1:24" x14ac:dyDescent="0.25">
      <c r="A1249" t="s">
        <v>462</v>
      </c>
      <c r="B1249">
        <v>2002</v>
      </c>
      <c r="C1249" t="s">
        <v>382</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c r="X1249" s="19">
        <f ca="1">DATE(LifeExpectancyData[[#This Row],[Year]],RANDBETWEEN(1,12),1)</f>
        <v>37530</v>
      </c>
    </row>
    <row r="1250" spans="1:24" x14ac:dyDescent="0.25">
      <c r="A1250" t="s">
        <v>462</v>
      </c>
      <c r="B1250">
        <v>2001</v>
      </c>
      <c r="C1250" t="s">
        <v>382</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c r="X1250" s="19">
        <f ca="1">DATE(LifeExpectancyData[[#This Row],[Year]],RANDBETWEEN(1,12),1)</f>
        <v>37043</v>
      </c>
    </row>
    <row r="1251" spans="1:24" x14ac:dyDescent="0.25">
      <c r="A1251" t="s">
        <v>462</v>
      </c>
      <c r="B1251">
        <v>2000</v>
      </c>
      <c r="C1251" t="s">
        <v>382</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c r="X1251" s="19">
        <f ca="1">DATE(LifeExpectancyData[[#This Row],[Year]],RANDBETWEEN(1,12),1)</f>
        <v>36647</v>
      </c>
    </row>
    <row r="1252" spans="1:24" x14ac:dyDescent="0.25">
      <c r="A1252" t="s">
        <v>463</v>
      </c>
      <c r="B1252">
        <v>2015</v>
      </c>
      <c r="C1252" t="s">
        <v>390</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c r="X1252" s="19">
        <f ca="1">DATE(LifeExpectancyData[[#This Row],[Year]],RANDBETWEEN(1,12),1)</f>
        <v>42278</v>
      </c>
    </row>
    <row r="1253" spans="1:24" x14ac:dyDescent="0.25">
      <c r="A1253" t="s">
        <v>463</v>
      </c>
      <c r="B1253">
        <v>2014</v>
      </c>
      <c r="C1253" t="s">
        <v>390</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c r="X1253" s="19">
        <f ca="1">DATE(LifeExpectancyData[[#This Row],[Year]],RANDBETWEEN(1,12),1)</f>
        <v>41671</v>
      </c>
    </row>
    <row r="1254" spans="1:24" x14ac:dyDescent="0.25">
      <c r="A1254" t="s">
        <v>463</v>
      </c>
      <c r="B1254">
        <v>2013</v>
      </c>
      <c r="C1254" t="s">
        <v>390</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c r="X1254" s="19">
        <f ca="1">DATE(LifeExpectancyData[[#This Row],[Year]],RANDBETWEEN(1,12),1)</f>
        <v>41365</v>
      </c>
    </row>
    <row r="1255" spans="1:24" x14ac:dyDescent="0.25">
      <c r="A1255" t="s">
        <v>463</v>
      </c>
      <c r="B1255">
        <v>2012</v>
      </c>
      <c r="C1255" t="s">
        <v>390</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c r="X1255" s="19">
        <f ca="1">DATE(LifeExpectancyData[[#This Row],[Year]],RANDBETWEEN(1,12),1)</f>
        <v>40909</v>
      </c>
    </row>
    <row r="1256" spans="1:24" x14ac:dyDescent="0.25">
      <c r="A1256" t="s">
        <v>463</v>
      </c>
      <c r="B1256">
        <v>2011</v>
      </c>
      <c r="C1256" t="s">
        <v>390</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c r="X1256" s="19">
        <f ca="1">DATE(LifeExpectancyData[[#This Row],[Year]],RANDBETWEEN(1,12),1)</f>
        <v>40756</v>
      </c>
    </row>
    <row r="1257" spans="1:24" x14ac:dyDescent="0.25">
      <c r="A1257" t="s">
        <v>463</v>
      </c>
      <c r="B1257">
        <v>2010</v>
      </c>
      <c r="C1257" t="s">
        <v>390</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c r="X1257" s="19">
        <f ca="1">DATE(LifeExpectancyData[[#This Row],[Year]],RANDBETWEEN(1,12),1)</f>
        <v>40452</v>
      </c>
    </row>
    <row r="1258" spans="1:24" x14ac:dyDescent="0.25">
      <c r="A1258" t="s">
        <v>463</v>
      </c>
      <c r="B1258">
        <v>2009</v>
      </c>
      <c r="C1258" t="s">
        <v>390</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c r="X1258" s="19">
        <f ca="1">DATE(LifeExpectancyData[[#This Row],[Year]],RANDBETWEEN(1,12),1)</f>
        <v>39995</v>
      </c>
    </row>
    <row r="1259" spans="1:24" x14ac:dyDescent="0.25">
      <c r="A1259" t="s">
        <v>463</v>
      </c>
      <c r="B1259">
        <v>2008</v>
      </c>
      <c r="C1259" t="s">
        <v>390</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c r="X1259" s="19">
        <f ca="1">DATE(LifeExpectancyData[[#This Row],[Year]],RANDBETWEEN(1,12),1)</f>
        <v>39692</v>
      </c>
    </row>
    <row r="1260" spans="1:24" x14ac:dyDescent="0.25">
      <c r="A1260" t="s">
        <v>463</v>
      </c>
      <c r="B1260">
        <v>2007</v>
      </c>
      <c r="C1260" t="s">
        <v>390</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c r="X1260" s="19">
        <f ca="1">DATE(LifeExpectancyData[[#This Row],[Year]],RANDBETWEEN(1,12),1)</f>
        <v>39142</v>
      </c>
    </row>
    <row r="1261" spans="1:24" x14ac:dyDescent="0.25">
      <c r="A1261" t="s">
        <v>463</v>
      </c>
      <c r="B1261">
        <v>2006</v>
      </c>
      <c r="C1261" t="s">
        <v>390</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c r="X1261" s="19">
        <f ca="1">DATE(LifeExpectancyData[[#This Row],[Year]],RANDBETWEEN(1,12),1)</f>
        <v>38808</v>
      </c>
    </row>
    <row r="1262" spans="1:24" x14ac:dyDescent="0.25">
      <c r="A1262" t="s">
        <v>463</v>
      </c>
      <c r="B1262">
        <v>2005</v>
      </c>
      <c r="C1262" t="s">
        <v>390</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c r="X1262" s="19">
        <f ca="1">DATE(LifeExpectancyData[[#This Row],[Year]],RANDBETWEEN(1,12),1)</f>
        <v>38353</v>
      </c>
    </row>
    <row r="1263" spans="1:24" x14ac:dyDescent="0.25">
      <c r="A1263" t="s">
        <v>463</v>
      </c>
      <c r="B1263">
        <v>2004</v>
      </c>
      <c r="C1263" t="s">
        <v>390</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c r="X1263" s="19">
        <f ca="1">DATE(LifeExpectancyData[[#This Row],[Year]],RANDBETWEEN(1,12),1)</f>
        <v>38261</v>
      </c>
    </row>
    <row r="1264" spans="1:24" x14ac:dyDescent="0.25">
      <c r="A1264" t="s">
        <v>463</v>
      </c>
      <c r="B1264">
        <v>2003</v>
      </c>
      <c r="C1264" t="s">
        <v>390</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c r="X1264" s="19">
        <f ca="1">DATE(LifeExpectancyData[[#This Row],[Year]],RANDBETWEEN(1,12),1)</f>
        <v>37681</v>
      </c>
    </row>
    <row r="1265" spans="1:24" x14ac:dyDescent="0.25">
      <c r="A1265" t="s">
        <v>463</v>
      </c>
      <c r="B1265">
        <v>2002</v>
      </c>
      <c r="C1265" t="s">
        <v>390</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c r="X1265" s="19">
        <f ca="1">DATE(LifeExpectancyData[[#This Row],[Year]],RANDBETWEEN(1,12),1)</f>
        <v>37469</v>
      </c>
    </row>
    <row r="1266" spans="1:24" x14ac:dyDescent="0.25">
      <c r="A1266" t="s">
        <v>463</v>
      </c>
      <c r="B1266">
        <v>2001</v>
      </c>
      <c r="C1266" t="s">
        <v>390</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c r="X1266" s="19">
        <f ca="1">DATE(LifeExpectancyData[[#This Row],[Year]],RANDBETWEEN(1,12),1)</f>
        <v>37073</v>
      </c>
    </row>
    <row r="1267" spans="1:24" x14ac:dyDescent="0.25">
      <c r="A1267" t="s">
        <v>463</v>
      </c>
      <c r="B1267">
        <v>2000</v>
      </c>
      <c r="C1267" t="s">
        <v>390</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c r="X1267" s="19">
        <f ca="1">DATE(LifeExpectancyData[[#This Row],[Year]],RANDBETWEEN(1,12),1)</f>
        <v>36770</v>
      </c>
    </row>
    <row r="1268" spans="1:24" x14ac:dyDescent="0.25">
      <c r="A1268" t="s">
        <v>464</v>
      </c>
      <c r="B1268">
        <v>2015</v>
      </c>
      <c r="C1268" t="s">
        <v>382</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c r="X1268" s="19">
        <f ca="1">DATE(LifeExpectancyData[[#This Row],[Year]],RANDBETWEEN(1,12),1)</f>
        <v>42095</v>
      </c>
    </row>
    <row r="1269" spans="1:24" x14ac:dyDescent="0.25">
      <c r="A1269" t="s">
        <v>464</v>
      </c>
      <c r="B1269">
        <v>2014</v>
      </c>
      <c r="C1269" t="s">
        <v>382</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c r="X1269" s="19">
        <f ca="1">DATE(LifeExpectancyData[[#This Row],[Year]],RANDBETWEEN(1,12),1)</f>
        <v>41730</v>
      </c>
    </row>
    <row r="1270" spans="1:24" x14ac:dyDescent="0.25">
      <c r="A1270" t="s">
        <v>464</v>
      </c>
      <c r="B1270">
        <v>2013</v>
      </c>
      <c r="C1270" t="s">
        <v>382</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c r="X1270" s="19">
        <f ca="1">DATE(LifeExpectancyData[[#This Row],[Year]],RANDBETWEEN(1,12),1)</f>
        <v>41395</v>
      </c>
    </row>
    <row r="1271" spans="1:24" x14ac:dyDescent="0.25">
      <c r="A1271" t="s">
        <v>464</v>
      </c>
      <c r="B1271">
        <v>2012</v>
      </c>
      <c r="C1271" t="s">
        <v>382</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c r="X1271" s="19">
        <f ca="1">DATE(LifeExpectancyData[[#This Row],[Year]],RANDBETWEEN(1,12),1)</f>
        <v>40909</v>
      </c>
    </row>
    <row r="1272" spans="1:24" x14ac:dyDescent="0.25">
      <c r="A1272" t="s">
        <v>464</v>
      </c>
      <c r="B1272">
        <v>2011</v>
      </c>
      <c r="C1272" t="s">
        <v>382</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c r="X1272" s="19">
        <f ca="1">DATE(LifeExpectancyData[[#This Row],[Year]],RANDBETWEEN(1,12),1)</f>
        <v>40848</v>
      </c>
    </row>
    <row r="1273" spans="1:24" x14ac:dyDescent="0.25">
      <c r="A1273" t="s">
        <v>464</v>
      </c>
      <c r="B1273">
        <v>2010</v>
      </c>
      <c r="C1273" t="s">
        <v>382</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c r="X1273" s="19">
        <f ca="1">DATE(LifeExpectancyData[[#This Row],[Year]],RANDBETWEEN(1,12),1)</f>
        <v>40238</v>
      </c>
    </row>
    <row r="1274" spans="1:24" x14ac:dyDescent="0.25">
      <c r="A1274" t="s">
        <v>464</v>
      </c>
      <c r="B1274">
        <v>2009</v>
      </c>
      <c r="C1274" t="s">
        <v>382</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c r="X1274" s="19">
        <f ca="1">DATE(LifeExpectancyData[[#This Row],[Year]],RANDBETWEEN(1,12),1)</f>
        <v>39965</v>
      </c>
    </row>
    <row r="1275" spans="1:24" x14ac:dyDescent="0.25">
      <c r="A1275" t="s">
        <v>464</v>
      </c>
      <c r="B1275">
        <v>2008</v>
      </c>
      <c r="C1275" t="s">
        <v>382</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c r="X1275" s="19">
        <f ca="1">DATE(LifeExpectancyData[[#This Row],[Year]],RANDBETWEEN(1,12),1)</f>
        <v>39630</v>
      </c>
    </row>
    <row r="1276" spans="1:24" x14ac:dyDescent="0.25">
      <c r="A1276" t="s">
        <v>464</v>
      </c>
      <c r="B1276">
        <v>2007</v>
      </c>
      <c r="C1276" t="s">
        <v>382</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c r="X1276" s="19">
        <f ca="1">DATE(LifeExpectancyData[[#This Row],[Year]],RANDBETWEEN(1,12),1)</f>
        <v>39142</v>
      </c>
    </row>
    <row r="1277" spans="1:24" x14ac:dyDescent="0.25">
      <c r="A1277" t="s">
        <v>464</v>
      </c>
      <c r="B1277">
        <v>2006</v>
      </c>
      <c r="C1277" t="s">
        <v>382</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c r="X1277" s="19">
        <f ca="1">DATE(LifeExpectancyData[[#This Row],[Year]],RANDBETWEEN(1,12),1)</f>
        <v>39052</v>
      </c>
    </row>
    <row r="1278" spans="1:24" x14ac:dyDescent="0.25">
      <c r="A1278" t="s">
        <v>464</v>
      </c>
      <c r="B1278">
        <v>2005</v>
      </c>
      <c r="C1278" t="s">
        <v>382</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c r="X1278" s="19">
        <f ca="1">DATE(LifeExpectancyData[[#This Row],[Year]],RANDBETWEEN(1,12),1)</f>
        <v>38534</v>
      </c>
    </row>
    <row r="1279" spans="1:24" x14ac:dyDescent="0.25">
      <c r="A1279" t="s">
        <v>464</v>
      </c>
      <c r="B1279">
        <v>2004</v>
      </c>
      <c r="C1279" t="s">
        <v>382</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c r="X1279" s="19">
        <f ca="1">DATE(LifeExpectancyData[[#This Row],[Year]],RANDBETWEEN(1,12),1)</f>
        <v>38261</v>
      </c>
    </row>
    <row r="1280" spans="1:24" x14ac:dyDescent="0.25">
      <c r="A1280" t="s">
        <v>464</v>
      </c>
      <c r="B1280">
        <v>2003</v>
      </c>
      <c r="C1280" t="s">
        <v>382</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c r="X1280" s="19">
        <f ca="1">DATE(LifeExpectancyData[[#This Row],[Year]],RANDBETWEEN(1,12),1)</f>
        <v>37773</v>
      </c>
    </row>
    <row r="1281" spans="1:24" x14ac:dyDescent="0.25">
      <c r="A1281" t="s">
        <v>464</v>
      </c>
      <c r="B1281">
        <v>2002</v>
      </c>
      <c r="C1281" t="s">
        <v>382</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c r="X1281" s="19">
        <f ca="1">DATE(LifeExpectancyData[[#This Row],[Year]],RANDBETWEEN(1,12),1)</f>
        <v>37316</v>
      </c>
    </row>
    <row r="1282" spans="1:24" x14ac:dyDescent="0.25">
      <c r="A1282" t="s">
        <v>464</v>
      </c>
      <c r="B1282">
        <v>2001</v>
      </c>
      <c r="C1282" t="s">
        <v>382</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c r="X1282" s="19">
        <f ca="1">DATE(LifeExpectancyData[[#This Row],[Year]],RANDBETWEEN(1,12),1)</f>
        <v>37073</v>
      </c>
    </row>
    <row r="1283" spans="1:24" x14ac:dyDescent="0.25">
      <c r="A1283" t="s">
        <v>464</v>
      </c>
      <c r="B1283">
        <v>2000</v>
      </c>
      <c r="C1283" t="s">
        <v>382</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c r="X1283" s="19">
        <f ca="1">DATE(LifeExpectancyData[[#This Row],[Year]],RANDBETWEEN(1,12),1)</f>
        <v>36708</v>
      </c>
    </row>
    <row r="1284" spans="1:24" x14ac:dyDescent="0.25">
      <c r="A1284" t="s">
        <v>465</v>
      </c>
      <c r="B1284">
        <v>2015</v>
      </c>
      <c r="C1284" t="s">
        <v>390</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c r="X1284" s="19">
        <f ca="1">DATE(LifeExpectancyData[[#This Row],[Year]],RANDBETWEEN(1,12),1)</f>
        <v>42095</v>
      </c>
    </row>
    <row r="1285" spans="1:24" x14ac:dyDescent="0.25">
      <c r="A1285" t="s">
        <v>465</v>
      </c>
      <c r="B1285">
        <v>2014</v>
      </c>
      <c r="C1285" t="s">
        <v>390</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c r="X1285" s="19">
        <f ca="1">DATE(LifeExpectancyData[[#This Row],[Year]],RANDBETWEEN(1,12),1)</f>
        <v>41974</v>
      </c>
    </row>
    <row r="1286" spans="1:24" x14ac:dyDescent="0.25">
      <c r="A1286" t="s">
        <v>465</v>
      </c>
      <c r="B1286">
        <v>2013</v>
      </c>
      <c r="C1286" t="s">
        <v>390</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c r="X1286" s="19">
        <f ca="1">DATE(LifeExpectancyData[[#This Row],[Year]],RANDBETWEEN(1,12),1)</f>
        <v>41426</v>
      </c>
    </row>
    <row r="1287" spans="1:24" x14ac:dyDescent="0.25">
      <c r="A1287" t="s">
        <v>465</v>
      </c>
      <c r="B1287">
        <v>2012</v>
      </c>
      <c r="C1287" t="s">
        <v>390</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c r="X1287" s="19">
        <f ca="1">DATE(LifeExpectancyData[[#This Row],[Year]],RANDBETWEEN(1,12),1)</f>
        <v>41000</v>
      </c>
    </row>
    <row r="1288" spans="1:24" x14ac:dyDescent="0.25">
      <c r="A1288" t="s">
        <v>465</v>
      </c>
      <c r="B1288">
        <v>2011</v>
      </c>
      <c r="C1288" t="s">
        <v>390</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c r="X1288" s="19">
        <f ca="1">DATE(LifeExpectancyData[[#This Row],[Year]],RANDBETWEEN(1,12),1)</f>
        <v>40878</v>
      </c>
    </row>
    <row r="1289" spans="1:24" x14ac:dyDescent="0.25">
      <c r="A1289" t="s">
        <v>465</v>
      </c>
      <c r="B1289">
        <v>2010</v>
      </c>
      <c r="C1289" t="s">
        <v>390</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c r="X1289" s="19">
        <f ca="1">DATE(LifeExpectancyData[[#This Row],[Year]],RANDBETWEEN(1,12),1)</f>
        <v>40330</v>
      </c>
    </row>
    <row r="1290" spans="1:24" x14ac:dyDescent="0.25">
      <c r="A1290" t="s">
        <v>465</v>
      </c>
      <c r="B1290">
        <v>2009</v>
      </c>
      <c r="C1290" t="s">
        <v>390</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c r="X1290" s="19">
        <f ca="1">DATE(LifeExpectancyData[[#This Row],[Year]],RANDBETWEEN(1,12),1)</f>
        <v>39845</v>
      </c>
    </row>
    <row r="1291" spans="1:24" x14ac:dyDescent="0.25">
      <c r="A1291" t="s">
        <v>465</v>
      </c>
      <c r="B1291">
        <v>2008</v>
      </c>
      <c r="C1291" t="s">
        <v>390</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c r="X1291" s="19">
        <f ca="1">DATE(LifeExpectancyData[[#This Row],[Year]],RANDBETWEEN(1,12),1)</f>
        <v>39479</v>
      </c>
    </row>
    <row r="1292" spans="1:24" x14ac:dyDescent="0.25">
      <c r="A1292" t="s">
        <v>465</v>
      </c>
      <c r="B1292">
        <v>2007</v>
      </c>
      <c r="C1292" t="s">
        <v>390</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c r="X1292" s="19">
        <f ca="1">DATE(LifeExpectancyData[[#This Row],[Year]],RANDBETWEEN(1,12),1)</f>
        <v>39387</v>
      </c>
    </row>
    <row r="1293" spans="1:24" x14ac:dyDescent="0.25">
      <c r="A1293" t="s">
        <v>465</v>
      </c>
      <c r="B1293">
        <v>2006</v>
      </c>
      <c r="C1293" t="s">
        <v>390</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c r="X1293" s="19">
        <f ca="1">DATE(LifeExpectancyData[[#This Row],[Year]],RANDBETWEEN(1,12),1)</f>
        <v>38777</v>
      </c>
    </row>
    <row r="1294" spans="1:24" x14ac:dyDescent="0.25">
      <c r="A1294" t="s">
        <v>465</v>
      </c>
      <c r="B1294">
        <v>2005</v>
      </c>
      <c r="C1294" t="s">
        <v>390</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c r="X1294" s="19">
        <f ca="1">DATE(LifeExpectancyData[[#This Row],[Year]],RANDBETWEEN(1,12),1)</f>
        <v>38657</v>
      </c>
    </row>
    <row r="1295" spans="1:24" x14ac:dyDescent="0.25">
      <c r="A1295" t="s">
        <v>465</v>
      </c>
      <c r="B1295">
        <v>2004</v>
      </c>
      <c r="C1295" t="s">
        <v>390</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c r="X1295" s="19">
        <f ca="1">DATE(LifeExpectancyData[[#This Row],[Year]],RANDBETWEEN(1,12),1)</f>
        <v>38169</v>
      </c>
    </row>
    <row r="1296" spans="1:24" x14ac:dyDescent="0.25">
      <c r="A1296" t="s">
        <v>465</v>
      </c>
      <c r="B1296">
        <v>2003</v>
      </c>
      <c r="C1296" t="s">
        <v>390</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c r="X1296" s="19">
        <f ca="1">DATE(LifeExpectancyData[[#This Row],[Year]],RANDBETWEEN(1,12),1)</f>
        <v>37712</v>
      </c>
    </row>
    <row r="1297" spans="1:24" x14ac:dyDescent="0.25">
      <c r="A1297" t="s">
        <v>465</v>
      </c>
      <c r="B1297">
        <v>2002</v>
      </c>
      <c r="C1297" t="s">
        <v>390</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c r="X1297" s="19">
        <f ca="1">DATE(LifeExpectancyData[[#This Row],[Year]],RANDBETWEEN(1,12),1)</f>
        <v>37561</v>
      </c>
    </row>
    <row r="1298" spans="1:24" x14ac:dyDescent="0.25">
      <c r="A1298" t="s">
        <v>465</v>
      </c>
      <c r="B1298">
        <v>2001</v>
      </c>
      <c r="C1298" t="s">
        <v>390</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c r="X1298" s="19">
        <f ca="1">DATE(LifeExpectancyData[[#This Row],[Year]],RANDBETWEEN(1,12),1)</f>
        <v>37043</v>
      </c>
    </row>
    <row r="1299" spans="1:24" x14ac:dyDescent="0.25">
      <c r="A1299" t="s">
        <v>465</v>
      </c>
      <c r="B1299">
        <v>2000</v>
      </c>
      <c r="C1299" t="s">
        <v>390</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c r="X1299" s="19">
        <f ca="1">DATE(LifeExpectancyData[[#This Row],[Year]],RANDBETWEEN(1,12),1)</f>
        <v>36617</v>
      </c>
    </row>
    <row r="1300" spans="1:24" x14ac:dyDescent="0.25">
      <c r="A1300" t="s">
        <v>466</v>
      </c>
      <c r="B1300">
        <v>2015</v>
      </c>
      <c r="C1300" t="s">
        <v>382</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c r="X1300" s="19">
        <f ca="1">DATE(LifeExpectancyData[[#This Row],[Year]],RANDBETWEEN(1,12),1)</f>
        <v>42064</v>
      </c>
    </row>
    <row r="1301" spans="1:24" x14ac:dyDescent="0.25">
      <c r="A1301" t="s">
        <v>466</v>
      </c>
      <c r="B1301">
        <v>2014</v>
      </c>
      <c r="C1301" t="s">
        <v>382</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c r="X1301" s="19">
        <f ca="1">DATE(LifeExpectancyData[[#This Row],[Year]],RANDBETWEEN(1,12),1)</f>
        <v>41944</v>
      </c>
    </row>
    <row r="1302" spans="1:24" x14ac:dyDescent="0.25">
      <c r="A1302" t="s">
        <v>466</v>
      </c>
      <c r="B1302">
        <v>2013</v>
      </c>
      <c r="C1302" t="s">
        <v>382</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c r="X1302" s="19">
        <f ca="1">DATE(LifeExpectancyData[[#This Row],[Year]],RANDBETWEEN(1,12),1)</f>
        <v>41609</v>
      </c>
    </row>
    <row r="1303" spans="1:24" x14ac:dyDescent="0.25">
      <c r="A1303" t="s">
        <v>466</v>
      </c>
      <c r="B1303">
        <v>2012</v>
      </c>
      <c r="C1303" t="s">
        <v>382</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c r="X1303" s="19">
        <f ca="1">DATE(LifeExpectancyData[[#This Row],[Year]],RANDBETWEEN(1,12),1)</f>
        <v>41244</v>
      </c>
    </row>
    <row r="1304" spans="1:24" x14ac:dyDescent="0.25">
      <c r="A1304" t="s">
        <v>466</v>
      </c>
      <c r="B1304">
        <v>2011</v>
      </c>
      <c r="C1304" t="s">
        <v>382</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c r="X1304" s="19">
        <f ca="1">DATE(LifeExpectancyData[[#This Row],[Year]],RANDBETWEEN(1,12),1)</f>
        <v>40575</v>
      </c>
    </row>
    <row r="1305" spans="1:24" x14ac:dyDescent="0.25">
      <c r="A1305" t="s">
        <v>466</v>
      </c>
      <c r="B1305">
        <v>2010</v>
      </c>
      <c r="C1305" t="s">
        <v>382</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c r="X1305" s="19">
        <f ca="1">DATE(LifeExpectancyData[[#This Row],[Year]],RANDBETWEEN(1,12),1)</f>
        <v>40513</v>
      </c>
    </row>
    <row r="1306" spans="1:24" x14ac:dyDescent="0.25">
      <c r="A1306" t="s">
        <v>466</v>
      </c>
      <c r="B1306">
        <v>2009</v>
      </c>
      <c r="C1306" t="s">
        <v>382</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c r="X1306" s="19">
        <f ca="1">DATE(LifeExpectancyData[[#This Row],[Year]],RANDBETWEEN(1,12),1)</f>
        <v>39904</v>
      </c>
    </row>
    <row r="1307" spans="1:24" x14ac:dyDescent="0.25">
      <c r="A1307" t="s">
        <v>466</v>
      </c>
      <c r="B1307">
        <v>2008</v>
      </c>
      <c r="C1307" t="s">
        <v>382</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c r="X1307" s="19">
        <f ca="1">DATE(LifeExpectancyData[[#This Row],[Year]],RANDBETWEEN(1,12),1)</f>
        <v>39692</v>
      </c>
    </row>
    <row r="1308" spans="1:24" x14ac:dyDescent="0.25">
      <c r="A1308" t="s">
        <v>466</v>
      </c>
      <c r="B1308">
        <v>2007</v>
      </c>
      <c r="C1308" t="s">
        <v>382</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c r="X1308" s="19">
        <f ca="1">DATE(LifeExpectancyData[[#This Row],[Year]],RANDBETWEEN(1,12),1)</f>
        <v>39295</v>
      </c>
    </row>
    <row r="1309" spans="1:24" x14ac:dyDescent="0.25">
      <c r="A1309" t="s">
        <v>466</v>
      </c>
      <c r="B1309">
        <v>2006</v>
      </c>
      <c r="C1309" t="s">
        <v>382</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c r="X1309" s="19">
        <f ca="1">DATE(LifeExpectancyData[[#This Row],[Year]],RANDBETWEEN(1,12),1)</f>
        <v>38869</v>
      </c>
    </row>
    <row r="1310" spans="1:24" x14ac:dyDescent="0.25">
      <c r="A1310" t="s">
        <v>466</v>
      </c>
      <c r="B1310">
        <v>2005</v>
      </c>
      <c r="C1310" t="s">
        <v>382</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c r="X1310" s="19">
        <f ca="1">DATE(LifeExpectancyData[[#This Row],[Year]],RANDBETWEEN(1,12),1)</f>
        <v>38565</v>
      </c>
    </row>
    <row r="1311" spans="1:24" x14ac:dyDescent="0.25">
      <c r="A1311" t="s">
        <v>466</v>
      </c>
      <c r="B1311">
        <v>2004</v>
      </c>
      <c r="C1311" t="s">
        <v>382</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c r="X1311" s="19">
        <f ca="1">DATE(LifeExpectancyData[[#This Row],[Year]],RANDBETWEEN(1,12),1)</f>
        <v>38018</v>
      </c>
    </row>
    <row r="1312" spans="1:24" x14ac:dyDescent="0.25">
      <c r="A1312" t="s">
        <v>466</v>
      </c>
      <c r="B1312">
        <v>2003</v>
      </c>
      <c r="C1312" t="s">
        <v>382</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c r="X1312" s="19">
        <f ca="1">DATE(LifeExpectancyData[[#This Row],[Year]],RANDBETWEEN(1,12),1)</f>
        <v>37681</v>
      </c>
    </row>
    <row r="1313" spans="1:24" x14ac:dyDescent="0.25">
      <c r="A1313" t="s">
        <v>466</v>
      </c>
      <c r="B1313">
        <v>2002</v>
      </c>
      <c r="C1313" t="s">
        <v>382</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c r="X1313" s="19">
        <f ca="1">DATE(LifeExpectancyData[[#This Row],[Year]],RANDBETWEEN(1,12),1)</f>
        <v>37316</v>
      </c>
    </row>
    <row r="1314" spans="1:24" x14ac:dyDescent="0.25">
      <c r="A1314" t="s">
        <v>466</v>
      </c>
      <c r="B1314">
        <v>2001</v>
      </c>
      <c r="C1314" t="s">
        <v>382</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c r="X1314" s="19">
        <f ca="1">DATE(LifeExpectancyData[[#This Row],[Year]],RANDBETWEEN(1,12),1)</f>
        <v>37226</v>
      </c>
    </row>
    <row r="1315" spans="1:24" x14ac:dyDescent="0.25">
      <c r="A1315" t="s">
        <v>466</v>
      </c>
      <c r="B1315">
        <v>2000</v>
      </c>
      <c r="C1315" t="s">
        <v>382</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c r="X1315" s="19">
        <f ca="1">DATE(LifeExpectancyData[[#This Row],[Year]],RANDBETWEEN(1,12),1)</f>
        <v>36647</v>
      </c>
    </row>
    <row r="1316" spans="1:24" x14ac:dyDescent="0.25">
      <c r="A1316" t="s">
        <v>467</v>
      </c>
      <c r="B1316">
        <v>2015</v>
      </c>
      <c r="C1316" t="s">
        <v>390</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c r="X1316" s="19">
        <f ca="1">DATE(LifeExpectancyData[[#This Row],[Year]],RANDBETWEEN(1,12),1)</f>
        <v>42309</v>
      </c>
    </row>
    <row r="1317" spans="1:24" x14ac:dyDescent="0.25">
      <c r="A1317" t="s">
        <v>467</v>
      </c>
      <c r="B1317">
        <v>2014</v>
      </c>
      <c r="C1317" t="s">
        <v>390</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c r="X1317" s="19">
        <f ca="1">DATE(LifeExpectancyData[[#This Row],[Year]],RANDBETWEEN(1,12),1)</f>
        <v>41852</v>
      </c>
    </row>
    <row r="1318" spans="1:24" x14ac:dyDescent="0.25">
      <c r="A1318" t="s">
        <v>467</v>
      </c>
      <c r="B1318">
        <v>2013</v>
      </c>
      <c r="C1318" t="s">
        <v>390</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c r="X1318" s="19">
        <f ca="1">DATE(LifeExpectancyData[[#This Row],[Year]],RANDBETWEEN(1,12),1)</f>
        <v>41456</v>
      </c>
    </row>
    <row r="1319" spans="1:24" x14ac:dyDescent="0.25">
      <c r="A1319" t="s">
        <v>467</v>
      </c>
      <c r="B1319">
        <v>2012</v>
      </c>
      <c r="C1319" t="s">
        <v>390</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c r="X1319" s="19">
        <f ca="1">DATE(LifeExpectancyData[[#This Row],[Year]],RANDBETWEEN(1,12),1)</f>
        <v>40909</v>
      </c>
    </row>
    <row r="1320" spans="1:24" x14ac:dyDescent="0.25">
      <c r="A1320" t="s">
        <v>467</v>
      </c>
      <c r="B1320">
        <v>2011</v>
      </c>
      <c r="C1320" t="s">
        <v>390</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c r="X1320" s="19">
        <f ca="1">DATE(LifeExpectancyData[[#This Row],[Year]],RANDBETWEEN(1,12),1)</f>
        <v>40575</v>
      </c>
    </row>
    <row r="1321" spans="1:24" x14ac:dyDescent="0.25">
      <c r="A1321" t="s">
        <v>467</v>
      </c>
      <c r="B1321">
        <v>2010</v>
      </c>
      <c r="C1321" t="s">
        <v>390</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c r="X1321" s="19">
        <f ca="1">DATE(LifeExpectancyData[[#This Row],[Year]],RANDBETWEEN(1,12),1)</f>
        <v>40422</v>
      </c>
    </row>
    <row r="1322" spans="1:24" x14ac:dyDescent="0.25">
      <c r="A1322" t="s">
        <v>467</v>
      </c>
      <c r="B1322">
        <v>2009</v>
      </c>
      <c r="C1322" t="s">
        <v>390</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c r="X1322" s="19">
        <f ca="1">DATE(LifeExpectancyData[[#This Row],[Year]],RANDBETWEEN(1,12),1)</f>
        <v>40148</v>
      </c>
    </row>
    <row r="1323" spans="1:24" x14ac:dyDescent="0.25">
      <c r="A1323" t="s">
        <v>467</v>
      </c>
      <c r="B1323">
        <v>2008</v>
      </c>
      <c r="C1323" t="s">
        <v>390</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c r="X1323" s="19">
        <f ca="1">DATE(LifeExpectancyData[[#This Row],[Year]],RANDBETWEEN(1,12),1)</f>
        <v>39630</v>
      </c>
    </row>
    <row r="1324" spans="1:24" x14ac:dyDescent="0.25">
      <c r="A1324" t="s">
        <v>467</v>
      </c>
      <c r="B1324">
        <v>2007</v>
      </c>
      <c r="C1324" t="s">
        <v>390</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c r="X1324" s="19">
        <f ca="1">DATE(LifeExpectancyData[[#This Row],[Year]],RANDBETWEEN(1,12),1)</f>
        <v>39295</v>
      </c>
    </row>
    <row r="1325" spans="1:24" x14ac:dyDescent="0.25">
      <c r="A1325" t="s">
        <v>467</v>
      </c>
      <c r="B1325">
        <v>2006</v>
      </c>
      <c r="C1325" t="s">
        <v>390</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c r="X1325" s="19">
        <f ca="1">DATE(LifeExpectancyData[[#This Row],[Year]],RANDBETWEEN(1,12),1)</f>
        <v>38777</v>
      </c>
    </row>
    <row r="1326" spans="1:24" x14ac:dyDescent="0.25">
      <c r="A1326" t="s">
        <v>467</v>
      </c>
      <c r="B1326">
        <v>2005</v>
      </c>
      <c r="C1326" t="s">
        <v>390</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c r="X1326" s="19">
        <f ca="1">DATE(LifeExpectancyData[[#This Row],[Year]],RANDBETWEEN(1,12),1)</f>
        <v>38412</v>
      </c>
    </row>
    <row r="1327" spans="1:24" x14ac:dyDescent="0.25">
      <c r="A1327" t="s">
        <v>467</v>
      </c>
      <c r="B1327">
        <v>2004</v>
      </c>
      <c r="C1327" t="s">
        <v>390</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c r="X1327" s="19">
        <f ca="1">DATE(LifeExpectancyData[[#This Row],[Year]],RANDBETWEEN(1,12),1)</f>
        <v>38200</v>
      </c>
    </row>
    <row r="1328" spans="1:24" x14ac:dyDescent="0.25">
      <c r="A1328" t="s">
        <v>467</v>
      </c>
      <c r="B1328">
        <v>2003</v>
      </c>
      <c r="C1328" t="s">
        <v>390</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c r="X1328" s="19">
        <f ca="1">DATE(LifeExpectancyData[[#This Row],[Year]],RANDBETWEEN(1,12),1)</f>
        <v>37653</v>
      </c>
    </row>
    <row r="1329" spans="1:24" x14ac:dyDescent="0.25">
      <c r="A1329" t="s">
        <v>467</v>
      </c>
      <c r="B1329">
        <v>2002</v>
      </c>
      <c r="C1329" t="s">
        <v>390</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c r="X1329" s="19">
        <f ca="1">DATE(LifeExpectancyData[[#This Row],[Year]],RANDBETWEEN(1,12),1)</f>
        <v>37530</v>
      </c>
    </row>
    <row r="1330" spans="1:24" x14ac:dyDescent="0.25">
      <c r="A1330" t="s">
        <v>467</v>
      </c>
      <c r="B1330">
        <v>2001</v>
      </c>
      <c r="C1330" t="s">
        <v>390</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c r="X1330" s="19">
        <f ca="1">DATE(LifeExpectancyData[[#This Row],[Year]],RANDBETWEEN(1,12),1)</f>
        <v>37073</v>
      </c>
    </row>
    <row r="1331" spans="1:24" x14ac:dyDescent="0.25">
      <c r="A1331" t="s">
        <v>467</v>
      </c>
      <c r="B1331">
        <v>2000</v>
      </c>
      <c r="C1331" t="s">
        <v>390</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c r="X1331" s="19">
        <f ca="1">DATE(LifeExpectancyData[[#This Row],[Year]],RANDBETWEEN(1,12),1)</f>
        <v>36678</v>
      </c>
    </row>
    <row r="1332" spans="1:24" x14ac:dyDescent="0.25">
      <c r="A1332" t="s">
        <v>468</v>
      </c>
      <c r="B1332">
        <v>2015</v>
      </c>
      <c r="C1332" t="s">
        <v>382</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c r="X1332" s="19">
        <f ca="1">DATE(LifeExpectancyData[[#This Row],[Year]],RANDBETWEEN(1,12),1)</f>
        <v>42036</v>
      </c>
    </row>
    <row r="1333" spans="1:24" x14ac:dyDescent="0.25">
      <c r="A1333" t="s">
        <v>468</v>
      </c>
      <c r="B1333">
        <v>2014</v>
      </c>
      <c r="C1333" t="s">
        <v>382</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c r="X1333" s="19">
        <f ca="1">DATE(LifeExpectancyData[[#This Row],[Year]],RANDBETWEEN(1,12),1)</f>
        <v>41974</v>
      </c>
    </row>
    <row r="1334" spans="1:24" x14ac:dyDescent="0.25">
      <c r="A1334" t="s">
        <v>468</v>
      </c>
      <c r="B1334">
        <v>2013</v>
      </c>
      <c r="C1334" t="s">
        <v>382</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c r="X1334" s="19">
        <f ca="1">DATE(LifeExpectancyData[[#This Row],[Year]],RANDBETWEEN(1,12),1)</f>
        <v>41456</v>
      </c>
    </row>
    <row r="1335" spans="1:24" x14ac:dyDescent="0.25">
      <c r="A1335" t="s">
        <v>468</v>
      </c>
      <c r="B1335">
        <v>2012</v>
      </c>
      <c r="C1335" t="s">
        <v>382</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c r="X1335" s="19">
        <f ca="1">DATE(LifeExpectancyData[[#This Row],[Year]],RANDBETWEEN(1,12),1)</f>
        <v>40940</v>
      </c>
    </row>
    <row r="1336" spans="1:24" x14ac:dyDescent="0.25">
      <c r="A1336" t="s">
        <v>468</v>
      </c>
      <c r="B1336">
        <v>2011</v>
      </c>
      <c r="C1336" t="s">
        <v>382</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c r="X1336" s="19">
        <f ca="1">DATE(LifeExpectancyData[[#This Row],[Year]],RANDBETWEEN(1,12),1)</f>
        <v>40664</v>
      </c>
    </row>
    <row r="1337" spans="1:24" x14ac:dyDescent="0.25">
      <c r="A1337" t="s">
        <v>468</v>
      </c>
      <c r="B1337">
        <v>2010</v>
      </c>
      <c r="C1337" t="s">
        <v>382</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c r="X1337" s="19">
        <f ca="1">DATE(LifeExpectancyData[[#This Row],[Year]],RANDBETWEEN(1,12),1)</f>
        <v>40179</v>
      </c>
    </row>
    <row r="1338" spans="1:24" x14ac:dyDescent="0.25">
      <c r="A1338" t="s">
        <v>468</v>
      </c>
      <c r="B1338">
        <v>2009</v>
      </c>
      <c r="C1338" t="s">
        <v>382</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c r="X1338" s="19">
        <f ca="1">DATE(LifeExpectancyData[[#This Row],[Year]],RANDBETWEEN(1,12),1)</f>
        <v>40087</v>
      </c>
    </row>
    <row r="1339" spans="1:24" x14ac:dyDescent="0.25">
      <c r="A1339" t="s">
        <v>468</v>
      </c>
      <c r="B1339">
        <v>2008</v>
      </c>
      <c r="C1339" t="s">
        <v>382</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c r="X1339" s="19">
        <f ca="1">DATE(LifeExpectancyData[[#This Row],[Year]],RANDBETWEEN(1,12),1)</f>
        <v>39479</v>
      </c>
    </row>
    <row r="1340" spans="1:24" x14ac:dyDescent="0.25">
      <c r="A1340" t="s">
        <v>468</v>
      </c>
      <c r="B1340">
        <v>2007</v>
      </c>
      <c r="C1340" t="s">
        <v>382</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c r="X1340" s="19">
        <f ca="1">DATE(LifeExpectancyData[[#This Row],[Year]],RANDBETWEEN(1,12),1)</f>
        <v>39114</v>
      </c>
    </row>
    <row r="1341" spans="1:24" x14ac:dyDescent="0.25">
      <c r="A1341" t="s">
        <v>468</v>
      </c>
      <c r="B1341">
        <v>2006</v>
      </c>
      <c r="C1341" t="s">
        <v>382</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c r="X1341" s="19">
        <f ca="1">DATE(LifeExpectancyData[[#This Row],[Year]],RANDBETWEEN(1,12),1)</f>
        <v>38838</v>
      </c>
    </row>
    <row r="1342" spans="1:24" x14ac:dyDescent="0.25">
      <c r="A1342" t="s">
        <v>468</v>
      </c>
      <c r="B1342">
        <v>2005</v>
      </c>
      <c r="C1342" t="s">
        <v>382</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c r="X1342" s="19">
        <f ca="1">DATE(LifeExpectancyData[[#This Row],[Year]],RANDBETWEEN(1,12),1)</f>
        <v>38657</v>
      </c>
    </row>
    <row r="1343" spans="1:24" x14ac:dyDescent="0.25">
      <c r="A1343" t="s">
        <v>468</v>
      </c>
      <c r="B1343">
        <v>2004</v>
      </c>
      <c r="C1343" t="s">
        <v>382</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c r="X1343" s="19">
        <f ca="1">DATE(LifeExpectancyData[[#This Row],[Year]],RANDBETWEEN(1,12),1)</f>
        <v>38047</v>
      </c>
    </row>
    <row r="1344" spans="1:24" x14ac:dyDescent="0.25">
      <c r="A1344" t="s">
        <v>468</v>
      </c>
      <c r="B1344">
        <v>2003</v>
      </c>
      <c r="C1344" t="s">
        <v>382</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c r="X1344" s="19">
        <f ca="1">DATE(LifeExpectancyData[[#This Row],[Year]],RANDBETWEEN(1,12),1)</f>
        <v>37865</v>
      </c>
    </row>
    <row r="1345" spans="1:24" x14ac:dyDescent="0.25">
      <c r="A1345" t="s">
        <v>468</v>
      </c>
      <c r="B1345">
        <v>2002</v>
      </c>
      <c r="C1345" t="s">
        <v>382</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c r="X1345" s="19">
        <f ca="1">DATE(LifeExpectancyData[[#This Row],[Year]],RANDBETWEEN(1,12),1)</f>
        <v>37469</v>
      </c>
    </row>
    <row r="1346" spans="1:24" x14ac:dyDescent="0.25">
      <c r="A1346" t="s">
        <v>468</v>
      </c>
      <c r="B1346">
        <v>2001</v>
      </c>
      <c r="C1346" t="s">
        <v>382</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c r="X1346" s="19">
        <f ca="1">DATE(LifeExpectancyData[[#This Row],[Year]],RANDBETWEEN(1,12),1)</f>
        <v>37226</v>
      </c>
    </row>
    <row r="1347" spans="1:24" x14ac:dyDescent="0.25">
      <c r="A1347" t="s">
        <v>468</v>
      </c>
      <c r="B1347">
        <v>2000</v>
      </c>
      <c r="C1347" t="s">
        <v>382</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c r="X1347" s="19">
        <f ca="1">DATE(LifeExpectancyData[[#This Row],[Year]],RANDBETWEEN(1,12),1)</f>
        <v>36739</v>
      </c>
    </row>
    <row r="1348" spans="1:24" x14ac:dyDescent="0.25">
      <c r="A1348" t="s">
        <v>469</v>
      </c>
      <c r="B1348">
        <v>2015</v>
      </c>
      <c r="C1348" t="s">
        <v>382</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c r="X1348" s="19">
        <f ca="1">DATE(LifeExpectancyData[[#This Row],[Year]],RANDBETWEEN(1,12),1)</f>
        <v>42186</v>
      </c>
    </row>
    <row r="1349" spans="1:24" x14ac:dyDescent="0.25">
      <c r="A1349" t="s">
        <v>469</v>
      </c>
      <c r="B1349">
        <v>2014</v>
      </c>
      <c r="C1349" t="s">
        <v>382</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c r="X1349" s="19">
        <f ca="1">DATE(LifeExpectancyData[[#This Row],[Year]],RANDBETWEEN(1,12),1)</f>
        <v>41974</v>
      </c>
    </row>
    <row r="1350" spans="1:24" x14ac:dyDescent="0.25">
      <c r="A1350" t="s">
        <v>469</v>
      </c>
      <c r="B1350">
        <v>2013</v>
      </c>
      <c r="C1350" t="s">
        <v>382</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c r="X1350" s="19">
        <f ca="1">DATE(LifeExpectancyData[[#This Row],[Year]],RANDBETWEEN(1,12),1)</f>
        <v>41518</v>
      </c>
    </row>
    <row r="1351" spans="1:24" x14ac:dyDescent="0.25">
      <c r="A1351" t="s">
        <v>469</v>
      </c>
      <c r="B1351">
        <v>2012</v>
      </c>
      <c r="C1351" t="s">
        <v>382</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c r="X1351" s="19">
        <f ca="1">DATE(LifeExpectancyData[[#This Row],[Year]],RANDBETWEEN(1,12),1)</f>
        <v>41061</v>
      </c>
    </row>
    <row r="1352" spans="1:24" x14ac:dyDescent="0.25">
      <c r="A1352" t="s">
        <v>469</v>
      </c>
      <c r="B1352">
        <v>2011</v>
      </c>
      <c r="C1352" t="s">
        <v>382</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c r="X1352" s="19">
        <f ca="1">DATE(LifeExpectancyData[[#This Row],[Year]],RANDBETWEEN(1,12),1)</f>
        <v>40544</v>
      </c>
    </row>
    <row r="1353" spans="1:24" x14ac:dyDescent="0.25">
      <c r="A1353" t="s">
        <v>469</v>
      </c>
      <c r="B1353">
        <v>2010</v>
      </c>
      <c r="C1353" t="s">
        <v>382</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c r="X1353" s="19">
        <f ca="1">DATE(LifeExpectancyData[[#This Row],[Year]],RANDBETWEEN(1,12),1)</f>
        <v>40210</v>
      </c>
    </row>
    <row r="1354" spans="1:24" x14ac:dyDescent="0.25">
      <c r="A1354" t="s">
        <v>469</v>
      </c>
      <c r="B1354">
        <v>2009</v>
      </c>
      <c r="C1354" t="s">
        <v>382</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c r="X1354" s="19">
        <f ca="1">DATE(LifeExpectancyData[[#This Row],[Year]],RANDBETWEEN(1,12),1)</f>
        <v>39904</v>
      </c>
    </row>
    <row r="1355" spans="1:24" x14ac:dyDescent="0.25">
      <c r="A1355" t="s">
        <v>469</v>
      </c>
      <c r="B1355">
        <v>2008</v>
      </c>
      <c r="C1355" t="s">
        <v>382</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c r="X1355" s="19">
        <f ca="1">DATE(LifeExpectancyData[[#This Row],[Year]],RANDBETWEEN(1,12),1)</f>
        <v>39661</v>
      </c>
    </row>
    <row r="1356" spans="1:24" x14ac:dyDescent="0.25">
      <c r="A1356" t="s">
        <v>469</v>
      </c>
      <c r="B1356">
        <v>2007</v>
      </c>
      <c r="C1356" t="s">
        <v>382</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c r="X1356" s="19">
        <f ca="1">DATE(LifeExpectancyData[[#This Row],[Year]],RANDBETWEEN(1,12),1)</f>
        <v>39234</v>
      </c>
    </row>
    <row r="1357" spans="1:24" x14ac:dyDescent="0.25">
      <c r="A1357" t="s">
        <v>469</v>
      </c>
      <c r="B1357">
        <v>2006</v>
      </c>
      <c r="C1357" t="s">
        <v>382</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c r="X1357" s="19">
        <f ca="1">DATE(LifeExpectancyData[[#This Row],[Year]],RANDBETWEEN(1,12),1)</f>
        <v>38869</v>
      </c>
    </row>
    <row r="1358" spans="1:24" x14ac:dyDescent="0.25">
      <c r="A1358" t="s">
        <v>469</v>
      </c>
      <c r="B1358">
        <v>2005</v>
      </c>
      <c r="C1358" t="s">
        <v>382</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c r="X1358" s="19">
        <f ca="1">DATE(LifeExpectancyData[[#This Row],[Year]],RANDBETWEEN(1,12),1)</f>
        <v>38596</v>
      </c>
    </row>
    <row r="1359" spans="1:24" x14ac:dyDescent="0.25">
      <c r="A1359" t="s">
        <v>469</v>
      </c>
      <c r="B1359">
        <v>2004</v>
      </c>
      <c r="C1359" t="s">
        <v>382</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c r="X1359" s="19">
        <f ca="1">DATE(LifeExpectancyData[[#This Row],[Year]],RANDBETWEEN(1,12),1)</f>
        <v>38200</v>
      </c>
    </row>
    <row r="1360" spans="1:24" x14ac:dyDescent="0.25">
      <c r="A1360" t="s">
        <v>469</v>
      </c>
      <c r="B1360">
        <v>2003</v>
      </c>
      <c r="C1360" t="s">
        <v>382</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c r="X1360" s="19">
        <f ca="1">DATE(LifeExpectancyData[[#This Row],[Year]],RANDBETWEEN(1,12),1)</f>
        <v>37956</v>
      </c>
    </row>
    <row r="1361" spans="1:24" x14ac:dyDescent="0.25">
      <c r="A1361" t="s">
        <v>469</v>
      </c>
      <c r="B1361">
        <v>2002</v>
      </c>
      <c r="C1361" t="s">
        <v>382</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c r="X1361" s="19">
        <f ca="1">DATE(LifeExpectancyData[[#This Row],[Year]],RANDBETWEEN(1,12),1)</f>
        <v>37316</v>
      </c>
    </row>
    <row r="1362" spans="1:24" x14ac:dyDescent="0.25">
      <c r="A1362" t="s">
        <v>469</v>
      </c>
      <c r="B1362">
        <v>2001</v>
      </c>
      <c r="C1362" t="s">
        <v>382</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c r="X1362" s="19">
        <f ca="1">DATE(LifeExpectancyData[[#This Row],[Year]],RANDBETWEEN(1,12),1)</f>
        <v>37226</v>
      </c>
    </row>
    <row r="1363" spans="1:24" x14ac:dyDescent="0.25">
      <c r="A1363" t="s">
        <v>469</v>
      </c>
      <c r="B1363">
        <v>2000</v>
      </c>
      <c r="C1363" t="s">
        <v>382</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c r="X1363" s="19">
        <f ca="1">DATE(LifeExpectancyData[[#This Row],[Year]],RANDBETWEEN(1,12),1)</f>
        <v>36800</v>
      </c>
    </row>
    <row r="1364" spans="1:24" x14ac:dyDescent="0.25">
      <c r="A1364" t="s">
        <v>470</v>
      </c>
      <c r="B1364">
        <v>2015</v>
      </c>
      <c r="C1364" t="s">
        <v>382</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c r="X1364" s="19">
        <f ca="1">DATE(LifeExpectancyData[[#This Row],[Year]],RANDBETWEEN(1,12),1)</f>
        <v>42217</v>
      </c>
    </row>
    <row r="1365" spans="1:24" x14ac:dyDescent="0.25">
      <c r="A1365" t="s">
        <v>470</v>
      </c>
      <c r="B1365">
        <v>2014</v>
      </c>
      <c r="C1365" t="s">
        <v>382</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c r="X1365" s="19">
        <f ca="1">DATE(LifeExpectancyData[[#This Row],[Year]],RANDBETWEEN(1,12),1)</f>
        <v>41913</v>
      </c>
    </row>
    <row r="1366" spans="1:24" x14ac:dyDescent="0.25">
      <c r="A1366" t="s">
        <v>470</v>
      </c>
      <c r="B1366">
        <v>2013</v>
      </c>
      <c r="C1366" t="s">
        <v>382</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c r="X1366" s="19">
        <f ca="1">DATE(LifeExpectancyData[[#This Row],[Year]],RANDBETWEEN(1,12),1)</f>
        <v>41365</v>
      </c>
    </row>
    <row r="1367" spans="1:24" x14ac:dyDescent="0.25">
      <c r="A1367" t="s">
        <v>470</v>
      </c>
      <c r="B1367">
        <v>2012</v>
      </c>
      <c r="C1367" t="s">
        <v>382</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c r="X1367" s="19">
        <f ca="1">DATE(LifeExpectancyData[[#This Row],[Year]],RANDBETWEEN(1,12),1)</f>
        <v>41122</v>
      </c>
    </row>
    <row r="1368" spans="1:24" x14ac:dyDescent="0.25">
      <c r="A1368" t="s">
        <v>470</v>
      </c>
      <c r="B1368">
        <v>2011</v>
      </c>
      <c r="C1368" t="s">
        <v>382</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c r="X1368" s="19">
        <f ca="1">DATE(LifeExpectancyData[[#This Row],[Year]],RANDBETWEEN(1,12),1)</f>
        <v>40664</v>
      </c>
    </row>
    <row r="1369" spans="1:24" x14ac:dyDescent="0.25">
      <c r="A1369" t="s">
        <v>470</v>
      </c>
      <c r="B1369">
        <v>2010</v>
      </c>
      <c r="C1369" t="s">
        <v>382</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c r="X1369" s="19">
        <f ca="1">DATE(LifeExpectancyData[[#This Row],[Year]],RANDBETWEEN(1,12),1)</f>
        <v>40269</v>
      </c>
    </row>
    <row r="1370" spans="1:24" x14ac:dyDescent="0.25">
      <c r="A1370" t="s">
        <v>470</v>
      </c>
      <c r="B1370">
        <v>2009</v>
      </c>
      <c r="C1370" t="s">
        <v>382</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c r="X1370" s="19">
        <f ca="1">DATE(LifeExpectancyData[[#This Row],[Year]],RANDBETWEEN(1,12),1)</f>
        <v>39995</v>
      </c>
    </row>
    <row r="1371" spans="1:24" x14ac:dyDescent="0.25">
      <c r="A1371" t="s">
        <v>470</v>
      </c>
      <c r="B1371">
        <v>2008</v>
      </c>
      <c r="C1371" t="s">
        <v>382</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c r="X1371" s="19">
        <f ca="1">DATE(LifeExpectancyData[[#This Row],[Year]],RANDBETWEEN(1,12),1)</f>
        <v>39630</v>
      </c>
    </row>
    <row r="1372" spans="1:24" x14ac:dyDescent="0.25">
      <c r="A1372" t="s">
        <v>470</v>
      </c>
      <c r="B1372">
        <v>2007</v>
      </c>
      <c r="C1372" t="s">
        <v>382</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c r="X1372" s="19">
        <f ca="1">DATE(LifeExpectancyData[[#This Row],[Year]],RANDBETWEEN(1,12),1)</f>
        <v>39173</v>
      </c>
    </row>
    <row r="1373" spans="1:24" x14ac:dyDescent="0.25">
      <c r="A1373" t="s">
        <v>470</v>
      </c>
      <c r="B1373">
        <v>2006</v>
      </c>
      <c r="C1373" t="s">
        <v>382</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c r="X1373" s="19">
        <f ca="1">DATE(LifeExpectancyData[[#This Row],[Year]],RANDBETWEEN(1,12),1)</f>
        <v>38930</v>
      </c>
    </row>
    <row r="1374" spans="1:24" x14ac:dyDescent="0.25">
      <c r="A1374" t="s">
        <v>470</v>
      </c>
      <c r="B1374">
        <v>2005</v>
      </c>
      <c r="C1374" t="s">
        <v>382</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c r="X1374" s="19">
        <f ca="1">DATE(LifeExpectancyData[[#This Row],[Year]],RANDBETWEEN(1,12),1)</f>
        <v>38534</v>
      </c>
    </row>
    <row r="1375" spans="1:24" x14ac:dyDescent="0.25">
      <c r="A1375" t="s">
        <v>470</v>
      </c>
      <c r="B1375">
        <v>2004</v>
      </c>
      <c r="C1375" t="s">
        <v>382</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c r="X1375" s="19">
        <f ca="1">DATE(LifeExpectancyData[[#This Row],[Year]],RANDBETWEEN(1,12),1)</f>
        <v>38322</v>
      </c>
    </row>
    <row r="1376" spans="1:24" x14ac:dyDescent="0.25">
      <c r="A1376" t="s">
        <v>470</v>
      </c>
      <c r="B1376">
        <v>2003</v>
      </c>
      <c r="C1376" t="s">
        <v>382</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c r="X1376" s="19">
        <f ca="1">DATE(LifeExpectancyData[[#This Row],[Year]],RANDBETWEEN(1,12),1)</f>
        <v>37956</v>
      </c>
    </row>
    <row r="1377" spans="1:24" x14ac:dyDescent="0.25">
      <c r="A1377" t="s">
        <v>470</v>
      </c>
      <c r="B1377">
        <v>2002</v>
      </c>
      <c r="C1377" t="s">
        <v>382</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c r="X1377" s="19">
        <f ca="1">DATE(LifeExpectancyData[[#This Row],[Year]],RANDBETWEEN(1,12),1)</f>
        <v>37438</v>
      </c>
    </row>
    <row r="1378" spans="1:24" x14ac:dyDescent="0.25">
      <c r="A1378" t="s">
        <v>470</v>
      </c>
      <c r="B1378">
        <v>2001</v>
      </c>
      <c r="C1378" t="s">
        <v>382</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c r="X1378" s="19">
        <f ca="1">DATE(LifeExpectancyData[[#This Row],[Year]],RANDBETWEEN(1,12),1)</f>
        <v>36892</v>
      </c>
    </row>
    <row r="1379" spans="1:24" x14ac:dyDescent="0.25">
      <c r="A1379" t="s">
        <v>470</v>
      </c>
      <c r="B1379">
        <v>2000</v>
      </c>
      <c r="C1379" t="s">
        <v>382</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c r="X1379" s="19">
        <f ca="1">DATE(LifeExpectancyData[[#This Row],[Year]],RANDBETWEEN(1,12),1)</f>
        <v>36526</v>
      </c>
    </row>
    <row r="1380" spans="1:24" x14ac:dyDescent="0.25">
      <c r="A1380" t="s">
        <v>471</v>
      </c>
      <c r="B1380">
        <v>2015</v>
      </c>
      <c r="C1380" t="s">
        <v>382</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c r="X1380" s="19">
        <f ca="1">DATE(LifeExpectancyData[[#This Row],[Year]],RANDBETWEEN(1,12),1)</f>
        <v>42125</v>
      </c>
    </row>
    <row r="1381" spans="1:24" x14ac:dyDescent="0.25">
      <c r="A1381" t="s">
        <v>471</v>
      </c>
      <c r="B1381">
        <v>2014</v>
      </c>
      <c r="C1381" t="s">
        <v>382</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c r="X1381" s="19">
        <f ca="1">DATE(LifeExpectancyData[[#This Row],[Year]],RANDBETWEEN(1,12),1)</f>
        <v>41760</v>
      </c>
    </row>
    <row r="1382" spans="1:24" x14ac:dyDescent="0.25">
      <c r="A1382" t="s">
        <v>471</v>
      </c>
      <c r="B1382">
        <v>2013</v>
      </c>
      <c r="C1382" t="s">
        <v>382</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c r="X1382" s="19">
        <f ca="1">DATE(LifeExpectancyData[[#This Row],[Year]],RANDBETWEEN(1,12),1)</f>
        <v>41365</v>
      </c>
    </row>
    <row r="1383" spans="1:24" x14ac:dyDescent="0.25">
      <c r="A1383" t="s">
        <v>471</v>
      </c>
      <c r="B1383">
        <v>2012</v>
      </c>
      <c r="C1383" t="s">
        <v>382</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c r="X1383" s="19">
        <f ca="1">DATE(LifeExpectancyData[[#This Row],[Year]],RANDBETWEEN(1,12),1)</f>
        <v>41061</v>
      </c>
    </row>
    <row r="1384" spans="1:24" x14ac:dyDescent="0.25">
      <c r="A1384" t="s">
        <v>471</v>
      </c>
      <c r="B1384">
        <v>2011</v>
      </c>
      <c r="C1384" t="s">
        <v>382</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c r="X1384" s="19">
        <f ca="1">DATE(LifeExpectancyData[[#This Row],[Year]],RANDBETWEEN(1,12),1)</f>
        <v>40725</v>
      </c>
    </row>
    <row r="1385" spans="1:24" x14ac:dyDescent="0.25">
      <c r="A1385" t="s">
        <v>471</v>
      </c>
      <c r="B1385">
        <v>2010</v>
      </c>
      <c r="C1385" t="s">
        <v>382</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c r="X1385" s="19">
        <f ca="1">DATE(LifeExpectancyData[[#This Row],[Year]],RANDBETWEEN(1,12),1)</f>
        <v>40299</v>
      </c>
    </row>
    <row r="1386" spans="1:24" x14ac:dyDescent="0.25">
      <c r="A1386" t="s">
        <v>471</v>
      </c>
      <c r="B1386">
        <v>2009</v>
      </c>
      <c r="C1386" t="s">
        <v>382</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c r="X1386" s="19">
        <f ca="1">DATE(LifeExpectancyData[[#This Row],[Year]],RANDBETWEEN(1,12),1)</f>
        <v>39873</v>
      </c>
    </row>
    <row r="1387" spans="1:24" x14ac:dyDescent="0.25">
      <c r="A1387" t="s">
        <v>471</v>
      </c>
      <c r="B1387">
        <v>2008</v>
      </c>
      <c r="C1387" t="s">
        <v>382</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c r="X1387" s="19">
        <f ca="1">DATE(LifeExpectancyData[[#This Row],[Year]],RANDBETWEEN(1,12),1)</f>
        <v>39539</v>
      </c>
    </row>
    <row r="1388" spans="1:24" x14ac:dyDescent="0.25">
      <c r="A1388" t="s">
        <v>471</v>
      </c>
      <c r="B1388">
        <v>2007</v>
      </c>
      <c r="C1388" t="s">
        <v>382</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c r="X1388" s="19">
        <f ca="1">DATE(LifeExpectancyData[[#This Row],[Year]],RANDBETWEEN(1,12),1)</f>
        <v>39142</v>
      </c>
    </row>
    <row r="1389" spans="1:24" x14ac:dyDescent="0.25">
      <c r="A1389" t="s">
        <v>471</v>
      </c>
      <c r="B1389">
        <v>2006</v>
      </c>
      <c r="C1389" t="s">
        <v>382</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c r="X1389" s="19">
        <f ca="1">DATE(LifeExpectancyData[[#This Row],[Year]],RANDBETWEEN(1,12),1)</f>
        <v>38869</v>
      </c>
    </row>
    <row r="1390" spans="1:24" x14ac:dyDescent="0.25">
      <c r="A1390" t="s">
        <v>471</v>
      </c>
      <c r="B1390">
        <v>2005</v>
      </c>
      <c r="C1390" t="s">
        <v>382</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c r="X1390" s="19">
        <f ca="1">DATE(LifeExpectancyData[[#This Row],[Year]],RANDBETWEEN(1,12),1)</f>
        <v>38596</v>
      </c>
    </row>
    <row r="1391" spans="1:24" x14ac:dyDescent="0.25">
      <c r="A1391" t="s">
        <v>471</v>
      </c>
      <c r="B1391">
        <v>2004</v>
      </c>
      <c r="C1391" t="s">
        <v>382</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c r="X1391" s="19">
        <f ca="1">DATE(LifeExpectancyData[[#This Row],[Year]],RANDBETWEEN(1,12),1)</f>
        <v>38018</v>
      </c>
    </row>
    <row r="1392" spans="1:24" x14ac:dyDescent="0.25">
      <c r="A1392" t="s">
        <v>471</v>
      </c>
      <c r="B1392">
        <v>2003</v>
      </c>
      <c r="C1392" t="s">
        <v>382</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c r="X1392" s="19">
        <f ca="1">DATE(LifeExpectancyData[[#This Row],[Year]],RANDBETWEEN(1,12),1)</f>
        <v>37773</v>
      </c>
    </row>
    <row r="1393" spans="1:24" x14ac:dyDescent="0.25">
      <c r="A1393" t="s">
        <v>471</v>
      </c>
      <c r="B1393">
        <v>2002</v>
      </c>
      <c r="C1393" t="s">
        <v>382</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c r="X1393" s="19">
        <f ca="1">DATE(LifeExpectancyData[[#This Row],[Year]],RANDBETWEEN(1,12),1)</f>
        <v>37500</v>
      </c>
    </row>
    <row r="1394" spans="1:24" x14ac:dyDescent="0.25">
      <c r="A1394" t="s">
        <v>471</v>
      </c>
      <c r="B1394">
        <v>2001</v>
      </c>
      <c r="C1394" t="s">
        <v>382</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c r="X1394" s="19">
        <f ca="1">DATE(LifeExpectancyData[[#This Row],[Year]],RANDBETWEEN(1,12),1)</f>
        <v>36923</v>
      </c>
    </row>
    <row r="1395" spans="1:24" x14ac:dyDescent="0.25">
      <c r="A1395" t="s">
        <v>471</v>
      </c>
      <c r="B1395">
        <v>2000</v>
      </c>
      <c r="C1395" t="s">
        <v>382</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c r="X1395" s="19">
        <f ca="1">DATE(LifeExpectancyData[[#This Row],[Year]],RANDBETWEEN(1,12),1)</f>
        <v>36770</v>
      </c>
    </row>
    <row r="1396" spans="1:24" x14ac:dyDescent="0.25">
      <c r="A1396" t="s">
        <v>472</v>
      </c>
      <c r="B1396">
        <v>2015</v>
      </c>
      <c r="C1396" t="s">
        <v>382</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c r="X1396" s="19">
        <f ca="1">DATE(LifeExpectancyData[[#This Row],[Year]],RANDBETWEEN(1,12),1)</f>
        <v>42036</v>
      </c>
    </row>
    <row r="1397" spans="1:24" x14ac:dyDescent="0.25">
      <c r="A1397" t="s">
        <v>472</v>
      </c>
      <c r="B1397">
        <v>2014</v>
      </c>
      <c r="C1397" t="s">
        <v>382</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c r="X1397" s="19">
        <f ca="1">DATE(LifeExpectancyData[[#This Row],[Year]],RANDBETWEEN(1,12),1)</f>
        <v>41791</v>
      </c>
    </row>
    <row r="1398" spans="1:24" x14ac:dyDescent="0.25">
      <c r="A1398" t="s">
        <v>472</v>
      </c>
      <c r="B1398">
        <v>2013</v>
      </c>
      <c r="C1398" t="s">
        <v>382</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c r="X1398" s="19">
        <f ca="1">DATE(LifeExpectancyData[[#This Row],[Year]],RANDBETWEEN(1,12),1)</f>
        <v>41609</v>
      </c>
    </row>
    <row r="1399" spans="1:24" x14ac:dyDescent="0.25">
      <c r="A1399" t="s">
        <v>472</v>
      </c>
      <c r="B1399">
        <v>2012</v>
      </c>
      <c r="C1399" t="s">
        <v>382</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c r="X1399" s="19">
        <f ca="1">DATE(LifeExpectancyData[[#This Row],[Year]],RANDBETWEEN(1,12),1)</f>
        <v>40969</v>
      </c>
    </row>
    <row r="1400" spans="1:24" x14ac:dyDescent="0.25">
      <c r="A1400" t="s">
        <v>472</v>
      </c>
      <c r="B1400">
        <v>2011</v>
      </c>
      <c r="C1400" t="s">
        <v>382</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c r="X1400" s="19">
        <f ca="1">DATE(LifeExpectancyData[[#This Row],[Year]],RANDBETWEEN(1,12),1)</f>
        <v>40848</v>
      </c>
    </row>
    <row r="1401" spans="1:24" x14ac:dyDescent="0.25">
      <c r="A1401" t="s">
        <v>472</v>
      </c>
      <c r="B1401">
        <v>2010</v>
      </c>
      <c r="C1401" t="s">
        <v>382</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c r="X1401" s="19">
        <f ca="1">DATE(LifeExpectancyData[[#This Row],[Year]],RANDBETWEEN(1,12),1)</f>
        <v>40299</v>
      </c>
    </row>
    <row r="1402" spans="1:24" x14ac:dyDescent="0.25">
      <c r="A1402" t="s">
        <v>472</v>
      </c>
      <c r="B1402">
        <v>2009</v>
      </c>
      <c r="C1402" t="s">
        <v>382</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c r="X1402" s="19">
        <f ca="1">DATE(LifeExpectancyData[[#This Row],[Year]],RANDBETWEEN(1,12),1)</f>
        <v>40057</v>
      </c>
    </row>
    <row r="1403" spans="1:24" x14ac:dyDescent="0.25">
      <c r="A1403" t="s">
        <v>472</v>
      </c>
      <c r="B1403">
        <v>2008</v>
      </c>
      <c r="C1403" t="s">
        <v>382</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c r="X1403" s="19">
        <f ca="1">DATE(LifeExpectancyData[[#This Row],[Year]],RANDBETWEEN(1,12),1)</f>
        <v>39783</v>
      </c>
    </row>
    <row r="1404" spans="1:24" x14ac:dyDescent="0.25">
      <c r="A1404" t="s">
        <v>472</v>
      </c>
      <c r="B1404">
        <v>2007</v>
      </c>
      <c r="C1404" t="s">
        <v>382</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c r="X1404" s="19">
        <f ca="1">DATE(LifeExpectancyData[[#This Row],[Year]],RANDBETWEEN(1,12),1)</f>
        <v>39114</v>
      </c>
    </row>
    <row r="1405" spans="1:24" x14ac:dyDescent="0.25">
      <c r="A1405" t="s">
        <v>472</v>
      </c>
      <c r="B1405">
        <v>2006</v>
      </c>
      <c r="C1405" t="s">
        <v>382</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c r="X1405" s="19">
        <f ca="1">DATE(LifeExpectancyData[[#This Row],[Year]],RANDBETWEEN(1,12),1)</f>
        <v>38869</v>
      </c>
    </row>
    <row r="1406" spans="1:24" x14ac:dyDescent="0.25">
      <c r="A1406" t="s">
        <v>472</v>
      </c>
      <c r="B1406">
        <v>2005</v>
      </c>
      <c r="C1406" t="s">
        <v>382</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c r="X1406" s="19">
        <f ca="1">DATE(LifeExpectancyData[[#This Row],[Year]],RANDBETWEEN(1,12),1)</f>
        <v>38443</v>
      </c>
    </row>
    <row r="1407" spans="1:24" x14ac:dyDescent="0.25">
      <c r="A1407" t="s">
        <v>472</v>
      </c>
      <c r="B1407">
        <v>2004</v>
      </c>
      <c r="C1407" t="s">
        <v>382</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c r="X1407" s="19">
        <f ca="1">DATE(LifeExpectancyData[[#This Row],[Year]],RANDBETWEEN(1,12),1)</f>
        <v>38047</v>
      </c>
    </row>
    <row r="1408" spans="1:24" x14ac:dyDescent="0.25">
      <c r="A1408" t="s">
        <v>472</v>
      </c>
      <c r="B1408">
        <v>2003</v>
      </c>
      <c r="C1408" t="s">
        <v>382</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c r="X1408" s="19">
        <f ca="1">DATE(LifeExpectancyData[[#This Row],[Year]],RANDBETWEEN(1,12),1)</f>
        <v>37895</v>
      </c>
    </row>
    <row r="1409" spans="1:24" x14ac:dyDescent="0.25">
      <c r="A1409" t="s">
        <v>472</v>
      </c>
      <c r="B1409">
        <v>2002</v>
      </c>
      <c r="C1409" t="s">
        <v>382</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c r="X1409" s="19">
        <f ca="1">DATE(LifeExpectancyData[[#This Row],[Year]],RANDBETWEEN(1,12),1)</f>
        <v>37408</v>
      </c>
    </row>
    <row r="1410" spans="1:24" x14ac:dyDescent="0.25">
      <c r="A1410" t="s">
        <v>472</v>
      </c>
      <c r="B1410">
        <v>2001</v>
      </c>
      <c r="C1410" t="s">
        <v>382</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c r="X1410" s="19">
        <f ca="1">DATE(LifeExpectancyData[[#This Row],[Year]],RANDBETWEEN(1,12),1)</f>
        <v>37073</v>
      </c>
    </row>
    <row r="1411" spans="1:24" x14ac:dyDescent="0.25">
      <c r="A1411" t="s">
        <v>472</v>
      </c>
      <c r="B1411">
        <v>2000</v>
      </c>
      <c r="C1411" t="s">
        <v>382</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c r="X1411" s="19">
        <f ca="1">DATE(LifeExpectancyData[[#This Row],[Year]],RANDBETWEEN(1,12),1)</f>
        <v>36800</v>
      </c>
    </row>
    <row r="1412" spans="1:24" x14ac:dyDescent="0.25">
      <c r="A1412" t="s">
        <v>473</v>
      </c>
      <c r="B1412">
        <v>2015</v>
      </c>
      <c r="C1412" t="s">
        <v>382</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c r="X1412" s="19">
        <f ca="1">DATE(LifeExpectancyData[[#This Row],[Year]],RANDBETWEEN(1,12),1)</f>
        <v>42278</v>
      </c>
    </row>
    <row r="1413" spans="1:24" x14ac:dyDescent="0.25">
      <c r="A1413" t="s">
        <v>473</v>
      </c>
      <c r="B1413">
        <v>2014</v>
      </c>
      <c r="C1413" t="s">
        <v>382</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c r="X1413" s="19">
        <f ca="1">DATE(LifeExpectancyData[[#This Row],[Year]],RANDBETWEEN(1,12),1)</f>
        <v>41974</v>
      </c>
    </row>
    <row r="1414" spans="1:24" x14ac:dyDescent="0.25">
      <c r="A1414" t="s">
        <v>473</v>
      </c>
      <c r="B1414">
        <v>2013</v>
      </c>
      <c r="C1414" t="s">
        <v>382</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c r="X1414" s="19">
        <f ca="1">DATE(LifeExpectancyData[[#This Row],[Year]],RANDBETWEEN(1,12),1)</f>
        <v>41275</v>
      </c>
    </row>
    <row r="1415" spans="1:24" x14ac:dyDescent="0.25">
      <c r="A1415" t="s">
        <v>473</v>
      </c>
      <c r="B1415">
        <v>2012</v>
      </c>
      <c r="C1415" t="s">
        <v>382</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c r="X1415" s="19">
        <f ca="1">DATE(LifeExpectancyData[[#This Row],[Year]],RANDBETWEEN(1,12),1)</f>
        <v>41122</v>
      </c>
    </row>
    <row r="1416" spans="1:24" x14ac:dyDescent="0.25">
      <c r="A1416" t="s">
        <v>473</v>
      </c>
      <c r="B1416">
        <v>2011</v>
      </c>
      <c r="C1416" t="s">
        <v>382</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c r="X1416" s="19">
        <f ca="1">DATE(LifeExpectancyData[[#This Row],[Year]],RANDBETWEEN(1,12),1)</f>
        <v>40756</v>
      </c>
    </row>
    <row r="1417" spans="1:24" x14ac:dyDescent="0.25">
      <c r="A1417" t="s">
        <v>473</v>
      </c>
      <c r="B1417">
        <v>2010</v>
      </c>
      <c r="C1417" t="s">
        <v>382</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c r="X1417" s="19">
        <f ca="1">DATE(LifeExpectancyData[[#This Row],[Year]],RANDBETWEEN(1,12),1)</f>
        <v>40330</v>
      </c>
    </row>
    <row r="1418" spans="1:24" x14ac:dyDescent="0.25">
      <c r="A1418" t="s">
        <v>473</v>
      </c>
      <c r="B1418">
        <v>2009</v>
      </c>
      <c r="C1418" t="s">
        <v>382</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c r="X1418" s="19">
        <f ca="1">DATE(LifeExpectancyData[[#This Row],[Year]],RANDBETWEEN(1,12),1)</f>
        <v>39845</v>
      </c>
    </row>
    <row r="1419" spans="1:24" x14ac:dyDescent="0.25">
      <c r="A1419" t="s">
        <v>473</v>
      </c>
      <c r="B1419">
        <v>2008</v>
      </c>
      <c r="C1419" t="s">
        <v>382</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c r="X1419" s="19">
        <f ca="1">DATE(LifeExpectancyData[[#This Row],[Year]],RANDBETWEEN(1,12),1)</f>
        <v>39692</v>
      </c>
    </row>
    <row r="1420" spans="1:24" x14ac:dyDescent="0.25">
      <c r="A1420" t="s">
        <v>473</v>
      </c>
      <c r="B1420">
        <v>2007</v>
      </c>
      <c r="C1420" t="s">
        <v>382</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c r="X1420" s="19">
        <f ca="1">DATE(LifeExpectancyData[[#This Row],[Year]],RANDBETWEEN(1,12),1)</f>
        <v>39264</v>
      </c>
    </row>
    <row r="1421" spans="1:24" x14ac:dyDescent="0.25">
      <c r="A1421" t="s">
        <v>473</v>
      </c>
      <c r="B1421">
        <v>2006</v>
      </c>
      <c r="C1421" t="s">
        <v>382</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c r="X1421" s="19">
        <f ca="1">DATE(LifeExpectancyData[[#This Row],[Year]],RANDBETWEEN(1,12),1)</f>
        <v>38961</v>
      </c>
    </row>
    <row r="1422" spans="1:24" x14ac:dyDescent="0.25">
      <c r="A1422" t="s">
        <v>473</v>
      </c>
      <c r="B1422">
        <v>2005</v>
      </c>
      <c r="C1422" t="s">
        <v>382</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c r="X1422" s="19">
        <f ca="1">DATE(LifeExpectancyData[[#This Row],[Year]],RANDBETWEEN(1,12),1)</f>
        <v>38596</v>
      </c>
    </row>
    <row r="1423" spans="1:24" x14ac:dyDescent="0.25">
      <c r="A1423" t="s">
        <v>473</v>
      </c>
      <c r="B1423">
        <v>2004</v>
      </c>
      <c r="C1423" t="s">
        <v>382</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c r="X1423" s="19">
        <f ca="1">DATE(LifeExpectancyData[[#This Row],[Year]],RANDBETWEEN(1,12),1)</f>
        <v>38322</v>
      </c>
    </row>
    <row r="1424" spans="1:24" x14ac:dyDescent="0.25">
      <c r="A1424" t="s">
        <v>473</v>
      </c>
      <c r="B1424">
        <v>2003</v>
      </c>
      <c r="C1424" t="s">
        <v>382</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c r="X1424" s="19">
        <f ca="1">DATE(LifeExpectancyData[[#This Row],[Year]],RANDBETWEEN(1,12),1)</f>
        <v>37956</v>
      </c>
    </row>
    <row r="1425" spans="1:24" x14ac:dyDescent="0.25">
      <c r="A1425" t="s">
        <v>473</v>
      </c>
      <c r="B1425">
        <v>2002</v>
      </c>
      <c r="C1425" t="s">
        <v>382</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c r="X1425" s="19">
        <f ca="1">DATE(LifeExpectancyData[[#This Row],[Year]],RANDBETWEEN(1,12),1)</f>
        <v>37438</v>
      </c>
    </row>
    <row r="1426" spans="1:24" x14ac:dyDescent="0.25">
      <c r="A1426" t="s">
        <v>473</v>
      </c>
      <c r="B1426">
        <v>2001</v>
      </c>
      <c r="C1426" t="s">
        <v>382</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c r="X1426" s="19">
        <f ca="1">DATE(LifeExpectancyData[[#This Row],[Year]],RANDBETWEEN(1,12),1)</f>
        <v>37012</v>
      </c>
    </row>
    <row r="1427" spans="1:24" x14ac:dyDescent="0.25">
      <c r="A1427" t="s">
        <v>473</v>
      </c>
      <c r="B1427">
        <v>2000</v>
      </c>
      <c r="C1427" t="s">
        <v>382</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c r="X1427" s="19">
        <f ca="1">DATE(LifeExpectancyData[[#This Row],[Year]],RANDBETWEEN(1,12),1)</f>
        <v>36770</v>
      </c>
    </row>
    <row r="1428" spans="1:24" x14ac:dyDescent="0.25">
      <c r="A1428" t="s">
        <v>474</v>
      </c>
      <c r="B1428">
        <v>2015</v>
      </c>
      <c r="C1428" t="s">
        <v>382</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c r="X1428" s="19">
        <f ca="1">DATE(LifeExpectancyData[[#This Row],[Year]],RANDBETWEEN(1,12),1)</f>
        <v>42036</v>
      </c>
    </row>
    <row r="1429" spans="1:24" x14ac:dyDescent="0.25">
      <c r="A1429" t="s">
        <v>474</v>
      </c>
      <c r="B1429">
        <v>2014</v>
      </c>
      <c r="C1429" t="s">
        <v>382</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c r="X1429" s="19">
        <f ca="1">DATE(LifeExpectancyData[[#This Row],[Year]],RANDBETWEEN(1,12),1)</f>
        <v>41760</v>
      </c>
    </row>
    <row r="1430" spans="1:24" x14ac:dyDescent="0.25">
      <c r="A1430" t="s">
        <v>474</v>
      </c>
      <c r="B1430">
        <v>2013</v>
      </c>
      <c r="C1430" t="s">
        <v>382</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c r="X1430" s="19">
        <f ca="1">DATE(LifeExpectancyData[[#This Row],[Year]],RANDBETWEEN(1,12),1)</f>
        <v>41306</v>
      </c>
    </row>
    <row r="1431" spans="1:24" x14ac:dyDescent="0.25">
      <c r="A1431" t="s">
        <v>474</v>
      </c>
      <c r="B1431">
        <v>2012</v>
      </c>
      <c r="C1431" t="s">
        <v>382</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c r="X1431" s="19">
        <f ca="1">DATE(LifeExpectancyData[[#This Row],[Year]],RANDBETWEEN(1,12),1)</f>
        <v>41122</v>
      </c>
    </row>
    <row r="1432" spans="1:24" x14ac:dyDescent="0.25">
      <c r="A1432" t="s">
        <v>474</v>
      </c>
      <c r="B1432">
        <v>2011</v>
      </c>
      <c r="C1432" t="s">
        <v>382</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c r="X1432" s="19">
        <f ca="1">DATE(LifeExpectancyData[[#This Row],[Year]],RANDBETWEEN(1,12),1)</f>
        <v>40544</v>
      </c>
    </row>
    <row r="1433" spans="1:24" x14ac:dyDescent="0.25">
      <c r="A1433" t="s">
        <v>474</v>
      </c>
      <c r="B1433">
        <v>2010</v>
      </c>
      <c r="C1433" t="s">
        <v>382</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c r="X1433" s="19">
        <f ca="1">DATE(LifeExpectancyData[[#This Row],[Year]],RANDBETWEEN(1,12),1)</f>
        <v>40452</v>
      </c>
    </row>
    <row r="1434" spans="1:24" x14ac:dyDescent="0.25">
      <c r="A1434" t="s">
        <v>474</v>
      </c>
      <c r="B1434">
        <v>2009</v>
      </c>
      <c r="C1434" t="s">
        <v>382</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c r="X1434" s="19">
        <f ca="1">DATE(LifeExpectancyData[[#This Row],[Year]],RANDBETWEEN(1,12),1)</f>
        <v>39904</v>
      </c>
    </row>
    <row r="1435" spans="1:24" x14ac:dyDescent="0.25">
      <c r="A1435" t="s">
        <v>474</v>
      </c>
      <c r="B1435">
        <v>2008</v>
      </c>
      <c r="C1435" t="s">
        <v>382</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c r="X1435" s="19">
        <f ca="1">DATE(LifeExpectancyData[[#This Row],[Year]],RANDBETWEEN(1,12),1)</f>
        <v>39569</v>
      </c>
    </row>
    <row r="1436" spans="1:24" x14ac:dyDescent="0.25">
      <c r="A1436" t="s">
        <v>474</v>
      </c>
      <c r="B1436">
        <v>2007</v>
      </c>
      <c r="C1436" t="s">
        <v>382</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c r="X1436" s="19">
        <f ca="1">DATE(LifeExpectancyData[[#This Row],[Year]],RANDBETWEEN(1,12),1)</f>
        <v>39234</v>
      </c>
    </row>
    <row r="1437" spans="1:24" x14ac:dyDescent="0.25">
      <c r="A1437" t="s">
        <v>474</v>
      </c>
      <c r="B1437">
        <v>2006</v>
      </c>
      <c r="C1437" t="s">
        <v>382</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c r="X1437" s="19">
        <f ca="1">DATE(LifeExpectancyData[[#This Row],[Year]],RANDBETWEEN(1,12),1)</f>
        <v>39022</v>
      </c>
    </row>
    <row r="1438" spans="1:24" x14ac:dyDescent="0.25">
      <c r="A1438" t="s">
        <v>474</v>
      </c>
      <c r="B1438">
        <v>2005</v>
      </c>
      <c r="C1438" t="s">
        <v>382</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c r="X1438" s="19">
        <f ca="1">DATE(LifeExpectancyData[[#This Row],[Year]],RANDBETWEEN(1,12),1)</f>
        <v>38353</v>
      </c>
    </row>
    <row r="1439" spans="1:24" x14ac:dyDescent="0.25">
      <c r="A1439" t="s">
        <v>474</v>
      </c>
      <c r="B1439">
        <v>2004</v>
      </c>
      <c r="C1439" t="s">
        <v>382</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c r="X1439" s="19">
        <f ca="1">DATE(LifeExpectancyData[[#This Row],[Year]],RANDBETWEEN(1,12),1)</f>
        <v>38047</v>
      </c>
    </row>
    <row r="1440" spans="1:24" x14ac:dyDescent="0.25">
      <c r="A1440" t="s">
        <v>474</v>
      </c>
      <c r="B1440">
        <v>2003</v>
      </c>
      <c r="C1440" t="s">
        <v>382</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c r="X1440" s="19">
        <f ca="1">DATE(LifeExpectancyData[[#This Row],[Year]],RANDBETWEEN(1,12),1)</f>
        <v>37653</v>
      </c>
    </row>
    <row r="1441" spans="1:24" x14ac:dyDescent="0.25">
      <c r="A1441" t="s">
        <v>474</v>
      </c>
      <c r="B1441">
        <v>2002</v>
      </c>
      <c r="C1441" t="s">
        <v>382</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c r="X1441" s="19">
        <f ca="1">DATE(LifeExpectancyData[[#This Row],[Year]],RANDBETWEEN(1,12),1)</f>
        <v>37500</v>
      </c>
    </row>
    <row r="1442" spans="1:24" x14ac:dyDescent="0.25">
      <c r="A1442" t="s">
        <v>474</v>
      </c>
      <c r="B1442">
        <v>2001</v>
      </c>
      <c r="C1442" t="s">
        <v>382</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c r="X1442" s="19">
        <f ca="1">DATE(LifeExpectancyData[[#This Row],[Year]],RANDBETWEEN(1,12),1)</f>
        <v>37012</v>
      </c>
    </row>
    <row r="1443" spans="1:24" x14ac:dyDescent="0.25">
      <c r="A1443" t="s">
        <v>474</v>
      </c>
      <c r="B1443">
        <v>2000</v>
      </c>
      <c r="C1443" t="s">
        <v>382</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c r="X1443" s="19">
        <f ca="1">DATE(LifeExpectancyData[[#This Row],[Year]],RANDBETWEEN(1,12),1)</f>
        <v>36861</v>
      </c>
    </row>
    <row r="1444" spans="1:24" x14ac:dyDescent="0.25">
      <c r="A1444" t="s">
        <v>475</v>
      </c>
      <c r="B1444">
        <v>2015</v>
      </c>
      <c r="C1444" t="s">
        <v>390</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c r="X1444" s="19">
        <f ca="1">DATE(LifeExpectancyData[[#This Row],[Year]],RANDBETWEEN(1,12),1)</f>
        <v>42125</v>
      </c>
    </row>
    <row r="1445" spans="1:24" x14ac:dyDescent="0.25">
      <c r="A1445" t="s">
        <v>475</v>
      </c>
      <c r="B1445">
        <v>2014</v>
      </c>
      <c r="C1445" t="s">
        <v>390</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c r="X1445" s="19">
        <f ca="1">DATE(LifeExpectancyData[[#This Row],[Year]],RANDBETWEEN(1,12),1)</f>
        <v>41730</v>
      </c>
    </row>
    <row r="1446" spans="1:24" x14ac:dyDescent="0.25">
      <c r="A1446" t="s">
        <v>475</v>
      </c>
      <c r="B1446">
        <v>2013</v>
      </c>
      <c r="C1446" t="s">
        <v>390</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c r="X1446" s="19">
        <f ca="1">DATE(LifeExpectancyData[[#This Row],[Year]],RANDBETWEEN(1,12),1)</f>
        <v>41275</v>
      </c>
    </row>
    <row r="1447" spans="1:24" x14ac:dyDescent="0.25">
      <c r="A1447" t="s">
        <v>475</v>
      </c>
      <c r="B1447">
        <v>2012</v>
      </c>
      <c r="C1447" t="s">
        <v>390</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c r="X1447" s="19">
        <f ca="1">DATE(LifeExpectancyData[[#This Row],[Year]],RANDBETWEEN(1,12),1)</f>
        <v>41214</v>
      </c>
    </row>
    <row r="1448" spans="1:24" x14ac:dyDescent="0.25">
      <c r="A1448" t="s">
        <v>475</v>
      </c>
      <c r="B1448">
        <v>2011</v>
      </c>
      <c r="C1448" t="s">
        <v>390</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c r="X1448" s="19">
        <f ca="1">DATE(LifeExpectancyData[[#This Row],[Year]],RANDBETWEEN(1,12),1)</f>
        <v>40544</v>
      </c>
    </row>
    <row r="1449" spans="1:24" x14ac:dyDescent="0.25">
      <c r="A1449" t="s">
        <v>475</v>
      </c>
      <c r="B1449">
        <v>2010</v>
      </c>
      <c r="C1449" t="s">
        <v>390</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c r="X1449" s="19">
        <f ca="1">DATE(LifeExpectancyData[[#This Row],[Year]],RANDBETWEEN(1,12),1)</f>
        <v>40330</v>
      </c>
    </row>
    <row r="1450" spans="1:24" x14ac:dyDescent="0.25">
      <c r="A1450" t="s">
        <v>475</v>
      </c>
      <c r="B1450">
        <v>2009</v>
      </c>
      <c r="C1450" t="s">
        <v>390</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c r="X1450" s="19">
        <f ca="1">DATE(LifeExpectancyData[[#This Row],[Year]],RANDBETWEEN(1,12),1)</f>
        <v>39995</v>
      </c>
    </row>
    <row r="1451" spans="1:24" x14ac:dyDescent="0.25">
      <c r="A1451" t="s">
        <v>475</v>
      </c>
      <c r="B1451">
        <v>2008</v>
      </c>
      <c r="C1451" t="s">
        <v>390</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c r="X1451" s="19">
        <f ca="1">DATE(LifeExpectancyData[[#This Row],[Year]],RANDBETWEEN(1,12),1)</f>
        <v>39539</v>
      </c>
    </row>
    <row r="1452" spans="1:24" x14ac:dyDescent="0.25">
      <c r="A1452" t="s">
        <v>475</v>
      </c>
      <c r="B1452">
        <v>2007</v>
      </c>
      <c r="C1452" t="s">
        <v>390</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c r="X1452" s="19">
        <f ca="1">DATE(LifeExpectancyData[[#This Row],[Year]],RANDBETWEEN(1,12),1)</f>
        <v>39356</v>
      </c>
    </row>
    <row r="1453" spans="1:24" x14ac:dyDescent="0.25">
      <c r="A1453" t="s">
        <v>475</v>
      </c>
      <c r="B1453">
        <v>2006</v>
      </c>
      <c r="C1453" t="s">
        <v>390</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c r="X1453" s="19">
        <f ca="1">DATE(LifeExpectancyData[[#This Row],[Year]],RANDBETWEEN(1,12),1)</f>
        <v>38777</v>
      </c>
    </row>
    <row r="1454" spans="1:24" x14ac:dyDescent="0.25">
      <c r="A1454" t="s">
        <v>475</v>
      </c>
      <c r="B1454">
        <v>2005</v>
      </c>
      <c r="C1454" t="s">
        <v>390</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c r="X1454" s="19">
        <f ca="1">DATE(LifeExpectancyData[[#This Row],[Year]],RANDBETWEEN(1,12),1)</f>
        <v>38384</v>
      </c>
    </row>
    <row r="1455" spans="1:24" x14ac:dyDescent="0.25">
      <c r="A1455" t="s">
        <v>475</v>
      </c>
      <c r="B1455">
        <v>2004</v>
      </c>
      <c r="C1455" t="s">
        <v>390</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c r="X1455" s="19">
        <f ca="1">DATE(LifeExpectancyData[[#This Row],[Year]],RANDBETWEEN(1,12),1)</f>
        <v>38018</v>
      </c>
    </row>
    <row r="1456" spans="1:24" x14ac:dyDescent="0.25">
      <c r="A1456" t="s">
        <v>475</v>
      </c>
      <c r="B1456">
        <v>2003</v>
      </c>
      <c r="C1456" t="s">
        <v>390</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c r="X1456" s="19">
        <f ca="1">DATE(LifeExpectancyData[[#This Row],[Year]],RANDBETWEEN(1,12),1)</f>
        <v>37834</v>
      </c>
    </row>
    <row r="1457" spans="1:24" x14ac:dyDescent="0.25">
      <c r="A1457" t="s">
        <v>475</v>
      </c>
      <c r="B1457">
        <v>2002</v>
      </c>
      <c r="C1457" t="s">
        <v>390</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c r="X1457" s="19">
        <f ca="1">DATE(LifeExpectancyData[[#This Row],[Year]],RANDBETWEEN(1,12),1)</f>
        <v>37257</v>
      </c>
    </row>
    <row r="1458" spans="1:24" x14ac:dyDescent="0.25">
      <c r="A1458" t="s">
        <v>475</v>
      </c>
      <c r="B1458">
        <v>2001</v>
      </c>
      <c r="C1458" t="s">
        <v>390</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c r="X1458" s="19">
        <f ca="1">DATE(LifeExpectancyData[[#This Row],[Year]],RANDBETWEEN(1,12),1)</f>
        <v>37165</v>
      </c>
    </row>
    <row r="1459" spans="1:24" x14ac:dyDescent="0.25">
      <c r="A1459" t="s">
        <v>475</v>
      </c>
      <c r="B1459">
        <v>2000</v>
      </c>
      <c r="C1459" t="s">
        <v>390</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c r="X1459" s="19">
        <f ca="1">DATE(LifeExpectancyData[[#This Row],[Year]],RANDBETWEEN(1,12),1)</f>
        <v>36861</v>
      </c>
    </row>
    <row r="1460" spans="1:24" x14ac:dyDescent="0.25">
      <c r="A1460" t="s">
        <v>476</v>
      </c>
      <c r="B1460">
        <v>2015</v>
      </c>
      <c r="C1460" t="s">
        <v>382</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c r="X1460" s="19">
        <f ca="1">DATE(LifeExpectancyData[[#This Row],[Year]],RANDBETWEEN(1,12),1)</f>
        <v>42309</v>
      </c>
    </row>
    <row r="1461" spans="1:24" x14ac:dyDescent="0.25">
      <c r="A1461" t="s">
        <v>476</v>
      </c>
      <c r="B1461">
        <v>2014</v>
      </c>
      <c r="C1461" t="s">
        <v>382</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c r="X1461" s="19">
        <f ca="1">DATE(LifeExpectancyData[[#This Row],[Year]],RANDBETWEEN(1,12),1)</f>
        <v>41821</v>
      </c>
    </row>
    <row r="1462" spans="1:24" x14ac:dyDescent="0.25">
      <c r="A1462" t="s">
        <v>476</v>
      </c>
      <c r="B1462">
        <v>2013</v>
      </c>
      <c r="C1462" t="s">
        <v>382</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c r="X1462" s="19">
        <f ca="1">DATE(LifeExpectancyData[[#This Row],[Year]],RANDBETWEEN(1,12),1)</f>
        <v>41518</v>
      </c>
    </row>
    <row r="1463" spans="1:24" x14ac:dyDescent="0.25">
      <c r="A1463" t="s">
        <v>476</v>
      </c>
      <c r="B1463">
        <v>2012</v>
      </c>
      <c r="C1463" t="s">
        <v>382</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c r="X1463" s="19">
        <f ca="1">DATE(LifeExpectancyData[[#This Row],[Year]],RANDBETWEEN(1,12),1)</f>
        <v>41122</v>
      </c>
    </row>
    <row r="1464" spans="1:24" x14ac:dyDescent="0.25">
      <c r="A1464" t="s">
        <v>476</v>
      </c>
      <c r="B1464">
        <v>2011</v>
      </c>
      <c r="C1464" t="s">
        <v>382</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c r="X1464" s="19">
        <f ca="1">DATE(LifeExpectancyData[[#This Row],[Year]],RANDBETWEEN(1,12),1)</f>
        <v>40848</v>
      </c>
    </row>
    <row r="1465" spans="1:24" x14ac:dyDescent="0.25">
      <c r="A1465" t="s">
        <v>476</v>
      </c>
      <c r="B1465">
        <v>2010</v>
      </c>
      <c r="C1465" t="s">
        <v>382</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c r="X1465" s="19">
        <f ca="1">DATE(LifeExpectancyData[[#This Row],[Year]],RANDBETWEEN(1,12),1)</f>
        <v>40269</v>
      </c>
    </row>
    <row r="1466" spans="1:24" x14ac:dyDescent="0.25">
      <c r="A1466" t="s">
        <v>476</v>
      </c>
      <c r="B1466">
        <v>2009</v>
      </c>
      <c r="C1466" t="s">
        <v>382</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c r="X1466" s="19">
        <f ca="1">DATE(LifeExpectancyData[[#This Row],[Year]],RANDBETWEEN(1,12),1)</f>
        <v>39934</v>
      </c>
    </row>
    <row r="1467" spans="1:24" x14ac:dyDescent="0.25">
      <c r="A1467" t="s">
        <v>476</v>
      </c>
      <c r="B1467">
        <v>2008</v>
      </c>
      <c r="C1467" t="s">
        <v>382</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c r="X1467" s="19">
        <f ca="1">DATE(LifeExpectancyData[[#This Row],[Year]],RANDBETWEEN(1,12),1)</f>
        <v>39508</v>
      </c>
    </row>
    <row r="1468" spans="1:24" x14ac:dyDescent="0.25">
      <c r="A1468" t="s">
        <v>476</v>
      </c>
      <c r="B1468">
        <v>2007</v>
      </c>
      <c r="C1468" t="s">
        <v>382</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c r="X1468" s="19">
        <f ca="1">DATE(LifeExpectancyData[[#This Row],[Year]],RANDBETWEEN(1,12),1)</f>
        <v>39173</v>
      </c>
    </row>
    <row r="1469" spans="1:24" x14ac:dyDescent="0.25">
      <c r="A1469" t="s">
        <v>476</v>
      </c>
      <c r="B1469">
        <v>2006</v>
      </c>
      <c r="C1469" t="s">
        <v>382</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c r="X1469" s="19">
        <f ca="1">DATE(LifeExpectancyData[[#This Row],[Year]],RANDBETWEEN(1,12),1)</f>
        <v>38777</v>
      </c>
    </row>
    <row r="1470" spans="1:24" x14ac:dyDescent="0.25">
      <c r="A1470" t="s">
        <v>476</v>
      </c>
      <c r="B1470">
        <v>2005</v>
      </c>
      <c r="C1470" t="s">
        <v>382</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c r="X1470" s="19">
        <f ca="1">DATE(LifeExpectancyData[[#This Row],[Year]],RANDBETWEEN(1,12),1)</f>
        <v>38657</v>
      </c>
    </row>
    <row r="1471" spans="1:24" x14ac:dyDescent="0.25">
      <c r="A1471" t="s">
        <v>476</v>
      </c>
      <c r="B1471">
        <v>2004</v>
      </c>
      <c r="C1471" t="s">
        <v>382</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c r="X1471" s="19">
        <f ca="1">DATE(LifeExpectancyData[[#This Row],[Year]],RANDBETWEEN(1,12),1)</f>
        <v>38108</v>
      </c>
    </row>
    <row r="1472" spans="1:24" x14ac:dyDescent="0.25">
      <c r="A1472" t="s">
        <v>476</v>
      </c>
      <c r="B1472">
        <v>2003</v>
      </c>
      <c r="C1472" t="s">
        <v>382</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c r="X1472" s="19">
        <f ca="1">DATE(LifeExpectancyData[[#This Row],[Year]],RANDBETWEEN(1,12),1)</f>
        <v>37712</v>
      </c>
    </row>
    <row r="1473" spans="1:24" x14ac:dyDescent="0.25">
      <c r="A1473" t="s">
        <v>476</v>
      </c>
      <c r="B1473">
        <v>2002</v>
      </c>
      <c r="C1473" t="s">
        <v>382</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c r="X1473" s="19">
        <f ca="1">DATE(LifeExpectancyData[[#This Row],[Year]],RANDBETWEEN(1,12),1)</f>
        <v>37530</v>
      </c>
    </row>
    <row r="1474" spans="1:24" x14ac:dyDescent="0.25">
      <c r="A1474" t="s">
        <v>476</v>
      </c>
      <c r="B1474">
        <v>2001</v>
      </c>
      <c r="C1474" t="s">
        <v>382</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c r="X1474" s="19">
        <f ca="1">DATE(LifeExpectancyData[[#This Row],[Year]],RANDBETWEEN(1,12),1)</f>
        <v>37135</v>
      </c>
    </row>
    <row r="1475" spans="1:24" x14ac:dyDescent="0.25">
      <c r="A1475" t="s">
        <v>476</v>
      </c>
      <c r="B1475">
        <v>2000</v>
      </c>
      <c r="C1475" t="s">
        <v>382</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c r="X1475" s="19">
        <f ca="1">DATE(LifeExpectancyData[[#This Row],[Year]],RANDBETWEEN(1,12),1)</f>
        <v>36557</v>
      </c>
    </row>
    <row r="1476" spans="1:24" x14ac:dyDescent="0.25">
      <c r="A1476" t="s">
        <v>477</v>
      </c>
      <c r="B1476">
        <v>2015</v>
      </c>
      <c r="C1476" t="s">
        <v>382</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c r="X1476" s="19">
        <f ca="1">DATE(LifeExpectancyData[[#This Row],[Year]],RANDBETWEEN(1,12),1)</f>
        <v>42278</v>
      </c>
    </row>
    <row r="1477" spans="1:24" x14ac:dyDescent="0.25">
      <c r="A1477" t="s">
        <v>477</v>
      </c>
      <c r="B1477">
        <v>2014</v>
      </c>
      <c r="C1477" t="s">
        <v>382</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c r="X1477" s="19">
        <f ca="1">DATE(LifeExpectancyData[[#This Row],[Year]],RANDBETWEEN(1,12),1)</f>
        <v>41699</v>
      </c>
    </row>
    <row r="1478" spans="1:24" x14ac:dyDescent="0.25">
      <c r="A1478" t="s">
        <v>477</v>
      </c>
      <c r="B1478">
        <v>2013</v>
      </c>
      <c r="C1478" t="s">
        <v>382</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c r="X1478" s="19">
        <f ca="1">DATE(LifeExpectancyData[[#This Row],[Year]],RANDBETWEEN(1,12),1)</f>
        <v>41609</v>
      </c>
    </row>
    <row r="1479" spans="1:24" x14ac:dyDescent="0.25">
      <c r="A1479" t="s">
        <v>477</v>
      </c>
      <c r="B1479">
        <v>2012</v>
      </c>
      <c r="C1479" t="s">
        <v>382</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c r="X1479" s="19">
        <f ca="1">DATE(LifeExpectancyData[[#This Row],[Year]],RANDBETWEEN(1,12),1)</f>
        <v>41122</v>
      </c>
    </row>
    <row r="1480" spans="1:24" x14ac:dyDescent="0.25">
      <c r="A1480" t="s">
        <v>477</v>
      </c>
      <c r="B1480">
        <v>2011</v>
      </c>
      <c r="C1480" t="s">
        <v>382</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c r="X1480" s="19">
        <f ca="1">DATE(LifeExpectancyData[[#This Row],[Year]],RANDBETWEEN(1,12),1)</f>
        <v>40848</v>
      </c>
    </row>
    <row r="1481" spans="1:24" x14ac:dyDescent="0.25">
      <c r="A1481" t="s">
        <v>477</v>
      </c>
      <c r="B1481">
        <v>2010</v>
      </c>
      <c r="C1481" t="s">
        <v>382</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c r="X1481" s="19">
        <f ca="1">DATE(LifeExpectancyData[[#This Row],[Year]],RANDBETWEEN(1,12),1)</f>
        <v>40269</v>
      </c>
    </row>
    <row r="1482" spans="1:24" x14ac:dyDescent="0.25">
      <c r="A1482" t="s">
        <v>477</v>
      </c>
      <c r="B1482">
        <v>2009</v>
      </c>
      <c r="C1482" t="s">
        <v>382</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c r="X1482" s="19">
        <f ca="1">DATE(LifeExpectancyData[[#This Row],[Year]],RANDBETWEEN(1,12),1)</f>
        <v>40087</v>
      </c>
    </row>
    <row r="1483" spans="1:24" x14ac:dyDescent="0.25">
      <c r="A1483" t="s">
        <v>477</v>
      </c>
      <c r="B1483">
        <v>2008</v>
      </c>
      <c r="C1483" t="s">
        <v>382</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c r="X1483" s="19">
        <f ca="1">DATE(LifeExpectancyData[[#This Row],[Year]],RANDBETWEEN(1,12),1)</f>
        <v>39753</v>
      </c>
    </row>
    <row r="1484" spans="1:24" x14ac:dyDescent="0.25">
      <c r="A1484" t="s">
        <v>477</v>
      </c>
      <c r="B1484">
        <v>2007</v>
      </c>
      <c r="C1484" t="s">
        <v>382</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c r="X1484" s="19">
        <f ca="1">DATE(LifeExpectancyData[[#This Row],[Year]],RANDBETWEEN(1,12),1)</f>
        <v>39114</v>
      </c>
    </row>
    <row r="1485" spans="1:24" x14ac:dyDescent="0.25">
      <c r="A1485" t="s">
        <v>477</v>
      </c>
      <c r="B1485">
        <v>2006</v>
      </c>
      <c r="C1485" t="s">
        <v>382</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c r="X1485" s="19">
        <f ca="1">DATE(LifeExpectancyData[[#This Row],[Year]],RANDBETWEEN(1,12),1)</f>
        <v>39022</v>
      </c>
    </row>
    <row r="1486" spans="1:24" x14ac:dyDescent="0.25">
      <c r="A1486" t="s">
        <v>477</v>
      </c>
      <c r="B1486">
        <v>2005</v>
      </c>
      <c r="C1486" t="s">
        <v>382</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c r="X1486" s="19">
        <f ca="1">DATE(LifeExpectancyData[[#This Row],[Year]],RANDBETWEEN(1,12),1)</f>
        <v>38473</v>
      </c>
    </row>
    <row r="1487" spans="1:24" x14ac:dyDescent="0.25">
      <c r="A1487" t="s">
        <v>477</v>
      </c>
      <c r="B1487">
        <v>2004</v>
      </c>
      <c r="C1487" t="s">
        <v>382</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c r="X1487" s="19">
        <f ca="1">DATE(LifeExpectancyData[[#This Row],[Year]],RANDBETWEEN(1,12),1)</f>
        <v>38139</v>
      </c>
    </row>
    <row r="1488" spans="1:24" x14ac:dyDescent="0.25">
      <c r="A1488" t="s">
        <v>477</v>
      </c>
      <c r="B1488">
        <v>2003</v>
      </c>
      <c r="C1488" t="s">
        <v>382</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c r="X1488" s="19">
        <f ca="1">DATE(LifeExpectancyData[[#This Row],[Year]],RANDBETWEEN(1,12),1)</f>
        <v>37712</v>
      </c>
    </row>
    <row r="1489" spans="1:24" x14ac:dyDescent="0.25">
      <c r="A1489" t="s">
        <v>477</v>
      </c>
      <c r="B1489">
        <v>2002</v>
      </c>
      <c r="C1489" t="s">
        <v>382</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c r="X1489" s="19">
        <f ca="1">DATE(LifeExpectancyData[[#This Row],[Year]],RANDBETWEEN(1,12),1)</f>
        <v>37591</v>
      </c>
    </row>
    <row r="1490" spans="1:24" x14ac:dyDescent="0.25">
      <c r="A1490" t="s">
        <v>477</v>
      </c>
      <c r="B1490">
        <v>2001</v>
      </c>
      <c r="C1490" t="s">
        <v>382</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c r="X1490" s="19">
        <f ca="1">DATE(LifeExpectancyData[[#This Row],[Year]],RANDBETWEEN(1,12),1)</f>
        <v>37104</v>
      </c>
    </row>
    <row r="1491" spans="1:24" x14ac:dyDescent="0.25">
      <c r="A1491" t="s">
        <v>477</v>
      </c>
      <c r="B1491">
        <v>2000</v>
      </c>
      <c r="C1491" t="s">
        <v>382</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c r="X1491" s="19">
        <f ca="1">DATE(LifeExpectancyData[[#This Row],[Year]],RANDBETWEEN(1,12),1)</f>
        <v>36739</v>
      </c>
    </row>
    <row r="1492" spans="1:24" x14ac:dyDescent="0.25">
      <c r="A1492" t="s">
        <v>478</v>
      </c>
      <c r="B1492">
        <v>2015</v>
      </c>
      <c r="C1492" t="s">
        <v>382</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c r="X1492" s="19">
        <f ca="1">DATE(LifeExpectancyData[[#This Row],[Year]],RANDBETWEEN(1,12),1)</f>
        <v>42339</v>
      </c>
    </row>
    <row r="1493" spans="1:24" x14ac:dyDescent="0.25">
      <c r="A1493" t="s">
        <v>478</v>
      </c>
      <c r="B1493">
        <v>2014</v>
      </c>
      <c r="C1493" t="s">
        <v>382</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c r="X1493" s="19">
        <f ca="1">DATE(LifeExpectancyData[[#This Row],[Year]],RANDBETWEEN(1,12),1)</f>
        <v>41699</v>
      </c>
    </row>
    <row r="1494" spans="1:24" x14ac:dyDescent="0.25">
      <c r="A1494" t="s">
        <v>478</v>
      </c>
      <c r="B1494">
        <v>2013</v>
      </c>
      <c r="C1494" t="s">
        <v>382</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c r="X1494" s="19">
        <f ca="1">DATE(LifeExpectancyData[[#This Row],[Year]],RANDBETWEEN(1,12),1)</f>
        <v>41456</v>
      </c>
    </row>
    <row r="1495" spans="1:24" x14ac:dyDescent="0.25">
      <c r="A1495" t="s">
        <v>478</v>
      </c>
      <c r="B1495">
        <v>2012</v>
      </c>
      <c r="C1495" t="s">
        <v>382</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c r="X1495" s="19">
        <f ca="1">DATE(LifeExpectancyData[[#This Row],[Year]],RANDBETWEEN(1,12),1)</f>
        <v>41153</v>
      </c>
    </row>
    <row r="1496" spans="1:24" x14ac:dyDescent="0.25">
      <c r="A1496" t="s">
        <v>478</v>
      </c>
      <c r="B1496">
        <v>2011</v>
      </c>
      <c r="C1496" t="s">
        <v>382</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c r="X1496" s="19">
        <f ca="1">DATE(LifeExpectancyData[[#This Row],[Year]],RANDBETWEEN(1,12),1)</f>
        <v>40848</v>
      </c>
    </row>
    <row r="1497" spans="1:24" x14ac:dyDescent="0.25">
      <c r="A1497" t="s">
        <v>478</v>
      </c>
      <c r="B1497">
        <v>2010</v>
      </c>
      <c r="C1497" t="s">
        <v>382</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c r="X1497" s="19">
        <f ca="1">DATE(LifeExpectancyData[[#This Row],[Year]],RANDBETWEEN(1,12),1)</f>
        <v>40452</v>
      </c>
    </row>
    <row r="1498" spans="1:24" x14ac:dyDescent="0.25">
      <c r="A1498" t="s">
        <v>478</v>
      </c>
      <c r="B1498">
        <v>2009</v>
      </c>
      <c r="C1498" t="s">
        <v>382</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c r="X1498" s="19">
        <f ca="1">DATE(LifeExpectancyData[[#This Row],[Year]],RANDBETWEEN(1,12),1)</f>
        <v>40118</v>
      </c>
    </row>
    <row r="1499" spans="1:24" x14ac:dyDescent="0.25">
      <c r="A1499" t="s">
        <v>478</v>
      </c>
      <c r="B1499">
        <v>2008</v>
      </c>
      <c r="C1499" t="s">
        <v>382</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c r="X1499" s="19">
        <f ca="1">DATE(LifeExpectancyData[[#This Row],[Year]],RANDBETWEEN(1,12),1)</f>
        <v>39692</v>
      </c>
    </row>
    <row r="1500" spans="1:24" x14ac:dyDescent="0.25">
      <c r="A1500" t="s">
        <v>478</v>
      </c>
      <c r="B1500">
        <v>2007</v>
      </c>
      <c r="C1500" t="s">
        <v>382</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c r="X1500" s="19">
        <f ca="1">DATE(LifeExpectancyData[[#This Row],[Year]],RANDBETWEEN(1,12),1)</f>
        <v>39083</v>
      </c>
    </row>
    <row r="1501" spans="1:24" x14ac:dyDescent="0.25">
      <c r="A1501" t="s">
        <v>478</v>
      </c>
      <c r="B1501">
        <v>2006</v>
      </c>
      <c r="C1501" t="s">
        <v>382</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c r="X1501" s="19">
        <f ca="1">DATE(LifeExpectancyData[[#This Row],[Year]],RANDBETWEEN(1,12),1)</f>
        <v>38749</v>
      </c>
    </row>
    <row r="1502" spans="1:24" x14ac:dyDescent="0.25">
      <c r="A1502" t="s">
        <v>478</v>
      </c>
      <c r="B1502">
        <v>2005</v>
      </c>
      <c r="C1502" t="s">
        <v>382</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c r="X1502" s="19">
        <f ca="1">DATE(LifeExpectancyData[[#This Row],[Year]],RANDBETWEEN(1,12),1)</f>
        <v>38412</v>
      </c>
    </row>
    <row r="1503" spans="1:24" x14ac:dyDescent="0.25">
      <c r="A1503" t="s">
        <v>478</v>
      </c>
      <c r="B1503">
        <v>2004</v>
      </c>
      <c r="C1503" t="s">
        <v>382</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c r="X1503" s="19">
        <f ca="1">DATE(LifeExpectancyData[[#This Row],[Year]],RANDBETWEEN(1,12),1)</f>
        <v>38139</v>
      </c>
    </row>
    <row r="1504" spans="1:24" x14ac:dyDescent="0.25">
      <c r="A1504" t="s">
        <v>478</v>
      </c>
      <c r="B1504">
        <v>2003</v>
      </c>
      <c r="C1504" t="s">
        <v>382</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c r="X1504" s="19">
        <f ca="1">DATE(LifeExpectancyData[[#This Row],[Year]],RANDBETWEEN(1,12),1)</f>
        <v>37773</v>
      </c>
    </row>
    <row r="1505" spans="1:24" x14ac:dyDescent="0.25">
      <c r="A1505" t="s">
        <v>478</v>
      </c>
      <c r="B1505">
        <v>2002</v>
      </c>
      <c r="C1505" t="s">
        <v>382</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c r="X1505" s="19">
        <f ca="1">DATE(LifeExpectancyData[[#This Row],[Year]],RANDBETWEEN(1,12),1)</f>
        <v>37408</v>
      </c>
    </row>
    <row r="1506" spans="1:24" x14ac:dyDescent="0.25">
      <c r="A1506" t="s">
        <v>478</v>
      </c>
      <c r="B1506">
        <v>2001</v>
      </c>
      <c r="C1506" t="s">
        <v>382</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c r="X1506" s="19">
        <f ca="1">DATE(LifeExpectancyData[[#This Row],[Year]],RANDBETWEEN(1,12),1)</f>
        <v>36923</v>
      </c>
    </row>
    <row r="1507" spans="1:24" x14ac:dyDescent="0.25">
      <c r="A1507" t="s">
        <v>478</v>
      </c>
      <c r="B1507">
        <v>2000</v>
      </c>
      <c r="C1507" t="s">
        <v>382</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c r="X1507" s="19">
        <f ca="1">DATE(LifeExpectancyData[[#This Row],[Year]],RANDBETWEEN(1,12),1)</f>
        <v>36526</v>
      </c>
    </row>
    <row r="1508" spans="1:24" x14ac:dyDescent="0.25">
      <c r="A1508" t="s">
        <v>479</v>
      </c>
      <c r="B1508">
        <v>2015</v>
      </c>
      <c r="C1508" t="s">
        <v>382</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c r="X1508" s="19">
        <f ca="1">DATE(LifeExpectancyData[[#This Row],[Year]],RANDBETWEEN(1,12),1)</f>
        <v>42095</v>
      </c>
    </row>
    <row r="1509" spans="1:24" x14ac:dyDescent="0.25">
      <c r="A1509" t="s">
        <v>479</v>
      </c>
      <c r="B1509">
        <v>2014</v>
      </c>
      <c r="C1509" t="s">
        <v>382</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c r="X1509" s="19">
        <f ca="1">DATE(LifeExpectancyData[[#This Row],[Year]],RANDBETWEEN(1,12),1)</f>
        <v>41791</v>
      </c>
    </row>
    <row r="1510" spans="1:24" x14ac:dyDescent="0.25">
      <c r="A1510" t="s">
        <v>479</v>
      </c>
      <c r="B1510">
        <v>2013</v>
      </c>
      <c r="C1510" t="s">
        <v>382</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c r="X1510" s="19">
        <f ca="1">DATE(LifeExpectancyData[[#This Row],[Year]],RANDBETWEEN(1,12),1)</f>
        <v>41579</v>
      </c>
    </row>
    <row r="1511" spans="1:24" x14ac:dyDescent="0.25">
      <c r="A1511" t="s">
        <v>479</v>
      </c>
      <c r="B1511">
        <v>2012</v>
      </c>
      <c r="C1511" t="s">
        <v>382</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c r="X1511" s="19">
        <f ca="1">DATE(LifeExpectancyData[[#This Row],[Year]],RANDBETWEEN(1,12),1)</f>
        <v>40940</v>
      </c>
    </row>
    <row r="1512" spans="1:24" x14ac:dyDescent="0.25">
      <c r="A1512" t="s">
        <v>479</v>
      </c>
      <c r="B1512">
        <v>2011</v>
      </c>
      <c r="C1512" t="s">
        <v>382</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c r="X1512" s="19">
        <f ca="1">DATE(LifeExpectancyData[[#This Row],[Year]],RANDBETWEEN(1,12),1)</f>
        <v>40603</v>
      </c>
    </row>
    <row r="1513" spans="1:24" x14ac:dyDescent="0.25">
      <c r="A1513" t="s">
        <v>479</v>
      </c>
      <c r="B1513">
        <v>2010</v>
      </c>
      <c r="C1513" t="s">
        <v>382</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c r="X1513" s="19">
        <f ca="1">DATE(LifeExpectancyData[[#This Row],[Year]],RANDBETWEEN(1,12),1)</f>
        <v>40299</v>
      </c>
    </row>
    <row r="1514" spans="1:24" x14ac:dyDescent="0.25">
      <c r="A1514" t="s">
        <v>479</v>
      </c>
      <c r="B1514">
        <v>2009</v>
      </c>
      <c r="C1514" t="s">
        <v>382</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c r="X1514" s="19">
        <f ca="1">DATE(LifeExpectancyData[[#This Row],[Year]],RANDBETWEEN(1,12),1)</f>
        <v>39934</v>
      </c>
    </row>
    <row r="1515" spans="1:24" x14ac:dyDescent="0.25">
      <c r="A1515" t="s">
        <v>479</v>
      </c>
      <c r="B1515">
        <v>2008</v>
      </c>
      <c r="C1515" t="s">
        <v>382</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c r="X1515" s="19">
        <f ca="1">DATE(LifeExpectancyData[[#This Row],[Year]],RANDBETWEEN(1,12),1)</f>
        <v>39783</v>
      </c>
    </row>
    <row r="1516" spans="1:24" x14ac:dyDescent="0.25">
      <c r="A1516" t="s">
        <v>479</v>
      </c>
      <c r="B1516">
        <v>2007</v>
      </c>
      <c r="C1516" t="s">
        <v>382</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c r="X1516" s="19">
        <f ca="1">DATE(LifeExpectancyData[[#This Row],[Year]],RANDBETWEEN(1,12),1)</f>
        <v>39326</v>
      </c>
    </row>
    <row r="1517" spans="1:24" x14ac:dyDescent="0.25">
      <c r="A1517" t="s">
        <v>479</v>
      </c>
      <c r="B1517">
        <v>2006</v>
      </c>
      <c r="C1517" t="s">
        <v>382</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c r="X1517" s="19">
        <f ca="1">DATE(LifeExpectancyData[[#This Row],[Year]],RANDBETWEEN(1,12),1)</f>
        <v>38838</v>
      </c>
    </row>
    <row r="1518" spans="1:24" x14ac:dyDescent="0.25">
      <c r="A1518" t="s">
        <v>479</v>
      </c>
      <c r="B1518">
        <v>2005</v>
      </c>
      <c r="C1518" t="s">
        <v>382</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c r="X1518" s="19">
        <f ca="1">DATE(LifeExpectancyData[[#This Row],[Year]],RANDBETWEEN(1,12),1)</f>
        <v>38596</v>
      </c>
    </row>
    <row r="1519" spans="1:24" x14ac:dyDescent="0.25">
      <c r="A1519" t="s">
        <v>479</v>
      </c>
      <c r="B1519">
        <v>2004</v>
      </c>
      <c r="C1519" t="s">
        <v>382</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c r="X1519" s="19">
        <f ca="1">DATE(LifeExpectancyData[[#This Row],[Year]],RANDBETWEEN(1,12),1)</f>
        <v>38261</v>
      </c>
    </row>
    <row r="1520" spans="1:24" x14ac:dyDescent="0.25">
      <c r="A1520" t="s">
        <v>479</v>
      </c>
      <c r="B1520">
        <v>2003</v>
      </c>
      <c r="C1520" t="s">
        <v>382</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c r="X1520" s="19">
        <f ca="1">DATE(LifeExpectancyData[[#This Row],[Year]],RANDBETWEEN(1,12),1)</f>
        <v>37773</v>
      </c>
    </row>
    <row r="1521" spans="1:24" x14ac:dyDescent="0.25">
      <c r="A1521" t="s">
        <v>479</v>
      </c>
      <c r="B1521">
        <v>2002</v>
      </c>
      <c r="C1521" t="s">
        <v>382</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c r="X1521" s="19">
        <f ca="1">DATE(LifeExpectancyData[[#This Row],[Year]],RANDBETWEEN(1,12),1)</f>
        <v>37591</v>
      </c>
    </row>
    <row r="1522" spans="1:24" x14ac:dyDescent="0.25">
      <c r="A1522" t="s">
        <v>479</v>
      </c>
      <c r="B1522">
        <v>2001</v>
      </c>
      <c r="C1522" t="s">
        <v>382</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c r="X1522" s="19">
        <f ca="1">DATE(LifeExpectancyData[[#This Row],[Year]],RANDBETWEEN(1,12),1)</f>
        <v>36982</v>
      </c>
    </row>
    <row r="1523" spans="1:24" x14ac:dyDescent="0.25">
      <c r="A1523" t="s">
        <v>479</v>
      </c>
      <c r="B1523">
        <v>2000</v>
      </c>
      <c r="C1523" t="s">
        <v>382</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c r="X1523" s="19">
        <f ca="1">DATE(LifeExpectancyData[[#This Row],[Year]],RANDBETWEEN(1,12),1)</f>
        <v>36678</v>
      </c>
    </row>
    <row r="1524" spans="1:24" x14ac:dyDescent="0.25">
      <c r="A1524" t="s">
        <v>480</v>
      </c>
      <c r="B1524">
        <v>2015</v>
      </c>
      <c r="C1524" t="s">
        <v>390</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c r="X1524" s="19">
        <f ca="1">DATE(LifeExpectancyData[[#This Row],[Year]],RANDBETWEEN(1,12),1)</f>
        <v>42186</v>
      </c>
    </row>
    <row r="1525" spans="1:24" x14ac:dyDescent="0.25">
      <c r="A1525" t="s">
        <v>480</v>
      </c>
      <c r="B1525">
        <v>2014</v>
      </c>
      <c r="C1525" t="s">
        <v>390</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c r="X1525" s="19">
        <f ca="1">DATE(LifeExpectancyData[[#This Row],[Year]],RANDBETWEEN(1,12),1)</f>
        <v>41760</v>
      </c>
    </row>
    <row r="1526" spans="1:24" x14ac:dyDescent="0.25">
      <c r="A1526" t="s">
        <v>480</v>
      </c>
      <c r="B1526">
        <v>2013</v>
      </c>
      <c r="C1526" t="s">
        <v>390</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c r="X1526" s="19">
        <f ca="1">DATE(LifeExpectancyData[[#This Row],[Year]],RANDBETWEEN(1,12),1)</f>
        <v>41395</v>
      </c>
    </row>
    <row r="1527" spans="1:24" x14ac:dyDescent="0.25">
      <c r="A1527" t="s">
        <v>480</v>
      </c>
      <c r="B1527">
        <v>2012</v>
      </c>
      <c r="C1527" t="s">
        <v>390</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c r="X1527" s="19">
        <f ca="1">DATE(LifeExpectancyData[[#This Row],[Year]],RANDBETWEEN(1,12),1)</f>
        <v>41091</v>
      </c>
    </row>
    <row r="1528" spans="1:24" x14ac:dyDescent="0.25">
      <c r="A1528" t="s">
        <v>480</v>
      </c>
      <c r="B1528">
        <v>2011</v>
      </c>
      <c r="C1528" t="s">
        <v>390</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c r="X1528" s="19">
        <f ca="1">DATE(LifeExpectancyData[[#This Row],[Year]],RANDBETWEEN(1,12),1)</f>
        <v>40664</v>
      </c>
    </row>
    <row r="1529" spans="1:24" x14ac:dyDescent="0.25">
      <c r="A1529" t="s">
        <v>480</v>
      </c>
      <c r="B1529">
        <v>2010</v>
      </c>
      <c r="C1529" t="s">
        <v>390</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c r="X1529" s="19">
        <f ca="1">DATE(LifeExpectancyData[[#This Row],[Year]],RANDBETWEEN(1,12),1)</f>
        <v>40238</v>
      </c>
    </row>
    <row r="1530" spans="1:24" x14ac:dyDescent="0.25">
      <c r="A1530" t="s">
        <v>480</v>
      </c>
      <c r="B1530">
        <v>2009</v>
      </c>
      <c r="C1530" t="s">
        <v>390</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c r="X1530" s="19">
        <f ca="1">DATE(LifeExpectancyData[[#This Row],[Year]],RANDBETWEEN(1,12),1)</f>
        <v>39995</v>
      </c>
    </row>
    <row r="1531" spans="1:24" x14ac:dyDescent="0.25">
      <c r="A1531" t="s">
        <v>480</v>
      </c>
      <c r="B1531">
        <v>2008</v>
      </c>
      <c r="C1531" t="s">
        <v>390</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c r="X1531" s="19">
        <f ca="1">DATE(LifeExpectancyData[[#This Row],[Year]],RANDBETWEEN(1,12),1)</f>
        <v>39783</v>
      </c>
    </row>
    <row r="1532" spans="1:24" x14ac:dyDescent="0.25">
      <c r="A1532" t="s">
        <v>480</v>
      </c>
      <c r="B1532">
        <v>2007</v>
      </c>
      <c r="C1532" t="s">
        <v>390</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c r="X1532" s="19">
        <f ca="1">DATE(LifeExpectancyData[[#This Row],[Year]],RANDBETWEEN(1,12),1)</f>
        <v>39356</v>
      </c>
    </row>
    <row r="1533" spans="1:24" x14ac:dyDescent="0.25">
      <c r="A1533" t="s">
        <v>480</v>
      </c>
      <c r="B1533">
        <v>2006</v>
      </c>
      <c r="C1533" t="s">
        <v>390</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c r="X1533" s="19">
        <f ca="1">DATE(LifeExpectancyData[[#This Row],[Year]],RANDBETWEEN(1,12),1)</f>
        <v>39022</v>
      </c>
    </row>
    <row r="1534" spans="1:24" x14ac:dyDescent="0.25">
      <c r="A1534" t="s">
        <v>480</v>
      </c>
      <c r="B1534">
        <v>2005</v>
      </c>
      <c r="C1534" t="s">
        <v>390</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c r="X1534" s="19">
        <f ca="1">DATE(LifeExpectancyData[[#This Row],[Year]],RANDBETWEEN(1,12),1)</f>
        <v>38687</v>
      </c>
    </row>
    <row r="1535" spans="1:24" x14ac:dyDescent="0.25">
      <c r="A1535" t="s">
        <v>480</v>
      </c>
      <c r="B1535">
        <v>2004</v>
      </c>
      <c r="C1535" t="s">
        <v>390</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c r="X1535" s="19">
        <f ca="1">DATE(LifeExpectancyData[[#This Row],[Year]],RANDBETWEEN(1,12),1)</f>
        <v>38200</v>
      </c>
    </row>
    <row r="1536" spans="1:24" x14ac:dyDescent="0.25">
      <c r="A1536" t="s">
        <v>480</v>
      </c>
      <c r="B1536">
        <v>2003</v>
      </c>
      <c r="C1536" t="s">
        <v>390</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c r="X1536" s="19">
        <f ca="1">DATE(LifeExpectancyData[[#This Row],[Year]],RANDBETWEEN(1,12),1)</f>
        <v>37956</v>
      </c>
    </row>
    <row r="1537" spans="1:24" x14ac:dyDescent="0.25">
      <c r="A1537" t="s">
        <v>480</v>
      </c>
      <c r="B1537">
        <v>2002</v>
      </c>
      <c r="C1537" t="s">
        <v>390</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c r="X1537" s="19">
        <f ca="1">DATE(LifeExpectancyData[[#This Row],[Year]],RANDBETWEEN(1,12),1)</f>
        <v>37591</v>
      </c>
    </row>
    <row r="1538" spans="1:24" x14ac:dyDescent="0.25">
      <c r="A1538" t="s">
        <v>480</v>
      </c>
      <c r="B1538">
        <v>2001</v>
      </c>
      <c r="C1538" t="s">
        <v>390</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c r="X1538" s="19">
        <f ca="1">DATE(LifeExpectancyData[[#This Row],[Year]],RANDBETWEEN(1,12),1)</f>
        <v>37043</v>
      </c>
    </row>
    <row r="1539" spans="1:24" x14ac:dyDescent="0.25">
      <c r="A1539" t="s">
        <v>480</v>
      </c>
      <c r="B1539">
        <v>2000</v>
      </c>
      <c r="C1539" t="s">
        <v>390</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c r="X1539" s="19">
        <f ca="1">DATE(LifeExpectancyData[[#This Row],[Year]],RANDBETWEEN(1,12),1)</f>
        <v>36770</v>
      </c>
    </row>
    <row r="1540" spans="1:24" x14ac:dyDescent="0.25">
      <c r="A1540" t="s">
        <v>481</v>
      </c>
      <c r="B1540">
        <v>2015</v>
      </c>
      <c r="C1540" t="s">
        <v>390</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c r="X1540" s="19">
        <f ca="1">DATE(LifeExpectancyData[[#This Row],[Year]],RANDBETWEEN(1,12),1)</f>
        <v>42064</v>
      </c>
    </row>
    <row r="1541" spans="1:24" x14ac:dyDescent="0.25">
      <c r="A1541" t="s">
        <v>481</v>
      </c>
      <c r="B1541">
        <v>2014</v>
      </c>
      <c r="C1541" t="s">
        <v>390</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c r="X1541" s="19">
        <f ca="1">DATE(LifeExpectancyData[[#This Row],[Year]],RANDBETWEEN(1,12),1)</f>
        <v>41852</v>
      </c>
    </row>
    <row r="1542" spans="1:24" x14ac:dyDescent="0.25">
      <c r="A1542" t="s">
        <v>481</v>
      </c>
      <c r="B1542">
        <v>2013</v>
      </c>
      <c r="C1542" t="s">
        <v>390</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c r="X1542" s="19">
        <f ca="1">DATE(LifeExpectancyData[[#This Row],[Year]],RANDBETWEEN(1,12),1)</f>
        <v>41456</v>
      </c>
    </row>
    <row r="1543" spans="1:24" x14ac:dyDescent="0.25">
      <c r="A1543" t="s">
        <v>481</v>
      </c>
      <c r="B1543">
        <v>2012</v>
      </c>
      <c r="C1543" t="s">
        <v>390</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c r="X1543" s="19">
        <f ca="1">DATE(LifeExpectancyData[[#This Row],[Year]],RANDBETWEEN(1,12),1)</f>
        <v>41244</v>
      </c>
    </row>
    <row r="1544" spans="1:24" x14ac:dyDescent="0.25">
      <c r="A1544" t="s">
        <v>481</v>
      </c>
      <c r="B1544">
        <v>2011</v>
      </c>
      <c r="C1544" t="s">
        <v>390</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c r="X1544" s="19">
        <f ca="1">DATE(LifeExpectancyData[[#This Row],[Year]],RANDBETWEEN(1,12),1)</f>
        <v>40787</v>
      </c>
    </row>
    <row r="1545" spans="1:24" x14ac:dyDescent="0.25">
      <c r="A1545" t="s">
        <v>481</v>
      </c>
      <c r="B1545">
        <v>2010</v>
      </c>
      <c r="C1545" t="s">
        <v>390</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c r="X1545" s="19">
        <f ca="1">DATE(LifeExpectancyData[[#This Row],[Year]],RANDBETWEEN(1,12),1)</f>
        <v>40422</v>
      </c>
    </row>
    <row r="1546" spans="1:24" x14ac:dyDescent="0.25">
      <c r="A1546" t="s">
        <v>481</v>
      </c>
      <c r="B1546">
        <v>2009</v>
      </c>
      <c r="C1546" t="s">
        <v>390</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c r="X1546" s="19">
        <f ca="1">DATE(LifeExpectancyData[[#This Row],[Year]],RANDBETWEEN(1,12),1)</f>
        <v>39845</v>
      </c>
    </row>
    <row r="1547" spans="1:24" x14ac:dyDescent="0.25">
      <c r="A1547" t="s">
        <v>481</v>
      </c>
      <c r="B1547">
        <v>2008</v>
      </c>
      <c r="C1547" t="s">
        <v>390</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c r="X1547" s="19">
        <f ca="1">DATE(LifeExpectancyData[[#This Row],[Year]],RANDBETWEEN(1,12),1)</f>
        <v>39692</v>
      </c>
    </row>
    <row r="1548" spans="1:24" x14ac:dyDescent="0.25">
      <c r="A1548" t="s">
        <v>481</v>
      </c>
      <c r="B1548">
        <v>2007</v>
      </c>
      <c r="C1548" t="s">
        <v>390</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c r="X1548" s="19">
        <f ca="1">DATE(LifeExpectancyData[[#This Row],[Year]],RANDBETWEEN(1,12),1)</f>
        <v>39142</v>
      </c>
    </row>
    <row r="1549" spans="1:24" x14ac:dyDescent="0.25">
      <c r="A1549" t="s">
        <v>481</v>
      </c>
      <c r="B1549">
        <v>2006</v>
      </c>
      <c r="C1549" t="s">
        <v>390</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c r="X1549" s="19">
        <f ca="1">DATE(LifeExpectancyData[[#This Row],[Year]],RANDBETWEEN(1,12),1)</f>
        <v>39022</v>
      </c>
    </row>
    <row r="1550" spans="1:24" x14ac:dyDescent="0.25">
      <c r="A1550" t="s">
        <v>481</v>
      </c>
      <c r="B1550">
        <v>2005</v>
      </c>
      <c r="C1550" t="s">
        <v>390</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c r="X1550" s="19">
        <f ca="1">DATE(LifeExpectancyData[[#This Row],[Year]],RANDBETWEEN(1,12),1)</f>
        <v>38504</v>
      </c>
    </row>
    <row r="1551" spans="1:24" x14ac:dyDescent="0.25">
      <c r="A1551" t="s">
        <v>481</v>
      </c>
      <c r="B1551">
        <v>2004</v>
      </c>
      <c r="C1551" t="s">
        <v>390</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c r="X1551" s="19">
        <f ca="1">DATE(LifeExpectancyData[[#This Row],[Year]],RANDBETWEEN(1,12),1)</f>
        <v>38261</v>
      </c>
    </row>
    <row r="1552" spans="1:24" x14ac:dyDescent="0.25">
      <c r="A1552" t="s">
        <v>481</v>
      </c>
      <c r="B1552">
        <v>2003</v>
      </c>
      <c r="C1552" t="s">
        <v>390</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c r="X1552" s="19">
        <f ca="1">DATE(LifeExpectancyData[[#This Row],[Year]],RANDBETWEEN(1,12),1)</f>
        <v>37834</v>
      </c>
    </row>
    <row r="1553" spans="1:24" x14ac:dyDescent="0.25">
      <c r="A1553" t="s">
        <v>481</v>
      </c>
      <c r="B1553">
        <v>2002</v>
      </c>
      <c r="C1553" t="s">
        <v>390</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c r="X1553" s="19">
        <f ca="1">DATE(LifeExpectancyData[[#This Row],[Year]],RANDBETWEEN(1,12),1)</f>
        <v>37408</v>
      </c>
    </row>
    <row r="1554" spans="1:24" x14ac:dyDescent="0.25">
      <c r="A1554" t="s">
        <v>481</v>
      </c>
      <c r="B1554">
        <v>2001</v>
      </c>
      <c r="C1554" t="s">
        <v>390</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c r="X1554" s="19">
        <f ca="1">DATE(LifeExpectancyData[[#This Row],[Year]],RANDBETWEEN(1,12),1)</f>
        <v>37104</v>
      </c>
    </row>
    <row r="1555" spans="1:24" x14ac:dyDescent="0.25">
      <c r="A1555" t="s">
        <v>481</v>
      </c>
      <c r="B1555">
        <v>2000</v>
      </c>
      <c r="C1555" t="s">
        <v>390</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c r="X1555" s="19">
        <f ca="1">DATE(LifeExpectancyData[[#This Row],[Year]],RANDBETWEEN(1,12),1)</f>
        <v>36861</v>
      </c>
    </row>
    <row r="1556" spans="1:24" x14ac:dyDescent="0.25">
      <c r="A1556" t="s">
        <v>482</v>
      </c>
      <c r="B1556">
        <v>2015</v>
      </c>
      <c r="C1556" t="s">
        <v>382</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c r="X1556" s="19">
        <f ca="1">DATE(LifeExpectancyData[[#This Row],[Year]],RANDBETWEEN(1,12),1)</f>
        <v>42125</v>
      </c>
    </row>
    <row r="1557" spans="1:24" x14ac:dyDescent="0.25">
      <c r="A1557" t="s">
        <v>482</v>
      </c>
      <c r="B1557">
        <v>2014</v>
      </c>
      <c r="C1557" t="s">
        <v>382</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c r="X1557" s="19">
        <f ca="1">DATE(LifeExpectancyData[[#This Row],[Year]],RANDBETWEEN(1,12),1)</f>
        <v>41821</v>
      </c>
    </row>
    <row r="1558" spans="1:24" x14ac:dyDescent="0.25">
      <c r="A1558" t="s">
        <v>482</v>
      </c>
      <c r="B1558">
        <v>2013</v>
      </c>
      <c r="C1558" t="s">
        <v>382</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c r="X1558" s="19">
        <f ca="1">DATE(LifeExpectancyData[[#This Row],[Year]],RANDBETWEEN(1,12),1)</f>
        <v>41518</v>
      </c>
    </row>
    <row r="1559" spans="1:24" x14ac:dyDescent="0.25">
      <c r="A1559" t="s">
        <v>482</v>
      </c>
      <c r="B1559">
        <v>2012</v>
      </c>
      <c r="C1559" t="s">
        <v>382</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c r="X1559" s="19">
        <f ca="1">DATE(LifeExpectancyData[[#This Row],[Year]],RANDBETWEEN(1,12),1)</f>
        <v>40940</v>
      </c>
    </row>
    <row r="1560" spans="1:24" x14ac:dyDescent="0.25">
      <c r="A1560" t="s">
        <v>482</v>
      </c>
      <c r="B1560">
        <v>2011</v>
      </c>
      <c r="C1560" t="s">
        <v>382</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c r="X1560" s="19">
        <f ca="1">DATE(LifeExpectancyData[[#This Row],[Year]],RANDBETWEEN(1,12),1)</f>
        <v>40787</v>
      </c>
    </row>
    <row r="1561" spans="1:24" x14ac:dyDescent="0.25">
      <c r="A1561" t="s">
        <v>482</v>
      </c>
      <c r="B1561">
        <v>2010</v>
      </c>
      <c r="C1561" t="s">
        <v>382</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c r="X1561" s="19">
        <f ca="1">DATE(LifeExpectancyData[[#This Row],[Year]],RANDBETWEEN(1,12),1)</f>
        <v>40210</v>
      </c>
    </row>
    <row r="1562" spans="1:24" x14ac:dyDescent="0.25">
      <c r="A1562" t="s">
        <v>482</v>
      </c>
      <c r="B1562">
        <v>2009</v>
      </c>
      <c r="C1562" t="s">
        <v>382</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c r="X1562" s="19">
        <f ca="1">DATE(LifeExpectancyData[[#This Row],[Year]],RANDBETWEEN(1,12),1)</f>
        <v>39995</v>
      </c>
    </row>
    <row r="1563" spans="1:24" x14ac:dyDescent="0.25">
      <c r="A1563" t="s">
        <v>482</v>
      </c>
      <c r="B1563">
        <v>2008</v>
      </c>
      <c r="C1563" t="s">
        <v>382</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c r="X1563" s="19">
        <f ca="1">DATE(LifeExpectancyData[[#This Row],[Year]],RANDBETWEEN(1,12),1)</f>
        <v>39783</v>
      </c>
    </row>
    <row r="1564" spans="1:24" x14ac:dyDescent="0.25">
      <c r="A1564" t="s">
        <v>482</v>
      </c>
      <c r="B1564">
        <v>2007</v>
      </c>
      <c r="C1564" t="s">
        <v>382</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c r="X1564" s="19">
        <f ca="1">DATE(LifeExpectancyData[[#This Row],[Year]],RANDBETWEEN(1,12),1)</f>
        <v>39295</v>
      </c>
    </row>
    <row r="1565" spans="1:24" x14ac:dyDescent="0.25">
      <c r="A1565" t="s">
        <v>482</v>
      </c>
      <c r="B1565">
        <v>2006</v>
      </c>
      <c r="C1565" t="s">
        <v>382</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c r="X1565" s="19">
        <f ca="1">DATE(LifeExpectancyData[[#This Row],[Year]],RANDBETWEEN(1,12),1)</f>
        <v>39052</v>
      </c>
    </row>
    <row r="1566" spans="1:24" x14ac:dyDescent="0.25">
      <c r="A1566" t="s">
        <v>482</v>
      </c>
      <c r="B1566">
        <v>2005</v>
      </c>
      <c r="C1566" t="s">
        <v>382</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c r="X1566" s="19">
        <f ca="1">DATE(LifeExpectancyData[[#This Row],[Year]],RANDBETWEEN(1,12),1)</f>
        <v>38626</v>
      </c>
    </row>
    <row r="1567" spans="1:24" x14ac:dyDescent="0.25">
      <c r="A1567" t="s">
        <v>482</v>
      </c>
      <c r="B1567">
        <v>2004</v>
      </c>
      <c r="C1567" t="s">
        <v>382</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c r="X1567" s="19">
        <f ca="1">DATE(LifeExpectancyData[[#This Row],[Year]],RANDBETWEEN(1,12),1)</f>
        <v>38108</v>
      </c>
    </row>
    <row r="1568" spans="1:24" x14ac:dyDescent="0.25">
      <c r="A1568" t="s">
        <v>482</v>
      </c>
      <c r="B1568">
        <v>2003</v>
      </c>
      <c r="C1568" t="s">
        <v>382</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c r="X1568" s="19">
        <f ca="1">DATE(LifeExpectancyData[[#This Row],[Year]],RANDBETWEEN(1,12),1)</f>
        <v>37926</v>
      </c>
    </row>
    <row r="1569" spans="1:24" x14ac:dyDescent="0.25">
      <c r="A1569" t="s">
        <v>482</v>
      </c>
      <c r="B1569">
        <v>2002</v>
      </c>
      <c r="C1569" t="s">
        <v>382</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c r="X1569" s="19">
        <f ca="1">DATE(LifeExpectancyData[[#This Row],[Year]],RANDBETWEEN(1,12),1)</f>
        <v>37469</v>
      </c>
    </row>
    <row r="1570" spans="1:24" x14ac:dyDescent="0.25">
      <c r="A1570" t="s">
        <v>482</v>
      </c>
      <c r="B1570">
        <v>2001</v>
      </c>
      <c r="C1570" t="s">
        <v>382</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c r="X1570" s="19">
        <f ca="1">DATE(LifeExpectancyData[[#This Row],[Year]],RANDBETWEEN(1,12),1)</f>
        <v>37165</v>
      </c>
    </row>
    <row r="1571" spans="1:24" x14ac:dyDescent="0.25">
      <c r="A1571" t="s">
        <v>482</v>
      </c>
      <c r="B1571">
        <v>2000</v>
      </c>
      <c r="C1571" t="s">
        <v>382</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c r="X1571" s="19">
        <f ca="1">DATE(LifeExpectancyData[[#This Row],[Year]],RANDBETWEEN(1,12),1)</f>
        <v>36678</v>
      </c>
    </row>
    <row r="1572" spans="1:24" x14ac:dyDescent="0.25">
      <c r="A1572" t="s">
        <v>483</v>
      </c>
      <c r="B1572">
        <v>2015</v>
      </c>
      <c r="C1572" t="s">
        <v>382</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c r="X1572" s="19">
        <f ca="1">DATE(LifeExpectancyData[[#This Row],[Year]],RANDBETWEEN(1,12),1)</f>
        <v>42125</v>
      </c>
    </row>
    <row r="1573" spans="1:24" x14ac:dyDescent="0.25">
      <c r="A1573" t="s">
        <v>483</v>
      </c>
      <c r="B1573">
        <v>2014</v>
      </c>
      <c r="C1573" t="s">
        <v>382</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c r="X1573" s="19">
        <f ca="1">DATE(LifeExpectancyData[[#This Row],[Year]],RANDBETWEEN(1,12),1)</f>
        <v>41640</v>
      </c>
    </row>
    <row r="1574" spans="1:24" x14ac:dyDescent="0.25">
      <c r="A1574" t="s">
        <v>483</v>
      </c>
      <c r="B1574">
        <v>2013</v>
      </c>
      <c r="C1574" t="s">
        <v>382</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c r="X1574" s="19">
        <f ca="1">DATE(LifeExpectancyData[[#This Row],[Year]],RANDBETWEEN(1,12),1)</f>
        <v>41518</v>
      </c>
    </row>
    <row r="1575" spans="1:24" x14ac:dyDescent="0.25">
      <c r="A1575" t="s">
        <v>483</v>
      </c>
      <c r="B1575">
        <v>2012</v>
      </c>
      <c r="C1575" t="s">
        <v>382</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c r="X1575" s="19">
        <f ca="1">DATE(LifeExpectancyData[[#This Row],[Year]],RANDBETWEEN(1,12),1)</f>
        <v>41030</v>
      </c>
    </row>
    <row r="1576" spans="1:24" x14ac:dyDescent="0.25">
      <c r="A1576" t="s">
        <v>483</v>
      </c>
      <c r="B1576">
        <v>2011</v>
      </c>
      <c r="C1576" t="s">
        <v>382</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c r="X1576" s="19">
        <f ca="1">DATE(LifeExpectancyData[[#This Row],[Year]],RANDBETWEEN(1,12),1)</f>
        <v>40634</v>
      </c>
    </row>
    <row r="1577" spans="1:24" x14ac:dyDescent="0.25">
      <c r="A1577" t="s">
        <v>483</v>
      </c>
      <c r="B1577">
        <v>2010</v>
      </c>
      <c r="C1577" t="s">
        <v>382</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c r="X1577" s="19">
        <f ca="1">DATE(LifeExpectancyData[[#This Row],[Year]],RANDBETWEEN(1,12),1)</f>
        <v>40330</v>
      </c>
    </row>
    <row r="1578" spans="1:24" x14ac:dyDescent="0.25">
      <c r="A1578" t="s">
        <v>483</v>
      </c>
      <c r="B1578">
        <v>2009</v>
      </c>
      <c r="C1578" t="s">
        <v>382</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c r="X1578" s="19">
        <f ca="1">DATE(LifeExpectancyData[[#This Row],[Year]],RANDBETWEEN(1,12),1)</f>
        <v>39873</v>
      </c>
    </row>
    <row r="1579" spans="1:24" x14ac:dyDescent="0.25">
      <c r="A1579" t="s">
        <v>483</v>
      </c>
      <c r="B1579">
        <v>2008</v>
      </c>
      <c r="C1579" t="s">
        <v>382</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c r="X1579" s="19">
        <f ca="1">DATE(LifeExpectancyData[[#This Row],[Year]],RANDBETWEEN(1,12),1)</f>
        <v>39448</v>
      </c>
    </row>
    <row r="1580" spans="1:24" x14ac:dyDescent="0.25">
      <c r="A1580" t="s">
        <v>483</v>
      </c>
      <c r="B1580">
        <v>2007</v>
      </c>
      <c r="C1580" t="s">
        <v>382</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c r="X1580" s="19">
        <f ca="1">DATE(LifeExpectancyData[[#This Row],[Year]],RANDBETWEEN(1,12),1)</f>
        <v>39387</v>
      </c>
    </row>
    <row r="1581" spans="1:24" x14ac:dyDescent="0.25">
      <c r="A1581" t="s">
        <v>483</v>
      </c>
      <c r="B1581">
        <v>2006</v>
      </c>
      <c r="C1581" t="s">
        <v>382</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c r="X1581" s="19">
        <f ca="1">DATE(LifeExpectancyData[[#This Row],[Year]],RANDBETWEEN(1,12),1)</f>
        <v>39052</v>
      </c>
    </row>
    <row r="1582" spans="1:24" x14ac:dyDescent="0.25">
      <c r="A1582" t="s">
        <v>483</v>
      </c>
      <c r="B1582">
        <v>2005</v>
      </c>
      <c r="C1582" t="s">
        <v>382</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c r="X1582" s="19">
        <f ca="1">DATE(LifeExpectancyData[[#This Row],[Year]],RANDBETWEEN(1,12),1)</f>
        <v>38353</v>
      </c>
    </row>
    <row r="1583" spans="1:24" x14ac:dyDescent="0.25">
      <c r="A1583" t="s">
        <v>483</v>
      </c>
      <c r="B1583">
        <v>2004</v>
      </c>
      <c r="C1583" t="s">
        <v>382</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c r="X1583" s="19">
        <f ca="1">DATE(LifeExpectancyData[[#This Row],[Year]],RANDBETWEEN(1,12),1)</f>
        <v>38200</v>
      </c>
    </row>
    <row r="1584" spans="1:24" x14ac:dyDescent="0.25">
      <c r="A1584" t="s">
        <v>483</v>
      </c>
      <c r="B1584">
        <v>2003</v>
      </c>
      <c r="C1584" t="s">
        <v>382</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c r="X1584" s="19">
        <f ca="1">DATE(LifeExpectancyData[[#This Row],[Year]],RANDBETWEEN(1,12),1)</f>
        <v>37742</v>
      </c>
    </row>
    <row r="1585" spans="1:24" x14ac:dyDescent="0.25">
      <c r="A1585" t="s">
        <v>483</v>
      </c>
      <c r="B1585">
        <v>2002</v>
      </c>
      <c r="C1585" t="s">
        <v>382</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c r="X1585" s="19">
        <f ca="1">DATE(LifeExpectancyData[[#This Row],[Year]],RANDBETWEEN(1,12),1)</f>
        <v>37438</v>
      </c>
    </row>
    <row r="1586" spans="1:24" x14ac:dyDescent="0.25">
      <c r="A1586" t="s">
        <v>483</v>
      </c>
      <c r="B1586">
        <v>2001</v>
      </c>
      <c r="C1586" t="s">
        <v>382</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c r="X1586" s="19">
        <f ca="1">DATE(LifeExpectancyData[[#This Row],[Year]],RANDBETWEEN(1,12),1)</f>
        <v>36923</v>
      </c>
    </row>
    <row r="1587" spans="1:24" x14ac:dyDescent="0.25">
      <c r="A1587" t="s">
        <v>483</v>
      </c>
      <c r="B1587">
        <v>2000</v>
      </c>
      <c r="C1587" t="s">
        <v>382</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c r="X1587" s="19">
        <f ca="1">DATE(LifeExpectancyData[[#This Row],[Year]],RANDBETWEEN(1,12),1)</f>
        <v>36526</v>
      </c>
    </row>
    <row r="1588" spans="1:24" x14ac:dyDescent="0.25">
      <c r="A1588" t="s">
        <v>484</v>
      </c>
      <c r="B1588">
        <v>2015</v>
      </c>
      <c r="C1588" t="s">
        <v>382</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c r="X1588" s="19">
        <f ca="1">DATE(LifeExpectancyData[[#This Row],[Year]],RANDBETWEEN(1,12),1)</f>
        <v>42339</v>
      </c>
    </row>
    <row r="1589" spans="1:24" x14ac:dyDescent="0.25">
      <c r="A1589" t="s">
        <v>484</v>
      </c>
      <c r="B1589">
        <v>2014</v>
      </c>
      <c r="C1589" t="s">
        <v>382</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c r="X1589" s="19">
        <f ca="1">DATE(LifeExpectancyData[[#This Row],[Year]],RANDBETWEEN(1,12),1)</f>
        <v>41791</v>
      </c>
    </row>
    <row r="1590" spans="1:24" x14ac:dyDescent="0.25">
      <c r="A1590" t="s">
        <v>484</v>
      </c>
      <c r="B1590">
        <v>2013</v>
      </c>
      <c r="C1590" t="s">
        <v>382</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c r="X1590" s="19">
        <f ca="1">DATE(LifeExpectancyData[[#This Row],[Year]],RANDBETWEEN(1,12),1)</f>
        <v>41548</v>
      </c>
    </row>
    <row r="1591" spans="1:24" x14ac:dyDescent="0.25">
      <c r="A1591" t="s">
        <v>484</v>
      </c>
      <c r="B1591">
        <v>2012</v>
      </c>
      <c r="C1591" t="s">
        <v>382</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c r="X1591" s="19">
        <f ca="1">DATE(LifeExpectancyData[[#This Row],[Year]],RANDBETWEEN(1,12),1)</f>
        <v>41214</v>
      </c>
    </row>
    <row r="1592" spans="1:24" x14ac:dyDescent="0.25">
      <c r="A1592" t="s">
        <v>484</v>
      </c>
      <c r="B1592">
        <v>2011</v>
      </c>
      <c r="C1592" t="s">
        <v>382</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c r="X1592" s="19">
        <f ca="1">DATE(LifeExpectancyData[[#This Row],[Year]],RANDBETWEEN(1,12),1)</f>
        <v>40725</v>
      </c>
    </row>
    <row r="1593" spans="1:24" x14ac:dyDescent="0.25">
      <c r="A1593" t="s">
        <v>484</v>
      </c>
      <c r="B1593">
        <v>2010</v>
      </c>
      <c r="C1593" t="s">
        <v>382</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c r="X1593" s="19">
        <f ca="1">DATE(LifeExpectancyData[[#This Row],[Year]],RANDBETWEEN(1,12),1)</f>
        <v>40238</v>
      </c>
    </row>
    <row r="1594" spans="1:24" x14ac:dyDescent="0.25">
      <c r="A1594" t="s">
        <v>484</v>
      </c>
      <c r="B1594">
        <v>2009</v>
      </c>
      <c r="C1594" t="s">
        <v>382</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c r="X1594" s="19">
        <f ca="1">DATE(LifeExpectancyData[[#This Row],[Year]],RANDBETWEEN(1,12),1)</f>
        <v>39814</v>
      </c>
    </row>
    <row r="1595" spans="1:24" x14ac:dyDescent="0.25">
      <c r="A1595" t="s">
        <v>484</v>
      </c>
      <c r="B1595">
        <v>2008</v>
      </c>
      <c r="C1595" t="s">
        <v>382</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c r="X1595" s="19">
        <f ca="1">DATE(LifeExpectancyData[[#This Row],[Year]],RANDBETWEEN(1,12),1)</f>
        <v>39783</v>
      </c>
    </row>
    <row r="1596" spans="1:24" x14ac:dyDescent="0.25">
      <c r="A1596" t="s">
        <v>484</v>
      </c>
      <c r="B1596">
        <v>2007</v>
      </c>
      <c r="C1596" t="s">
        <v>382</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c r="X1596" s="19">
        <f ca="1">DATE(LifeExpectancyData[[#This Row],[Year]],RANDBETWEEN(1,12),1)</f>
        <v>39417</v>
      </c>
    </row>
    <row r="1597" spans="1:24" x14ac:dyDescent="0.25">
      <c r="A1597" t="s">
        <v>484</v>
      </c>
      <c r="B1597">
        <v>2006</v>
      </c>
      <c r="C1597" t="s">
        <v>382</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c r="X1597" s="19">
        <f ca="1">DATE(LifeExpectancyData[[#This Row],[Year]],RANDBETWEEN(1,12),1)</f>
        <v>39022</v>
      </c>
    </row>
    <row r="1598" spans="1:24" x14ac:dyDescent="0.25">
      <c r="A1598" t="s">
        <v>484</v>
      </c>
      <c r="B1598">
        <v>2005</v>
      </c>
      <c r="C1598" t="s">
        <v>382</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c r="X1598" s="19">
        <f ca="1">DATE(LifeExpectancyData[[#This Row],[Year]],RANDBETWEEN(1,12),1)</f>
        <v>38687</v>
      </c>
    </row>
    <row r="1599" spans="1:24" x14ac:dyDescent="0.25">
      <c r="A1599" t="s">
        <v>484</v>
      </c>
      <c r="B1599">
        <v>2004</v>
      </c>
      <c r="C1599" t="s">
        <v>382</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c r="X1599" s="19">
        <f ca="1">DATE(LifeExpectancyData[[#This Row],[Year]],RANDBETWEEN(1,12),1)</f>
        <v>38322</v>
      </c>
    </row>
    <row r="1600" spans="1:24" x14ac:dyDescent="0.25">
      <c r="A1600" t="s">
        <v>484</v>
      </c>
      <c r="B1600">
        <v>2003</v>
      </c>
      <c r="C1600" t="s">
        <v>382</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c r="X1600" s="19">
        <f ca="1">DATE(LifeExpectancyData[[#This Row],[Year]],RANDBETWEEN(1,12),1)</f>
        <v>37681</v>
      </c>
    </row>
    <row r="1601" spans="1:24" x14ac:dyDescent="0.25">
      <c r="A1601" t="s">
        <v>484</v>
      </c>
      <c r="B1601">
        <v>2002</v>
      </c>
      <c r="C1601" t="s">
        <v>382</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c r="X1601" s="19">
        <f ca="1">DATE(LifeExpectancyData[[#This Row],[Year]],RANDBETWEEN(1,12),1)</f>
        <v>37530</v>
      </c>
    </row>
    <row r="1602" spans="1:24" x14ac:dyDescent="0.25">
      <c r="A1602" t="s">
        <v>484</v>
      </c>
      <c r="B1602">
        <v>2001</v>
      </c>
      <c r="C1602" t="s">
        <v>382</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c r="X1602" s="19">
        <f ca="1">DATE(LifeExpectancyData[[#This Row],[Year]],RANDBETWEEN(1,12),1)</f>
        <v>36923</v>
      </c>
    </row>
    <row r="1603" spans="1:24" x14ac:dyDescent="0.25">
      <c r="A1603" t="s">
        <v>484</v>
      </c>
      <c r="B1603">
        <v>2000</v>
      </c>
      <c r="C1603" t="s">
        <v>382</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c r="X1603" s="19">
        <f ca="1">DATE(LifeExpectancyData[[#This Row],[Year]],RANDBETWEEN(1,12),1)</f>
        <v>36708</v>
      </c>
    </row>
    <row r="1604" spans="1:24" x14ac:dyDescent="0.25">
      <c r="A1604" t="s">
        <v>485</v>
      </c>
      <c r="B1604">
        <v>2015</v>
      </c>
      <c r="C1604" t="s">
        <v>382</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c r="X1604" s="19">
        <f ca="1">DATE(LifeExpectancyData[[#This Row],[Year]],RANDBETWEEN(1,12),1)</f>
        <v>42036</v>
      </c>
    </row>
    <row r="1605" spans="1:24" x14ac:dyDescent="0.25">
      <c r="A1605" t="s">
        <v>485</v>
      </c>
      <c r="B1605">
        <v>2014</v>
      </c>
      <c r="C1605" t="s">
        <v>382</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c r="X1605" s="19">
        <f ca="1">DATE(LifeExpectancyData[[#This Row],[Year]],RANDBETWEEN(1,12),1)</f>
        <v>41791</v>
      </c>
    </row>
    <row r="1606" spans="1:24" x14ac:dyDescent="0.25">
      <c r="A1606" t="s">
        <v>485</v>
      </c>
      <c r="B1606">
        <v>2013</v>
      </c>
      <c r="C1606" t="s">
        <v>382</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c r="X1606" s="19">
        <f ca="1">DATE(LifeExpectancyData[[#This Row],[Year]],RANDBETWEEN(1,12),1)</f>
        <v>41548</v>
      </c>
    </row>
    <row r="1607" spans="1:24" x14ac:dyDescent="0.25">
      <c r="A1607" t="s">
        <v>485</v>
      </c>
      <c r="B1607">
        <v>2012</v>
      </c>
      <c r="C1607" t="s">
        <v>382</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c r="X1607" s="19">
        <f ca="1">DATE(LifeExpectancyData[[#This Row],[Year]],RANDBETWEEN(1,12),1)</f>
        <v>40940</v>
      </c>
    </row>
    <row r="1608" spans="1:24" x14ac:dyDescent="0.25">
      <c r="A1608" t="s">
        <v>485</v>
      </c>
      <c r="B1608">
        <v>2011</v>
      </c>
      <c r="C1608" t="s">
        <v>382</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c r="X1608" s="19">
        <f ca="1">DATE(LifeExpectancyData[[#This Row],[Year]],RANDBETWEEN(1,12),1)</f>
        <v>40817</v>
      </c>
    </row>
    <row r="1609" spans="1:24" x14ac:dyDescent="0.25">
      <c r="A1609" t="s">
        <v>485</v>
      </c>
      <c r="B1609">
        <v>2010</v>
      </c>
      <c r="C1609" t="s">
        <v>382</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c r="X1609" s="19">
        <f ca="1">DATE(LifeExpectancyData[[#This Row],[Year]],RANDBETWEEN(1,12),1)</f>
        <v>40179</v>
      </c>
    </row>
    <row r="1610" spans="1:24" x14ac:dyDescent="0.25">
      <c r="A1610" t="s">
        <v>485</v>
      </c>
      <c r="B1610">
        <v>2009</v>
      </c>
      <c r="C1610" t="s">
        <v>382</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c r="X1610" s="19">
        <f ca="1">DATE(LifeExpectancyData[[#This Row],[Year]],RANDBETWEEN(1,12),1)</f>
        <v>39995</v>
      </c>
    </row>
    <row r="1611" spans="1:24" x14ac:dyDescent="0.25">
      <c r="A1611" t="s">
        <v>485</v>
      </c>
      <c r="B1611">
        <v>2008</v>
      </c>
      <c r="C1611" t="s">
        <v>382</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c r="X1611" s="19">
        <f ca="1">DATE(LifeExpectancyData[[#This Row],[Year]],RANDBETWEEN(1,12),1)</f>
        <v>39600</v>
      </c>
    </row>
    <row r="1612" spans="1:24" x14ac:dyDescent="0.25">
      <c r="A1612" t="s">
        <v>485</v>
      </c>
      <c r="B1612">
        <v>2007</v>
      </c>
      <c r="C1612" t="s">
        <v>382</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c r="X1612" s="19">
        <f ca="1">DATE(LifeExpectancyData[[#This Row],[Year]],RANDBETWEEN(1,12),1)</f>
        <v>39417</v>
      </c>
    </row>
    <row r="1613" spans="1:24" x14ac:dyDescent="0.25">
      <c r="A1613" t="s">
        <v>485</v>
      </c>
      <c r="B1613">
        <v>2006</v>
      </c>
      <c r="C1613" t="s">
        <v>382</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c r="X1613" s="19">
        <f ca="1">DATE(LifeExpectancyData[[#This Row],[Year]],RANDBETWEEN(1,12),1)</f>
        <v>38961</v>
      </c>
    </row>
    <row r="1614" spans="1:24" x14ac:dyDescent="0.25">
      <c r="A1614" t="s">
        <v>485</v>
      </c>
      <c r="B1614">
        <v>2005</v>
      </c>
      <c r="C1614" t="s">
        <v>382</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c r="X1614" s="19">
        <f ca="1">DATE(LifeExpectancyData[[#This Row],[Year]],RANDBETWEEN(1,12),1)</f>
        <v>38384</v>
      </c>
    </row>
    <row r="1615" spans="1:24" x14ac:dyDescent="0.25">
      <c r="A1615" t="s">
        <v>485</v>
      </c>
      <c r="B1615">
        <v>2004</v>
      </c>
      <c r="C1615" t="s">
        <v>382</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c r="X1615" s="19">
        <f ca="1">DATE(LifeExpectancyData[[#This Row],[Year]],RANDBETWEEN(1,12),1)</f>
        <v>38231</v>
      </c>
    </row>
    <row r="1616" spans="1:24" x14ac:dyDescent="0.25">
      <c r="A1616" t="s">
        <v>485</v>
      </c>
      <c r="B1616">
        <v>2003</v>
      </c>
      <c r="C1616" t="s">
        <v>382</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c r="X1616" s="19">
        <f ca="1">DATE(LifeExpectancyData[[#This Row],[Year]],RANDBETWEEN(1,12),1)</f>
        <v>37773</v>
      </c>
    </row>
    <row r="1617" spans="1:24" x14ac:dyDescent="0.25">
      <c r="A1617" t="s">
        <v>485</v>
      </c>
      <c r="B1617">
        <v>2002</v>
      </c>
      <c r="C1617" t="s">
        <v>382</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c r="X1617" s="19">
        <f ca="1">DATE(LifeExpectancyData[[#This Row],[Year]],RANDBETWEEN(1,12),1)</f>
        <v>37316</v>
      </c>
    </row>
    <row r="1618" spans="1:24" x14ac:dyDescent="0.25">
      <c r="A1618" t="s">
        <v>485</v>
      </c>
      <c r="B1618">
        <v>2001</v>
      </c>
      <c r="C1618" t="s">
        <v>382</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c r="X1618" s="19">
        <f ca="1">DATE(LifeExpectancyData[[#This Row],[Year]],RANDBETWEEN(1,12),1)</f>
        <v>36951</v>
      </c>
    </row>
    <row r="1619" spans="1:24" x14ac:dyDescent="0.25">
      <c r="A1619" t="s">
        <v>485</v>
      </c>
      <c r="B1619">
        <v>2000</v>
      </c>
      <c r="C1619" t="s">
        <v>382</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c r="X1619" s="19">
        <f ca="1">DATE(LifeExpectancyData[[#This Row],[Year]],RANDBETWEEN(1,12),1)</f>
        <v>36678</v>
      </c>
    </row>
    <row r="1620" spans="1:24" x14ac:dyDescent="0.25">
      <c r="A1620" t="s">
        <v>486</v>
      </c>
      <c r="B1620">
        <v>2015</v>
      </c>
      <c r="C1620" t="s">
        <v>382</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c r="X1620" s="19">
        <f ca="1">DATE(LifeExpectancyData[[#This Row],[Year]],RANDBETWEEN(1,12),1)</f>
        <v>42248</v>
      </c>
    </row>
    <row r="1621" spans="1:24" x14ac:dyDescent="0.25">
      <c r="A1621" t="s">
        <v>486</v>
      </c>
      <c r="B1621">
        <v>2014</v>
      </c>
      <c r="C1621" t="s">
        <v>382</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c r="X1621" s="19">
        <f ca="1">DATE(LifeExpectancyData[[#This Row],[Year]],RANDBETWEEN(1,12),1)</f>
        <v>41821</v>
      </c>
    </row>
    <row r="1622" spans="1:24" x14ac:dyDescent="0.25">
      <c r="A1622" t="s">
        <v>486</v>
      </c>
      <c r="B1622">
        <v>2013</v>
      </c>
      <c r="C1622" t="s">
        <v>382</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c r="X1622" s="19">
        <f ca="1">DATE(LifeExpectancyData[[#This Row],[Year]],RANDBETWEEN(1,12),1)</f>
        <v>41426</v>
      </c>
    </row>
    <row r="1623" spans="1:24" x14ac:dyDescent="0.25">
      <c r="A1623" t="s">
        <v>486</v>
      </c>
      <c r="B1623">
        <v>2012</v>
      </c>
      <c r="C1623" t="s">
        <v>382</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c r="X1623" s="19">
        <f ca="1">DATE(LifeExpectancyData[[#This Row],[Year]],RANDBETWEEN(1,12),1)</f>
        <v>41030</v>
      </c>
    </row>
    <row r="1624" spans="1:24" x14ac:dyDescent="0.25">
      <c r="A1624" t="s">
        <v>486</v>
      </c>
      <c r="B1624">
        <v>2011</v>
      </c>
      <c r="C1624" t="s">
        <v>382</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c r="X1624" s="19">
        <f ca="1">DATE(LifeExpectancyData[[#This Row],[Year]],RANDBETWEEN(1,12),1)</f>
        <v>40848</v>
      </c>
    </row>
    <row r="1625" spans="1:24" x14ac:dyDescent="0.25">
      <c r="A1625" t="s">
        <v>486</v>
      </c>
      <c r="B1625">
        <v>2010</v>
      </c>
      <c r="C1625" t="s">
        <v>382</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c r="X1625" s="19">
        <f ca="1">DATE(LifeExpectancyData[[#This Row],[Year]],RANDBETWEEN(1,12),1)</f>
        <v>40360</v>
      </c>
    </row>
    <row r="1626" spans="1:24" x14ac:dyDescent="0.25">
      <c r="A1626" t="s">
        <v>486</v>
      </c>
      <c r="B1626">
        <v>2009</v>
      </c>
      <c r="C1626" t="s">
        <v>382</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c r="X1626" s="19">
        <f ca="1">DATE(LifeExpectancyData[[#This Row],[Year]],RANDBETWEEN(1,12),1)</f>
        <v>39814</v>
      </c>
    </row>
    <row r="1627" spans="1:24" x14ac:dyDescent="0.25">
      <c r="A1627" t="s">
        <v>486</v>
      </c>
      <c r="B1627">
        <v>2008</v>
      </c>
      <c r="C1627" t="s">
        <v>382</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c r="X1627" s="19">
        <f ca="1">DATE(LifeExpectancyData[[#This Row],[Year]],RANDBETWEEN(1,12),1)</f>
        <v>39661</v>
      </c>
    </row>
    <row r="1628" spans="1:24" x14ac:dyDescent="0.25">
      <c r="A1628" t="s">
        <v>486</v>
      </c>
      <c r="B1628">
        <v>2007</v>
      </c>
      <c r="C1628" t="s">
        <v>382</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c r="X1628" s="19">
        <f ca="1">DATE(LifeExpectancyData[[#This Row],[Year]],RANDBETWEEN(1,12),1)</f>
        <v>39417</v>
      </c>
    </row>
    <row r="1629" spans="1:24" x14ac:dyDescent="0.25">
      <c r="A1629" t="s">
        <v>486</v>
      </c>
      <c r="B1629">
        <v>2006</v>
      </c>
      <c r="C1629" t="s">
        <v>382</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c r="X1629" s="19">
        <f ca="1">DATE(LifeExpectancyData[[#This Row],[Year]],RANDBETWEEN(1,12),1)</f>
        <v>38899</v>
      </c>
    </row>
    <row r="1630" spans="1:24" x14ac:dyDescent="0.25">
      <c r="A1630" t="s">
        <v>486</v>
      </c>
      <c r="B1630">
        <v>2005</v>
      </c>
      <c r="C1630" t="s">
        <v>382</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c r="X1630" s="19">
        <f ca="1">DATE(LifeExpectancyData[[#This Row],[Year]],RANDBETWEEN(1,12),1)</f>
        <v>38504</v>
      </c>
    </row>
    <row r="1631" spans="1:24" x14ac:dyDescent="0.25">
      <c r="A1631" t="s">
        <v>486</v>
      </c>
      <c r="B1631">
        <v>2004</v>
      </c>
      <c r="C1631" t="s">
        <v>382</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c r="X1631" s="19">
        <f ca="1">DATE(LifeExpectancyData[[#This Row],[Year]],RANDBETWEEN(1,12),1)</f>
        <v>38047</v>
      </c>
    </row>
    <row r="1632" spans="1:24" x14ac:dyDescent="0.25">
      <c r="A1632" t="s">
        <v>486</v>
      </c>
      <c r="B1632">
        <v>2003</v>
      </c>
      <c r="C1632" t="s">
        <v>382</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c r="X1632" s="19">
        <f ca="1">DATE(LifeExpectancyData[[#This Row],[Year]],RANDBETWEEN(1,12),1)</f>
        <v>37803</v>
      </c>
    </row>
    <row r="1633" spans="1:24" x14ac:dyDescent="0.25">
      <c r="A1633" t="s">
        <v>486</v>
      </c>
      <c r="B1633">
        <v>2002</v>
      </c>
      <c r="C1633" t="s">
        <v>382</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c r="X1633" s="19">
        <f ca="1">DATE(LifeExpectancyData[[#This Row],[Year]],RANDBETWEEN(1,12),1)</f>
        <v>37408</v>
      </c>
    </row>
    <row r="1634" spans="1:24" x14ac:dyDescent="0.25">
      <c r="A1634" t="s">
        <v>486</v>
      </c>
      <c r="B1634">
        <v>2001</v>
      </c>
      <c r="C1634" t="s">
        <v>382</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c r="X1634" s="19">
        <f ca="1">DATE(LifeExpectancyData[[#This Row],[Year]],RANDBETWEEN(1,12),1)</f>
        <v>37104</v>
      </c>
    </row>
    <row r="1635" spans="1:24" x14ac:dyDescent="0.25">
      <c r="A1635" t="s">
        <v>486</v>
      </c>
      <c r="B1635">
        <v>2000</v>
      </c>
      <c r="C1635" t="s">
        <v>382</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c r="X1635" s="19">
        <f ca="1">DATE(LifeExpectancyData[[#This Row],[Year]],RANDBETWEEN(1,12),1)</f>
        <v>36617</v>
      </c>
    </row>
    <row r="1636" spans="1:24" x14ac:dyDescent="0.25">
      <c r="A1636" t="s">
        <v>487</v>
      </c>
      <c r="B1636">
        <v>2015</v>
      </c>
      <c r="C1636" t="s">
        <v>390</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c r="X1636" s="19">
        <f ca="1">DATE(LifeExpectancyData[[#This Row],[Year]],RANDBETWEEN(1,12),1)</f>
        <v>42064</v>
      </c>
    </row>
    <row r="1637" spans="1:24" x14ac:dyDescent="0.25">
      <c r="A1637" t="s">
        <v>487</v>
      </c>
      <c r="B1637">
        <v>2014</v>
      </c>
      <c r="C1637" t="s">
        <v>390</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c r="X1637" s="19">
        <f ca="1">DATE(LifeExpectancyData[[#This Row],[Year]],RANDBETWEEN(1,12),1)</f>
        <v>41883</v>
      </c>
    </row>
    <row r="1638" spans="1:24" x14ac:dyDescent="0.25">
      <c r="A1638" t="s">
        <v>487</v>
      </c>
      <c r="B1638">
        <v>2013</v>
      </c>
      <c r="C1638" t="s">
        <v>390</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c r="X1638" s="19">
        <f ca="1">DATE(LifeExpectancyData[[#This Row],[Year]],RANDBETWEEN(1,12),1)</f>
        <v>41518</v>
      </c>
    </row>
    <row r="1639" spans="1:24" x14ac:dyDescent="0.25">
      <c r="A1639" t="s">
        <v>487</v>
      </c>
      <c r="B1639">
        <v>2012</v>
      </c>
      <c r="C1639" t="s">
        <v>390</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c r="X1639" s="19">
        <f ca="1">DATE(LifeExpectancyData[[#This Row],[Year]],RANDBETWEEN(1,12),1)</f>
        <v>40940</v>
      </c>
    </row>
    <row r="1640" spans="1:24" x14ac:dyDescent="0.25">
      <c r="A1640" t="s">
        <v>487</v>
      </c>
      <c r="B1640">
        <v>2011</v>
      </c>
      <c r="C1640" t="s">
        <v>390</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c r="X1640" s="19">
        <f ca="1">DATE(LifeExpectancyData[[#This Row],[Year]],RANDBETWEEN(1,12),1)</f>
        <v>40664</v>
      </c>
    </row>
    <row r="1641" spans="1:24" x14ac:dyDescent="0.25">
      <c r="A1641" t="s">
        <v>487</v>
      </c>
      <c r="B1641">
        <v>2010</v>
      </c>
      <c r="C1641" t="s">
        <v>390</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c r="X1641" s="19">
        <f ca="1">DATE(LifeExpectancyData[[#This Row],[Year]],RANDBETWEEN(1,12),1)</f>
        <v>40179</v>
      </c>
    </row>
    <row r="1642" spans="1:24" x14ac:dyDescent="0.25">
      <c r="A1642" t="s">
        <v>487</v>
      </c>
      <c r="B1642">
        <v>2009</v>
      </c>
      <c r="C1642" t="s">
        <v>390</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c r="X1642" s="19">
        <f ca="1">DATE(LifeExpectancyData[[#This Row],[Year]],RANDBETWEEN(1,12),1)</f>
        <v>39904</v>
      </c>
    </row>
    <row r="1643" spans="1:24" x14ac:dyDescent="0.25">
      <c r="A1643" t="s">
        <v>487</v>
      </c>
      <c r="B1643">
        <v>2008</v>
      </c>
      <c r="C1643" t="s">
        <v>390</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c r="X1643" s="19">
        <f ca="1">DATE(LifeExpectancyData[[#This Row],[Year]],RANDBETWEEN(1,12),1)</f>
        <v>39448</v>
      </c>
    </row>
    <row r="1644" spans="1:24" x14ac:dyDescent="0.25">
      <c r="A1644" t="s">
        <v>487</v>
      </c>
      <c r="B1644">
        <v>2007</v>
      </c>
      <c r="C1644" t="s">
        <v>390</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c r="X1644" s="19">
        <f ca="1">DATE(LifeExpectancyData[[#This Row],[Year]],RANDBETWEEN(1,12),1)</f>
        <v>39083</v>
      </c>
    </row>
    <row r="1645" spans="1:24" x14ac:dyDescent="0.25">
      <c r="A1645" t="s">
        <v>487</v>
      </c>
      <c r="B1645">
        <v>2006</v>
      </c>
      <c r="C1645" t="s">
        <v>390</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c r="X1645" s="19">
        <f ca="1">DATE(LifeExpectancyData[[#This Row],[Year]],RANDBETWEEN(1,12),1)</f>
        <v>38869</v>
      </c>
    </row>
    <row r="1646" spans="1:24" x14ac:dyDescent="0.25">
      <c r="A1646" t="s">
        <v>487</v>
      </c>
      <c r="B1646">
        <v>2005</v>
      </c>
      <c r="C1646" t="s">
        <v>390</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c r="X1646" s="19">
        <f ca="1">DATE(LifeExpectancyData[[#This Row],[Year]],RANDBETWEEN(1,12),1)</f>
        <v>38687</v>
      </c>
    </row>
    <row r="1647" spans="1:24" x14ac:dyDescent="0.25">
      <c r="A1647" t="s">
        <v>487</v>
      </c>
      <c r="B1647">
        <v>2004</v>
      </c>
      <c r="C1647" t="s">
        <v>390</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c r="X1647" s="19">
        <f ca="1">DATE(LifeExpectancyData[[#This Row],[Year]],RANDBETWEEN(1,12),1)</f>
        <v>38139</v>
      </c>
    </row>
    <row r="1648" spans="1:24" x14ac:dyDescent="0.25">
      <c r="A1648" t="s">
        <v>487</v>
      </c>
      <c r="B1648">
        <v>2003</v>
      </c>
      <c r="C1648" t="s">
        <v>390</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c r="X1648" s="19">
        <f ca="1">DATE(LifeExpectancyData[[#This Row],[Year]],RANDBETWEEN(1,12),1)</f>
        <v>37773</v>
      </c>
    </row>
    <row r="1649" spans="1:24" x14ac:dyDescent="0.25">
      <c r="A1649" t="s">
        <v>487</v>
      </c>
      <c r="B1649">
        <v>2002</v>
      </c>
      <c r="C1649" t="s">
        <v>390</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c r="X1649" s="19">
        <f ca="1">DATE(LifeExpectancyData[[#This Row],[Year]],RANDBETWEEN(1,12),1)</f>
        <v>37500</v>
      </c>
    </row>
    <row r="1650" spans="1:24" x14ac:dyDescent="0.25">
      <c r="A1650" t="s">
        <v>487</v>
      </c>
      <c r="B1650">
        <v>2001</v>
      </c>
      <c r="C1650" t="s">
        <v>390</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c r="X1650" s="19">
        <f ca="1">DATE(LifeExpectancyData[[#This Row],[Year]],RANDBETWEEN(1,12),1)</f>
        <v>37104</v>
      </c>
    </row>
    <row r="1651" spans="1:24" x14ac:dyDescent="0.25">
      <c r="A1651" t="s">
        <v>487</v>
      </c>
      <c r="B1651">
        <v>2000</v>
      </c>
      <c r="C1651" t="s">
        <v>390</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c r="X1651" s="19">
        <f ca="1">DATE(LifeExpectancyData[[#This Row],[Year]],RANDBETWEEN(1,12),1)</f>
        <v>36526</v>
      </c>
    </row>
    <row r="1652" spans="1:24" x14ac:dyDescent="0.25">
      <c r="A1652" t="s">
        <v>488</v>
      </c>
      <c r="B1652">
        <v>2013</v>
      </c>
      <c r="C1652" t="s">
        <v>382</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c r="X1652" s="19">
        <f ca="1">DATE(LifeExpectancyData[[#This Row],[Year]],RANDBETWEEN(1,12),1)</f>
        <v>41426</v>
      </c>
    </row>
    <row r="1653" spans="1:24" x14ac:dyDescent="0.25">
      <c r="A1653" t="s">
        <v>489</v>
      </c>
      <c r="B1653">
        <v>2015</v>
      </c>
      <c r="C1653" t="s">
        <v>382</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c r="X1653" s="19">
        <f ca="1">DATE(LifeExpectancyData[[#This Row],[Year]],RANDBETWEEN(1,12),1)</f>
        <v>42095</v>
      </c>
    </row>
    <row r="1654" spans="1:24" x14ac:dyDescent="0.25">
      <c r="A1654" t="s">
        <v>489</v>
      </c>
      <c r="B1654">
        <v>2014</v>
      </c>
      <c r="C1654" t="s">
        <v>382</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c r="X1654" s="19">
        <f ca="1">DATE(LifeExpectancyData[[#This Row],[Year]],RANDBETWEEN(1,12),1)</f>
        <v>41730</v>
      </c>
    </row>
    <row r="1655" spans="1:24" x14ac:dyDescent="0.25">
      <c r="A1655" t="s">
        <v>489</v>
      </c>
      <c r="B1655">
        <v>2013</v>
      </c>
      <c r="C1655" t="s">
        <v>382</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c r="X1655" s="19">
        <f ca="1">DATE(LifeExpectancyData[[#This Row],[Year]],RANDBETWEEN(1,12),1)</f>
        <v>41334</v>
      </c>
    </row>
    <row r="1656" spans="1:24" x14ac:dyDescent="0.25">
      <c r="A1656" t="s">
        <v>489</v>
      </c>
      <c r="B1656">
        <v>2012</v>
      </c>
      <c r="C1656" t="s">
        <v>382</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c r="X1656" s="19">
        <f ca="1">DATE(LifeExpectancyData[[#This Row],[Year]],RANDBETWEEN(1,12),1)</f>
        <v>40969</v>
      </c>
    </row>
    <row r="1657" spans="1:24" x14ac:dyDescent="0.25">
      <c r="A1657" t="s">
        <v>489</v>
      </c>
      <c r="B1657">
        <v>2011</v>
      </c>
      <c r="C1657" t="s">
        <v>382</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c r="X1657" s="19">
        <f ca="1">DATE(LifeExpectancyData[[#This Row],[Year]],RANDBETWEEN(1,12),1)</f>
        <v>40575</v>
      </c>
    </row>
    <row r="1658" spans="1:24" x14ac:dyDescent="0.25">
      <c r="A1658" t="s">
        <v>489</v>
      </c>
      <c r="B1658">
        <v>2010</v>
      </c>
      <c r="C1658" t="s">
        <v>382</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c r="X1658" s="19">
        <f ca="1">DATE(LifeExpectancyData[[#This Row],[Year]],RANDBETWEEN(1,12),1)</f>
        <v>40513</v>
      </c>
    </row>
    <row r="1659" spans="1:24" x14ac:dyDescent="0.25">
      <c r="A1659" t="s">
        <v>489</v>
      </c>
      <c r="B1659">
        <v>2009</v>
      </c>
      <c r="C1659" t="s">
        <v>382</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c r="X1659" s="19">
        <f ca="1">DATE(LifeExpectancyData[[#This Row],[Year]],RANDBETWEEN(1,12),1)</f>
        <v>40057</v>
      </c>
    </row>
    <row r="1660" spans="1:24" x14ac:dyDescent="0.25">
      <c r="A1660" t="s">
        <v>489</v>
      </c>
      <c r="B1660">
        <v>2008</v>
      </c>
      <c r="C1660" t="s">
        <v>382</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c r="X1660" s="19">
        <f ca="1">DATE(LifeExpectancyData[[#This Row],[Year]],RANDBETWEEN(1,12),1)</f>
        <v>39448</v>
      </c>
    </row>
    <row r="1661" spans="1:24" x14ac:dyDescent="0.25">
      <c r="A1661" t="s">
        <v>489</v>
      </c>
      <c r="B1661">
        <v>2007</v>
      </c>
      <c r="C1661" t="s">
        <v>382</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c r="X1661" s="19">
        <f ca="1">DATE(LifeExpectancyData[[#This Row],[Year]],RANDBETWEEN(1,12),1)</f>
        <v>39173</v>
      </c>
    </row>
    <row r="1662" spans="1:24" x14ac:dyDescent="0.25">
      <c r="A1662" t="s">
        <v>489</v>
      </c>
      <c r="B1662">
        <v>2006</v>
      </c>
      <c r="C1662" t="s">
        <v>382</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c r="X1662" s="19">
        <f ca="1">DATE(LifeExpectancyData[[#This Row],[Year]],RANDBETWEEN(1,12),1)</f>
        <v>38930</v>
      </c>
    </row>
    <row r="1663" spans="1:24" x14ac:dyDescent="0.25">
      <c r="A1663" t="s">
        <v>489</v>
      </c>
      <c r="B1663">
        <v>2005</v>
      </c>
      <c r="C1663" t="s">
        <v>382</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c r="X1663" s="19">
        <f ca="1">DATE(LifeExpectancyData[[#This Row],[Year]],RANDBETWEEN(1,12),1)</f>
        <v>38412</v>
      </c>
    </row>
    <row r="1664" spans="1:24" x14ac:dyDescent="0.25">
      <c r="A1664" t="s">
        <v>489</v>
      </c>
      <c r="B1664">
        <v>2004</v>
      </c>
      <c r="C1664" t="s">
        <v>382</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c r="X1664" s="19">
        <f ca="1">DATE(LifeExpectancyData[[#This Row],[Year]],RANDBETWEEN(1,12),1)</f>
        <v>38322</v>
      </c>
    </row>
    <row r="1665" spans="1:24" x14ac:dyDescent="0.25">
      <c r="A1665" t="s">
        <v>489</v>
      </c>
      <c r="B1665">
        <v>2003</v>
      </c>
      <c r="C1665" t="s">
        <v>382</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c r="X1665" s="19">
        <f ca="1">DATE(LifeExpectancyData[[#This Row],[Year]],RANDBETWEEN(1,12),1)</f>
        <v>37834</v>
      </c>
    </row>
    <row r="1666" spans="1:24" x14ac:dyDescent="0.25">
      <c r="A1666" t="s">
        <v>489</v>
      </c>
      <c r="B1666">
        <v>2002</v>
      </c>
      <c r="C1666" t="s">
        <v>382</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c r="X1666" s="19">
        <f ca="1">DATE(LifeExpectancyData[[#This Row],[Year]],RANDBETWEEN(1,12),1)</f>
        <v>37438</v>
      </c>
    </row>
    <row r="1667" spans="1:24" x14ac:dyDescent="0.25">
      <c r="A1667" t="s">
        <v>489</v>
      </c>
      <c r="B1667">
        <v>2001</v>
      </c>
      <c r="C1667" t="s">
        <v>382</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c r="X1667" s="19">
        <f ca="1">DATE(LifeExpectancyData[[#This Row],[Year]],RANDBETWEEN(1,12),1)</f>
        <v>37104</v>
      </c>
    </row>
    <row r="1668" spans="1:24" x14ac:dyDescent="0.25">
      <c r="A1668" t="s">
        <v>489</v>
      </c>
      <c r="B1668">
        <v>2000</v>
      </c>
      <c r="C1668" t="s">
        <v>382</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c r="X1668" s="19">
        <f ca="1">DATE(LifeExpectancyData[[#This Row],[Year]],RANDBETWEEN(1,12),1)</f>
        <v>36617</v>
      </c>
    </row>
    <row r="1669" spans="1:24" x14ac:dyDescent="0.25">
      <c r="A1669" t="s">
        <v>490</v>
      </c>
      <c r="B1669">
        <v>2015</v>
      </c>
      <c r="C1669" t="s">
        <v>382</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c r="X1669" s="19">
        <f ca="1">DATE(LifeExpectancyData[[#This Row],[Year]],RANDBETWEEN(1,12),1)</f>
        <v>42095</v>
      </c>
    </row>
    <row r="1670" spans="1:24" x14ac:dyDescent="0.25">
      <c r="A1670" t="s">
        <v>490</v>
      </c>
      <c r="B1670">
        <v>2014</v>
      </c>
      <c r="C1670" t="s">
        <v>382</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c r="X1670" s="19">
        <f ca="1">DATE(LifeExpectancyData[[#This Row],[Year]],RANDBETWEEN(1,12),1)</f>
        <v>41640</v>
      </c>
    </row>
    <row r="1671" spans="1:24" x14ac:dyDescent="0.25">
      <c r="A1671" t="s">
        <v>490</v>
      </c>
      <c r="B1671">
        <v>2013</v>
      </c>
      <c r="C1671" t="s">
        <v>382</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c r="X1671" s="19">
        <f ca="1">DATE(LifeExpectancyData[[#This Row],[Year]],RANDBETWEEN(1,12),1)</f>
        <v>41365</v>
      </c>
    </row>
    <row r="1672" spans="1:24" x14ac:dyDescent="0.25">
      <c r="A1672" t="s">
        <v>490</v>
      </c>
      <c r="B1672">
        <v>2012</v>
      </c>
      <c r="C1672" t="s">
        <v>382</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c r="X1672" s="19">
        <f ca="1">DATE(LifeExpectancyData[[#This Row],[Year]],RANDBETWEEN(1,12),1)</f>
        <v>41153</v>
      </c>
    </row>
    <row r="1673" spans="1:24" x14ac:dyDescent="0.25">
      <c r="A1673" t="s">
        <v>490</v>
      </c>
      <c r="B1673">
        <v>2011</v>
      </c>
      <c r="C1673" t="s">
        <v>382</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c r="X1673" s="19">
        <f ca="1">DATE(LifeExpectancyData[[#This Row],[Year]],RANDBETWEEN(1,12),1)</f>
        <v>40756</v>
      </c>
    </row>
    <row r="1674" spans="1:24" x14ac:dyDescent="0.25">
      <c r="A1674" t="s">
        <v>490</v>
      </c>
      <c r="B1674">
        <v>2010</v>
      </c>
      <c r="C1674" t="s">
        <v>382</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c r="X1674" s="19">
        <f ca="1">DATE(LifeExpectancyData[[#This Row],[Year]],RANDBETWEEN(1,12),1)</f>
        <v>40360</v>
      </c>
    </row>
    <row r="1675" spans="1:24" x14ac:dyDescent="0.25">
      <c r="A1675" t="s">
        <v>490</v>
      </c>
      <c r="B1675">
        <v>2009</v>
      </c>
      <c r="C1675" t="s">
        <v>382</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c r="X1675" s="19">
        <f ca="1">DATE(LifeExpectancyData[[#This Row],[Year]],RANDBETWEEN(1,12),1)</f>
        <v>39873</v>
      </c>
    </row>
    <row r="1676" spans="1:24" x14ac:dyDescent="0.25">
      <c r="A1676" t="s">
        <v>490</v>
      </c>
      <c r="B1676">
        <v>2008</v>
      </c>
      <c r="C1676" t="s">
        <v>382</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c r="X1676" s="19">
        <f ca="1">DATE(LifeExpectancyData[[#This Row],[Year]],RANDBETWEEN(1,12),1)</f>
        <v>39753</v>
      </c>
    </row>
    <row r="1677" spans="1:24" x14ac:dyDescent="0.25">
      <c r="A1677" t="s">
        <v>490</v>
      </c>
      <c r="B1677">
        <v>2007</v>
      </c>
      <c r="C1677" t="s">
        <v>382</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c r="X1677" s="19">
        <f ca="1">DATE(LifeExpectancyData[[#This Row],[Year]],RANDBETWEEN(1,12),1)</f>
        <v>39083</v>
      </c>
    </row>
    <row r="1678" spans="1:24" x14ac:dyDescent="0.25">
      <c r="A1678" t="s">
        <v>490</v>
      </c>
      <c r="B1678">
        <v>2006</v>
      </c>
      <c r="C1678" t="s">
        <v>382</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c r="X1678" s="19">
        <f ca="1">DATE(LifeExpectancyData[[#This Row],[Year]],RANDBETWEEN(1,12),1)</f>
        <v>38749</v>
      </c>
    </row>
    <row r="1679" spans="1:24" x14ac:dyDescent="0.25">
      <c r="A1679" t="s">
        <v>490</v>
      </c>
      <c r="B1679">
        <v>2005</v>
      </c>
      <c r="C1679" t="s">
        <v>382</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c r="X1679" s="19">
        <f ca="1">DATE(LifeExpectancyData[[#This Row],[Year]],RANDBETWEEN(1,12),1)</f>
        <v>38565</v>
      </c>
    </row>
    <row r="1680" spans="1:24" x14ac:dyDescent="0.25">
      <c r="A1680" t="s">
        <v>490</v>
      </c>
      <c r="B1680">
        <v>2004</v>
      </c>
      <c r="C1680" t="s">
        <v>382</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c r="X1680" s="19">
        <f ca="1">DATE(LifeExpectancyData[[#This Row],[Year]],RANDBETWEEN(1,12),1)</f>
        <v>38322</v>
      </c>
    </row>
    <row r="1681" spans="1:24" x14ac:dyDescent="0.25">
      <c r="A1681" t="s">
        <v>490</v>
      </c>
      <c r="B1681">
        <v>2003</v>
      </c>
      <c r="C1681" t="s">
        <v>382</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c r="X1681" s="19">
        <f ca="1">DATE(LifeExpectancyData[[#This Row],[Year]],RANDBETWEEN(1,12),1)</f>
        <v>37926</v>
      </c>
    </row>
    <row r="1682" spans="1:24" x14ac:dyDescent="0.25">
      <c r="A1682" t="s">
        <v>490</v>
      </c>
      <c r="B1682">
        <v>2002</v>
      </c>
      <c r="C1682" t="s">
        <v>382</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c r="X1682" s="19">
        <f ca="1">DATE(LifeExpectancyData[[#This Row],[Year]],RANDBETWEEN(1,12),1)</f>
        <v>37561</v>
      </c>
    </row>
    <row r="1683" spans="1:24" x14ac:dyDescent="0.25">
      <c r="A1683" t="s">
        <v>490</v>
      </c>
      <c r="B1683">
        <v>2001</v>
      </c>
      <c r="C1683" t="s">
        <v>382</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c r="X1683" s="19">
        <f ca="1">DATE(LifeExpectancyData[[#This Row],[Year]],RANDBETWEEN(1,12),1)</f>
        <v>37012</v>
      </c>
    </row>
    <row r="1684" spans="1:24" x14ac:dyDescent="0.25">
      <c r="A1684" t="s">
        <v>490</v>
      </c>
      <c r="B1684">
        <v>2000</v>
      </c>
      <c r="C1684" t="s">
        <v>382</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c r="X1684" s="19">
        <f ca="1">DATE(LifeExpectancyData[[#This Row],[Year]],RANDBETWEEN(1,12),1)</f>
        <v>36586</v>
      </c>
    </row>
    <row r="1685" spans="1:24" x14ac:dyDescent="0.25">
      <c r="A1685" t="s">
        <v>491</v>
      </c>
      <c r="B1685">
        <v>2015</v>
      </c>
      <c r="C1685" t="s">
        <v>382</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c r="X1685" s="19">
        <f ca="1">DATE(LifeExpectancyData[[#This Row],[Year]],RANDBETWEEN(1,12),1)</f>
        <v>42095</v>
      </c>
    </row>
    <row r="1686" spans="1:24" x14ac:dyDescent="0.25">
      <c r="A1686" t="s">
        <v>491</v>
      </c>
      <c r="B1686">
        <v>2014</v>
      </c>
      <c r="C1686" t="s">
        <v>382</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c r="X1686" s="19">
        <f ca="1">DATE(LifeExpectancyData[[#This Row],[Year]],RANDBETWEEN(1,12),1)</f>
        <v>41913</v>
      </c>
    </row>
    <row r="1687" spans="1:24" x14ac:dyDescent="0.25">
      <c r="A1687" t="s">
        <v>491</v>
      </c>
      <c r="B1687">
        <v>2013</v>
      </c>
      <c r="C1687" t="s">
        <v>382</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c r="X1687" s="19">
        <f ca="1">DATE(LifeExpectancyData[[#This Row],[Year]],RANDBETWEEN(1,12),1)</f>
        <v>41548</v>
      </c>
    </row>
    <row r="1688" spans="1:24" x14ac:dyDescent="0.25">
      <c r="A1688" t="s">
        <v>491</v>
      </c>
      <c r="B1688">
        <v>2012</v>
      </c>
      <c r="C1688" t="s">
        <v>382</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c r="X1688" s="19">
        <f ca="1">DATE(LifeExpectancyData[[#This Row],[Year]],RANDBETWEEN(1,12),1)</f>
        <v>40969</v>
      </c>
    </row>
    <row r="1689" spans="1:24" x14ac:dyDescent="0.25">
      <c r="A1689" t="s">
        <v>491</v>
      </c>
      <c r="B1689">
        <v>2011</v>
      </c>
      <c r="C1689" t="s">
        <v>382</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c r="X1689" s="19">
        <f ca="1">DATE(LifeExpectancyData[[#This Row],[Year]],RANDBETWEEN(1,12),1)</f>
        <v>40634</v>
      </c>
    </row>
    <row r="1690" spans="1:24" x14ac:dyDescent="0.25">
      <c r="A1690" t="s">
        <v>491</v>
      </c>
      <c r="B1690">
        <v>2010</v>
      </c>
      <c r="C1690" t="s">
        <v>382</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c r="X1690" s="19">
        <f ca="1">DATE(LifeExpectancyData[[#This Row],[Year]],RANDBETWEEN(1,12),1)</f>
        <v>40238</v>
      </c>
    </row>
    <row r="1691" spans="1:24" x14ac:dyDescent="0.25">
      <c r="A1691" t="s">
        <v>491</v>
      </c>
      <c r="B1691">
        <v>2009</v>
      </c>
      <c r="C1691" t="s">
        <v>382</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c r="X1691" s="19">
        <f ca="1">DATE(LifeExpectancyData[[#This Row],[Year]],RANDBETWEEN(1,12),1)</f>
        <v>40087</v>
      </c>
    </row>
    <row r="1692" spans="1:24" x14ac:dyDescent="0.25">
      <c r="A1692" t="s">
        <v>491</v>
      </c>
      <c r="B1692">
        <v>2008</v>
      </c>
      <c r="C1692" t="s">
        <v>382</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c r="X1692" s="19">
        <f ca="1">DATE(LifeExpectancyData[[#This Row],[Year]],RANDBETWEEN(1,12),1)</f>
        <v>39600</v>
      </c>
    </row>
    <row r="1693" spans="1:24" x14ac:dyDescent="0.25">
      <c r="A1693" t="s">
        <v>491</v>
      </c>
      <c r="B1693">
        <v>2007</v>
      </c>
      <c r="C1693" t="s">
        <v>382</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c r="X1693" s="19">
        <f ca="1">DATE(LifeExpectancyData[[#This Row],[Year]],RANDBETWEEN(1,12),1)</f>
        <v>39326</v>
      </c>
    </row>
    <row r="1694" spans="1:24" x14ac:dyDescent="0.25">
      <c r="A1694" t="s">
        <v>491</v>
      </c>
      <c r="B1694">
        <v>2006</v>
      </c>
      <c r="C1694" t="s">
        <v>382</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c r="X1694" s="19">
        <f ca="1">DATE(LifeExpectancyData[[#This Row],[Year]],RANDBETWEEN(1,12),1)</f>
        <v>39022</v>
      </c>
    </row>
    <row r="1695" spans="1:24" x14ac:dyDescent="0.25">
      <c r="A1695" t="s">
        <v>491</v>
      </c>
      <c r="B1695">
        <v>2005</v>
      </c>
      <c r="C1695" t="s">
        <v>382</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c r="X1695" s="19">
        <f ca="1">DATE(LifeExpectancyData[[#This Row],[Year]],RANDBETWEEN(1,12),1)</f>
        <v>38657</v>
      </c>
    </row>
    <row r="1696" spans="1:24" x14ac:dyDescent="0.25">
      <c r="A1696" t="s">
        <v>491</v>
      </c>
      <c r="B1696">
        <v>2004</v>
      </c>
      <c r="C1696" t="s">
        <v>382</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c r="X1696" s="19">
        <f ca="1">DATE(LifeExpectancyData[[#This Row],[Year]],RANDBETWEEN(1,12),1)</f>
        <v>38139</v>
      </c>
    </row>
    <row r="1697" spans="1:24" x14ac:dyDescent="0.25">
      <c r="A1697" t="s">
        <v>491</v>
      </c>
      <c r="B1697">
        <v>2003</v>
      </c>
      <c r="C1697" t="s">
        <v>382</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c r="X1697" s="19">
        <f ca="1">DATE(LifeExpectancyData[[#This Row],[Year]],RANDBETWEEN(1,12),1)</f>
        <v>37653</v>
      </c>
    </row>
    <row r="1698" spans="1:24" x14ac:dyDescent="0.25">
      <c r="A1698" t="s">
        <v>491</v>
      </c>
      <c r="B1698">
        <v>2002</v>
      </c>
      <c r="C1698" t="s">
        <v>382</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c r="X1698" s="19">
        <f ca="1">DATE(LifeExpectancyData[[#This Row],[Year]],RANDBETWEEN(1,12),1)</f>
        <v>37347</v>
      </c>
    </row>
    <row r="1699" spans="1:24" x14ac:dyDescent="0.25">
      <c r="A1699" t="s">
        <v>491</v>
      </c>
      <c r="B1699">
        <v>2001</v>
      </c>
      <c r="C1699" t="s">
        <v>382</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c r="X1699" s="19">
        <f ca="1">DATE(LifeExpectancyData[[#This Row],[Year]],RANDBETWEEN(1,12),1)</f>
        <v>37196</v>
      </c>
    </row>
    <row r="1700" spans="1:24" x14ac:dyDescent="0.25">
      <c r="A1700" t="s">
        <v>491</v>
      </c>
      <c r="B1700">
        <v>2000</v>
      </c>
      <c r="C1700" t="s">
        <v>382</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c r="X1700" s="19">
        <f ca="1">DATE(LifeExpectancyData[[#This Row],[Year]],RANDBETWEEN(1,12),1)</f>
        <v>36526</v>
      </c>
    </row>
    <row r="1701" spans="1:24" x14ac:dyDescent="0.25">
      <c r="A1701" t="s">
        <v>492</v>
      </c>
      <c r="B1701">
        <v>2015</v>
      </c>
      <c r="C1701" t="s">
        <v>382</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c r="X1701" s="19">
        <f ca="1">DATE(LifeExpectancyData[[#This Row],[Year]],RANDBETWEEN(1,12),1)</f>
        <v>42125</v>
      </c>
    </row>
    <row r="1702" spans="1:24" x14ac:dyDescent="0.25">
      <c r="A1702" t="s">
        <v>492</v>
      </c>
      <c r="B1702">
        <v>2014</v>
      </c>
      <c r="C1702" t="s">
        <v>382</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c r="X1702" s="19">
        <f ca="1">DATE(LifeExpectancyData[[#This Row],[Year]],RANDBETWEEN(1,12),1)</f>
        <v>41913</v>
      </c>
    </row>
    <row r="1703" spans="1:24" x14ac:dyDescent="0.25">
      <c r="A1703" t="s">
        <v>492</v>
      </c>
      <c r="B1703">
        <v>2013</v>
      </c>
      <c r="C1703" t="s">
        <v>382</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c r="X1703" s="19">
        <f ca="1">DATE(LifeExpectancyData[[#This Row],[Year]],RANDBETWEEN(1,12),1)</f>
        <v>41426</v>
      </c>
    </row>
    <row r="1704" spans="1:24" x14ac:dyDescent="0.25">
      <c r="A1704" t="s">
        <v>492</v>
      </c>
      <c r="B1704">
        <v>2012</v>
      </c>
      <c r="C1704" t="s">
        <v>382</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c r="X1704" s="19">
        <f ca="1">DATE(LifeExpectancyData[[#This Row],[Year]],RANDBETWEEN(1,12),1)</f>
        <v>40969</v>
      </c>
    </row>
    <row r="1705" spans="1:24" x14ac:dyDescent="0.25">
      <c r="A1705" t="s">
        <v>492</v>
      </c>
      <c r="B1705">
        <v>2011</v>
      </c>
      <c r="C1705" t="s">
        <v>382</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c r="X1705" s="19">
        <f ca="1">DATE(LifeExpectancyData[[#This Row],[Year]],RANDBETWEEN(1,12),1)</f>
        <v>40725</v>
      </c>
    </row>
    <row r="1706" spans="1:24" x14ac:dyDescent="0.25">
      <c r="A1706" t="s">
        <v>492</v>
      </c>
      <c r="B1706">
        <v>2010</v>
      </c>
      <c r="C1706" t="s">
        <v>382</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c r="X1706" s="19">
        <f ca="1">DATE(LifeExpectancyData[[#This Row],[Year]],RANDBETWEEN(1,12),1)</f>
        <v>40210</v>
      </c>
    </row>
    <row r="1707" spans="1:24" x14ac:dyDescent="0.25">
      <c r="A1707" t="s">
        <v>492</v>
      </c>
      <c r="B1707">
        <v>2009</v>
      </c>
      <c r="C1707" t="s">
        <v>382</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c r="X1707" s="19">
        <f ca="1">DATE(LifeExpectancyData[[#This Row],[Year]],RANDBETWEEN(1,12),1)</f>
        <v>39873</v>
      </c>
    </row>
    <row r="1708" spans="1:24" x14ac:dyDescent="0.25">
      <c r="A1708" t="s">
        <v>492</v>
      </c>
      <c r="B1708">
        <v>2008</v>
      </c>
      <c r="C1708" t="s">
        <v>382</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c r="X1708" s="19">
        <f ca="1">DATE(LifeExpectancyData[[#This Row],[Year]],RANDBETWEEN(1,12),1)</f>
        <v>39448</v>
      </c>
    </row>
    <row r="1709" spans="1:24" x14ac:dyDescent="0.25">
      <c r="A1709" t="s">
        <v>492</v>
      </c>
      <c r="B1709">
        <v>2007</v>
      </c>
      <c r="C1709" t="s">
        <v>382</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c r="X1709" s="19">
        <f ca="1">DATE(LifeExpectancyData[[#This Row],[Year]],RANDBETWEEN(1,12),1)</f>
        <v>39356</v>
      </c>
    </row>
    <row r="1710" spans="1:24" x14ac:dyDescent="0.25">
      <c r="A1710" t="s">
        <v>492</v>
      </c>
      <c r="B1710">
        <v>2006</v>
      </c>
      <c r="C1710" t="s">
        <v>382</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c r="X1710" s="19">
        <f ca="1">DATE(LifeExpectancyData[[#This Row],[Year]],RANDBETWEEN(1,12),1)</f>
        <v>39052</v>
      </c>
    </row>
    <row r="1711" spans="1:24" x14ac:dyDescent="0.25">
      <c r="A1711" t="s">
        <v>492</v>
      </c>
      <c r="B1711">
        <v>2005</v>
      </c>
      <c r="C1711" t="s">
        <v>382</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c r="X1711" s="19">
        <f ca="1">DATE(LifeExpectancyData[[#This Row],[Year]],RANDBETWEEN(1,12),1)</f>
        <v>38534</v>
      </c>
    </row>
    <row r="1712" spans="1:24" x14ac:dyDescent="0.25">
      <c r="A1712" t="s">
        <v>492</v>
      </c>
      <c r="B1712">
        <v>2004</v>
      </c>
      <c r="C1712" t="s">
        <v>382</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c r="X1712" s="19">
        <f ca="1">DATE(LifeExpectancyData[[#This Row],[Year]],RANDBETWEEN(1,12),1)</f>
        <v>38231</v>
      </c>
    </row>
    <row r="1713" spans="1:24" x14ac:dyDescent="0.25">
      <c r="A1713" t="s">
        <v>492</v>
      </c>
      <c r="B1713">
        <v>2003</v>
      </c>
      <c r="C1713" t="s">
        <v>382</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c r="X1713" s="19">
        <f ca="1">DATE(LifeExpectancyData[[#This Row],[Year]],RANDBETWEEN(1,12),1)</f>
        <v>37622</v>
      </c>
    </row>
    <row r="1714" spans="1:24" x14ac:dyDescent="0.25">
      <c r="A1714" t="s">
        <v>492</v>
      </c>
      <c r="B1714">
        <v>2002</v>
      </c>
      <c r="C1714" t="s">
        <v>382</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c r="X1714" s="19">
        <f ca="1">DATE(LifeExpectancyData[[#This Row],[Year]],RANDBETWEEN(1,12),1)</f>
        <v>37500</v>
      </c>
    </row>
    <row r="1715" spans="1:24" x14ac:dyDescent="0.25">
      <c r="A1715" t="s">
        <v>492</v>
      </c>
      <c r="B1715">
        <v>2001</v>
      </c>
      <c r="C1715" t="s">
        <v>382</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c r="X1715" s="19">
        <f ca="1">DATE(LifeExpectancyData[[#This Row],[Year]],RANDBETWEEN(1,12),1)</f>
        <v>36951</v>
      </c>
    </row>
    <row r="1716" spans="1:24" x14ac:dyDescent="0.25">
      <c r="A1716" t="s">
        <v>492</v>
      </c>
      <c r="B1716">
        <v>2000</v>
      </c>
      <c r="C1716" t="s">
        <v>382</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c r="X1716" s="19">
        <f ca="1">DATE(LifeExpectancyData[[#This Row],[Year]],RANDBETWEEN(1,12),1)</f>
        <v>36557</v>
      </c>
    </row>
    <row r="1717" spans="1:24" x14ac:dyDescent="0.25">
      <c r="A1717" t="s">
        <v>493</v>
      </c>
      <c r="B1717">
        <v>2013</v>
      </c>
      <c r="C1717" t="s">
        <v>382</v>
      </c>
      <c r="F1717">
        <v>0</v>
      </c>
      <c r="G1717">
        <v>0.01</v>
      </c>
      <c r="H1717">
        <v>0</v>
      </c>
      <c r="I1717">
        <v>99</v>
      </c>
      <c r="J1717">
        <v>0</v>
      </c>
      <c r="L1717">
        <v>0</v>
      </c>
      <c r="M1717">
        <v>99</v>
      </c>
      <c r="N1717">
        <v>4.3</v>
      </c>
      <c r="O1717">
        <v>99</v>
      </c>
      <c r="P1717">
        <v>0.1</v>
      </c>
      <c r="W1717" t="b">
        <f>Data_Completeness(LifeExpectancyData[[#This Row],[Life expectancy]:[Schooling]])</f>
        <v>0</v>
      </c>
      <c r="X1717" s="19">
        <f ca="1">DATE(LifeExpectancyData[[#This Row],[Year]],RANDBETWEEN(1,12),1)</f>
        <v>41579</v>
      </c>
    </row>
    <row r="1718" spans="1:24" x14ac:dyDescent="0.25">
      <c r="A1718" t="s">
        <v>494</v>
      </c>
      <c r="B1718">
        <v>2015</v>
      </c>
      <c r="C1718" t="s">
        <v>382</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c r="X1718" s="19">
        <f ca="1">DATE(LifeExpectancyData[[#This Row],[Year]],RANDBETWEEN(1,12),1)</f>
        <v>42186</v>
      </c>
    </row>
    <row r="1719" spans="1:24" x14ac:dyDescent="0.25">
      <c r="A1719" t="s">
        <v>494</v>
      </c>
      <c r="B1719">
        <v>2014</v>
      </c>
      <c r="C1719" t="s">
        <v>382</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c r="X1719" s="19">
        <f ca="1">DATE(LifeExpectancyData[[#This Row],[Year]],RANDBETWEEN(1,12),1)</f>
        <v>41640</v>
      </c>
    </row>
    <row r="1720" spans="1:24" x14ac:dyDescent="0.25">
      <c r="A1720" t="s">
        <v>494</v>
      </c>
      <c r="B1720">
        <v>2013</v>
      </c>
      <c r="C1720" t="s">
        <v>382</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c r="X1720" s="19">
        <f ca="1">DATE(LifeExpectancyData[[#This Row],[Year]],RANDBETWEEN(1,12),1)</f>
        <v>41365</v>
      </c>
    </row>
    <row r="1721" spans="1:24" x14ac:dyDescent="0.25">
      <c r="A1721" t="s">
        <v>494</v>
      </c>
      <c r="B1721">
        <v>2012</v>
      </c>
      <c r="C1721" t="s">
        <v>382</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c r="X1721" s="19">
        <f ca="1">DATE(LifeExpectancyData[[#This Row],[Year]],RANDBETWEEN(1,12),1)</f>
        <v>40940</v>
      </c>
    </row>
    <row r="1722" spans="1:24" x14ac:dyDescent="0.25">
      <c r="A1722" t="s">
        <v>494</v>
      </c>
      <c r="B1722">
        <v>2011</v>
      </c>
      <c r="C1722" t="s">
        <v>382</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c r="X1722" s="19">
        <f ca="1">DATE(LifeExpectancyData[[#This Row],[Year]],RANDBETWEEN(1,12),1)</f>
        <v>40603</v>
      </c>
    </row>
    <row r="1723" spans="1:24" x14ac:dyDescent="0.25">
      <c r="A1723" t="s">
        <v>494</v>
      </c>
      <c r="B1723">
        <v>2010</v>
      </c>
      <c r="C1723" t="s">
        <v>382</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c r="X1723" s="19">
        <f ca="1">DATE(LifeExpectancyData[[#This Row],[Year]],RANDBETWEEN(1,12),1)</f>
        <v>40513</v>
      </c>
    </row>
    <row r="1724" spans="1:24" x14ac:dyDescent="0.25">
      <c r="A1724" t="s">
        <v>494</v>
      </c>
      <c r="B1724">
        <v>2009</v>
      </c>
      <c r="C1724" t="s">
        <v>382</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c r="X1724" s="19">
        <f ca="1">DATE(LifeExpectancyData[[#This Row],[Year]],RANDBETWEEN(1,12),1)</f>
        <v>39814</v>
      </c>
    </row>
    <row r="1725" spans="1:24" x14ac:dyDescent="0.25">
      <c r="A1725" t="s">
        <v>494</v>
      </c>
      <c r="B1725">
        <v>2008</v>
      </c>
      <c r="C1725" t="s">
        <v>382</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c r="X1725" s="19">
        <f ca="1">DATE(LifeExpectancyData[[#This Row],[Year]],RANDBETWEEN(1,12),1)</f>
        <v>39539</v>
      </c>
    </row>
    <row r="1726" spans="1:24" x14ac:dyDescent="0.25">
      <c r="A1726" t="s">
        <v>494</v>
      </c>
      <c r="B1726">
        <v>2007</v>
      </c>
      <c r="C1726" t="s">
        <v>382</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c r="X1726" s="19">
        <f ca="1">DATE(LifeExpectancyData[[#This Row],[Year]],RANDBETWEEN(1,12),1)</f>
        <v>39417</v>
      </c>
    </row>
    <row r="1727" spans="1:24" x14ac:dyDescent="0.25">
      <c r="A1727" t="s">
        <v>494</v>
      </c>
      <c r="B1727">
        <v>2006</v>
      </c>
      <c r="C1727" t="s">
        <v>382</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c r="X1727" s="19">
        <f ca="1">DATE(LifeExpectancyData[[#This Row],[Year]],RANDBETWEEN(1,12),1)</f>
        <v>38749</v>
      </c>
    </row>
    <row r="1728" spans="1:24" x14ac:dyDescent="0.25">
      <c r="A1728" t="s">
        <v>494</v>
      </c>
      <c r="B1728">
        <v>2005</v>
      </c>
      <c r="C1728" t="s">
        <v>382</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c r="X1728" s="19">
        <f ca="1">DATE(LifeExpectancyData[[#This Row],[Year]],RANDBETWEEN(1,12),1)</f>
        <v>38626</v>
      </c>
    </row>
    <row r="1729" spans="1:24" x14ac:dyDescent="0.25">
      <c r="A1729" t="s">
        <v>494</v>
      </c>
      <c r="B1729">
        <v>2004</v>
      </c>
      <c r="C1729" t="s">
        <v>382</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c r="X1729" s="19">
        <f ca="1">DATE(LifeExpectancyData[[#This Row],[Year]],RANDBETWEEN(1,12),1)</f>
        <v>38231</v>
      </c>
    </row>
    <row r="1730" spans="1:24" x14ac:dyDescent="0.25">
      <c r="A1730" t="s">
        <v>494</v>
      </c>
      <c r="B1730">
        <v>2003</v>
      </c>
      <c r="C1730" t="s">
        <v>382</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c r="X1730" s="19">
        <f ca="1">DATE(LifeExpectancyData[[#This Row],[Year]],RANDBETWEEN(1,12),1)</f>
        <v>37895</v>
      </c>
    </row>
    <row r="1731" spans="1:24" x14ac:dyDescent="0.25">
      <c r="A1731" t="s">
        <v>494</v>
      </c>
      <c r="B1731">
        <v>2002</v>
      </c>
      <c r="C1731" t="s">
        <v>382</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c r="X1731" s="19">
        <f ca="1">DATE(LifeExpectancyData[[#This Row],[Year]],RANDBETWEEN(1,12),1)</f>
        <v>37530</v>
      </c>
    </row>
    <row r="1732" spans="1:24" x14ac:dyDescent="0.25">
      <c r="A1732" t="s">
        <v>494</v>
      </c>
      <c r="B1732">
        <v>2001</v>
      </c>
      <c r="C1732" t="s">
        <v>382</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c r="X1732" s="19">
        <f ca="1">DATE(LifeExpectancyData[[#This Row],[Year]],RANDBETWEEN(1,12),1)</f>
        <v>37165</v>
      </c>
    </row>
    <row r="1733" spans="1:24" x14ac:dyDescent="0.25">
      <c r="A1733" t="s">
        <v>494</v>
      </c>
      <c r="B1733">
        <v>2000</v>
      </c>
      <c r="C1733" t="s">
        <v>382</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c r="X1733" s="19">
        <f ca="1">DATE(LifeExpectancyData[[#This Row],[Year]],RANDBETWEEN(1,12),1)</f>
        <v>36770</v>
      </c>
    </row>
    <row r="1734" spans="1:24" x14ac:dyDescent="0.25">
      <c r="A1734" t="s">
        <v>495</v>
      </c>
      <c r="B1734">
        <v>2015</v>
      </c>
      <c r="C1734" t="s">
        <v>382</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c r="X1734" s="19">
        <f ca="1">DATE(LifeExpectancyData[[#This Row],[Year]],RANDBETWEEN(1,12),1)</f>
        <v>42186</v>
      </c>
    </row>
    <row r="1735" spans="1:24" x14ac:dyDescent="0.25">
      <c r="A1735" t="s">
        <v>495</v>
      </c>
      <c r="B1735">
        <v>2014</v>
      </c>
      <c r="C1735" t="s">
        <v>382</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c r="X1735" s="19">
        <f ca="1">DATE(LifeExpectancyData[[#This Row],[Year]],RANDBETWEEN(1,12),1)</f>
        <v>41791</v>
      </c>
    </row>
    <row r="1736" spans="1:24" x14ac:dyDescent="0.25">
      <c r="A1736" t="s">
        <v>495</v>
      </c>
      <c r="B1736">
        <v>2013</v>
      </c>
      <c r="C1736" t="s">
        <v>382</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c r="X1736" s="19">
        <f ca="1">DATE(LifeExpectancyData[[#This Row],[Year]],RANDBETWEEN(1,12),1)</f>
        <v>41456</v>
      </c>
    </row>
    <row r="1737" spans="1:24" x14ac:dyDescent="0.25">
      <c r="A1737" t="s">
        <v>495</v>
      </c>
      <c r="B1737">
        <v>2012</v>
      </c>
      <c r="C1737" t="s">
        <v>382</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c r="X1737" s="19">
        <f ca="1">DATE(LifeExpectancyData[[#This Row],[Year]],RANDBETWEEN(1,12),1)</f>
        <v>41000</v>
      </c>
    </row>
    <row r="1738" spans="1:24" x14ac:dyDescent="0.25">
      <c r="A1738" t="s">
        <v>495</v>
      </c>
      <c r="B1738">
        <v>2011</v>
      </c>
      <c r="C1738" t="s">
        <v>382</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c r="X1738" s="19">
        <f ca="1">DATE(LifeExpectancyData[[#This Row],[Year]],RANDBETWEEN(1,12),1)</f>
        <v>40878</v>
      </c>
    </row>
    <row r="1739" spans="1:24" x14ac:dyDescent="0.25">
      <c r="A1739" t="s">
        <v>495</v>
      </c>
      <c r="B1739">
        <v>2010</v>
      </c>
      <c r="C1739" t="s">
        <v>382</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c r="X1739" s="19">
        <f ca="1">DATE(LifeExpectancyData[[#This Row],[Year]],RANDBETWEEN(1,12),1)</f>
        <v>40238</v>
      </c>
    </row>
    <row r="1740" spans="1:24" x14ac:dyDescent="0.25">
      <c r="A1740" t="s">
        <v>495</v>
      </c>
      <c r="B1740">
        <v>2009</v>
      </c>
      <c r="C1740" t="s">
        <v>382</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c r="X1740" s="19">
        <f ca="1">DATE(LifeExpectancyData[[#This Row],[Year]],RANDBETWEEN(1,12),1)</f>
        <v>39904</v>
      </c>
    </row>
    <row r="1741" spans="1:24" x14ac:dyDescent="0.25">
      <c r="A1741" t="s">
        <v>495</v>
      </c>
      <c r="B1741">
        <v>2008</v>
      </c>
      <c r="C1741" t="s">
        <v>382</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c r="X1741" s="19">
        <f ca="1">DATE(LifeExpectancyData[[#This Row],[Year]],RANDBETWEEN(1,12),1)</f>
        <v>39722</v>
      </c>
    </row>
    <row r="1742" spans="1:24" x14ac:dyDescent="0.25">
      <c r="A1742" t="s">
        <v>495</v>
      </c>
      <c r="B1742">
        <v>2007</v>
      </c>
      <c r="C1742" t="s">
        <v>382</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c r="X1742" s="19">
        <f ca="1">DATE(LifeExpectancyData[[#This Row],[Year]],RANDBETWEEN(1,12),1)</f>
        <v>39295</v>
      </c>
    </row>
    <row r="1743" spans="1:24" x14ac:dyDescent="0.25">
      <c r="A1743" t="s">
        <v>495</v>
      </c>
      <c r="B1743">
        <v>2006</v>
      </c>
      <c r="C1743" t="s">
        <v>382</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c r="X1743" s="19">
        <f ca="1">DATE(LifeExpectancyData[[#This Row],[Year]],RANDBETWEEN(1,12),1)</f>
        <v>38749</v>
      </c>
    </row>
    <row r="1744" spans="1:24" x14ac:dyDescent="0.25">
      <c r="A1744" t="s">
        <v>495</v>
      </c>
      <c r="B1744">
        <v>2005</v>
      </c>
      <c r="C1744" t="s">
        <v>382</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c r="X1744" s="19">
        <f ca="1">DATE(LifeExpectancyData[[#This Row],[Year]],RANDBETWEEN(1,12),1)</f>
        <v>38412</v>
      </c>
    </row>
    <row r="1745" spans="1:24" x14ac:dyDescent="0.25">
      <c r="A1745" t="s">
        <v>495</v>
      </c>
      <c r="B1745">
        <v>2004</v>
      </c>
      <c r="C1745" t="s">
        <v>382</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c r="X1745" s="19">
        <f ca="1">DATE(LifeExpectancyData[[#This Row],[Year]],RANDBETWEEN(1,12),1)</f>
        <v>38018</v>
      </c>
    </row>
    <row r="1746" spans="1:24" x14ac:dyDescent="0.25">
      <c r="A1746" t="s">
        <v>495</v>
      </c>
      <c r="B1746">
        <v>2003</v>
      </c>
      <c r="C1746" t="s">
        <v>382</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c r="X1746" s="19">
        <f ca="1">DATE(LifeExpectancyData[[#This Row],[Year]],RANDBETWEEN(1,12),1)</f>
        <v>37803</v>
      </c>
    </row>
    <row r="1747" spans="1:24" x14ac:dyDescent="0.25">
      <c r="A1747" t="s">
        <v>495</v>
      </c>
      <c r="B1747">
        <v>2002</v>
      </c>
      <c r="C1747" t="s">
        <v>382</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c r="X1747" s="19">
        <f ca="1">DATE(LifeExpectancyData[[#This Row],[Year]],RANDBETWEEN(1,12),1)</f>
        <v>37257</v>
      </c>
    </row>
    <row r="1748" spans="1:24" x14ac:dyDescent="0.25">
      <c r="A1748" t="s">
        <v>495</v>
      </c>
      <c r="B1748">
        <v>2001</v>
      </c>
      <c r="C1748" t="s">
        <v>382</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c r="X1748" s="19">
        <f ca="1">DATE(LifeExpectancyData[[#This Row],[Year]],RANDBETWEEN(1,12),1)</f>
        <v>37073</v>
      </c>
    </row>
    <row r="1749" spans="1:24" x14ac:dyDescent="0.25">
      <c r="A1749" t="s">
        <v>495</v>
      </c>
      <c r="B1749">
        <v>2000</v>
      </c>
      <c r="C1749" t="s">
        <v>382</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c r="X1749" s="19">
        <f ca="1">DATE(LifeExpectancyData[[#This Row],[Year]],RANDBETWEEN(1,12),1)</f>
        <v>36647</v>
      </c>
    </row>
    <row r="1750" spans="1:24" x14ac:dyDescent="0.25">
      <c r="A1750" t="s">
        <v>496</v>
      </c>
      <c r="B1750">
        <v>2015</v>
      </c>
      <c r="C1750" t="s">
        <v>382</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c r="X1750" s="19">
        <f ca="1">DATE(LifeExpectancyData[[#This Row],[Year]],RANDBETWEEN(1,12),1)</f>
        <v>42036</v>
      </c>
    </row>
    <row r="1751" spans="1:24" x14ac:dyDescent="0.25">
      <c r="A1751" t="s">
        <v>496</v>
      </c>
      <c r="B1751">
        <v>2014</v>
      </c>
      <c r="C1751" t="s">
        <v>382</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c r="X1751" s="19">
        <f ca="1">DATE(LifeExpectancyData[[#This Row],[Year]],RANDBETWEEN(1,12),1)</f>
        <v>41791</v>
      </c>
    </row>
    <row r="1752" spans="1:24" x14ac:dyDescent="0.25">
      <c r="A1752" t="s">
        <v>496</v>
      </c>
      <c r="B1752">
        <v>2013</v>
      </c>
      <c r="C1752" t="s">
        <v>382</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c r="X1752" s="19">
        <f ca="1">DATE(LifeExpectancyData[[#This Row],[Year]],RANDBETWEEN(1,12),1)</f>
        <v>41426</v>
      </c>
    </row>
    <row r="1753" spans="1:24" x14ac:dyDescent="0.25">
      <c r="A1753" t="s">
        <v>496</v>
      </c>
      <c r="B1753">
        <v>2012</v>
      </c>
      <c r="C1753" t="s">
        <v>382</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c r="X1753" s="19">
        <f ca="1">DATE(LifeExpectancyData[[#This Row],[Year]],RANDBETWEEN(1,12),1)</f>
        <v>41091</v>
      </c>
    </row>
    <row r="1754" spans="1:24" x14ac:dyDescent="0.25">
      <c r="A1754" t="s">
        <v>496</v>
      </c>
      <c r="B1754">
        <v>2011</v>
      </c>
      <c r="C1754" t="s">
        <v>382</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c r="X1754" s="19">
        <f ca="1">DATE(LifeExpectancyData[[#This Row],[Year]],RANDBETWEEN(1,12),1)</f>
        <v>40848</v>
      </c>
    </row>
    <row r="1755" spans="1:24" x14ac:dyDescent="0.25">
      <c r="A1755" t="s">
        <v>496</v>
      </c>
      <c r="B1755">
        <v>2010</v>
      </c>
      <c r="C1755" t="s">
        <v>382</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c r="X1755" s="19">
        <f ca="1">DATE(LifeExpectancyData[[#This Row],[Year]],RANDBETWEEN(1,12),1)</f>
        <v>40452</v>
      </c>
    </row>
    <row r="1756" spans="1:24" x14ac:dyDescent="0.25">
      <c r="A1756" t="s">
        <v>496</v>
      </c>
      <c r="B1756">
        <v>2009</v>
      </c>
      <c r="C1756" t="s">
        <v>382</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c r="X1756" s="19">
        <f ca="1">DATE(LifeExpectancyData[[#This Row],[Year]],RANDBETWEEN(1,12),1)</f>
        <v>40087</v>
      </c>
    </row>
    <row r="1757" spans="1:24" x14ac:dyDescent="0.25">
      <c r="A1757" t="s">
        <v>496</v>
      </c>
      <c r="B1757">
        <v>2008</v>
      </c>
      <c r="C1757" t="s">
        <v>382</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c r="X1757" s="19">
        <f ca="1">DATE(LifeExpectancyData[[#This Row],[Year]],RANDBETWEEN(1,12),1)</f>
        <v>39539</v>
      </c>
    </row>
    <row r="1758" spans="1:24" x14ac:dyDescent="0.25">
      <c r="A1758" t="s">
        <v>496</v>
      </c>
      <c r="B1758">
        <v>2007</v>
      </c>
      <c r="C1758" t="s">
        <v>382</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c r="X1758" s="19">
        <f ca="1">DATE(LifeExpectancyData[[#This Row],[Year]],RANDBETWEEN(1,12),1)</f>
        <v>39387</v>
      </c>
    </row>
    <row r="1759" spans="1:24" x14ac:dyDescent="0.25">
      <c r="A1759" t="s">
        <v>496</v>
      </c>
      <c r="B1759">
        <v>2006</v>
      </c>
      <c r="C1759" t="s">
        <v>382</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c r="X1759" s="19">
        <f ca="1">DATE(LifeExpectancyData[[#This Row],[Year]],RANDBETWEEN(1,12),1)</f>
        <v>38869</v>
      </c>
    </row>
    <row r="1760" spans="1:24" x14ac:dyDescent="0.25">
      <c r="A1760" t="s">
        <v>496</v>
      </c>
      <c r="B1760">
        <v>2005</v>
      </c>
      <c r="C1760" t="s">
        <v>382</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c r="X1760" s="19">
        <f ca="1">DATE(LifeExpectancyData[[#This Row],[Year]],RANDBETWEEN(1,12),1)</f>
        <v>38565</v>
      </c>
    </row>
    <row r="1761" spans="1:24" x14ac:dyDescent="0.25">
      <c r="A1761" t="s">
        <v>496</v>
      </c>
      <c r="B1761">
        <v>2004</v>
      </c>
      <c r="C1761" t="s">
        <v>382</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c r="X1761" s="19">
        <f ca="1">DATE(LifeExpectancyData[[#This Row],[Year]],RANDBETWEEN(1,12),1)</f>
        <v>38078</v>
      </c>
    </row>
    <row r="1762" spans="1:24" x14ac:dyDescent="0.25">
      <c r="A1762" t="s">
        <v>496</v>
      </c>
      <c r="B1762">
        <v>2003</v>
      </c>
      <c r="C1762" t="s">
        <v>382</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c r="X1762" s="19">
        <f ca="1">DATE(LifeExpectancyData[[#This Row],[Year]],RANDBETWEEN(1,12),1)</f>
        <v>37803</v>
      </c>
    </row>
    <row r="1763" spans="1:24" x14ac:dyDescent="0.25">
      <c r="A1763" t="s">
        <v>496</v>
      </c>
      <c r="B1763">
        <v>2002</v>
      </c>
      <c r="C1763" t="s">
        <v>382</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c r="X1763" s="19">
        <f ca="1">DATE(LifeExpectancyData[[#This Row],[Year]],RANDBETWEEN(1,12),1)</f>
        <v>37438</v>
      </c>
    </row>
    <row r="1764" spans="1:24" x14ac:dyDescent="0.25">
      <c r="A1764" t="s">
        <v>496</v>
      </c>
      <c r="B1764">
        <v>2001</v>
      </c>
      <c r="C1764" t="s">
        <v>382</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c r="X1764" s="19">
        <f ca="1">DATE(LifeExpectancyData[[#This Row],[Year]],RANDBETWEEN(1,12),1)</f>
        <v>36923</v>
      </c>
    </row>
    <row r="1765" spans="1:24" x14ac:dyDescent="0.25">
      <c r="A1765" t="s">
        <v>496</v>
      </c>
      <c r="B1765">
        <v>2000</v>
      </c>
      <c r="C1765" t="s">
        <v>382</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c r="X1765" s="19">
        <f ca="1">DATE(LifeExpectancyData[[#This Row],[Year]],RANDBETWEEN(1,12),1)</f>
        <v>36647</v>
      </c>
    </row>
    <row r="1766" spans="1:24" x14ac:dyDescent="0.25">
      <c r="A1766" t="s">
        <v>497</v>
      </c>
      <c r="B1766">
        <v>2015</v>
      </c>
      <c r="C1766" t="s">
        <v>382</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c r="X1766" s="19">
        <f ca="1">DATE(LifeExpectancyData[[#This Row],[Year]],RANDBETWEEN(1,12),1)</f>
        <v>42156</v>
      </c>
    </row>
    <row r="1767" spans="1:24" x14ac:dyDescent="0.25">
      <c r="A1767" t="s">
        <v>497</v>
      </c>
      <c r="B1767">
        <v>2014</v>
      </c>
      <c r="C1767" t="s">
        <v>382</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c r="X1767" s="19">
        <f ca="1">DATE(LifeExpectancyData[[#This Row],[Year]],RANDBETWEEN(1,12),1)</f>
        <v>41883</v>
      </c>
    </row>
    <row r="1768" spans="1:24" x14ac:dyDescent="0.25">
      <c r="A1768" t="s">
        <v>497</v>
      </c>
      <c r="B1768">
        <v>2013</v>
      </c>
      <c r="C1768" t="s">
        <v>382</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c r="X1768" s="19">
        <f ca="1">DATE(LifeExpectancyData[[#This Row],[Year]],RANDBETWEEN(1,12),1)</f>
        <v>41365</v>
      </c>
    </row>
    <row r="1769" spans="1:24" x14ac:dyDescent="0.25">
      <c r="A1769" t="s">
        <v>497</v>
      </c>
      <c r="B1769">
        <v>2012</v>
      </c>
      <c r="C1769" t="s">
        <v>382</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c r="X1769" s="19">
        <f ca="1">DATE(LifeExpectancyData[[#This Row],[Year]],RANDBETWEEN(1,12),1)</f>
        <v>40909</v>
      </c>
    </row>
    <row r="1770" spans="1:24" x14ac:dyDescent="0.25">
      <c r="A1770" t="s">
        <v>497</v>
      </c>
      <c r="B1770">
        <v>2011</v>
      </c>
      <c r="C1770" t="s">
        <v>382</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c r="X1770" s="19">
        <f ca="1">DATE(LifeExpectancyData[[#This Row],[Year]],RANDBETWEEN(1,12),1)</f>
        <v>40878</v>
      </c>
    </row>
    <row r="1771" spans="1:24" x14ac:dyDescent="0.25">
      <c r="A1771" t="s">
        <v>497</v>
      </c>
      <c r="B1771">
        <v>2010</v>
      </c>
      <c r="C1771" t="s">
        <v>382</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c r="X1771" s="19">
        <f ca="1">DATE(LifeExpectancyData[[#This Row],[Year]],RANDBETWEEN(1,12),1)</f>
        <v>40299</v>
      </c>
    </row>
    <row r="1772" spans="1:24" x14ac:dyDescent="0.25">
      <c r="A1772" t="s">
        <v>497</v>
      </c>
      <c r="B1772">
        <v>2009</v>
      </c>
      <c r="C1772" t="s">
        <v>382</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c r="X1772" s="19">
        <f ca="1">DATE(LifeExpectancyData[[#This Row],[Year]],RANDBETWEEN(1,12),1)</f>
        <v>39814</v>
      </c>
    </row>
    <row r="1773" spans="1:24" x14ac:dyDescent="0.25">
      <c r="A1773" t="s">
        <v>497</v>
      </c>
      <c r="B1773">
        <v>2008</v>
      </c>
      <c r="C1773" t="s">
        <v>382</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c r="X1773" s="19">
        <f ca="1">DATE(LifeExpectancyData[[#This Row],[Year]],RANDBETWEEN(1,12),1)</f>
        <v>39630</v>
      </c>
    </row>
    <row r="1774" spans="1:24" x14ac:dyDescent="0.25">
      <c r="A1774" t="s">
        <v>497</v>
      </c>
      <c r="B1774">
        <v>2007</v>
      </c>
      <c r="C1774" t="s">
        <v>382</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c r="X1774" s="19">
        <f ca="1">DATE(LifeExpectancyData[[#This Row],[Year]],RANDBETWEEN(1,12),1)</f>
        <v>39203</v>
      </c>
    </row>
    <row r="1775" spans="1:24" x14ac:dyDescent="0.25">
      <c r="A1775" t="s">
        <v>497</v>
      </c>
      <c r="B1775">
        <v>2006</v>
      </c>
      <c r="C1775" t="s">
        <v>382</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c r="X1775" s="19">
        <f ca="1">DATE(LifeExpectancyData[[#This Row],[Year]],RANDBETWEEN(1,12),1)</f>
        <v>38899</v>
      </c>
    </row>
    <row r="1776" spans="1:24" x14ac:dyDescent="0.25">
      <c r="A1776" t="s">
        <v>497</v>
      </c>
      <c r="B1776">
        <v>2005</v>
      </c>
      <c r="C1776" t="s">
        <v>382</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c r="X1776" s="19">
        <f ca="1">DATE(LifeExpectancyData[[#This Row],[Year]],RANDBETWEEN(1,12),1)</f>
        <v>38443</v>
      </c>
    </row>
    <row r="1777" spans="1:24" x14ac:dyDescent="0.25">
      <c r="A1777" t="s">
        <v>497</v>
      </c>
      <c r="B1777">
        <v>2004</v>
      </c>
      <c r="C1777" t="s">
        <v>382</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c r="X1777" s="19">
        <f ca="1">DATE(LifeExpectancyData[[#This Row],[Year]],RANDBETWEEN(1,12),1)</f>
        <v>38200</v>
      </c>
    </row>
    <row r="1778" spans="1:24" x14ac:dyDescent="0.25">
      <c r="A1778" t="s">
        <v>497</v>
      </c>
      <c r="B1778">
        <v>2003</v>
      </c>
      <c r="C1778" t="s">
        <v>382</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c r="X1778" s="19">
        <f ca="1">DATE(LifeExpectancyData[[#This Row],[Year]],RANDBETWEEN(1,12),1)</f>
        <v>37712</v>
      </c>
    </row>
    <row r="1779" spans="1:24" x14ac:dyDescent="0.25">
      <c r="A1779" t="s">
        <v>497</v>
      </c>
      <c r="B1779">
        <v>2002</v>
      </c>
      <c r="C1779" t="s">
        <v>382</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c r="X1779" s="19">
        <f ca="1">DATE(LifeExpectancyData[[#This Row],[Year]],RANDBETWEEN(1,12),1)</f>
        <v>37316</v>
      </c>
    </row>
    <row r="1780" spans="1:24" x14ac:dyDescent="0.25">
      <c r="A1780" t="s">
        <v>497</v>
      </c>
      <c r="B1780">
        <v>2001</v>
      </c>
      <c r="C1780" t="s">
        <v>382</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c r="X1780" s="19">
        <f ca="1">DATE(LifeExpectancyData[[#This Row],[Year]],RANDBETWEEN(1,12),1)</f>
        <v>37196</v>
      </c>
    </row>
    <row r="1781" spans="1:24" x14ac:dyDescent="0.25">
      <c r="A1781" t="s">
        <v>497</v>
      </c>
      <c r="B1781">
        <v>2000</v>
      </c>
      <c r="C1781" t="s">
        <v>382</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c r="X1781" s="19">
        <f ca="1">DATE(LifeExpectancyData[[#This Row],[Year]],RANDBETWEEN(1,12),1)</f>
        <v>36800</v>
      </c>
    </row>
    <row r="1782" spans="1:24" x14ac:dyDescent="0.25">
      <c r="A1782" t="s">
        <v>498</v>
      </c>
      <c r="B1782">
        <v>2015</v>
      </c>
      <c r="C1782" t="s">
        <v>382</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c r="X1782" s="19">
        <f ca="1">DATE(LifeExpectancyData[[#This Row],[Year]],RANDBETWEEN(1,12),1)</f>
        <v>42064</v>
      </c>
    </row>
    <row r="1783" spans="1:24" x14ac:dyDescent="0.25">
      <c r="A1783" t="s">
        <v>498</v>
      </c>
      <c r="B1783">
        <v>2014</v>
      </c>
      <c r="C1783" t="s">
        <v>382</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c r="X1783" s="19">
        <f ca="1">DATE(LifeExpectancyData[[#This Row],[Year]],RANDBETWEEN(1,12),1)</f>
        <v>41730</v>
      </c>
    </row>
    <row r="1784" spans="1:24" x14ac:dyDescent="0.25">
      <c r="A1784" t="s">
        <v>498</v>
      </c>
      <c r="B1784">
        <v>2013</v>
      </c>
      <c r="C1784" t="s">
        <v>382</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c r="X1784" s="19">
        <f ca="1">DATE(LifeExpectancyData[[#This Row],[Year]],RANDBETWEEN(1,12),1)</f>
        <v>41609</v>
      </c>
    </row>
    <row r="1785" spans="1:24" x14ac:dyDescent="0.25">
      <c r="A1785" t="s">
        <v>498</v>
      </c>
      <c r="B1785">
        <v>2012</v>
      </c>
      <c r="C1785" t="s">
        <v>382</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c r="X1785" s="19">
        <f ca="1">DATE(LifeExpectancyData[[#This Row],[Year]],RANDBETWEEN(1,12),1)</f>
        <v>41030</v>
      </c>
    </row>
    <row r="1786" spans="1:24" x14ac:dyDescent="0.25">
      <c r="A1786" t="s">
        <v>498</v>
      </c>
      <c r="B1786">
        <v>2011</v>
      </c>
      <c r="C1786" t="s">
        <v>382</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c r="X1786" s="19">
        <f ca="1">DATE(LifeExpectancyData[[#This Row],[Year]],RANDBETWEEN(1,12),1)</f>
        <v>40878</v>
      </c>
    </row>
    <row r="1787" spans="1:24" x14ac:dyDescent="0.25">
      <c r="A1787" t="s">
        <v>498</v>
      </c>
      <c r="B1787">
        <v>2010</v>
      </c>
      <c r="C1787" t="s">
        <v>382</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c r="X1787" s="19">
        <f ca="1">DATE(LifeExpectancyData[[#This Row],[Year]],RANDBETWEEN(1,12),1)</f>
        <v>40452</v>
      </c>
    </row>
    <row r="1788" spans="1:24" x14ac:dyDescent="0.25">
      <c r="A1788" t="s">
        <v>498</v>
      </c>
      <c r="B1788">
        <v>2009</v>
      </c>
      <c r="C1788" t="s">
        <v>382</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c r="X1788" s="19">
        <f ca="1">DATE(LifeExpectancyData[[#This Row],[Year]],RANDBETWEEN(1,12),1)</f>
        <v>40026</v>
      </c>
    </row>
    <row r="1789" spans="1:24" x14ac:dyDescent="0.25">
      <c r="A1789" t="s">
        <v>498</v>
      </c>
      <c r="B1789">
        <v>2008</v>
      </c>
      <c r="C1789" t="s">
        <v>382</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c r="X1789" s="19">
        <f ca="1">DATE(LifeExpectancyData[[#This Row],[Year]],RANDBETWEEN(1,12),1)</f>
        <v>39783</v>
      </c>
    </row>
    <row r="1790" spans="1:24" x14ac:dyDescent="0.25">
      <c r="A1790" t="s">
        <v>498</v>
      </c>
      <c r="B1790">
        <v>2007</v>
      </c>
      <c r="C1790" t="s">
        <v>382</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c r="X1790" s="19">
        <f ca="1">DATE(LifeExpectancyData[[#This Row],[Year]],RANDBETWEEN(1,12),1)</f>
        <v>39326</v>
      </c>
    </row>
    <row r="1791" spans="1:24" x14ac:dyDescent="0.25">
      <c r="A1791" t="s">
        <v>498</v>
      </c>
      <c r="B1791">
        <v>2006</v>
      </c>
      <c r="C1791" t="s">
        <v>382</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c r="X1791" s="19">
        <f ca="1">DATE(LifeExpectancyData[[#This Row],[Year]],RANDBETWEEN(1,12),1)</f>
        <v>38749</v>
      </c>
    </row>
    <row r="1792" spans="1:24" x14ac:dyDescent="0.25">
      <c r="A1792" t="s">
        <v>498</v>
      </c>
      <c r="B1792">
        <v>2005</v>
      </c>
      <c r="C1792" t="s">
        <v>382</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c r="X1792" s="19">
        <f ca="1">DATE(LifeExpectancyData[[#This Row],[Year]],RANDBETWEEN(1,12),1)</f>
        <v>38384</v>
      </c>
    </row>
    <row r="1793" spans="1:24" x14ac:dyDescent="0.25">
      <c r="A1793" t="s">
        <v>498</v>
      </c>
      <c r="B1793">
        <v>2004</v>
      </c>
      <c r="C1793" t="s">
        <v>382</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c r="X1793" s="19">
        <f ca="1">DATE(LifeExpectancyData[[#This Row],[Year]],RANDBETWEEN(1,12),1)</f>
        <v>38108</v>
      </c>
    </row>
    <row r="1794" spans="1:24" x14ac:dyDescent="0.25">
      <c r="A1794" t="s">
        <v>498</v>
      </c>
      <c r="B1794">
        <v>2003</v>
      </c>
      <c r="C1794" t="s">
        <v>382</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c r="X1794" s="19">
        <f ca="1">DATE(LifeExpectancyData[[#This Row],[Year]],RANDBETWEEN(1,12),1)</f>
        <v>37926</v>
      </c>
    </row>
    <row r="1795" spans="1:24" x14ac:dyDescent="0.25">
      <c r="A1795" t="s">
        <v>498</v>
      </c>
      <c r="B1795">
        <v>2002</v>
      </c>
      <c r="C1795" t="s">
        <v>382</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c r="X1795" s="19">
        <f ca="1">DATE(LifeExpectancyData[[#This Row],[Year]],RANDBETWEEN(1,12),1)</f>
        <v>37500</v>
      </c>
    </row>
    <row r="1796" spans="1:24" x14ac:dyDescent="0.25">
      <c r="A1796" t="s">
        <v>498</v>
      </c>
      <c r="B1796">
        <v>2001</v>
      </c>
      <c r="C1796" t="s">
        <v>382</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c r="X1796" s="19">
        <f ca="1">DATE(LifeExpectancyData[[#This Row],[Year]],RANDBETWEEN(1,12),1)</f>
        <v>36951</v>
      </c>
    </row>
    <row r="1797" spans="1:24" x14ac:dyDescent="0.25">
      <c r="A1797" t="s">
        <v>498</v>
      </c>
      <c r="B1797">
        <v>2000</v>
      </c>
      <c r="C1797" t="s">
        <v>382</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c r="X1797" s="19">
        <f ca="1">DATE(LifeExpectancyData[[#This Row],[Year]],RANDBETWEEN(1,12),1)</f>
        <v>36617</v>
      </c>
    </row>
    <row r="1798" spans="1:24" x14ac:dyDescent="0.25">
      <c r="A1798" t="s">
        <v>499</v>
      </c>
      <c r="B1798">
        <v>2015</v>
      </c>
      <c r="C1798" t="s">
        <v>382</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c r="X1798" s="19">
        <f ca="1">DATE(LifeExpectancyData[[#This Row],[Year]],RANDBETWEEN(1,12),1)</f>
        <v>42095</v>
      </c>
    </row>
    <row r="1799" spans="1:24" x14ac:dyDescent="0.25">
      <c r="A1799" t="s">
        <v>499</v>
      </c>
      <c r="B1799">
        <v>2014</v>
      </c>
      <c r="C1799" t="s">
        <v>382</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c r="X1799" s="19">
        <f ca="1">DATE(LifeExpectancyData[[#This Row],[Year]],RANDBETWEEN(1,12),1)</f>
        <v>41944</v>
      </c>
    </row>
    <row r="1800" spans="1:24" x14ac:dyDescent="0.25">
      <c r="A1800" t="s">
        <v>499</v>
      </c>
      <c r="B1800">
        <v>2013</v>
      </c>
      <c r="C1800" t="s">
        <v>382</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c r="X1800" s="19">
        <f ca="1">DATE(LifeExpectancyData[[#This Row],[Year]],RANDBETWEEN(1,12),1)</f>
        <v>41334</v>
      </c>
    </row>
    <row r="1801" spans="1:24" x14ac:dyDescent="0.25">
      <c r="A1801" t="s">
        <v>499</v>
      </c>
      <c r="B1801">
        <v>2012</v>
      </c>
      <c r="C1801" t="s">
        <v>382</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c r="X1801" s="19">
        <f ca="1">DATE(LifeExpectancyData[[#This Row],[Year]],RANDBETWEEN(1,12),1)</f>
        <v>40969</v>
      </c>
    </row>
    <row r="1802" spans="1:24" x14ac:dyDescent="0.25">
      <c r="A1802" t="s">
        <v>499</v>
      </c>
      <c r="B1802">
        <v>2011</v>
      </c>
      <c r="C1802" t="s">
        <v>382</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c r="X1802" s="19">
        <f ca="1">DATE(LifeExpectancyData[[#This Row],[Year]],RANDBETWEEN(1,12),1)</f>
        <v>40878</v>
      </c>
    </row>
    <row r="1803" spans="1:24" x14ac:dyDescent="0.25">
      <c r="A1803" t="s">
        <v>499</v>
      </c>
      <c r="B1803">
        <v>2010</v>
      </c>
      <c r="C1803" t="s">
        <v>382</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c r="X1803" s="19">
        <f ca="1">DATE(LifeExpectancyData[[#This Row],[Year]],RANDBETWEEN(1,12),1)</f>
        <v>40269</v>
      </c>
    </row>
    <row r="1804" spans="1:24" x14ac:dyDescent="0.25">
      <c r="A1804" t="s">
        <v>499</v>
      </c>
      <c r="B1804">
        <v>2009</v>
      </c>
      <c r="C1804" t="s">
        <v>382</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c r="X1804" s="19">
        <f ca="1">DATE(LifeExpectancyData[[#This Row],[Year]],RANDBETWEEN(1,12),1)</f>
        <v>39873</v>
      </c>
    </row>
    <row r="1805" spans="1:24" x14ac:dyDescent="0.25">
      <c r="A1805" t="s">
        <v>499</v>
      </c>
      <c r="B1805">
        <v>2008</v>
      </c>
      <c r="C1805" t="s">
        <v>382</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c r="X1805" s="19">
        <f ca="1">DATE(LifeExpectancyData[[#This Row],[Year]],RANDBETWEEN(1,12),1)</f>
        <v>39753</v>
      </c>
    </row>
    <row r="1806" spans="1:24" x14ac:dyDescent="0.25">
      <c r="A1806" t="s">
        <v>499</v>
      </c>
      <c r="B1806">
        <v>2007</v>
      </c>
      <c r="C1806" t="s">
        <v>382</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c r="X1806" s="19">
        <f ca="1">DATE(LifeExpectancyData[[#This Row],[Year]],RANDBETWEEN(1,12),1)</f>
        <v>39142</v>
      </c>
    </row>
    <row r="1807" spans="1:24" x14ac:dyDescent="0.25">
      <c r="A1807" t="s">
        <v>499</v>
      </c>
      <c r="B1807">
        <v>2006</v>
      </c>
      <c r="C1807" t="s">
        <v>382</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c r="X1807" s="19">
        <f ca="1">DATE(LifeExpectancyData[[#This Row],[Year]],RANDBETWEEN(1,12),1)</f>
        <v>38838</v>
      </c>
    </row>
    <row r="1808" spans="1:24" x14ac:dyDescent="0.25">
      <c r="A1808" t="s">
        <v>499</v>
      </c>
      <c r="B1808">
        <v>2005</v>
      </c>
      <c r="C1808" t="s">
        <v>382</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c r="X1808" s="19">
        <f ca="1">DATE(LifeExpectancyData[[#This Row],[Year]],RANDBETWEEN(1,12),1)</f>
        <v>38534</v>
      </c>
    </row>
    <row r="1809" spans="1:24" x14ac:dyDescent="0.25">
      <c r="A1809" t="s">
        <v>499</v>
      </c>
      <c r="B1809">
        <v>2004</v>
      </c>
      <c r="C1809" t="s">
        <v>382</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c r="X1809" s="19">
        <f ca="1">DATE(LifeExpectancyData[[#This Row],[Year]],RANDBETWEEN(1,12),1)</f>
        <v>38261</v>
      </c>
    </row>
    <row r="1810" spans="1:24" x14ac:dyDescent="0.25">
      <c r="A1810" t="s">
        <v>499</v>
      </c>
      <c r="B1810">
        <v>2003</v>
      </c>
      <c r="C1810" t="s">
        <v>382</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c r="X1810" s="19">
        <f ca="1">DATE(LifeExpectancyData[[#This Row],[Year]],RANDBETWEEN(1,12),1)</f>
        <v>37773</v>
      </c>
    </row>
    <row r="1811" spans="1:24" x14ac:dyDescent="0.25">
      <c r="A1811" t="s">
        <v>499</v>
      </c>
      <c r="B1811">
        <v>2002</v>
      </c>
      <c r="C1811" t="s">
        <v>382</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c r="X1811" s="19">
        <f ca="1">DATE(LifeExpectancyData[[#This Row],[Year]],RANDBETWEEN(1,12),1)</f>
        <v>37257</v>
      </c>
    </row>
    <row r="1812" spans="1:24" x14ac:dyDescent="0.25">
      <c r="A1812" t="s">
        <v>499</v>
      </c>
      <c r="B1812">
        <v>2001</v>
      </c>
      <c r="C1812" t="s">
        <v>382</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c r="X1812" s="19">
        <f ca="1">DATE(LifeExpectancyData[[#This Row],[Year]],RANDBETWEEN(1,12),1)</f>
        <v>37165</v>
      </c>
    </row>
    <row r="1813" spans="1:24" x14ac:dyDescent="0.25">
      <c r="A1813" t="s">
        <v>499</v>
      </c>
      <c r="B1813">
        <v>2000</v>
      </c>
      <c r="C1813" t="s">
        <v>382</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c r="X1813" s="19">
        <f ca="1">DATE(LifeExpectancyData[[#This Row],[Year]],RANDBETWEEN(1,12),1)</f>
        <v>36617</v>
      </c>
    </row>
    <row r="1814" spans="1:24" x14ac:dyDescent="0.25">
      <c r="A1814" t="s">
        <v>500</v>
      </c>
      <c r="B1814">
        <v>2013</v>
      </c>
      <c r="C1814" t="s">
        <v>382</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c r="X1814" s="19">
        <f ca="1">DATE(LifeExpectancyData[[#This Row],[Year]],RANDBETWEEN(1,12),1)</f>
        <v>41487</v>
      </c>
    </row>
    <row r="1815" spans="1:24" x14ac:dyDescent="0.25">
      <c r="A1815" t="s">
        <v>501</v>
      </c>
      <c r="B1815">
        <v>2015</v>
      </c>
      <c r="C1815" t="s">
        <v>382</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c r="X1815" s="19">
        <f ca="1">DATE(LifeExpectancyData[[#This Row],[Year]],RANDBETWEEN(1,12),1)</f>
        <v>42186</v>
      </c>
    </row>
    <row r="1816" spans="1:24" x14ac:dyDescent="0.25">
      <c r="A1816" t="s">
        <v>501</v>
      </c>
      <c r="B1816">
        <v>2014</v>
      </c>
      <c r="C1816" t="s">
        <v>382</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c r="X1816" s="19">
        <f ca="1">DATE(LifeExpectancyData[[#This Row],[Year]],RANDBETWEEN(1,12),1)</f>
        <v>41791</v>
      </c>
    </row>
    <row r="1817" spans="1:24" x14ac:dyDescent="0.25">
      <c r="A1817" t="s">
        <v>501</v>
      </c>
      <c r="B1817">
        <v>2013</v>
      </c>
      <c r="C1817" t="s">
        <v>382</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c r="X1817" s="19">
        <f ca="1">DATE(LifeExpectancyData[[#This Row],[Year]],RANDBETWEEN(1,12),1)</f>
        <v>41334</v>
      </c>
    </row>
    <row r="1818" spans="1:24" x14ac:dyDescent="0.25">
      <c r="A1818" t="s">
        <v>501</v>
      </c>
      <c r="B1818">
        <v>2012</v>
      </c>
      <c r="C1818" t="s">
        <v>382</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c r="X1818" s="19">
        <f ca="1">DATE(LifeExpectancyData[[#This Row],[Year]],RANDBETWEEN(1,12),1)</f>
        <v>41000</v>
      </c>
    </row>
    <row r="1819" spans="1:24" x14ac:dyDescent="0.25">
      <c r="A1819" t="s">
        <v>501</v>
      </c>
      <c r="B1819">
        <v>2011</v>
      </c>
      <c r="C1819" t="s">
        <v>382</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c r="X1819" s="19">
        <f ca="1">DATE(LifeExpectancyData[[#This Row],[Year]],RANDBETWEEN(1,12),1)</f>
        <v>40575</v>
      </c>
    </row>
    <row r="1820" spans="1:24" x14ac:dyDescent="0.25">
      <c r="A1820" t="s">
        <v>501</v>
      </c>
      <c r="B1820">
        <v>2010</v>
      </c>
      <c r="C1820" t="s">
        <v>382</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c r="X1820" s="19">
        <f ca="1">DATE(LifeExpectancyData[[#This Row],[Year]],RANDBETWEEN(1,12),1)</f>
        <v>40210</v>
      </c>
    </row>
    <row r="1821" spans="1:24" x14ac:dyDescent="0.25">
      <c r="A1821" t="s">
        <v>501</v>
      </c>
      <c r="B1821">
        <v>2009</v>
      </c>
      <c r="C1821" t="s">
        <v>382</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c r="X1821" s="19">
        <f ca="1">DATE(LifeExpectancyData[[#This Row],[Year]],RANDBETWEEN(1,12),1)</f>
        <v>40148</v>
      </c>
    </row>
    <row r="1822" spans="1:24" x14ac:dyDescent="0.25">
      <c r="A1822" t="s">
        <v>501</v>
      </c>
      <c r="B1822">
        <v>2008</v>
      </c>
      <c r="C1822" t="s">
        <v>382</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c r="X1822" s="19">
        <f ca="1">DATE(LifeExpectancyData[[#This Row],[Year]],RANDBETWEEN(1,12),1)</f>
        <v>39569</v>
      </c>
    </row>
    <row r="1823" spans="1:24" x14ac:dyDescent="0.25">
      <c r="A1823" t="s">
        <v>501</v>
      </c>
      <c r="B1823">
        <v>2007</v>
      </c>
      <c r="C1823" t="s">
        <v>382</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c r="X1823" s="19">
        <f ca="1">DATE(LifeExpectancyData[[#This Row],[Year]],RANDBETWEEN(1,12),1)</f>
        <v>39387</v>
      </c>
    </row>
    <row r="1824" spans="1:24" x14ac:dyDescent="0.25">
      <c r="A1824" t="s">
        <v>501</v>
      </c>
      <c r="B1824">
        <v>2006</v>
      </c>
      <c r="C1824" t="s">
        <v>382</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c r="X1824" s="19">
        <f ca="1">DATE(LifeExpectancyData[[#This Row],[Year]],RANDBETWEEN(1,12),1)</f>
        <v>38808</v>
      </c>
    </row>
    <row r="1825" spans="1:24" x14ac:dyDescent="0.25">
      <c r="A1825" t="s">
        <v>501</v>
      </c>
      <c r="B1825">
        <v>2005</v>
      </c>
      <c r="C1825" t="s">
        <v>382</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c r="X1825" s="19">
        <f ca="1">DATE(LifeExpectancyData[[#This Row],[Year]],RANDBETWEEN(1,12),1)</f>
        <v>38596</v>
      </c>
    </row>
    <row r="1826" spans="1:24" x14ac:dyDescent="0.25">
      <c r="A1826" t="s">
        <v>501</v>
      </c>
      <c r="B1826">
        <v>2004</v>
      </c>
      <c r="C1826" t="s">
        <v>382</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c r="X1826" s="19">
        <f ca="1">DATE(LifeExpectancyData[[#This Row],[Year]],RANDBETWEEN(1,12),1)</f>
        <v>38169</v>
      </c>
    </row>
    <row r="1827" spans="1:24" x14ac:dyDescent="0.25">
      <c r="A1827" t="s">
        <v>501</v>
      </c>
      <c r="B1827">
        <v>2003</v>
      </c>
      <c r="C1827" t="s">
        <v>382</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c r="X1827" s="19">
        <f ca="1">DATE(LifeExpectancyData[[#This Row],[Year]],RANDBETWEEN(1,12),1)</f>
        <v>37622</v>
      </c>
    </row>
    <row r="1828" spans="1:24" x14ac:dyDescent="0.25">
      <c r="A1828" t="s">
        <v>501</v>
      </c>
      <c r="B1828">
        <v>2002</v>
      </c>
      <c r="C1828" t="s">
        <v>382</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c r="X1828" s="19">
        <f ca="1">DATE(LifeExpectancyData[[#This Row],[Year]],RANDBETWEEN(1,12),1)</f>
        <v>37347</v>
      </c>
    </row>
    <row r="1829" spans="1:24" x14ac:dyDescent="0.25">
      <c r="A1829" t="s">
        <v>501</v>
      </c>
      <c r="B1829">
        <v>2001</v>
      </c>
      <c r="C1829" t="s">
        <v>382</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c r="X1829" s="19">
        <f ca="1">DATE(LifeExpectancyData[[#This Row],[Year]],RANDBETWEEN(1,12),1)</f>
        <v>37226</v>
      </c>
    </row>
    <row r="1830" spans="1:24" x14ac:dyDescent="0.25">
      <c r="A1830" t="s">
        <v>501</v>
      </c>
      <c r="B1830">
        <v>2000</v>
      </c>
      <c r="C1830" t="s">
        <v>382</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c r="X1830" s="19">
        <f ca="1">DATE(LifeExpectancyData[[#This Row],[Year]],RANDBETWEEN(1,12),1)</f>
        <v>36586</v>
      </c>
    </row>
    <row r="1831" spans="1:24" x14ac:dyDescent="0.25">
      <c r="A1831" t="s">
        <v>502</v>
      </c>
      <c r="B1831">
        <v>2015</v>
      </c>
      <c r="C1831" t="s">
        <v>390</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c r="X1831" s="19">
        <f ca="1">DATE(LifeExpectancyData[[#This Row],[Year]],RANDBETWEEN(1,12),1)</f>
        <v>42036</v>
      </c>
    </row>
    <row r="1832" spans="1:24" x14ac:dyDescent="0.25">
      <c r="A1832" t="s">
        <v>502</v>
      </c>
      <c r="B1832">
        <v>2014</v>
      </c>
      <c r="C1832" t="s">
        <v>390</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c r="X1832" s="19">
        <f ca="1">DATE(LifeExpectancyData[[#This Row],[Year]],RANDBETWEEN(1,12),1)</f>
        <v>41699</v>
      </c>
    </row>
    <row r="1833" spans="1:24" x14ac:dyDescent="0.25">
      <c r="A1833" t="s">
        <v>502</v>
      </c>
      <c r="B1833">
        <v>2013</v>
      </c>
      <c r="C1833" t="s">
        <v>390</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c r="X1833" s="19">
        <f ca="1">DATE(LifeExpectancyData[[#This Row],[Year]],RANDBETWEEN(1,12),1)</f>
        <v>41548</v>
      </c>
    </row>
    <row r="1834" spans="1:24" x14ac:dyDescent="0.25">
      <c r="A1834" t="s">
        <v>502</v>
      </c>
      <c r="B1834">
        <v>2012</v>
      </c>
      <c r="C1834" t="s">
        <v>390</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c r="X1834" s="19">
        <f ca="1">DATE(LifeExpectancyData[[#This Row],[Year]],RANDBETWEEN(1,12),1)</f>
        <v>40909</v>
      </c>
    </row>
    <row r="1835" spans="1:24" x14ac:dyDescent="0.25">
      <c r="A1835" t="s">
        <v>502</v>
      </c>
      <c r="B1835">
        <v>2011</v>
      </c>
      <c r="C1835" t="s">
        <v>390</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c r="X1835" s="19">
        <f ca="1">DATE(LifeExpectancyData[[#This Row],[Year]],RANDBETWEEN(1,12),1)</f>
        <v>40544</v>
      </c>
    </row>
    <row r="1836" spans="1:24" x14ac:dyDescent="0.25">
      <c r="A1836" t="s">
        <v>502</v>
      </c>
      <c r="B1836">
        <v>2010</v>
      </c>
      <c r="C1836" t="s">
        <v>390</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c r="X1836" s="19">
        <f ca="1">DATE(LifeExpectancyData[[#This Row],[Year]],RANDBETWEEN(1,12),1)</f>
        <v>40330</v>
      </c>
    </row>
    <row r="1837" spans="1:24" x14ac:dyDescent="0.25">
      <c r="A1837" t="s">
        <v>502</v>
      </c>
      <c r="B1837">
        <v>2009</v>
      </c>
      <c r="C1837" t="s">
        <v>390</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c r="X1837" s="19">
        <f ca="1">DATE(LifeExpectancyData[[#This Row],[Year]],RANDBETWEEN(1,12),1)</f>
        <v>39965</v>
      </c>
    </row>
    <row r="1838" spans="1:24" x14ac:dyDescent="0.25">
      <c r="A1838" t="s">
        <v>502</v>
      </c>
      <c r="B1838">
        <v>2008</v>
      </c>
      <c r="C1838" t="s">
        <v>390</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c r="X1838" s="19">
        <f ca="1">DATE(LifeExpectancyData[[#This Row],[Year]],RANDBETWEEN(1,12),1)</f>
        <v>39479</v>
      </c>
    </row>
    <row r="1839" spans="1:24" x14ac:dyDescent="0.25">
      <c r="A1839" t="s">
        <v>502</v>
      </c>
      <c r="B1839">
        <v>2007</v>
      </c>
      <c r="C1839" t="s">
        <v>390</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c r="X1839" s="19">
        <f ca="1">DATE(LifeExpectancyData[[#This Row],[Year]],RANDBETWEEN(1,12),1)</f>
        <v>39083</v>
      </c>
    </row>
    <row r="1840" spans="1:24" x14ac:dyDescent="0.25">
      <c r="A1840" t="s">
        <v>502</v>
      </c>
      <c r="B1840">
        <v>2006</v>
      </c>
      <c r="C1840" t="s">
        <v>390</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c r="X1840" s="19">
        <f ca="1">DATE(LifeExpectancyData[[#This Row],[Year]],RANDBETWEEN(1,12),1)</f>
        <v>39052</v>
      </c>
    </row>
    <row r="1841" spans="1:24" x14ac:dyDescent="0.25">
      <c r="A1841" t="s">
        <v>502</v>
      </c>
      <c r="B1841">
        <v>2005</v>
      </c>
      <c r="C1841" t="s">
        <v>390</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c r="X1841" s="19">
        <f ca="1">DATE(LifeExpectancyData[[#This Row],[Year]],RANDBETWEEN(1,12),1)</f>
        <v>38384</v>
      </c>
    </row>
    <row r="1842" spans="1:24" x14ac:dyDescent="0.25">
      <c r="A1842" t="s">
        <v>502</v>
      </c>
      <c r="B1842">
        <v>2004</v>
      </c>
      <c r="C1842" t="s">
        <v>390</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c r="X1842" s="19">
        <f ca="1">DATE(LifeExpectancyData[[#This Row],[Year]],RANDBETWEEN(1,12),1)</f>
        <v>38200</v>
      </c>
    </row>
    <row r="1843" spans="1:24" x14ac:dyDescent="0.25">
      <c r="A1843" t="s">
        <v>502</v>
      </c>
      <c r="B1843">
        <v>2003</v>
      </c>
      <c r="C1843" t="s">
        <v>390</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c r="X1843" s="19">
        <f ca="1">DATE(LifeExpectancyData[[#This Row],[Year]],RANDBETWEEN(1,12),1)</f>
        <v>37712</v>
      </c>
    </row>
    <row r="1844" spans="1:24" x14ac:dyDescent="0.25">
      <c r="A1844" t="s">
        <v>502</v>
      </c>
      <c r="B1844">
        <v>2002</v>
      </c>
      <c r="C1844" t="s">
        <v>390</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c r="X1844" s="19">
        <f ca="1">DATE(LifeExpectancyData[[#This Row],[Year]],RANDBETWEEN(1,12),1)</f>
        <v>37408</v>
      </c>
    </row>
    <row r="1845" spans="1:24" x14ac:dyDescent="0.25">
      <c r="A1845" t="s">
        <v>502</v>
      </c>
      <c r="B1845">
        <v>2001</v>
      </c>
      <c r="C1845" t="s">
        <v>390</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c r="X1845" s="19">
        <f ca="1">DATE(LifeExpectancyData[[#This Row],[Year]],RANDBETWEEN(1,12),1)</f>
        <v>37226</v>
      </c>
    </row>
    <row r="1846" spans="1:24" x14ac:dyDescent="0.25">
      <c r="A1846" t="s">
        <v>502</v>
      </c>
      <c r="B1846">
        <v>2000</v>
      </c>
      <c r="C1846" t="s">
        <v>390</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c r="X1846" s="19">
        <f ca="1">DATE(LifeExpectancyData[[#This Row],[Year]],RANDBETWEEN(1,12),1)</f>
        <v>36678</v>
      </c>
    </row>
    <row r="1847" spans="1:24" x14ac:dyDescent="0.25">
      <c r="A1847" t="s">
        <v>503</v>
      </c>
      <c r="B1847">
        <v>2015</v>
      </c>
      <c r="C1847" t="s">
        <v>390</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c r="X1847" s="19">
        <f ca="1">DATE(LifeExpectancyData[[#This Row],[Year]],RANDBETWEEN(1,12),1)</f>
        <v>42156</v>
      </c>
    </row>
    <row r="1848" spans="1:24" x14ac:dyDescent="0.25">
      <c r="A1848" t="s">
        <v>503</v>
      </c>
      <c r="B1848">
        <v>2014</v>
      </c>
      <c r="C1848" t="s">
        <v>390</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c r="X1848" s="19">
        <f ca="1">DATE(LifeExpectancyData[[#This Row],[Year]],RANDBETWEEN(1,12),1)</f>
        <v>41944</v>
      </c>
    </row>
    <row r="1849" spans="1:24" x14ac:dyDescent="0.25">
      <c r="A1849" t="s">
        <v>503</v>
      </c>
      <c r="B1849">
        <v>2013</v>
      </c>
      <c r="C1849" t="s">
        <v>390</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c r="X1849" s="19">
        <f ca="1">DATE(LifeExpectancyData[[#This Row],[Year]],RANDBETWEEN(1,12),1)</f>
        <v>41306</v>
      </c>
    </row>
    <row r="1850" spans="1:24" x14ac:dyDescent="0.25">
      <c r="A1850" t="s">
        <v>503</v>
      </c>
      <c r="B1850">
        <v>2012</v>
      </c>
      <c r="C1850" t="s">
        <v>390</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c r="X1850" s="19">
        <f ca="1">DATE(LifeExpectancyData[[#This Row],[Year]],RANDBETWEEN(1,12),1)</f>
        <v>41000</v>
      </c>
    </row>
    <row r="1851" spans="1:24" x14ac:dyDescent="0.25">
      <c r="A1851" t="s">
        <v>503</v>
      </c>
      <c r="B1851">
        <v>2011</v>
      </c>
      <c r="C1851" t="s">
        <v>390</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c r="X1851" s="19">
        <f ca="1">DATE(LifeExpectancyData[[#This Row],[Year]],RANDBETWEEN(1,12),1)</f>
        <v>40878</v>
      </c>
    </row>
    <row r="1852" spans="1:24" x14ac:dyDescent="0.25">
      <c r="A1852" t="s">
        <v>503</v>
      </c>
      <c r="B1852">
        <v>2010</v>
      </c>
      <c r="C1852" t="s">
        <v>390</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c r="X1852" s="19">
        <f ca="1">DATE(LifeExpectancyData[[#This Row],[Year]],RANDBETWEEN(1,12),1)</f>
        <v>40299</v>
      </c>
    </row>
    <row r="1853" spans="1:24" x14ac:dyDescent="0.25">
      <c r="A1853" t="s">
        <v>503</v>
      </c>
      <c r="B1853">
        <v>2009</v>
      </c>
      <c r="C1853" t="s">
        <v>390</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c r="X1853" s="19">
        <f ca="1">DATE(LifeExpectancyData[[#This Row],[Year]],RANDBETWEEN(1,12),1)</f>
        <v>39934</v>
      </c>
    </row>
    <row r="1854" spans="1:24" x14ac:dyDescent="0.25">
      <c r="A1854" t="s">
        <v>503</v>
      </c>
      <c r="B1854">
        <v>2008</v>
      </c>
      <c r="C1854" t="s">
        <v>390</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c r="X1854" s="19">
        <f ca="1">DATE(LifeExpectancyData[[#This Row],[Year]],RANDBETWEEN(1,12),1)</f>
        <v>39692</v>
      </c>
    </row>
    <row r="1855" spans="1:24" x14ac:dyDescent="0.25">
      <c r="A1855" t="s">
        <v>503</v>
      </c>
      <c r="B1855">
        <v>2007</v>
      </c>
      <c r="C1855" t="s">
        <v>390</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c r="X1855" s="19">
        <f ca="1">DATE(LifeExpectancyData[[#This Row],[Year]],RANDBETWEEN(1,12),1)</f>
        <v>39264</v>
      </c>
    </row>
    <row r="1856" spans="1:24" x14ac:dyDescent="0.25">
      <c r="A1856" t="s">
        <v>503</v>
      </c>
      <c r="B1856">
        <v>2006</v>
      </c>
      <c r="C1856" t="s">
        <v>390</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c r="X1856" s="19">
        <f ca="1">DATE(LifeExpectancyData[[#This Row],[Year]],RANDBETWEEN(1,12),1)</f>
        <v>38777</v>
      </c>
    </row>
    <row r="1857" spans="1:24" x14ac:dyDescent="0.25">
      <c r="A1857" t="s">
        <v>503</v>
      </c>
      <c r="B1857">
        <v>2005</v>
      </c>
      <c r="C1857" t="s">
        <v>390</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c r="X1857" s="19">
        <f ca="1">DATE(LifeExpectancyData[[#This Row],[Year]],RANDBETWEEN(1,12),1)</f>
        <v>38565</v>
      </c>
    </row>
    <row r="1858" spans="1:24" x14ac:dyDescent="0.25">
      <c r="A1858" t="s">
        <v>503</v>
      </c>
      <c r="B1858">
        <v>2004</v>
      </c>
      <c r="C1858" t="s">
        <v>390</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c r="X1858" s="19">
        <f ca="1">DATE(LifeExpectancyData[[#This Row],[Year]],RANDBETWEEN(1,12),1)</f>
        <v>38322</v>
      </c>
    </row>
    <row r="1859" spans="1:24" x14ac:dyDescent="0.25">
      <c r="A1859" t="s">
        <v>503</v>
      </c>
      <c r="B1859">
        <v>2003</v>
      </c>
      <c r="C1859" t="s">
        <v>390</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c r="X1859" s="19">
        <f ca="1">DATE(LifeExpectancyData[[#This Row],[Year]],RANDBETWEEN(1,12),1)</f>
        <v>37742</v>
      </c>
    </row>
    <row r="1860" spans="1:24" x14ac:dyDescent="0.25">
      <c r="A1860" t="s">
        <v>503</v>
      </c>
      <c r="B1860">
        <v>2002</v>
      </c>
      <c r="C1860" t="s">
        <v>390</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c r="X1860" s="19">
        <f ca="1">DATE(LifeExpectancyData[[#This Row],[Year]],RANDBETWEEN(1,12),1)</f>
        <v>37438</v>
      </c>
    </row>
    <row r="1861" spans="1:24" x14ac:dyDescent="0.25">
      <c r="A1861" t="s">
        <v>503</v>
      </c>
      <c r="B1861">
        <v>2001</v>
      </c>
      <c r="C1861" t="s">
        <v>390</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c r="X1861" s="19">
        <f ca="1">DATE(LifeExpectancyData[[#This Row],[Year]],RANDBETWEEN(1,12),1)</f>
        <v>37135</v>
      </c>
    </row>
    <row r="1862" spans="1:24" x14ac:dyDescent="0.25">
      <c r="A1862" t="s">
        <v>503</v>
      </c>
      <c r="B1862">
        <v>2000</v>
      </c>
      <c r="C1862" t="s">
        <v>390</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c r="X1862" s="19">
        <f ca="1">DATE(LifeExpectancyData[[#This Row],[Year]],RANDBETWEEN(1,12),1)</f>
        <v>36800</v>
      </c>
    </row>
    <row r="1863" spans="1:24" x14ac:dyDescent="0.25">
      <c r="A1863" t="s">
        <v>504</v>
      </c>
      <c r="B1863">
        <v>2015</v>
      </c>
      <c r="C1863" t="s">
        <v>382</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c r="X1863" s="19">
        <f ca="1">DATE(LifeExpectancyData[[#This Row],[Year]],RANDBETWEEN(1,12),1)</f>
        <v>42339</v>
      </c>
    </row>
    <row r="1864" spans="1:24" x14ac:dyDescent="0.25">
      <c r="A1864" t="s">
        <v>504</v>
      </c>
      <c r="B1864">
        <v>2014</v>
      </c>
      <c r="C1864" t="s">
        <v>382</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c r="X1864" s="19">
        <f ca="1">DATE(LifeExpectancyData[[#This Row],[Year]],RANDBETWEEN(1,12),1)</f>
        <v>41730</v>
      </c>
    </row>
    <row r="1865" spans="1:24" x14ac:dyDescent="0.25">
      <c r="A1865" t="s">
        <v>504</v>
      </c>
      <c r="B1865">
        <v>2013</v>
      </c>
      <c r="C1865" t="s">
        <v>382</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c r="X1865" s="19">
        <f ca="1">DATE(LifeExpectancyData[[#This Row],[Year]],RANDBETWEEN(1,12),1)</f>
        <v>41365</v>
      </c>
    </row>
    <row r="1866" spans="1:24" x14ac:dyDescent="0.25">
      <c r="A1866" t="s">
        <v>504</v>
      </c>
      <c r="B1866">
        <v>2012</v>
      </c>
      <c r="C1866" t="s">
        <v>382</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c r="X1866" s="19">
        <f ca="1">DATE(LifeExpectancyData[[#This Row],[Year]],RANDBETWEEN(1,12),1)</f>
        <v>41183</v>
      </c>
    </row>
    <row r="1867" spans="1:24" x14ac:dyDescent="0.25">
      <c r="A1867" t="s">
        <v>504</v>
      </c>
      <c r="B1867">
        <v>2011</v>
      </c>
      <c r="C1867" t="s">
        <v>382</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c r="X1867" s="19">
        <f ca="1">DATE(LifeExpectancyData[[#This Row],[Year]],RANDBETWEEN(1,12),1)</f>
        <v>40634</v>
      </c>
    </row>
    <row r="1868" spans="1:24" x14ac:dyDescent="0.25">
      <c r="A1868" t="s">
        <v>504</v>
      </c>
      <c r="B1868">
        <v>2010</v>
      </c>
      <c r="C1868" t="s">
        <v>382</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c r="X1868" s="19">
        <f ca="1">DATE(LifeExpectancyData[[#This Row],[Year]],RANDBETWEEN(1,12),1)</f>
        <v>40179</v>
      </c>
    </row>
    <row r="1869" spans="1:24" x14ac:dyDescent="0.25">
      <c r="A1869" t="s">
        <v>504</v>
      </c>
      <c r="B1869">
        <v>2009</v>
      </c>
      <c r="C1869" t="s">
        <v>382</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c r="X1869" s="19">
        <f ca="1">DATE(LifeExpectancyData[[#This Row],[Year]],RANDBETWEEN(1,12),1)</f>
        <v>39845</v>
      </c>
    </row>
    <row r="1870" spans="1:24" x14ac:dyDescent="0.25">
      <c r="A1870" t="s">
        <v>504</v>
      </c>
      <c r="B1870">
        <v>2008</v>
      </c>
      <c r="C1870" t="s">
        <v>382</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c r="X1870" s="19">
        <f ca="1">DATE(LifeExpectancyData[[#This Row],[Year]],RANDBETWEEN(1,12),1)</f>
        <v>39448</v>
      </c>
    </row>
    <row r="1871" spans="1:24" x14ac:dyDescent="0.25">
      <c r="A1871" t="s">
        <v>504</v>
      </c>
      <c r="B1871">
        <v>2007</v>
      </c>
      <c r="C1871" t="s">
        <v>382</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c r="X1871" s="19">
        <f ca="1">DATE(LifeExpectancyData[[#This Row],[Year]],RANDBETWEEN(1,12),1)</f>
        <v>39142</v>
      </c>
    </row>
    <row r="1872" spans="1:24" x14ac:dyDescent="0.25">
      <c r="A1872" t="s">
        <v>504</v>
      </c>
      <c r="B1872">
        <v>2006</v>
      </c>
      <c r="C1872" t="s">
        <v>382</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c r="X1872" s="19">
        <f ca="1">DATE(LifeExpectancyData[[#This Row],[Year]],RANDBETWEEN(1,12),1)</f>
        <v>38718</v>
      </c>
    </row>
    <row r="1873" spans="1:24" x14ac:dyDescent="0.25">
      <c r="A1873" t="s">
        <v>504</v>
      </c>
      <c r="B1873">
        <v>2005</v>
      </c>
      <c r="C1873" t="s">
        <v>382</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c r="X1873" s="19">
        <f ca="1">DATE(LifeExpectancyData[[#This Row],[Year]],RANDBETWEEN(1,12),1)</f>
        <v>38473</v>
      </c>
    </row>
    <row r="1874" spans="1:24" x14ac:dyDescent="0.25">
      <c r="A1874" t="s">
        <v>504</v>
      </c>
      <c r="B1874">
        <v>2004</v>
      </c>
      <c r="C1874" t="s">
        <v>382</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c r="X1874" s="19">
        <f ca="1">DATE(LifeExpectancyData[[#This Row],[Year]],RANDBETWEEN(1,12),1)</f>
        <v>38018</v>
      </c>
    </row>
    <row r="1875" spans="1:24" x14ac:dyDescent="0.25">
      <c r="A1875" t="s">
        <v>504</v>
      </c>
      <c r="B1875">
        <v>2003</v>
      </c>
      <c r="C1875" t="s">
        <v>382</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c r="X1875" s="19">
        <f ca="1">DATE(LifeExpectancyData[[#This Row],[Year]],RANDBETWEEN(1,12),1)</f>
        <v>37956</v>
      </c>
    </row>
    <row r="1876" spans="1:24" x14ac:dyDescent="0.25">
      <c r="A1876" t="s">
        <v>504</v>
      </c>
      <c r="B1876">
        <v>2002</v>
      </c>
      <c r="C1876" t="s">
        <v>382</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c r="X1876" s="19">
        <f ca="1">DATE(LifeExpectancyData[[#This Row],[Year]],RANDBETWEEN(1,12),1)</f>
        <v>37316</v>
      </c>
    </row>
    <row r="1877" spans="1:24" x14ac:dyDescent="0.25">
      <c r="A1877" t="s">
        <v>504</v>
      </c>
      <c r="B1877">
        <v>2001</v>
      </c>
      <c r="C1877" t="s">
        <v>382</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c r="X1877" s="19">
        <f ca="1">DATE(LifeExpectancyData[[#This Row],[Year]],RANDBETWEEN(1,12),1)</f>
        <v>37073</v>
      </c>
    </row>
    <row r="1878" spans="1:24" x14ac:dyDescent="0.25">
      <c r="A1878" t="s">
        <v>504</v>
      </c>
      <c r="B1878">
        <v>2000</v>
      </c>
      <c r="C1878" t="s">
        <v>382</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c r="X1878" s="19">
        <f ca="1">DATE(LifeExpectancyData[[#This Row],[Year]],RANDBETWEEN(1,12),1)</f>
        <v>36739</v>
      </c>
    </row>
    <row r="1879" spans="1:24" x14ac:dyDescent="0.25">
      <c r="A1879" t="s">
        <v>505</v>
      </c>
      <c r="B1879">
        <v>2015</v>
      </c>
      <c r="C1879" t="s">
        <v>382</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c r="X1879" s="19">
        <f ca="1">DATE(LifeExpectancyData[[#This Row],[Year]],RANDBETWEEN(1,12),1)</f>
        <v>42339</v>
      </c>
    </row>
    <row r="1880" spans="1:24" x14ac:dyDescent="0.25">
      <c r="A1880" t="s">
        <v>505</v>
      </c>
      <c r="B1880">
        <v>2014</v>
      </c>
      <c r="C1880" t="s">
        <v>382</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c r="X1880" s="19">
        <f ca="1">DATE(LifeExpectancyData[[#This Row],[Year]],RANDBETWEEN(1,12),1)</f>
        <v>41913</v>
      </c>
    </row>
    <row r="1881" spans="1:24" x14ac:dyDescent="0.25">
      <c r="A1881" t="s">
        <v>505</v>
      </c>
      <c r="B1881">
        <v>2013</v>
      </c>
      <c r="C1881" t="s">
        <v>382</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c r="X1881" s="19">
        <f ca="1">DATE(LifeExpectancyData[[#This Row],[Year]],RANDBETWEEN(1,12),1)</f>
        <v>41548</v>
      </c>
    </row>
    <row r="1882" spans="1:24" x14ac:dyDescent="0.25">
      <c r="A1882" t="s">
        <v>505</v>
      </c>
      <c r="B1882">
        <v>2012</v>
      </c>
      <c r="C1882" t="s">
        <v>382</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c r="X1882" s="19">
        <f ca="1">DATE(LifeExpectancyData[[#This Row],[Year]],RANDBETWEEN(1,12),1)</f>
        <v>41183</v>
      </c>
    </row>
    <row r="1883" spans="1:24" x14ac:dyDescent="0.25">
      <c r="A1883" t="s">
        <v>505</v>
      </c>
      <c r="B1883">
        <v>2011</v>
      </c>
      <c r="C1883" t="s">
        <v>382</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c r="X1883" s="19">
        <f ca="1">DATE(LifeExpectancyData[[#This Row],[Year]],RANDBETWEEN(1,12),1)</f>
        <v>40848</v>
      </c>
    </row>
    <row r="1884" spans="1:24" x14ac:dyDescent="0.25">
      <c r="A1884" t="s">
        <v>505</v>
      </c>
      <c r="B1884">
        <v>2010</v>
      </c>
      <c r="C1884" t="s">
        <v>382</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c r="X1884" s="19">
        <f ca="1">DATE(LifeExpectancyData[[#This Row],[Year]],RANDBETWEEN(1,12),1)</f>
        <v>40238</v>
      </c>
    </row>
    <row r="1885" spans="1:24" x14ac:dyDescent="0.25">
      <c r="A1885" t="s">
        <v>505</v>
      </c>
      <c r="B1885">
        <v>2009</v>
      </c>
      <c r="C1885" t="s">
        <v>382</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c r="X1885" s="19">
        <f ca="1">DATE(LifeExpectancyData[[#This Row],[Year]],RANDBETWEEN(1,12),1)</f>
        <v>39995</v>
      </c>
    </row>
    <row r="1886" spans="1:24" x14ac:dyDescent="0.25">
      <c r="A1886" t="s">
        <v>505</v>
      </c>
      <c r="B1886">
        <v>2008</v>
      </c>
      <c r="C1886" t="s">
        <v>382</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c r="X1886" s="19">
        <f ca="1">DATE(LifeExpectancyData[[#This Row],[Year]],RANDBETWEEN(1,12),1)</f>
        <v>39569</v>
      </c>
    </row>
    <row r="1887" spans="1:24" x14ac:dyDescent="0.25">
      <c r="A1887" t="s">
        <v>505</v>
      </c>
      <c r="B1887">
        <v>2007</v>
      </c>
      <c r="C1887" t="s">
        <v>382</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c r="X1887" s="19">
        <f ca="1">DATE(LifeExpectancyData[[#This Row],[Year]],RANDBETWEEN(1,12),1)</f>
        <v>39234</v>
      </c>
    </row>
    <row r="1888" spans="1:24" x14ac:dyDescent="0.25">
      <c r="A1888" t="s">
        <v>505</v>
      </c>
      <c r="B1888">
        <v>2006</v>
      </c>
      <c r="C1888" t="s">
        <v>382</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c r="X1888" s="19">
        <f ca="1">DATE(LifeExpectancyData[[#This Row],[Year]],RANDBETWEEN(1,12),1)</f>
        <v>38718</v>
      </c>
    </row>
    <row r="1889" spans="1:24" x14ac:dyDescent="0.25">
      <c r="A1889" t="s">
        <v>505</v>
      </c>
      <c r="B1889">
        <v>2005</v>
      </c>
      <c r="C1889" t="s">
        <v>382</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c r="X1889" s="19">
        <f ca="1">DATE(LifeExpectancyData[[#This Row],[Year]],RANDBETWEEN(1,12),1)</f>
        <v>38353</v>
      </c>
    </row>
    <row r="1890" spans="1:24" x14ac:dyDescent="0.25">
      <c r="A1890" t="s">
        <v>505</v>
      </c>
      <c r="B1890">
        <v>2004</v>
      </c>
      <c r="C1890" t="s">
        <v>382</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c r="X1890" s="19">
        <f ca="1">DATE(LifeExpectancyData[[#This Row],[Year]],RANDBETWEEN(1,12),1)</f>
        <v>38169</v>
      </c>
    </row>
    <row r="1891" spans="1:24" x14ac:dyDescent="0.25">
      <c r="A1891" t="s">
        <v>505</v>
      </c>
      <c r="B1891">
        <v>2003</v>
      </c>
      <c r="C1891" t="s">
        <v>382</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c r="X1891" s="19">
        <f ca="1">DATE(LifeExpectancyData[[#This Row],[Year]],RANDBETWEEN(1,12),1)</f>
        <v>37803</v>
      </c>
    </row>
    <row r="1892" spans="1:24" x14ac:dyDescent="0.25">
      <c r="A1892" t="s">
        <v>505</v>
      </c>
      <c r="B1892">
        <v>2002</v>
      </c>
      <c r="C1892" t="s">
        <v>382</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c r="X1892" s="19">
        <f ca="1">DATE(LifeExpectancyData[[#This Row],[Year]],RANDBETWEEN(1,12),1)</f>
        <v>37591</v>
      </c>
    </row>
    <row r="1893" spans="1:24" x14ac:dyDescent="0.25">
      <c r="A1893" t="s">
        <v>505</v>
      </c>
      <c r="B1893">
        <v>2001</v>
      </c>
      <c r="C1893" t="s">
        <v>382</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c r="X1893" s="19">
        <f ca="1">DATE(LifeExpectancyData[[#This Row],[Year]],RANDBETWEEN(1,12),1)</f>
        <v>37073</v>
      </c>
    </row>
    <row r="1894" spans="1:24" x14ac:dyDescent="0.25">
      <c r="A1894" t="s">
        <v>505</v>
      </c>
      <c r="B1894">
        <v>2000</v>
      </c>
      <c r="C1894" t="s">
        <v>382</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c r="X1894" s="19">
        <f ca="1">DATE(LifeExpectancyData[[#This Row],[Year]],RANDBETWEEN(1,12),1)</f>
        <v>36557</v>
      </c>
    </row>
    <row r="1895" spans="1:24" x14ac:dyDescent="0.25">
      <c r="A1895" t="s">
        <v>506</v>
      </c>
      <c r="B1895">
        <v>2015</v>
      </c>
      <c r="C1895" t="s">
        <v>382</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c r="X1895" s="19">
        <f ca="1">DATE(LifeExpectancyData[[#This Row],[Year]],RANDBETWEEN(1,12),1)</f>
        <v>42309</v>
      </c>
    </row>
    <row r="1896" spans="1:24" x14ac:dyDescent="0.25">
      <c r="A1896" t="s">
        <v>506</v>
      </c>
      <c r="B1896">
        <v>2014</v>
      </c>
      <c r="C1896" t="s">
        <v>382</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c r="X1896" s="19">
        <f ca="1">DATE(LifeExpectancyData[[#This Row],[Year]],RANDBETWEEN(1,12),1)</f>
        <v>41944</v>
      </c>
    </row>
    <row r="1897" spans="1:24" x14ac:dyDescent="0.25">
      <c r="A1897" t="s">
        <v>506</v>
      </c>
      <c r="B1897">
        <v>2013</v>
      </c>
      <c r="C1897" t="s">
        <v>382</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c r="X1897" s="19">
        <f ca="1">DATE(LifeExpectancyData[[#This Row],[Year]],RANDBETWEEN(1,12),1)</f>
        <v>41609</v>
      </c>
    </row>
    <row r="1898" spans="1:24" x14ac:dyDescent="0.25">
      <c r="A1898" t="s">
        <v>506</v>
      </c>
      <c r="B1898">
        <v>2012</v>
      </c>
      <c r="C1898" t="s">
        <v>382</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c r="X1898" s="19">
        <f ca="1">DATE(LifeExpectancyData[[#This Row],[Year]],RANDBETWEEN(1,12),1)</f>
        <v>41153</v>
      </c>
    </row>
    <row r="1899" spans="1:24" x14ac:dyDescent="0.25">
      <c r="A1899" t="s">
        <v>506</v>
      </c>
      <c r="B1899">
        <v>2011</v>
      </c>
      <c r="C1899" t="s">
        <v>382</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c r="X1899" s="19">
        <f ca="1">DATE(LifeExpectancyData[[#This Row],[Year]],RANDBETWEEN(1,12),1)</f>
        <v>40756</v>
      </c>
    </row>
    <row r="1900" spans="1:24" x14ac:dyDescent="0.25">
      <c r="A1900" t="s">
        <v>506</v>
      </c>
      <c r="B1900">
        <v>2010</v>
      </c>
      <c r="C1900" t="s">
        <v>382</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c r="X1900" s="19">
        <f ca="1">DATE(LifeExpectancyData[[#This Row],[Year]],RANDBETWEEN(1,12),1)</f>
        <v>40513</v>
      </c>
    </row>
    <row r="1901" spans="1:24" x14ac:dyDescent="0.25">
      <c r="A1901" t="s">
        <v>506</v>
      </c>
      <c r="B1901">
        <v>2009</v>
      </c>
      <c r="C1901" t="s">
        <v>382</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c r="X1901" s="19">
        <f ca="1">DATE(LifeExpectancyData[[#This Row],[Year]],RANDBETWEEN(1,12),1)</f>
        <v>39904</v>
      </c>
    </row>
    <row r="1902" spans="1:24" x14ac:dyDescent="0.25">
      <c r="A1902" t="s">
        <v>506</v>
      </c>
      <c r="B1902">
        <v>2008</v>
      </c>
      <c r="C1902" t="s">
        <v>382</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c r="X1902" s="19">
        <f ca="1">DATE(LifeExpectancyData[[#This Row],[Year]],RANDBETWEEN(1,12),1)</f>
        <v>39692</v>
      </c>
    </row>
    <row r="1903" spans="1:24" x14ac:dyDescent="0.25">
      <c r="A1903" t="s">
        <v>506</v>
      </c>
      <c r="B1903">
        <v>2007</v>
      </c>
      <c r="C1903" t="s">
        <v>382</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c r="X1903" s="19">
        <f ca="1">DATE(LifeExpectancyData[[#This Row],[Year]],RANDBETWEEN(1,12),1)</f>
        <v>39234</v>
      </c>
    </row>
    <row r="1904" spans="1:24" x14ac:dyDescent="0.25">
      <c r="A1904" t="s">
        <v>506</v>
      </c>
      <c r="B1904">
        <v>2006</v>
      </c>
      <c r="C1904" t="s">
        <v>382</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c r="X1904" s="19">
        <f ca="1">DATE(LifeExpectancyData[[#This Row],[Year]],RANDBETWEEN(1,12),1)</f>
        <v>38899</v>
      </c>
    </row>
    <row r="1905" spans="1:24" x14ac:dyDescent="0.25">
      <c r="A1905" t="s">
        <v>506</v>
      </c>
      <c r="B1905">
        <v>2005</v>
      </c>
      <c r="C1905" t="s">
        <v>382</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c r="X1905" s="19">
        <f ca="1">DATE(LifeExpectancyData[[#This Row],[Year]],RANDBETWEEN(1,12),1)</f>
        <v>38626</v>
      </c>
    </row>
    <row r="1906" spans="1:24" x14ac:dyDescent="0.25">
      <c r="A1906" t="s">
        <v>506</v>
      </c>
      <c r="B1906">
        <v>2004</v>
      </c>
      <c r="C1906" t="s">
        <v>382</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c r="X1906" s="19">
        <f ca="1">DATE(LifeExpectancyData[[#This Row],[Year]],RANDBETWEEN(1,12),1)</f>
        <v>38261</v>
      </c>
    </row>
    <row r="1907" spans="1:24" x14ac:dyDescent="0.25">
      <c r="A1907" t="s">
        <v>506</v>
      </c>
      <c r="B1907">
        <v>2003</v>
      </c>
      <c r="C1907" t="s">
        <v>382</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c r="X1907" s="19">
        <f ca="1">DATE(LifeExpectancyData[[#This Row],[Year]],RANDBETWEEN(1,12),1)</f>
        <v>37622</v>
      </c>
    </row>
    <row r="1908" spans="1:24" x14ac:dyDescent="0.25">
      <c r="A1908" t="s">
        <v>506</v>
      </c>
      <c r="B1908">
        <v>2002</v>
      </c>
      <c r="C1908" t="s">
        <v>382</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c r="X1908" s="19">
        <f ca="1">DATE(LifeExpectancyData[[#This Row],[Year]],RANDBETWEEN(1,12),1)</f>
        <v>37561</v>
      </c>
    </row>
    <row r="1909" spans="1:24" x14ac:dyDescent="0.25">
      <c r="A1909" t="s">
        <v>506</v>
      </c>
      <c r="B1909">
        <v>2001</v>
      </c>
      <c r="C1909" t="s">
        <v>382</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c r="X1909" s="19">
        <f ca="1">DATE(LifeExpectancyData[[#This Row],[Year]],RANDBETWEEN(1,12),1)</f>
        <v>36951</v>
      </c>
    </row>
    <row r="1910" spans="1:24" x14ac:dyDescent="0.25">
      <c r="A1910" t="s">
        <v>506</v>
      </c>
      <c r="B1910">
        <v>2000</v>
      </c>
      <c r="C1910" t="s">
        <v>382</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c r="X1910" s="19">
        <f ca="1">DATE(LifeExpectancyData[[#This Row],[Year]],RANDBETWEEN(1,12),1)</f>
        <v>36647</v>
      </c>
    </row>
    <row r="1911" spans="1:24" x14ac:dyDescent="0.25">
      <c r="A1911" t="s">
        <v>507</v>
      </c>
      <c r="B1911">
        <v>2013</v>
      </c>
      <c r="C1911" t="s">
        <v>382</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c r="X1911" s="19">
        <f ca="1">DATE(LifeExpectancyData[[#This Row],[Year]],RANDBETWEEN(1,12),1)</f>
        <v>41548</v>
      </c>
    </row>
    <row r="1912" spans="1:24" x14ac:dyDescent="0.25">
      <c r="A1912" t="s">
        <v>508</v>
      </c>
      <c r="B1912">
        <v>2015</v>
      </c>
      <c r="C1912" t="s">
        <v>390</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c r="X1912" s="19">
        <f ca="1">DATE(LifeExpectancyData[[#This Row],[Year]],RANDBETWEEN(1,12),1)</f>
        <v>42064</v>
      </c>
    </row>
    <row r="1913" spans="1:24" x14ac:dyDescent="0.25">
      <c r="A1913" t="s">
        <v>508</v>
      </c>
      <c r="B1913">
        <v>2014</v>
      </c>
      <c r="C1913" t="s">
        <v>390</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c r="X1913" s="19">
        <f ca="1">DATE(LifeExpectancyData[[#This Row],[Year]],RANDBETWEEN(1,12),1)</f>
        <v>41974</v>
      </c>
    </row>
    <row r="1914" spans="1:24" x14ac:dyDescent="0.25">
      <c r="A1914" t="s">
        <v>508</v>
      </c>
      <c r="B1914">
        <v>2013</v>
      </c>
      <c r="C1914" t="s">
        <v>390</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c r="X1914" s="19">
        <f ca="1">DATE(LifeExpectancyData[[#This Row],[Year]],RANDBETWEEN(1,12),1)</f>
        <v>41548</v>
      </c>
    </row>
    <row r="1915" spans="1:24" x14ac:dyDescent="0.25">
      <c r="A1915" t="s">
        <v>508</v>
      </c>
      <c r="B1915">
        <v>2012</v>
      </c>
      <c r="C1915" t="s">
        <v>390</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c r="X1915" s="19">
        <f ca="1">DATE(LifeExpectancyData[[#This Row],[Year]],RANDBETWEEN(1,12),1)</f>
        <v>41061</v>
      </c>
    </row>
    <row r="1916" spans="1:24" x14ac:dyDescent="0.25">
      <c r="A1916" t="s">
        <v>508</v>
      </c>
      <c r="B1916">
        <v>2011</v>
      </c>
      <c r="C1916" t="s">
        <v>390</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c r="X1916" s="19">
        <f ca="1">DATE(LifeExpectancyData[[#This Row],[Year]],RANDBETWEEN(1,12),1)</f>
        <v>40634</v>
      </c>
    </row>
    <row r="1917" spans="1:24" x14ac:dyDescent="0.25">
      <c r="A1917" t="s">
        <v>508</v>
      </c>
      <c r="B1917">
        <v>2010</v>
      </c>
      <c r="C1917" t="s">
        <v>390</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c r="X1917" s="19">
        <f ca="1">DATE(LifeExpectancyData[[#This Row],[Year]],RANDBETWEEN(1,12),1)</f>
        <v>40179</v>
      </c>
    </row>
    <row r="1918" spans="1:24" x14ac:dyDescent="0.25">
      <c r="A1918" t="s">
        <v>508</v>
      </c>
      <c r="B1918">
        <v>2009</v>
      </c>
      <c r="C1918" t="s">
        <v>390</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c r="X1918" s="19">
        <f ca="1">DATE(LifeExpectancyData[[#This Row],[Year]],RANDBETWEEN(1,12),1)</f>
        <v>40118</v>
      </c>
    </row>
    <row r="1919" spans="1:24" x14ac:dyDescent="0.25">
      <c r="A1919" t="s">
        <v>508</v>
      </c>
      <c r="B1919">
        <v>2008</v>
      </c>
      <c r="C1919" t="s">
        <v>390</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c r="X1919" s="19">
        <f ca="1">DATE(LifeExpectancyData[[#This Row],[Year]],RANDBETWEEN(1,12),1)</f>
        <v>39661</v>
      </c>
    </row>
    <row r="1920" spans="1:24" x14ac:dyDescent="0.25">
      <c r="A1920" t="s">
        <v>508</v>
      </c>
      <c r="B1920">
        <v>2007</v>
      </c>
      <c r="C1920" t="s">
        <v>390</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c r="X1920" s="19">
        <f ca="1">DATE(LifeExpectancyData[[#This Row],[Year]],RANDBETWEEN(1,12),1)</f>
        <v>39114</v>
      </c>
    </row>
    <row r="1921" spans="1:24" x14ac:dyDescent="0.25">
      <c r="A1921" t="s">
        <v>508</v>
      </c>
      <c r="B1921">
        <v>2006</v>
      </c>
      <c r="C1921" t="s">
        <v>390</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c r="X1921" s="19">
        <f ca="1">DATE(LifeExpectancyData[[#This Row],[Year]],RANDBETWEEN(1,12),1)</f>
        <v>38869</v>
      </c>
    </row>
    <row r="1922" spans="1:24" x14ac:dyDescent="0.25">
      <c r="A1922" t="s">
        <v>508</v>
      </c>
      <c r="B1922">
        <v>2005</v>
      </c>
      <c r="C1922" t="s">
        <v>390</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c r="X1922" s="19">
        <f ca="1">DATE(LifeExpectancyData[[#This Row],[Year]],RANDBETWEEN(1,12),1)</f>
        <v>38412</v>
      </c>
    </row>
    <row r="1923" spans="1:24" x14ac:dyDescent="0.25">
      <c r="A1923" t="s">
        <v>508</v>
      </c>
      <c r="B1923">
        <v>2004</v>
      </c>
      <c r="C1923" t="s">
        <v>390</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c r="X1923" s="19">
        <f ca="1">DATE(LifeExpectancyData[[#This Row],[Year]],RANDBETWEEN(1,12),1)</f>
        <v>38292</v>
      </c>
    </row>
    <row r="1924" spans="1:24" x14ac:dyDescent="0.25">
      <c r="A1924" t="s">
        <v>508</v>
      </c>
      <c r="B1924">
        <v>2003</v>
      </c>
      <c r="C1924" t="s">
        <v>390</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c r="X1924" s="19">
        <f ca="1">DATE(LifeExpectancyData[[#This Row],[Year]],RANDBETWEEN(1,12),1)</f>
        <v>37742</v>
      </c>
    </row>
    <row r="1925" spans="1:24" x14ac:dyDescent="0.25">
      <c r="A1925" t="s">
        <v>508</v>
      </c>
      <c r="B1925">
        <v>2002</v>
      </c>
      <c r="C1925" t="s">
        <v>390</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c r="X1925" s="19">
        <f ca="1">DATE(LifeExpectancyData[[#This Row],[Year]],RANDBETWEEN(1,12),1)</f>
        <v>37316</v>
      </c>
    </row>
    <row r="1926" spans="1:24" x14ac:dyDescent="0.25">
      <c r="A1926" t="s">
        <v>508</v>
      </c>
      <c r="B1926">
        <v>2001</v>
      </c>
      <c r="C1926" t="s">
        <v>390</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c r="X1926" s="19">
        <f ca="1">DATE(LifeExpectancyData[[#This Row],[Year]],RANDBETWEEN(1,12),1)</f>
        <v>36892</v>
      </c>
    </row>
    <row r="1927" spans="1:24" x14ac:dyDescent="0.25">
      <c r="A1927" t="s">
        <v>508</v>
      </c>
      <c r="B1927">
        <v>2000</v>
      </c>
      <c r="C1927" t="s">
        <v>390</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c r="X1927" s="19">
        <f ca="1">DATE(LifeExpectancyData[[#This Row],[Year]],RANDBETWEEN(1,12),1)</f>
        <v>36678</v>
      </c>
    </row>
    <row r="1928" spans="1:24" x14ac:dyDescent="0.25">
      <c r="A1928" t="s">
        <v>509</v>
      </c>
      <c r="B1928">
        <v>2015</v>
      </c>
      <c r="C1928" t="s">
        <v>382</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c r="X1928" s="19">
        <f ca="1">DATE(LifeExpectancyData[[#This Row],[Year]],RANDBETWEEN(1,12),1)</f>
        <v>42064</v>
      </c>
    </row>
    <row r="1929" spans="1:24" x14ac:dyDescent="0.25">
      <c r="A1929" t="s">
        <v>509</v>
      </c>
      <c r="B1929">
        <v>2014</v>
      </c>
      <c r="C1929" t="s">
        <v>382</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c r="X1929" s="19">
        <f ca="1">DATE(LifeExpectancyData[[#This Row],[Year]],RANDBETWEEN(1,12),1)</f>
        <v>41730</v>
      </c>
    </row>
    <row r="1930" spans="1:24" x14ac:dyDescent="0.25">
      <c r="A1930" t="s">
        <v>509</v>
      </c>
      <c r="B1930">
        <v>2013</v>
      </c>
      <c r="C1930" t="s">
        <v>382</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c r="X1930" s="19">
        <f ca="1">DATE(LifeExpectancyData[[#This Row],[Year]],RANDBETWEEN(1,12),1)</f>
        <v>41456</v>
      </c>
    </row>
    <row r="1931" spans="1:24" x14ac:dyDescent="0.25">
      <c r="A1931" t="s">
        <v>509</v>
      </c>
      <c r="B1931">
        <v>2012</v>
      </c>
      <c r="C1931" t="s">
        <v>382</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c r="X1931" s="19">
        <f ca="1">DATE(LifeExpectancyData[[#This Row],[Year]],RANDBETWEEN(1,12),1)</f>
        <v>41091</v>
      </c>
    </row>
    <row r="1932" spans="1:24" x14ac:dyDescent="0.25">
      <c r="A1932" t="s">
        <v>509</v>
      </c>
      <c r="B1932">
        <v>2011</v>
      </c>
      <c r="C1932" t="s">
        <v>382</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c r="X1932" s="19">
        <f ca="1">DATE(LifeExpectancyData[[#This Row],[Year]],RANDBETWEEN(1,12),1)</f>
        <v>40756</v>
      </c>
    </row>
    <row r="1933" spans="1:24" x14ac:dyDescent="0.25">
      <c r="A1933" t="s">
        <v>509</v>
      </c>
      <c r="B1933">
        <v>2010</v>
      </c>
      <c r="C1933" t="s">
        <v>382</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c r="X1933" s="19">
        <f ca="1">DATE(LifeExpectancyData[[#This Row],[Year]],RANDBETWEEN(1,12),1)</f>
        <v>40269</v>
      </c>
    </row>
    <row r="1934" spans="1:24" x14ac:dyDescent="0.25">
      <c r="A1934" t="s">
        <v>509</v>
      </c>
      <c r="B1934">
        <v>2009</v>
      </c>
      <c r="C1934" t="s">
        <v>382</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c r="X1934" s="19">
        <f ca="1">DATE(LifeExpectancyData[[#This Row],[Year]],RANDBETWEEN(1,12),1)</f>
        <v>40148</v>
      </c>
    </row>
    <row r="1935" spans="1:24" x14ac:dyDescent="0.25">
      <c r="A1935" t="s">
        <v>509</v>
      </c>
      <c r="B1935">
        <v>2008</v>
      </c>
      <c r="C1935" t="s">
        <v>382</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c r="X1935" s="19">
        <f ca="1">DATE(LifeExpectancyData[[#This Row],[Year]],RANDBETWEEN(1,12),1)</f>
        <v>39600</v>
      </c>
    </row>
    <row r="1936" spans="1:24" x14ac:dyDescent="0.25">
      <c r="A1936" t="s">
        <v>509</v>
      </c>
      <c r="B1936">
        <v>2007</v>
      </c>
      <c r="C1936" t="s">
        <v>382</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c r="X1936" s="19">
        <f ca="1">DATE(LifeExpectancyData[[#This Row],[Year]],RANDBETWEEN(1,12),1)</f>
        <v>39356</v>
      </c>
    </row>
    <row r="1937" spans="1:24" x14ac:dyDescent="0.25">
      <c r="A1937" t="s">
        <v>509</v>
      </c>
      <c r="B1937">
        <v>2006</v>
      </c>
      <c r="C1937" t="s">
        <v>382</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c r="X1937" s="19">
        <f ca="1">DATE(LifeExpectancyData[[#This Row],[Year]],RANDBETWEEN(1,12),1)</f>
        <v>38961</v>
      </c>
    </row>
    <row r="1938" spans="1:24" x14ac:dyDescent="0.25">
      <c r="A1938" t="s">
        <v>509</v>
      </c>
      <c r="B1938">
        <v>2005</v>
      </c>
      <c r="C1938" t="s">
        <v>382</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c r="X1938" s="19">
        <f ca="1">DATE(LifeExpectancyData[[#This Row],[Year]],RANDBETWEEN(1,12),1)</f>
        <v>38473</v>
      </c>
    </row>
    <row r="1939" spans="1:24" x14ac:dyDescent="0.25">
      <c r="A1939" t="s">
        <v>509</v>
      </c>
      <c r="B1939">
        <v>2004</v>
      </c>
      <c r="C1939" t="s">
        <v>382</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c r="X1939" s="19">
        <f ca="1">DATE(LifeExpectancyData[[#This Row],[Year]],RANDBETWEEN(1,12),1)</f>
        <v>38292</v>
      </c>
    </row>
    <row r="1940" spans="1:24" x14ac:dyDescent="0.25">
      <c r="A1940" t="s">
        <v>509</v>
      </c>
      <c r="B1940">
        <v>2003</v>
      </c>
      <c r="C1940" t="s">
        <v>382</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c r="X1940" s="19">
        <f ca="1">DATE(LifeExpectancyData[[#This Row],[Year]],RANDBETWEEN(1,12),1)</f>
        <v>37895</v>
      </c>
    </row>
    <row r="1941" spans="1:24" x14ac:dyDescent="0.25">
      <c r="A1941" t="s">
        <v>509</v>
      </c>
      <c r="B1941">
        <v>2002</v>
      </c>
      <c r="C1941" t="s">
        <v>382</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c r="X1941" s="19">
        <f ca="1">DATE(LifeExpectancyData[[#This Row],[Year]],RANDBETWEEN(1,12),1)</f>
        <v>37377</v>
      </c>
    </row>
    <row r="1942" spans="1:24" x14ac:dyDescent="0.25">
      <c r="A1942" t="s">
        <v>509</v>
      </c>
      <c r="B1942">
        <v>2001</v>
      </c>
      <c r="C1942" t="s">
        <v>382</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c r="X1942" s="19">
        <f ca="1">DATE(LifeExpectancyData[[#This Row],[Year]],RANDBETWEEN(1,12),1)</f>
        <v>37012</v>
      </c>
    </row>
    <row r="1943" spans="1:24" x14ac:dyDescent="0.25">
      <c r="A1943" t="s">
        <v>509</v>
      </c>
      <c r="B1943">
        <v>2000</v>
      </c>
      <c r="C1943" t="s">
        <v>382</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c r="X1943" s="19">
        <f ca="1">DATE(LifeExpectancyData[[#This Row],[Year]],RANDBETWEEN(1,12),1)</f>
        <v>36647</v>
      </c>
    </row>
    <row r="1944" spans="1:24" x14ac:dyDescent="0.25">
      <c r="A1944" t="s">
        <v>510</v>
      </c>
      <c r="B1944">
        <v>2015</v>
      </c>
      <c r="C1944" t="s">
        <v>382</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c r="X1944" s="19">
        <f ca="1">DATE(LifeExpectancyData[[#This Row],[Year]],RANDBETWEEN(1,12),1)</f>
        <v>42217</v>
      </c>
    </row>
    <row r="1945" spans="1:24" x14ac:dyDescent="0.25">
      <c r="A1945" t="s">
        <v>510</v>
      </c>
      <c r="B1945">
        <v>2014</v>
      </c>
      <c r="C1945" t="s">
        <v>382</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c r="X1945" s="19">
        <f ca="1">DATE(LifeExpectancyData[[#This Row],[Year]],RANDBETWEEN(1,12),1)</f>
        <v>41974</v>
      </c>
    </row>
    <row r="1946" spans="1:24" x14ac:dyDescent="0.25">
      <c r="A1946" t="s">
        <v>510</v>
      </c>
      <c r="B1946">
        <v>2013</v>
      </c>
      <c r="C1946" t="s">
        <v>382</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c r="X1946" s="19">
        <f ca="1">DATE(LifeExpectancyData[[#This Row],[Year]],RANDBETWEEN(1,12),1)</f>
        <v>41579</v>
      </c>
    </row>
    <row r="1947" spans="1:24" x14ac:dyDescent="0.25">
      <c r="A1947" t="s">
        <v>510</v>
      </c>
      <c r="B1947">
        <v>2012</v>
      </c>
      <c r="C1947" t="s">
        <v>382</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c r="X1947" s="19">
        <f ca="1">DATE(LifeExpectancyData[[#This Row],[Year]],RANDBETWEEN(1,12),1)</f>
        <v>41000</v>
      </c>
    </row>
    <row r="1948" spans="1:24" x14ac:dyDescent="0.25">
      <c r="A1948" t="s">
        <v>510</v>
      </c>
      <c r="B1948">
        <v>2011</v>
      </c>
      <c r="C1948" t="s">
        <v>382</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c r="X1948" s="19">
        <f ca="1">DATE(LifeExpectancyData[[#This Row],[Year]],RANDBETWEEN(1,12),1)</f>
        <v>40848</v>
      </c>
    </row>
    <row r="1949" spans="1:24" x14ac:dyDescent="0.25">
      <c r="A1949" t="s">
        <v>510</v>
      </c>
      <c r="B1949">
        <v>2010</v>
      </c>
      <c r="C1949" t="s">
        <v>382</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c r="X1949" s="19">
        <f ca="1">DATE(LifeExpectancyData[[#This Row],[Year]],RANDBETWEEN(1,12),1)</f>
        <v>40391</v>
      </c>
    </row>
    <row r="1950" spans="1:24" x14ac:dyDescent="0.25">
      <c r="A1950" t="s">
        <v>510</v>
      </c>
      <c r="B1950">
        <v>2009</v>
      </c>
      <c r="C1950" t="s">
        <v>382</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c r="X1950" s="19">
        <f ca="1">DATE(LifeExpectancyData[[#This Row],[Year]],RANDBETWEEN(1,12),1)</f>
        <v>40026</v>
      </c>
    </row>
    <row r="1951" spans="1:24" x14ac:dyDescent="0.25">
      <c r="A1951" t="s">
        <v>510</v>
      </c>
      <c r="B1951">
        <v>2008</v>
      </c>
      <c r="C1951" t="s">
        <v>382</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c r="X1951" s="19">
        <f ca="1">DATE(LifeExpectancyData[[#This Row],[Year]],RANDBETWEEN(1,12),1)</f>
        <v>39600</v>
      </c>
    </row>
    <row r="1952" spans="1:24" x14ac:dyDescent="0.25">
      <c r="A1952" t="s">
        <v>510</v>
      </c>
      <c r="B1952">
        <v>2007</v>
      </c>
      <c r="C1952" t="s">
        <v>382</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c r="X1952" s="19">
        <f ca="1">DATE(LifeExpectancyData[[#This Row],[Year]],RANDBETWEEN(1,12),1)</f>
        <v>39203</v>
      </c>
    </row>
    <row r="1953" spans="1:24" x14ac:dyDescent="0.25">
      <c r="A1953" t="s">
        <v>510</v>
      </c>
      <c r="B1953">
        <v>2006</v>
      </c>
      <c r="C1953" t="s">
        <v>382</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c r="X1953" s="19">
        <f ca="1">DATE(LifeExpectancyData[[#This Row],[Year]],RANDBETWEEN(1,12),1)</f>
        <v>38838</v>
      </c>
    </row>
    <row r="1954" spans="1:24" x14ac:dyDescent="0.25">
      <c r="A1954" t="s">
        <v>510</v>
      </c>
      <c r="B1954">
        <v>2005</v>
      </c>
      <c r="C1954" t="s">
        <v>382</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c r="X1954" s="19">
        <f ca="1">DATE(LifeExpectancyData[[#This Row],[Year]],RANDBETWEEN(1,12),1)</f>
        <v>38473</v>
      </c>
    </row>
    <row r="1955" spans="1:24" x14ac:dyDescent="0.25">
      <c r="A1955" t="s">
        <v>510</v>
      </c>
      <c r="B1955">
        <v>2004</v>
      </c>
      <c r="C1955" t="s">
        <v>382</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c r="X1955" s="19">
        <f ca="1">DATE(LifeExpectancyData[[#This Row],[Year]],RANDBETWEEN(1,12),1)</f>
        <v>38139</v>
      </c>
    </row>
    <row r="1956" spans="1:24" x14ac:dyDescent="0.25">
      <c r="A1956" t="s">
        <v>510</v>
      </c>
      <c r="B1956">
        <v>2003</v>
      </c>
      <c r="C1956" t="s">
        <v>382</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c r="X1956" s="19">
        <f ca="1">DATE(LifeExpectancyData[[#This Row],[Year]],RANDBETWEEN(1,12),1)</f>
        <v>37622</v>
      </c>
    </row>
    <row r="1957" spans="1:24" x14ac:dyDescent="0.25">
      <c r="A1957" t="s">
        <v>510</v>
      </c>
      <c r="B1957">
        <v>2002</v>
      </c>
      <c r="C1957" t="s">
        <v>382</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c r="X1957" s="19">
        <f ca="1">DATE(LifeExpectancyData[[#This Row],[Year]],RANDBETWEEN(1,12),1)</f>
        <v>37469</v>
      </c>
    </row>
    <row r="1958" spans="1:24" x14ac:dyDescent="0.25">
      <c r="A1958" t="s">
        <v>510</v>
      </c>
      <c r="B1958">
        <v>2001</v>
      </c>
      <c r="C1958" t="s">
        <v>382</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c r="X1958" s="19">
        <f ca="1">DATE(LifeExpectancyData[[#This Row],[Year]],RANDBETWEEN(1,12),1)</f>
        <v>37073</v>
      </c>
    </row>
    <row r="1959" spans="1:24" x14ac:dyDescent="0.25">
      <c r="A1959" t="s">
        <v>510</v>
      </c>
      <c r="B1959">
        <v>2000</v>
      </c>
      <c r="C1959" t="s">
        <v>382</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c r="X1959" s="19">
        <f ca="1">DATE(LifeExpectancyData[[#This Row],[Year]],RANDBETWEEN(1,12),1)</f>
        <v>36861</v>
      </c>
    </row>
    <row r="1960" spans="1:24" x14ac:dyDescent="0.25">
      <c r="A1960" t="s">
        <v>511</v>
      </c>
      <c r="B1960">
        <v>2013</v>
      </c>
      <c r="C1960" t="s">
        <v>382</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c r="X1960" s="19">
        <f ca="1">DATE(LifeExpectancyData[[#This Row],[Year]],RANDBETWEEN(1,12),1)</f>
        <v>41456</v>
      </c>
    </row>
    <row r="1961" spans="1:24" x14ac:dyDescent="0.25">
      <c r="A1961" t="s">
        <v>512</v>
      </c>
      <c r="B1961">
        <v>2015</v>
      </c>
      <c r="C1961" t="s">
        <v>382</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c r="X1961" s="19">
        <f ca="1">DATE(LifeExpectancyData[[#This Row],[Year]],RANDBETWEEN(1,12),1)</f>
        <v>42278</v>
      </c>
    </row>
    <row r="1962" spans="1:24" x14ac:dyDescent="0.25">
      <c r="A1962" t="s">
        <v>512</v>
      </c>
      <c r="B1962">
        <v>2014</v>
      </c>
      <c r="C1962" t="s">
        <v>382</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c r="X1962" s="19">
        <f ca="1">DATE(LifeExpectancyData[[#This Row],[Year]],RANDBETWEEN(1,12),1)</f>
        <v>41699</v>
      </c>
    </row>
    <row r="1963" spans="1:24" x14ac:dyDescent="0.25">
      <c r="A1963" t="s">
        <v>512</v>
      </c>
      <c r="B1963">
        <v>2013</v>
      </c>
      <c r="C1963" t="s">
        <v>382</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c r="X1963" s="19">
        <f ca="1">DATE(LifeExpectancyData[[#This Row],[Year]],RANDBETWEEN(1,12),1)</f>
        <v>41456</v>
      </c>
    </row>
    <row r="1964" spans="1:24" x14ac:dyDescent="0.25">
      <c r="A1964" t="s">
        <v>512</v>
      </c>
      <c r="B1964">
        <v>2012</v>
      </c>
      <c r="C1964" t="s">
        <v>382</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c r="X1964" s="19">
        <f ca="1">DATE(LifeExpectancyData[[#This Row],[Year]],RANDBETWEEN(1,12),1)</f>
        <v>41061</v>
      </c>
    </row>
    <row r="1965" spans="1:24" x14ac:dyDescent="0.25">
      <c r="A1965" t="s">
        <v>512</v>
      </c>
      <c r="B1965">
        <v>2011</v>
      </c>
      <c r="C1965" t="s">
        <v>382</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c r="X1965" s="19">
        <f ca="1">DATE(LifeExpectancyData[[#This Row],[Year]],RANDBETWEEN(1,12),1)</f>
        <v>40787</v>
      </c>
    </row>
    <row r="1966" spans="1:24" x14ac:dyDescent="0.25">
      <c r="A1966" t="s">
        <v>512</v>
      </c>
      <c r="B1966">
        <v>2010</v>
      </c>
      <c r="C1966" t="s">
        <v>382</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c r="X1966" s="19">
        <f ca="1">DATE(LifeExpectancyData[[#This Row],[Year]],RANDBETWEEN(1,12),1)</f>
        <v>40513</v>
      </c>
    </row>
    <row r="1967" spans="1:24" x14ac:dyDescent="0.25">
      <c r="A1967" t="s">
        <v>512</v>
      </c>
      <c r="B1967">
        <v>2009</v>
      </c>
      <c r="C1967" t="s">
        <v>382</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c r="X1967" s="19">
        <f ca="1">DATE(LifeExpectancyData[[#This Row],[Year]],RANDBETWEEN(1,12),1)</f>
        <v>40057</v>
      </c>
    </row>
    <row r="1968" spans="1:24" x14ac:dyDescent="0.25">
      <c r="A1968" t="s">
        <v>512</v>
      </c>
      <c r="B1968">
        <v>2008</v>
      </c>
      <c r="C1968" t="s">
        <v>382</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c r="X1968" s="19">
        <f ca="1">DATE(LifeExpectancyData[[#This Row],[Year]],RANDBETWEEN(1,12),1)</f>
        <v>39508</v>
      </c>
    </row>
    <row r="1969" spans="1:24" x14ac:dyDescent="0.25">
      <c r="A1969" t="s">
        <v>512</v>
      </c>
      <c r="B1969">
        <v>2007</v>
      </c>
      <c r="C1969" t="s">
        <v>382</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c r="X1969" s="19">
        <f ca="1">DATE(LifeExpectancyData[[#This Row],[Year]],RANDBETWEEN(1,12),1)</f>
        <v>39295</v>
      </c>
    </row>
    <row r="1970" spans="1:24" x14ac:dyDescent="0.25">
      <c r="A1970" t="s">
        <v>512</v>
      </c>
      <c r="B1970">
        <v>2006</v>
      </c>
      <c r="C1970" t="s">
        <v>382</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c r="X1970" s="19">
        <f ca="1">DATE(LifeExpectancyData[[#This Row],[Year]],RANDBETWEEN(1,12),1)</f>
        <v>38749</v>
      </c>
    </row>
    <row r="1971" spans="1:24" x14ac:dyDescent="0.25">
      <c r="A1971" t="s">
        <v>512</v>
      </c>
      <c r="B1971">
        <v>2005</v>
      </c>
      <c r="C1971" t="s">
        <v>382</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c r="X1971" s="19">
        <f ca="1">DATE(LifeExpectancyData[[#This Row],[Year]],RANDBETWEEN(1,12),1)</f>
        <v>38596</v>
      </c>
    </row>
    <row r="1972" spans="1:24" x14ac:dyDescent="0.25">
      <c r="A1972" t="s">
        <v>512</v>
      </c>
      <c r="B1972">
        <v>2004</v>
      </c>
      <c r="C1972" t="s">
        <v>382</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c r="X1972" s="19">
        <f ca="1">DATE(LifeExpectancyData[[#This Row],[Year]],RANDBETWEEN(1,12),1)</f>
        <v>38292</v>
      </c>
    </row>
    <row r="1973" spans="1:24" x14ac:dyDescent="0.25">
      <c r="A1973" t="s">
        <v>512</v>
      </c>
      <c r="B1973">
        <v>2003</v>
      </c>
      <c r="C1973" t="s">
        <v>382</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c r="X1973" s="19">
        <f ca="1">DATE(LifeExpectancyData[[#This Row],[Year]],RANDBETWEEN(1,12),1)</f>
        <v>37926</v>
      </c>
    </row>
    <row r="1974" spans="1:24" x14ac:dyDescent="0.25">
      <c r="A1974" t="s">
        <v>512</v>
      </c>
      <c r="B1974">
        <v>2002</v>
      </c>
      <c r="C1974" t="s">
        <v>382</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c r="X1974" s="19">
        <f ca="1">DATE(LifeExpectancyData[[#This Row],[Year]],RANDBETWEEN(1,12),1)</f>
        <v>37438</v>
      </c>
    </row>
    <row r="1975" spans="1:24" x14ac:dyDescent="0.25">
      <c r="A1975" t="s">
        <v>512</v>
      </c>
      <c r="B1975">
        <v>2001</v>
      </c>
      <c r="C1975" t="s">
        <v>382</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c r="X1975" s="19">
        <f ca="1">DATE(LifeExpectancyData[[#This Row],[Year]],RANDBETWEEN(1,12),1)</f>
        <v>37104</v>
      </c>
    </row>
    <row r="1976" spans="1:24" x14ac:dyDescent="0.25">
      <c r="A1976" t="s">
        <v>512</v>
      </c>
      <c r="B1976">
        <v>2000</v>
      </c>
      <c r="C1976" t="s">
        <v>382</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c r="X1976" s="19">
        <f ca="1">DATE(LifeExpectancyData[[#This Row],[Year]],RANDBETWEEN(1,12),1)</f>
        <v>36831</v>
      </c>
    </row>
    <row r="1977" spans="1:24" x14ac:dyDescent="0.25">
      <c r="A1977" t="s">
        <v>513</v>
      </c>
      <c r="B1977">
        <v>2015</v>
      </c>
      <c r="C1977" t="s">
        <v>382</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c r="X1977" s="19">
        <f ca="1">DATE(LifeExpectancyData[[#This Row],[Year]],RANDBETWEEN(1,12),1)</f>
        <v>42309</v>
      </c>
    </row>
    <row r="1978" spans="1:24" x14ac:dyDescent="0.25">
      <c r="A1978" t="s">
        <v>513</v>
      </c>
      <c r="B1978">
        <v>2014</v>
      </c>
      <c r="C1978" t="s">
        <v>382</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c r="X1978" s="19">
        <f ca="1">DATE(LifeExpectancyData[[#This Row],[Year]],RANDBETWEEN(1,12),1)</f>
        <v>41671</v>
      </c>
    </row>
    <row r="1979" spans="1:24" x14ac:dyDescent="0.25">
      <c r="A1979" t="s">
        <v>513</v>
      </c>
      <c r="B1979">
        <v>2013</v>
      </c>
      <c r="C1979" t="s">
        <v>382</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c r="X1979" s="19">
        <f ca="1">DATE(LifeExpectancyData[[#This Row],[Year]],RANDBETWEEN(1,12),1)</f>
        <v>41426</v>
      </c>
    </row>
    <row r="1980" spans="1:24" x14ac:dyDescent="0.25">
      <c r="A1980" t="s">
        <v>513</v>
      </c>
      <c r="B1980">
        <v>2012</v>
      </c>
      <c r="C1980" t="s">
        <v>382</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c r="X1980" s="19">
        <f ca="1">DATE(LifeExpectancyData[[#This Row],[Year]],RANDBETWEEN(1,12),1)</f>
        <v>41030</v>
      </c>
    </row>
    <row r="1981" spans="1:24" x14ac:dyDescent="0.25">
      <c r="A1981" t="s">
        <v>513</v>
      </c>
      <c r="B1981">
        <v>2011</v>
      </c>
      <c r="C1981" t="s">
        <v>382</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c r="X1981" s="19">
        <f ca="1">DATE(LifeExpectancyData[[#This Row],[Year]],RANDBETWEEN(1,12),1)</f>
        <v>40878</v>
      </c>
    </row>
    <row r="1982" spans="1:24" x14ac:dyDescent="0.25">
      <c r="A1982" t="s">
        <v>513</v>
      </c>
      <c r="B1982">
        <v>2010</v>
      </c>
      <c r="C1982" t="s">
        <v>382</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c r="X1982" s="19">
        <f ca="1">DATE(LifeExpectancyData[[#This Row],[Year]],RANDBETWEEN(1,12),1)</f>
        <v>40452</v>
      </c>
    </row>
    <row r="1983" spans="1:24" x14ac:dyDescent="0.25">
      <c r="A1983" t="s">
        <v>513</v>
      </c>
      <c r="B1983">
        <v>2009</v>
      </c>
      <c r="C1983" t="s">
        <v>382</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c r="X1983" s="19">
        <f ca="1">DATE(LifeExpectancyData[[#This Row],[Year]],RANDBETWEEN(1,12),1)</f>
        <v>39845</v>
      </c>
    </row>
    <row r="1984" spans="1:24" x14ac:dyDescent="0.25">
      <c r="A1984" t="s">
        <v>513</v>
      </c>
      <c r="B1984">
        <v>2008</v>
      </c>
      <c r="C1984" t="s">
        <v>382</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c r="X1984" s="19">
        <f ca="1">DATE(LifeExpectancyData[[#This Row],[Year]],RANDBETWEEN(1,12),1)</f>
        <v>39630</v>
      </c>
    </row>
    <row r="1985" spans="1:24" x14ac:dyDescent="0.25">
      <c r="A1985" t="s">
        <v>513</v>
      </c>
      <c r="B1985">
        <v>2007</v>
      </c>
      <c r="C1985" t="s">
        <v>382</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c r="X1985" s="19">
        <f ca="1">DATE(LifeExpectancyData[[#This Row],[Year]],RANDBETWEEN(1,12),1)</f>
        <v>39326</v>
      </c>
    </row>
    <row r="1986" spans="1:24" x14ac:dyDescent="0.25">
      <c r="A1986" t="s">
        <v>513</v>
      </c>
      <c r="B1986">
        <v>2006</v>
      </c>
      <c r="C1986" t="s">
        <v>382</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c r="X1986" s="19">
        <f ca="1">DATE(LifeExpectancyData[[#This Row],[Year]],RANDBETWEEN(1,12),1)</f>
        <v>38838</v>
      </c>
    </row>
    <row r="1987" spans="1:24" x14ac:dyDescent="0.25">
      <c r="A1987" t="s">
        <v>513</v>
      </c>
      <c r="B1987">
        <v>2005</v>
      </c>
      <c r="C1987" t="s">
        <v>382</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c r="X1987" s="19">
        <f ca="1">DATE(LifeExpectancyData[[#This Row],[Year]],RANDBETWEEN(1,12),1)</f>
        <v>38657</v>
      </c>
    </row>
    <row r="1988" spans="1:24" x14ac:dyDescent="0.25">
      <c r="A1988" t="s">
        <v>513</v>
      </c>
      <c r="B1988">
        <v>2004</v>
      </c>
      <c r="C1988" t="s">
        <v>382</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c r="X1988" s="19">
        <f ca="1">DATE(LifeExpectancyData[[#This Row],[Year]],RANDBETWEEN(1,12),1)</f>
        <v>38108</v>
      </c>
    </row>
    <row r="1989" spans="1:24" x14ac:dyDescent="0.25">
      <c r="A1989" t="s">
        <v>513</v>
      </c>
      <c r="B1989">
        <v>2003</v>
      </c>
      <c r="C1989" t="s">
        <v>382</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c r="X1989" s="19">
        <f ca="1">DATE(LifeExpectancyData[[#This Row],[Year]],RANDBETWEEN(1,12),1)</f>
        <v>37622</v>
      </c>
    </row>
    <row r="1990" spans="1:24" x14ac:dyDescent="0.25">
      <c r="A1990" t="s">
        <v>513</v>
      </c>
      <c r="B1990">
        <v>2002</v>
      </c>
      <c r="C1990" t="s">
        <v>382</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c r="X1990" s="19">
        <f ca="1">DATE(LifeExpectancyData[[#This Row],[Year]],RANDBETWEEN(1,12),1)</f>
        <v>37438</v>
      </c>
    </row>
    <row r="1991" spans="1:24" x14ac:dyDescent="0.25">
      <c r="A1991" t="s">
        <v>513</v>
      </c>
      <c r="B1991">
        <v>2001</v>
      </c>
      <c r="C1991" t="s">
        <v>382</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c r="X1991" s="19">
        <f ca="1">DATE(LifeExpectancyData[[#This Row],[Year]],RANDBETWEEN(1,12),1)</f>
        <v>36982</v>
      </c>
    </row>
    <row r="1992" spans="1:24" x14ac:dyDescent="0.25">
      <c r="A1992" t="s">
        <v>513</v>
      </c>
      <c r="B1992">
        <v>2000</v>
      </c>
      <c r="C1992" t="s">
        <v>382</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c r="X1992" s="19">
        <f ca="1">DATE(LifeExpectancyData[[#This Row],[Year]],RANDBETWEEN(1,12),1)</f>
        <v>36770</v>
      </c>
    </row>
    <row r="1993" spans="1:24" x14ac:dyDescent="0.25">
      <c r="A1993" t="s">
        <v>514</v>
      </c>
      <c r="B1993">
        <v>2015</v>
      </c>
      <c r="C1993" t="s">
        <v>382</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c r="X1993" s="19">
        <f ca="1">DATE(LifeExpectancyData[[#This Row],[Year]],RANDBETWEEN(1,12),1)</f>
        <v>42248</v>
      </c>
    </row>
    <row r="1994" spans="1:24" x14ac:dyDescent="0.25">
      <c r="A1994" t="s">
        <v>514</v>
      </c>
      <c r="B1994">
        <v>2014</v>
      </c>
      <c r="C1994" t="s">
        <v>382</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c r="X1994" s="19">
        <f ca="1">DATE(LifeExpectancyData[[#This Row],[Year]],RANDBETWEEN(1,12),1)</f>
        <v>41730</v>
      </c>
    </row>
    <row r="1995" spans="1:24" x14ac:dyDescent="0.25">
      <c r="A1995" t="s">
        <v>514</v>
      </c>
      <c r="B1995">
        <v>2013</v>
      </c>
      <c r="C1995" t="s">
        <v>382</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c r="X1995" s="19">
        <f ca="1">DATE(LifeExpectancyData[[#This Row],[Year]],RANDBETWEEN(1,12),1)</f>
        <v>41609</v>
      </c>
    </row>
    <row r="1996" spans="1:24" x14ac:dyDescent="0.25">
      <c r="A1996" t="s">
        <v>514</v>
      </c>
      <c r="B1996">
        <v>2012</v>
      </c>
      <c r="C1996" t="s">
        <v>382</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c r="X1996" s="19">
        <f ca="1">DATE(LifeExpectancyData[[#This Row],[Year]],RANDBETWEEN(1,12),1)</f>
        <v>41244</v>
      </c>
    </row>
    <row r="1997" spans="1:24" x14ac:dyDescent="0.25">
      <c r="A1997" t="s">
        <v>514</v>
      </c>
      <c r="B1997">
        <v>2011</v>
      </c>
      <c r="C1997" t="s">
        <v>382</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c r="X1997" s="19">
        <f ca="1">DATE(LifeExpectancyData[[#This Row],[Year]],RANDBETWEEN(1,12),1)</f>
        <v>40634</v>
      </c>
    </row>
    <row r="1998" spans="1:24" x14ac:dyDescent="0.25">
      <c r="A1998" t="s">
        <v>514</v>
      </c>
      <c r="B1998">
        <v>2010</v>
      </c>
      <c r="C1998" t="s">
        <v>382</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c r="X1998" s="19">
        <f ca="1">DATE(LifeExpectancyData[[#This Row],[Year]],RANDBETWEEN(1,12),1)</f>
        <v>40179</v>
      </c>
    </row>
    <row r="1999" spans="1:24" x14ac:dyDescent="0.25">
      <c r="A1999" t="s">
        <v>514</v>
      </c>
      <c r="B1999">
        <v>2009</v>
      </c>
      <c r="C1999" t="s">
        <v>382</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c r="X1999" s="19">
        <f ca="1">DATE(LifeExpectancyData[[#This Row],[Year]],RANDBETWEEN(1,12),1)</f>
        <v>40087</v>
      </c>
    </row>
    <row r="2000" spans="1:24" x14ac:dyDescent="0.25">
      <c r="A2000" t="s">
        <v>514</v>
      </c>
      <c r="B2000">
        <v>2008</v>
      </c>
      <c r="C2000" t="s">
        <v>382</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c r="X2000" s="19">
        <f ca="1">DATE(LifeExpectancyData[[#This Row],[Year]],RANDBETWEEN(1,12),1)</f>
        <v>39753</v>
      </c>
    </row>
    <row r="2001" spans="1:24" x14ac:dyDescent="0.25">
      <c r="A2001" t="s">
        <v>514</v>
      </c>
      <c r="B2001">
        <v>2007</v>
      </c>
      <c r="C2001" t="s">
        <v>382</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c r="X2001" s="19">
        <f ca="1">DATE(LifeExpectancyData[[#This Row],[Year]],RANDBETWEEN(1,12),1)</f>
        <v>39356</v>
      </c>
    </row>
    <row r="2002" spans="1:24" x14ac:dyDescent="0.25">
      <c r="A2002" t="s">
        <v>514</v>
      </c>
      <c r="B2002">
        <v>2006</v>
      </c>
      <c r="C2002" t="s">
        <v>382</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c r="X2002" s="19">
        <f ca="1">DATE(LifeExpectancyData[[#This Row],[Year]],RANDBETWEEN(1,12),1)</f>
        <v>38808</v>
      </c>
    </row>
    <row r="2003" spans="1:24" x14ac:dyDescent="0.25">
      <c r="A2003" t="s">
        <v>514</v>
      </c>
      <c r="B2003">
        <v>2005</v>
      </c>
      <c r="C2003" t="s">
        <v>382</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c r="X2003" s="19">
        <f ca="1">DATE(LifeExpectancyData[[#This Row],[Year]],RANDBETWEEN(1,12),1)</f>
        <v>38687</v>
      </c>
    </row>
    <row r="2004" spans="1:24" x14ac:dyDescent="0.25">
      <c r="A2004" t="s">
        <v>514</v>
      </c>
      <c r="B2004">
        <v>2004</v>
      </c>
      <c r="C2004" t="s">
        <v>382</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c r="X2004" s="19">
        <f ca="1">DATE(LifeExpectancyData[[#This Row],[Year]],RANDBETWEEN(1,12),1)</f>
        <v>38292</v>
      </c>
    </row>
    <row r="2005" spans="1:24" x14ac:dyDescent="0.25">
      <c r="A2005" t="s">
        <v>514</v>
      </c>
      <c r="B2005">
        <v>2003</v>
      </c>
      <c r="C2005" t="s">
        <v>382</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c r="X2005" s="19">
        <f ca="1">DATE(LifeExpectancyData[[#This Row],[Year]],RANDBETWEEN(1,12),1)</f>
        <v>37712</v>
      </c>
    </row>
    <row r="2006" spans="1:24" x14ac:dyDescent="0.25">
      <c r="A2006" t="s">
        <v>514</v>
      </c>
      <c r="B2006">
        <v>2002</v>
      </c>
      <c r="C2006" t="s">
        <v>382</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c r="X2006" s="19">
        <f ca="1">DATE(LifeExpectancyData[[#This Row],[Year]],RANDBETWEEN(1,12),1)</f>
        <v>37438</v>
      </c>
    </row>
    <row r="2007" spans="1:24" x14ac:dyDescent="0.25">
      <c r="A2007" t="s">
        <v>514</v>
      </c>
      <c r="B2007">
        <v>2001</v>
      </c>
      <c r="C2007" t="s">
        <v>382</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c r="X2007" s="19">
        <f ca="1">DATE(LifeExpectancyData[[#This Row],[Year]],RANDBETWEEN(1,12),1)</f>
        <v>37165</v>
      </c>
    </row>
    <row r="2008" spans="1:24" x14ac:dyDescent="0.25">
      <c r="A2008" t="s">
        <v>514</v>
      </c>
      <c r="B2008">
        <v>2000</v>
      </c>
      <c r="C2008" t="s">
        <v>382</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c r="X2008" s="19">
        <f ca="1">DATE(LifeExpectancyData[[#This Row],[Year]],RANDBETWEEN(1,12),1)</f>
        <v>36647</v>
      </c>
    </row>
    <row r="2009" spans="1:24" x14ac:dyDescent="0.25">
      <c r="A2009" t="s">
        <v>515</v>
      </c>
      <c r="B2009">
        <v>2015</v>
      </c>
      <c r="C2009" t="s">
        <v>382</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c r="X2009" s="19">
        <f ca="1">DATE(LifeExpectancyData[[#This Row],[Year]],RANDBETWEEN(1,12),1)</f>
        <v>42217</v>
      </c>
    </row>
    <row r="2010" spans="1:24" x14ac:dyDescent="0.25">
      <c r="A2010" t="s">
        <v>515</v>
      </c>
      <c r="B2010">
        <v>2014</v>
      </c>
      <c r="C2010" t="s">
        <v>382</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c r="X2010" s="19">
        <f ca="1">DATE(LifeExpectancyData[[#This Row],[Year]],RANDBETWEEN(1,12),1)</f>
        <v>41671</v>
      </c>
    </row>
    <row r="2011" spans="1:24" x14ac:dyDescent="0.25">
      <c r="A2011" t="s">
        <v>515</v>
      </c>
      <c r="B2011">
        <v>2013</v>
      </c>
      <c r="C2011" t="s">
        <v>382</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c r="X2011" s="19">
        <f ca="1">DATE(LifeExpectancyData[[#This Row],[Year]],RANDBETWEEN(1,12),1)</f>
        <v>41548</v>
      </c>
    </row>
    <row r="2012" spans="1:24" x14ac:dyDescent="0.25">
      <c r="A2012" t="s">
        <v>515</v>
      </c>
      <c r="B2012">
        <v>2012</v>
      </c>
      <c r="C2012" t="s">
        <v>382</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c r="X2012" s="19">
        <f ca="1">DATE(LifeExpectancyData[[#This Row],[Year]],RANDBETWEEN(1,12),1)</f>
        <v>41214</v>
      </c>
    </row>
    <row r="2013" spans="1:24" x14ac:dyDescent="0.25">
      <c r="A2013" t="s">
        <v>515</v>
      </c>
      <c r="B2013">
        <v>2011</v>
      </c>
      <c r="C2013" t="s">
        <v>382</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c r="X2013" s="19">
        <f ca="1">DATE(LifeExpectancyData[[#This Row],[Year]],RANDBETWEEN(1,12),1)</f>
        <v>40634</v>
      </c>
    </row>
    <row r="2014" spans="1:24" x14ac:dyDescent="0.25">
      <c r="A2014" t="s">
        <v>515</v>
      </c>
      <c r="B2014">
        <v>2010</v>
      </c>
      <c r="C2014" t="s">
        <v>382</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c r="X2014" s="19">
        <f ca="1">DATE(LifeExpectancyData[[#This Row],[Year]],RANDBETWEEN(1,12),1)</f>
        <v>40483</v>
      </c>
    </row>
    <row r="2015" spans="1:24" x14ac:dyDescent="0.25">
      <c r="A2015" t="s">
        <v>515</v>
      </c>
      <c r="B2015">
        <v>2009</v>
      </c>
      <c r="C2015" t="s">
        <v>382</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c r="X2015" s="19">
        <f ca="1">DATE(LifeExpectancyData[[#This Row],[Year]],RANDBETWEEN(1,12),1)</f>
        <v>40026</v>
      </c>
    </row>
    <row r="2016" spans="1:24" x14ac:dyDescent="0.25">
      <c r="A2016" t="s">
        <v>515</v>
      </c>
      <c r="B2016">
        <v>2008</v>
      </c>
      <c r="C2016" t="s">
        <v>382</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c r="X2016" s="19">
        <f ca="1">DATE(LifeExpectancyData[[#This Row],[Year]],RANDBETWEEN(1,12),1)</f>
        <v>39569</v>
      </c>
    </row>
    <row r="2017" spans="1:24" x14ac:dyDescent="0.25">
      <c r="A2017" t="s">
        <v>515</v>
      </c>
      <c r="B2017">
        <v>2007</v>
      </c>
      <c r="C2017" t="s">
        <v>382</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c r="X2017" s="19">
        <f ca="1">DATE(LifeExpectancyData[[#This Row],[Year]],RANDBETWEEN(1,12),1)</f>
        <v>39326</v>
      </c>
    </row>
    <row r="2018" spans="1:24" x14ac:dyDescent="0.25">
      <c r="A2018" t="s">
        <v>515</v>
      </c>
      <c r="B2018">
        <v>2006</v>
      </c>
      <c r="C2018" t="s">
        <v>382</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c r="X2018" s="19">
        <f ca="1">DATE(LifeExpectancyData[[#This Row],[Year]],RANDBETWEEN(1,12),1)</f>
        <v>38991</v>
      </c>
    </row>
    <row r="2019" spans="1:24" x14ac:dyDescent="0.25">
      <c r="A2019" t="s">
        <v>515</v>
      </c>
      <c r="B2019">
        <v>2005</v>
      </c>
      <c r="C2019" t="s">
        <v>382</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c r="X2019" s="19">
        <f ca="1">DATE(LifeExpectancyData[[#This Row],[Year]],RANDBETWEEN(1,12),1)</f>
        <v>38534</v>
      </c>
    </row>
    <row r="2020" spans="1:24" x14ac:dyDescent="0.25">
      <c r="A2020" t="s">
        <v>515</v>
      </c>
      <c r="B2020">
        <v>2004</v>
      </c>
      <c r="C2020" t="s">
        <v>382</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c r="X2020" s="19">
        <f ca="1">DATE(LifeExpectancyData[[#This Row],[Year]],RANDBETWEEN(1,12),1)</f>
        <v>38231</v>
      </c>
    </row>
    <row r="2021" spans="1:24" x14ac:dyDescent="0.25">
      <c r="A2021" t="s">
        <v>515</v>
      </c>
      <c r="B2021">
        <v>2003</v>
      </c>
      <c r="C2021" t="s">
        <v>382</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c r="X2021" s="19">
        <f ca="1">DATE(LifeExpectancyData[[#This Row],[Year]],RANDBETWEEN(1,12),1)</f>
        <v>37653</v>
      </c>
    </row>
    <row r="2022" spans="1:24" x14ac:dyDescent="0.25">
      <c r="A2022" t="s">
        <v>515</v>
      </c>
      <c r="B2022">
        <v>2002</v>
      </c>
      <c r="C2022" t="s">
        <v>382</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c r="X2022" s="19">
        <f ca="1">DATE(LifeExpectancyData[[#This Row],[Year]],RANDBETWEEN(1,12),1)</f>
        <v>37561</v>
      </c>
    </row>
    <row r="2023" spans="1:24" x14ac:dyDescent="0.25">
      <c r="A2023" t="s">
        <v>515</v>
      </c>
      <c r="B2023">
        <v>2001</v>
      </c>
      <c r="C2023" t="s">
        <v>382</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c r="X2023" s="19">
        <f ca="1">DATE(LifeExpectancyData[[#This Row],[Year]],RANDBETWEEN(1,12),1)</f>
        <v>37043</v>
      </c>
    </row>
    <row r="2024" spans="1:24" x14ac:dyDescent="0.25">
      <c r="A2024" t="s">
        <v>515</v>
      </c>
      <c r="B2024">
        <v>2000</v>
      </c>
      <c r="C2024" t="s">
        <v>382</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c r="X2024" s="19">
        <f ca="1">DATE(LifeExpectancyData[[#This Row],[Year]],RANDBETWEEN(1,12),1)</f>
        <v>36770</v>
      </c>
    </row>
    <row r="2025" spans="1:24" x14ac:dyDescent="0.25">
      <c r="A2025" t="s">
        <v>516</v>
      </c>
      <c r="B2025">
        <v>2015</v>
      </c>
      <c r="C2025" t="s">
        <v>382</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c r="X2025" s="19">
        <f ca="1">DATE(LifeExpectancyData[[#This Row],[Year]],RANDBETWEEN(1,12),1)</f>
        <v>42095</v>
      </c>
    </row>
    <row r="2026" spans="1:24" x14ac:dyDescent="0.25">
      <c r="A2026" t="s">
        <v>516</v>
      </c>
      <c r="B2026">
        <v>2014</v>
      </c>
      <c r="C2026" t="s">
        <v>382</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c r="X2026" s="19">
        <f ca="1">DATE(LifeExpectancyData[[#This Row],[Year]],RANDBETWEEN(1,12),1)</f>
        <v>41760</v>
      </c>
    </row>
    <row r="2027" spans="1:24" x14ac:dyDescent="0.25">
      <c r="A2027" t="s">
        <v>516</v>
      </c>
      <c r="B2027">
        <v>2013</v>
      </c>
      <c r="C2027" t="s">
        <v>382</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c r="X2027" s="19">
        <f ca="1">DATE(LifeExpectancyData[[#This Row],[Year]],RANDBETWEEN(1,12),1)</f>
        <v>41518</v>
      </c>
    </row>
    <row r="2028" spans="1:24" x14ac:dyDescent="0.25">
      <c r="A2028" t="s">
        <v>516</v>
      </c>
      <c r="B2028">
        <v>2012</v>
      </c>
      <c r="C2028" t="s">
        <v>382</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c r="X2028" s="19">
        <f ca="1">DATE(LifeExpectancyData[[#This Row],[Year]],RANDBETWEEN(1,12),1)</f>
        <v>40969</v>
      </c>
    </row>
    <row r="2029" spans="1:24" x14ac:dyDescent="0.25">
      <c r="A2029" t="s">
        <v>516</v>
      </c>
      <c r="B2029">
        <v>2011</v>
      </c>
      <c r="C2029" t="s">
        <v>382</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c r="X2029" s="19">
        <f ca="1">DATE(LifeExpectancyData[[#This Row],[Year]],RANDBETWEEN(1,12),1)</f>
        <v>40787</v>
      </c>
    </row>
    <row r="2030" spans="1:24" x14ac:dyDescent="0.25">
      <c r="A2030" t="s">
        <v>516</v>
      </c>
      <c r="B2030">
        <v>2010</v>
      </c>
      <c r="C2030" t="s">
        <v>382</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c r="X2030" s="19">
        <f ca="1">DATE(LifeExpectancyData[[#This Row],[Year]],RANDBETWEEN(1,12),1)</f>
        <v>40179</v>
      </c>
    </row>
    <row r="2031" spans="1:24" x14ac:dyDescent="0.25">
      <c r="A2031" t="s">
        <v>516</v>
      </c>
      <c r="B2031">
        <v>2009</v>
      </c>
      <c r="C2031" t="s">
        <v>382</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c r="X2031" s="19">
        <f ca="1">DATE(LifeExpectancyData[[#This Row],[Year]],RANDBETWEEN(1,12),1)</f>
        <v>39814</v>
      </c>
    </row>
    <row r="2032" spans="1:24" x14ac:dyDescent="0.25">
      <c r="A2032" t="s">
        <v>516</v>
      </c>
      <c r="B2032">
        <v>2008</v>
      </c>
      <c r="C2032" t="s">
        <v>382</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c r="X2032" s="19">
        <f ca="1">DATE(LifeExpectancyData[[#This Row],[Year]],RANDBETWEEN(1,12),1)</f>
        <v>39630</v>
      </c>
    </row>
    <row r="2033" spans="1:24" x14ac:dyDescent="0.25">
      <c r="A2033" t="s">
        <v>516</v>
      </c>
      <c r="B2033">
        <v>2007</v>
      </c>
      <c r="C2033" t="s">
        <v>382</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c r="X2033" s="19">
        <f ca="1">DATE(LifeExpectancyData[[#This Row],[Year]],RANDBETWEEN(1,12),1)</f>
        <v>39326</v>
      </c>
    </row>
    <row r="2034" spans="1:24" x14ac:dyDescent="0.25">
      <c r="A2034" t="s">
        <v>516</v>
      </c>
      <c r="B2034">
        <v>2006</v>
      </c>
      <c r="C2034" t="s">
        <v>382</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c r="X2034" s="19">
        <f ca="1">DATE(LifeExpectancyData[[#This Row],[Year]],RANDBETWEEN(1,12),1)</f>
        <v>38961</v>
      </c>
    </row>
    <row r="2035" spans="1:24" x14ac:dyDescent="0.25">
      <c r="A2035" t="s">
        <v>516</v>
      </c>
      <c r="B2035">
        <v>2005</v>
      </c>
      <c r="C2035" t="s">
        <v>382</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c r="X2035" s="19">
        <f ca="1">DATE(LifeExpectancyData[[#This Row],[Year]],RANDBETWEEN(1,12),1)</f>
        <v>38596</v>
      </c>
    </row>
    <row r="2036" spans="1:24" x14ac:dyDescent="0.25">
      <c r="A2036" t="s">
        <v>516</v>
      </c>
      <c r="B2036">
        <v>2004</v>
      </c>
      <c r="C2036" t="s">
        <v>382</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c r="X2036" s="19">
        <f ca="1">DATE(LifeExpectancyData[[#This Row],[Year]],RANDBETWEEN(1,12),1)</f>
        <v>38231</v>
      </c>
    </row>
    <row r="2037" spans="1:24" x14ac:dyDescent="0.25">
      <c r="A2037" t="s">
        <v>516</v>
      </c>
      <c r="B2037">
        <v>2003</v>
      </c>
      <c r="C2037" t="s">
        <v>382</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c r="X2037" s="19">
        <f ca="1">DATE(LifeExpectancyData[[#This Row],[Year]],RANDBETWEEN(1,12),1)</f>
        <v>37773</v>
      </c>
    </row>
    <row r="2038" spans="1:24" x14ac:dyDescent="0.25">
      <c r="A2038" t="s">
        <v>516</v>
      </c>
      <c r="B2038">
        <v>2002</v>
      </c>
      <c r="C2038" t="s">
        <v>382</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c r="X2038" s="19">
        <f ca="1">DATE(LifeExpectancyData[[#This Row],[Year]],RANDBETWEEN(1,12),1)</f>
        <v>37561</v>
      </c>
    </row>
    <row r="2039" spans="1:24" x14ac:dyDescent="0.25">
      <c r="A2039" t="s">
        <v>516</v>
      </c>
      <c r="B2039">
        <v>2001</v>
      </c>
      <c r="C2039" t="s">
        <v>382</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c r="X2039" s="19">
        <f ca="1">DATE(LifeExpectancyData[[#This Row],[Year]],RANDBETWEEN(1,12),1)</f>
        <v>36982</v>
      </c>
    </row>
    <row r="2040" spans="1:24" x14ac:dyDescent="0.25">
      <c r="A2040" t="s">
        <v>516</v>
      </c>
      <c r="B2040">
        <v>2000</v>
      </c>
      <c r="C2040" t="s">
        <v>382</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c r="X2040" s="19">
        <f ca="1">DATE(LifeExpectancyData[[#This Row],[Year]],RANDBETWEEN(1,12),1)</f>
        <v>36557</v>
      </c>
    </row>
    <row r="2041" spans="1:24" x14ac:dyDescent="0.25">
      <c r="A2041" t="s">
        <v>517</v>
      </c>
      <c r="B2041">
        <v>2015</v>
      </c>
      <c r="C2041" t="s">
        <v>390</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c r="X2041" s="19">
        <f ca="1">DATE(LifeExpectancyData[[#This Row],[Year]],RANDBETWEEN(1,12),1)</f>
        <v>42217</v>
      </c>
    </row>
    <row r="2042" spans="1:24" x14ac:dyDescent="0.25">
      <c r="A2042" t="s">
        <v>517</v>
      </c>
      <c r="B2042">
        <v>2014</v>
      </c>
      <c r="C2042" t="s">
        <v>390</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c r="X2042" s="19">
        <f ca="1">DATE(LifeExpectancyData[[#This Row],[Year]],RANDBETWEEN(1,12),1)</f>
        <v>41730</v>
      </c>
    </row>
    <row r="2043" spans="1:24" x14ac:dyDescent="0.25">
      <c r="A2043" t="s">
        <v>517</v>
      </c>
      <c r="B2043">
        <v>2013</v>
      </c>
      <c r="C2043" t="s">
        <v>390</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c r="X2043" s="19">
        <f ca="1">DATE(LifeExpectancyData[[#This Row],[Year]],RANDBETWEEN(1,12),1)</f>
        <v>41548</v>
      </c>
    </row>
    <row r="2044" spans="1:24" x14ac:dyDescent="0.25">
      <c r="A2044" t="s">
        <v>517</v>
      </c>
      <c r="B2044">
        <v>2012</v>
      </c>
      <c r="C2044" t="s">
        <v>390</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c r="X2044" s="19">
        <f ca="1">DATE(LifeExpectancyData[[#This Row],[Year]],RANDBETWEEN(1,12),1)</f>
        <v>41091</v>
      </c>
    </row>
    <row r="2045" spans="1:24" x14ac:dyDescent="0.25">
      <c r="A2045" t="s">
        <v>517</v>
      </c>
      <c r="B2045">
        <v>2011</v>
      </c>
      <c r="C2045" t="s">
        <v>390</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c r="X2045" s="19">
        <f ca="1">DATE(LifeExpectancyData[[#This Row],[Year]],RANDBETWEEN(1,12),1)</f>
        <v>40725</v>
      </c>
    </row>
    <row r="2046" spans="1:24" x14ac:dyDescent="0.25">
      <c r="A2046" t="s">
        <v>517</v>
      </c>
      <c r="B2046">
        <v>2010</v>
      </c>
      <c r="C2046" t="s">
        <v>390</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c r="X2046" s="19">
        <f ca="1">DATE(LifeExpectancyData[[#This Row],[Year]],RANDBETWEEN(1,12),1)</f>
        <v>40452</v>
      </c>
    </row>
    <row r="2047" spans="1:24" x14ac:dyDescent="0.25">
      <c r="A2047" t="s">
        <v>517</v>
      </c>
      <c r="B2047">
        <v>2009</v>
      </c>
      <c r="C2047" t="s">
        <v>390</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c r="X2047" s="19">
        <f ca="1">DATE(LifeExpectancyData[[#This Row],[Year]],RANDBETWEEN(1,12),1)</f>
        <v>40118</v>
      </c>
    </row>
    <row r="2048" spans="1:24" x14ac:dyDescent="0.25">
      <c r="A2048" t="s">
        <v>517</v>
      </c>
      <c r="B2048">
        <v>2008</v>
      </c>
      <c r="C2048" t="s">
        <v>390</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c r="X2048" s="19">
        <f ca="1">DATE(LifeExpectancyData[[#This Row],[Year]],RANDBETWEEN(1,12),1)</f>
        <v>39479</v>
      </c>
    </row>
    <row r="2049" spans="1:24" x14ac:dyDescent="0.25">
      <c r="A2049" t="s">
        <v>517</v>
      </c>
      <c r="B2049">
        <v>2007</v>
      </c>
      <c r="C2049" t="s">
        <v>390</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c r="X2049" s="19">
        <f ca="1">DATE(LifeExpectancyData[[#This Row],[Year]],RANDBETWEEN(1,12),1)</f>
        <v>39173</v>
      </c>
    </row>
    <row r="2050" spans="1:24" x14ac:dyDescent="0.25">
      <c r="A2050" t="s">
        <v>517</v>
      </c>
      <c r="B2050">
        <v>2006</v>
      </c>
      <c r="C2050" t="s">
        <v>390</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c r="X2050" s="19">
        <f ca="1">DATE(LifeExpectancyData[[#This Row],[Year]],RANDBETWEEN(1,12),1)</f>
        <v>39052</v>
      </c>
    </row>
    <row r="2051" spans="1:24" x14ac:dyDescent="0.25">
      <c r="A2051" t="s">
        <v>517</v>
      </c>
      <c r="B2051">
        <v>2005</v>
      </c>
      <c r="C2051" t="s">
        <v>390</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c r="X2051" s="19">
        <f ca="1">DATE(LifeExpectancyData[[#This Row],[Year]],RANDBETWEEN(1,12),1)</f>
        <v>38504</v>
      </c>
    </row>
    <row r="2052" spans="1:24" x14ac:dyDescent="0.25">
      <c r="A2052" t="s">
        <v>517</v>
      </c>
      <c r="B2052">
        <v>2004</v>
      </c>
      <c r="C2052" t="s">
        <v>390</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c r="X2052" s="19">
        <f ca="1">DATE(LifeExpectancyData[[#This Row],[Year]],RANDBETWEEN(1,12),1)</f>
        <v>38047</v>
      </c>
    </row>
    <row r="2053" spans="1:24" x14ac:dyDescent="0.25">
      <c r="A2053" t="s">
        <v>517</v>
      </c>
      <c r="B2053">
        <v>2003</v>
      </c>
      <c r="C2053" t="s">
        <v>390</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c r="X2053" s="19">
        <f ca="1">DATE(LifeExpectancyData[[#This Row],[Year]],RANDBETWEEN(1,12),1)</f>
        <v>37622</v>
      </c>
    </row>
    <row r="2054" spans="1:24" x14ac:dyDescent="0.25">
      <c r="A2054" t="s">
        <v>517</v>
      </c>
      <c r="B2054">
        <v>2002</v>
      </c>
      <c r="C2054" t="s">
        <v>390</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c r="X2054" s="19">
        <f ca="1">DATE(LifeExpectancyData[[#This Row],[Year]],RANDBETWEEN(1,12),1)</f>
        <v>37257</v>
      </c>
    </row>
    <row r="2055" spans="1:24" x14ac:dyDescent="0.25">
      <c r="A2055" t="s">
        <v>517</v>
      </c>
      <c r="B2055">
        <v>2001</v>
      </c>
      <c r="C2055" t="s">
        <v>390</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c r="X2055" s="19">
        <f ca="1">DATE(LifeExpectancyData[[#This Row],[Year]],RANDBETWEEN(1,12),1)</f>
        <v>37073</v>
      </c>
    </row>
    <row r="2056" spans="1:24" x14ac:dyDescent="0.25">
      <c r="A2056" t="s">
        <v>517</v>
      </c>
      <c r="B2056">
        <v>2000</v>
      </c>
      <c r="C2056" t="s">
        <v>390</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c r="X2056" s="19">
        <f ca="1">DATE(LifeExpectancyData[[#This Row],[Year]],RANDBETWEEN(1,12),1)</f>
        <v>36739</v>
      </c>
    </row>
    <row r="2057" spans="1:24" x14ac:dyDescent="0.25">
      <c r="A2057" t="s">
        <v>518</v>
      </c>
      <c r="B2057">
        <v>2015</v>
      </c>
      <c r="C2057" t="s">
        <v>390</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c r="X2057" s="19">
        <f ca="1">DATE(LifeExpectancyData[[#This Row],[Year]],RANDBETWEEN(1,12),1)</f>
        <v>42005</v>
      </c>
    </row>
    <row r="2058" spans="1:24" x14ac:dyDescent="0.25">
      <c r="A2058" t="s">
        <v>518</v>
      </c>
      <c r="B2058">
        <v>2014</v>
      </c>
      <c r="C2058" t="s">
        <v>390</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c r="X2058" s="19">
        <f ca="1">DATE(LifeExpectancyData[[#This Row],[Year]],RANDBETWEEN(1,12),1)</f>
        <v>41944</v>
      </c>
    </row>
    <row r="2059" spans="1:24" x14ac:dyDescent="0.25">
      <c r="A2059" t="s">
        <v>518</v>
      </c>
      <c r="B2059">
        <v>2013</v>
      </c>
      <c r="C2059" t="s">
        <v>390</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c r="X2059" s="19">
        <f ca="1">DATE(LifeExpectancyData[[#This Row],[Year]],RANDBETWEEN(1,12),1)</f>
        <v>41579</v>
      </c>
    </row>
    <row r="2060" spans="1:24" x14ac:dyDescent="0.25">
      <c r="A2060" t="s">
        <v>518</v>
      </c>
      <c r="B2060">
        <v>2012</v>
      </c>
      <c r="C2060" t="s">
        <v>390</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c r="X2060" s="19">
        <f ca="1">DATE(LifeExpectancyData[[#This Row],[Year]],RANDBETWEEN(1,12),1)</f>
        <v>41030</v>
      </c>
    </row>
    <row r="2061" spans="1:24" x14ac:dyDescent="0.25">
      <c r="A2061" t="s">
        <v>518</v>
      </c>
      <c r="B2061">
        <v>2011</v>
      </c>
      <c r="C2061" t="s">
        <v>390</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c r="X2061" s="19">
        <f ca="1">DATE(LifeExpectancyData[[#This Row],[Year]],RANDBETWEEN(1,12),1)</f>
        <v>40725</v>
      </c>
    </row>
    <row r="2062" spans="1:24" x14ac:dyDescent="0.25">
      <c r="A2062" t="s">
        <v>518</v>
      </c>
      <c r="B2062">
        <v>2010</v>
      </c>
      <c r="C2062" t="s">
        <v>390</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c r="X2062" s="19">
        <f ca="1">DATE(LifeExpectancyData[[#This Row],[Year]],RANDBETWEEN(1,12),1)</f>
        <v>40330</v>
      </c>
    </row>
    <row r="2063" spans="1:24" x14ac:dyDescent="0.25">
      <c r="A2063" t="s">
        <v>518</v>
      </c>
      <c r="B2063">
        <v>2009</v>
      </c>
      <c r="C2063" t="s">
        <v>390</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c r="X2063" s="19">
        <f ca="1">DATE(LifeExpectancyData[[#This Row],[Year]],RANDBETWEEN(1,12),1)</f>
        <v>39904</v>
      </c>
    </row>
    <row r="2064" spans="1:24" x14ac:dyDescent="0.25">
      <c r="A2064" t="s">
        <v>518</v>
      </c>
      <c r="B2064">
        <v>2008</v>
      </c>
      <c r="C2064" t="s">
        <v>390</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c r="X2064" s="19">
        <f ca="1">DATE(LifeExpectancyData[[#This Row],[Year]],RANDBETWEEN(1,12),1)</f>
        <v>39722</v>
      </c>
    </row>
    <row r="2065" spans="1:24" x14ac:dyDescent="0.25">
      <c r="A2065" t="s">
        <v>518</v>
      </c>
      <c r="B2065">
        <v>2007</v>
      </c>
      <c r="C2065" t="s">
        <v>390</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c r="X2065" s="19">
        <f ca="1">DATE(LifeExpectancyData[[#This Row],[Year]],RANDBETWEEN(1,12),1)</f>
        <v>39173</v>
      </c>
    </row>
    <row r="2066" spans="1:24" x14ac:dyDescent="0.25">
      <c r="A2066" t="s">
        <v>518</v>
      </c>
      <c r="B2066">
        <v>2006</v>
      </c>
      <c r="C2066" t="s">
        <v>390</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c r="X2066" s="19">
        <f ca="1">DATE(LifeExpectancyData[[#This Row],[Year]],RANDBETWEEN(1,12),1)</f>
        <v>38777</v>
      </c>
    </row>
    <row r="2067" spans="1:24" x14ac:dyDescent="0.25">
      <c r="A2067" t="s">
        <v>518</v>
      </c>
      <c r="B2067">
        <v>2005</v>
      </c>
      <c r="C2067" t="s">
        <v>390</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c r="X2067" s="19">
        <f ca="1">DATE(LifeExpectancyData[[#This Row],[Year]],RANDBETWEEN(1,12),1)</f>
        <v>38534</v>
      </c>
    </row>
    <row r="2068" spans="1:24" x14ac:dyDescent="0.25">
      <c r="A2068" t="s">
        <v>518</v>
      </c>
      <c r="B2068">
        <v>2004</v>
      </c>
      <c r="C2068" t="s">
        <v>390</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c r="X2068" s="19">
        <f ca="1">DATE(LifeExpectancyData[[#This Row],[Year]],RANDBETWEEN(1,12),1)</f>
        <v>38108</v>
      </c>
    </row>
    <row r="2069" spans="1:24" x14ac:dyDescent="0.25">
      <c r="A2069" t="s">
        <v>518</v>
      </c>
      <c r="B2069">
        <v>2003</v>
      </c>
      <c r="C2069" t="s">
        <v>390</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c r="X2069" s="19">
        <f ca="1">DATE(LifeExpectancyData[[#This Row],[Year]],RANDBETWEEN(1,12),1)</f>
        <v>37773</v>
      </c>
    </row>
    <row r="2070" spans="1:24" x14ac:dyDescent="0.25">
      <c r="A2070" t="s">
        <v>518</v>
      </c>
      <c r="B2070">
        <v>2002</v>
      </c>
      <c r="C2070" t="s">
        <v>390</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c r="X2070" s="19">
        <f ca="1">DATE(LifeExpectancyData[[#This Row],[Year]],RANDBETWEEN(1,12),1)</f>
        <v>37377</v>
      </c>
    </row>
    <row r="2071" spans="1:24" x14ac:dyDescent="0.25">
      <c r="A2071" t="s">
        <v>518</v>
      </c>
      <c r="B2071">
        <v>2001</v>
      </c>
      <c r="C2071" t="s">
        <v>390</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c r="X2071" s="19">
        <f ca="1">DATE(LifeExpectancyData[[#This Row],[Year]],RANDBETWEEN(1,12),1)</f>
        <v>36951</v>
      </c>
    </row>
    <row r="2072" spans="1:24" x14ac:dyDescent="0.25">
      <c r="A2072" t="s">
        <v>518</v>
      </c>
      <c r="B2072">
        <v>2000</v>
      </c>
      <c r="C2072" t="s">
        <v>390</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c r="X2072" s="19">
        <f ca="1">DATE(LifeExpectancyData[[#This Row],[Year]],RANDBETWEEN(1,12),1)</f>
        <v>36647</v>
      </c>
    </row>
    <row r="2073" spans="1:24" x14ac:dyDescent="0.25">
      <c r="A2073" t="s">
        <v>519</v>
      </c>
      <c r="B2073">
        <v>2015</v>
      </c>
      <c r="C2073" t="s">
        <v>382</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c r="X2073" s="19">
        <f ca="1">DATE(LifeExpectancyData[[#This Row],[Year]],RANDBETWEEN(1,12),1)</f>
        <v>42278</v>
      </c>
    </row>
    <row r="2074" spans="1:24" x14ac:dyDescent="0.25">
      <c r="A2074" t="s">
        <v>519</v>
      </c>
      <c r="B2074">
        <v>2014</v>
      </c>
      <c r="C2074" t="s">
        <v>382</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c r="X2074" s="19">
        <f ca="1">DATE(LifeExpectancyData[[#This Row],[Year]],RANDBETWEEN(1,12),1)</f>
        <v>41699</v>
      </c>
    </row>
    <row r="2075" spans="1:24" x14ac:dyDescent="0.25">
      <c r="A2075" t="s">
        <v>519</v>
      </c>
      <c r="B2075">
        <v>2013</v>
      </c>
      <c r="C2075" t="s">
        <v>382</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c r="X2075" s="19">
        <f ca="1">DATE(LifeExpectancyData[[#This Row],[Year]],RANDBETWEEN(1,12),1)</f>
        <v>41334</v>
      </c>
    </row>
    <row r="2076" spans="1:24" x14ac:dyDescent="0.25">
      <c r="A2076" t="s">
        <v>519</v>
      </c>
      <c r="B2076">
        <v>2012</v>
      </c>
      <c r="C2076" t="s">
        <v>382</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c r="X2076" s="19">
        <f ca="1">DATE(LifeExpectancyData[[#This Row],[Year]],RANDBETWEEN(1,12),1)</f>
        <v>41244</v>
      </c>
    </row>
    <row r="2077" spans="1:24" x14ac:dyDescent="0.25">
      <c r="A2077" t="s">
        <v>519</v>
      </c>
      <c r="B2077">
        <v>2011</v>
      </c>
      <c r="C2077" t="s">
        <v>382</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c r="X2077" s="19">
        <f ca="1">DATE(LifeExpectancyData[[#This Row],[Year]],RANDBETWEEN(1,12),1)</f>
        <v>40878</v>
      </c>
    </row>
    <row r="2078" spans="1:24" x14ac:dyDescent="0.25">
      <c r="A2078" t="s">
        <v>519</v>
      </c>
      <c r="B2078">
        <v>2010</v>
      </c>
      <c r="C2078" t="s">
        <v>382</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c r="X2078" s="19">
        <f ca="1">DATE(LifeExpectancyData[[#This Row],[Year]],RANDBETWEEN(1,12),1)</f>
        <v>40210</v>
      </c>
    </row>
    <row r="2079" spans="1:24" x14ac:dyDescent="0.25">
      <c r="A2079" t="s">
        <v>519</v>
      </c>
      <c r="B2079">
        <v>2009</v>
      </c>
      <c r="C2079" t="s">
        <v>382</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c r="X2079" s="19">
        <f ca="1">DATE(LifeExpectancyData[[#This Row],[Year]],RANDBETWEEN(1,12),1)</f>
        <v>40148</v>
      </c>
    </row>
    <row r="2080" spans="1:24" x14ac:dyDescent="0.25">
      <c r="A2080" t="s">
        <v>519</v>
      </c>
      <c r="B2080">
        <v>2008</v>
      </c>
      <c r="C2080" t="s">
        <v>382</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c r="X2080" s="19">
        <f ca="1">DATE(LifeExpectancyData[[#This Row],[Year]],RANDBETWEEN(1,12),1)</f>
        <v>39600</v>
      </c>
    </row>
    <row r="2081" spans="1:24" x14ac:dyDescent="0.25">
      <c r="A2081" t="s">
        <v>519</v>
      </c>
      <c r="B2081">
        <v>2007</v>
      </c>
      <c r="C2081" t="s">
        <v>382</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c r="X2081" s="19">
        <f ca="1">DATE(LifeExpectancyData[[#This Row],[Year]],RANDBETWEEN(1,12),1)</f>
        <v>39114</v>
      </c>
    </row>
    <row r="2082" spans="1:24" x14ac:dyDescent="0.25">
      <c r="A2082" t="s">
        <v>519</v>
      </c>
      <c r="B2082">
        <v>2006</v>
      </c>
      <c r="C2082" t="s">
        <v>382</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c r="X2082" s="19">
        <f ca="1">DATE(LifeExpectancyData[[#This Row],[Year]],RANDBETWEEN(1,12),1)</f>
        <v>38718</v>
      </c>
    </row>
    <row r="2083" spans="1:24" x14ac:dyDescent="0.25">
      <c r="A2083" t="s">
        <v>519</v>
      </c>
      <c r="B2083">
        <v>2005</v>
      </c>
      <c r="C2083" t="s">
        <v>382</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c r="X2083" s="19">
        <f ca="1">DATE(LifeExpectancyData[[#This Row],[Year]],RANDBETWEEN(1,12),1)</f>
        <v>38384</v>
      </c>
    </row>
    <row r="2084" spans="1:24" x14ac:dyDescent="0.25">
      <c r="A2084" t="s">
        <v>519</v>
      </c>
      <c r="B2084">
        <v>2004</v>
      </c>
      <c r="C2084" t="s">
        <v>382</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c r="X2084" s="19">
        <f ca="1">DATE(LifeExpectancyData[[#This Row],[Year]],RANDBETWEEN(1,12),1)</f>
        <v>38139</v>
      </c>
    </row>
    <row r="2085" spans="1:24" x14ac:dyDescent="0.25">
      <c r="A2085" t="s">
        <v>519</v>
      </c>
      <c r="B2085">
        <v>2003</v>
      </c>
      <c r="C2085" t="s">
        <v>382</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c r="X2085" s="19">
        <f ca="1">DATE(LifeExpectancyData[[#This Row],[Year]],RANDBETWEEN(1,12),1)</f>
        <v>37742</v>
      </c>
    </row>
    <row r="2086" spans="1:24" x14ac:dyDescent="0.25">
      <c r="A2086" t="s">
        <v>519</v>
      </c>
      <c r="B2086">
        <v>2002</v>
      </c>
      <c r="C2086" t="s">
        <v>382</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c r="X2086" s="19">
        <f ca="1">DATE(LifeExpectancyData[[#This Row],[Year]],RANDBETWEEN(1,12),1)</f>
        <v>37316</v>
      </c>
    </row>
    <row r="2087" spans="1:24" x14ac:dyDescent="0.25">
      <c r="A2087" t="s">
        <v>519</v>
      </c>
      <c r="B2087">
        <v>2001</v>
      </c>
      <c r="C2087" t="s">
        <v>382</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c r="X2087" s="19">
        <f ca="1">DATE(LifeExpectancyData[[#This Row],[Year]],RANDBETWEEN(1,12),1)</f>
        <v>37135</v>
      </c>
    </row>
    <row r="2088" spans="1:24" x14ac:dyDescent="0.25">
      <c r="A2088" t="s">
        <v>519</v>
      </c>
      <c r="B2088">
        <v>2000</v>
      </c>
      <c r="C2088" t="s">
        <v>382</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c r="X2088" s="19">
        <f ca="1">DATE(LifeExpectancyData[[#This Row],[Year]],RANDBETWEEN(1,12),1)</f>
        <v>36831</v>
      </c>
    </row>
    <row r="2089" spans="1:24" x14ac:dyDescent="0.25">
      <c r="A2089" t="s">
        <v>520</v>
      </c>
      <c r="B2089">
        <v>2015</v>
      </c>
      <c r="C2089" t="s">
        <v>382</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c r="X2089" s="19">
        <f ca="1">DATE(LifeExpectancyData[[#This Row],[Year]],RANDBETWEEN(1,12),1)</f>
        <v>42064</v>
      </c>
    </row>
    <row r="2090" spans="1:24" x14ac:dyDescent="0.25">
      <c r="A2090" t="s">
        <v>520</v>
      </c>
      <c r="B2090">
        <v>2014</v>
      </c>
      <c r="C2090" t="s">
        <v>382</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c r="X2090" s="19">
        <f ca="1">DATE(LifeExpectancyData[[#This Row],[Year]],RANDBETWEEN(1,12),1)</f>
        <v>41671</v>
      </c>
    </row>
    <row r="2091" spans="1:24" x14ac:dyDescent="0.25">
      <c r="A2091" t="s">
        <v>520</v>
      </c>
      <c r="B2091">
        <v>2013</v>
      </c>
      <c r="C2091" t="s">
        <v>382</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c r="X2091" s="19">
        <f ca="1">DATE(LifeExpectancyData[[#This Row],[Year]],RANDBETWEEN(1,12),1)</f>
        <v>41518</v>
      </c>
    </row>
    <row r="2092" spans="1:24" x14ac:dyDescent="0.25">
      <c r="A2092" t="s">
        <v>520</v>
      </c>
      <c r="B2092">
        <v>2012</v>
      </c>
      <c r="C2092" t="s">
        <v>382</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c r="X2092" s="19">
        <f ca="1">DATE(LifeExpectancyData[[#This Row],[Year]],RANDBETWEEN(1,12),1)</f>
        <v>41091</v>
      </c>
    </row>
    <row r="2093" spans="1:24" x14ac:dyDescent="0.25">
      <c r="A2093" t="s">
        <v>520</v>
      </c>
      <c r="B2093">
        <v>2011</v>
      </c>
      <c r="C2093" t="s">
        <v>382</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c r="X2093" s="19">
        <f ca="1">DATE(LifeExpectancyData[[#This Row],[Year]],RANDBETWEEN(1,12),1)</f>
        <v>40695</v>
      </c>
    </row>
    <row r="2094" spans="1:24" x14ac:dyDescent="0.25">
      <c r="A2094" t="s">
        <v>520</v>
      </c>
      <c r="B2094">
        <v>2010</v>
      </c>
      <c r="C2094" t="s">
        <v>382</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c r="X2094" s="19">
        <f ca="1">DATE(LifeExpectancyData[[#This Row],[Year]],RANDBETWEEN(1,12),1)</f>
        <v>40422</v>
      </c>
    </row>
    <row r="2095" spans="1:24" x14ac:dyDescent="0.25">
      <c r="A2095" t="s">
        <v>520</v>
      </c>
      <c r="B2095">
        <v>2009</v>
      </c>
      <c r="C2095" t="s">
        <v>382</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c r="X2095" s="19">
        <f ca="1">DATE(LifeExpectancyData[[#This Row],[Year]],RANDBETWEEN(1,12),1)</f>
        <v>39814</v>
      </c>
    </row>
    <row r="2096" spans="1:24" x14ac:dyDescent="0.25">
      <c r="A2096" t="s">
        <v>520</v>
      </c>
      <c r="B2096">
        <v>2008</v>
      </c>
      <c r="C2096" t="s">
        <v>382</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c r="X2096" s="19">
        <f ca="1">DATE(LifeExpectancyData[[#This Row],[Year]],RANDBETWEEN(1,12),1)</f>
        <v>39479</v>
      </c>
    </row>
    <row r="2097" spans="1:24" x14ac:dyDescent="0.25">
      <c r="A2097" t="s">
        <v>520</v>
      </c>
      <c r="B2097">
        <v>2007</v>
      </c>
      <c r="C2097" t="s">
        <v>382</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c r="X2097" s="19">
        <f ca="1">DATE(LifeExpectancyData[[#This Row],[Year]],RANDBETWEEN(1,12),1)</f>
        <v>39234</v>
      </c>
    </row>
    <row r="2098" spans="1:24" x14ac:dyDescent="0.25">
      <c r="A2098" t="s">
        <v>520</v>
      </c>
      <c r="B2098">
        <v>2006</v>
      </c>
      <c r="C2098" t="s">
        <v>382</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c r="X2098" s="19">
        <f ca="1">DATE(LifeExpectancyData[[#This Row],[Year]],RANDBETWEEN(1,12),1)</f>
        <v>38991</v>
      </c>
    </row>
    <row r="2099" spans="1:24" x14ac:dyDescent="0.25">
      <c r="A2099" t="s">
        <v>520</v>
      </c>
      <c r="B2099">
        <v>2005</v>
      </c>
      <c r="C2099" t="s">
        <v>382</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c r="X2099" s="19">
        <f ca="1">DATE(LifeExpectancyData[[#This Row],[Year]],RANDBETWEEN(1,12),1)</f>
        <v>38384</v>
      </c>
    </row>
    <row r="2100" spans="1:24" x14ac:dyDescent="0.25">
      <c r="A2100" t="s">
        <v>520</v>
      </c>
      <c r="B2100">
        <v>2004</v>
      </c>
      <c r="C2100" t="s">
        <v>382</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c r="X2100" s="19">
        <f ca="1">DATE(LifeExpectancyData[[#This Row],[Year]],RANDBETWEEN(1,12),1)</f>
        <v>38200</v>
      </c>
    </row>
    <row r="2101" spans="1:24" x14ac:dyDescent="0.25">
      <c r="A2101" t="s">
        <v>520</v>
      </c>
      <c r="B2101">
        <v>2003</v>
      </c>
      <c r="C2101" t="s">
        <v>382</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c r="X2101" s="19">
        <f ca="1">DATE(LifeExpectancyData[[#This Row],[Year]],RANDBETWEEN(1,12),1)</f>
        <v>37956</v>
      </c>
    </row>
    <row r="2102" spans="1:24" x14ac:dyDescent="0.25">
      <c r="A2102" t="s">
        <v>520</v>
      </c>
      <c r="B2102">
        <v>2002</v>
      </c>
      <c r="C2102" t="s">
        <v>382</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c r="X2102" s="19">
        <f ca="1">DATE(LifeExpectancyData[[#This Row],[Year]],RANDBETWEEN(1,12),1)</f>
        <v>37257</v>
      </c>
    </row>
    <row r="2103" spans="1:24" x14ac:dyDescent="0.25">
      <c r="A2103" t="s">
        <v>520</v>
      </c>
      <c r="B2103">
        <v>2001</v>
      </c>
      <c r="C2103" t="s">
        <v>382</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c r="X2103" s="19">
        <f ca="1">DATE(LifeExpectancyData[[#This Row],[Year]],RANDBETWEEN(1,12),1)</f>
        <v>36982</v>
      </c>
    </row>
    <row r="2104" spans="1:24" x14ac:dyDescent="0.25">
      <c r="A2104" t="s">
        <v>520</v>
      </c>
      <c r="B2104">
        <v>2000</v>
      </c>
      <c r="C2104" t="s">
        <v>382</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c r="X2104" s="19">
        <f ca="1">DATE(LifeExpectancyData[[#This Row],[Year]],RANDBETWEEN(1,12),1)</f>
        <v>36557</v>
      </c>
    </row>
    <row r="2105" spans="1:24" x14ac:dyDescent="0.25">
      <c r="A2105" t="s">
        <v>521</v>
      </c>
      <c r="B2105">
        <v>2015</v>
      </c>
      <c r="C2105" t="s">
        <v>382</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c r="X2105" s="19">
        <f ca="1">DATE(LifeExpectancyData[[#This Row],[Year]],RANDBETWEEN(1,12),1)</f>
        <v>42339</v>
      </c>
    </row>
    <row r="2106" spans="1:24" x14ac:dyDescent="0.25">
      <c r="A2106" t="s">
        <v>521</v>
      </c>
      <c r="B2106">
        <v>2014</v>
      </c>
      <c r="C2106" t="s">
        <v>382</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c r="X2106" s="19">
        <f ca="1">DATE(LifeExpectancyData[[#This Row],[Year]],RANDBETWEEN(1,12),1)</f>
        <v>41671</v>
      </c>
    </row>
    <row r="2107" spans="1:24" x14ac:dyDescent="0.25">
      <c r="A2107" t="s">
        <v>521</v>
      </c>
      <c r="B2107">
        <v>2013</v>
      </c>
      <c r="C2107" t="s">
        <v>382</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c r="X2107" s="19">
        <f ca="1">DATE(LifeExpectancyData[[#This Row],[Year]],RANDBETWEEN(1,12),1)</f>
        <v>41334</v>
      </c>
    </row>
    <row r="2108" spans="1:24" x14ac:dyDescent="0.25">
      <c r="A2108" t="s">
        <v>521</v>
      </c>
      <c r="B2108">
        <v>2012</v>
      </c>
      <c r="C2108" t="s">
        <v>382</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c r="X2108" s="19">
        <f ca="1">DATE(LifeExpectancyData[[#This Row],[Year]],RANDBETWEEN(1,12),1)</f>
        <v>40969</v>
      </c>
    </row>
    <row r="2109" spans="1:24" x14ac:dyDescent="0.25">
      <c r="A2109" t="s">
        <v>521</v>
      </c>
      <c r="B2109">
        <v>2011</v>
      </c>
      <c r="C2109" t="s">
        <v>382</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c r="X2109" s="19">
        <f ca="1">DATE(LifeExpectancyData[[#This Row],[Year]],RANDBETWEEN(1,12),1)</f>
        <v>40664</v>
      </c>
    </row>
    <row r="2110" spans="1:24" x14ac:dyDescent="0.25">
      <c r="A2110" t="s">
        <v>521</v>
      </c>
      <c r="B2110">
        <v>2010</v>
      </c>
      <c r="C2110" t="s">
        <v>382</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c r="X2110" s="19">
        <f ca="1">DATE(LifeExpectancyData[[#This Row],[Year]],RANDBETWEEN(1,12),1)</f>
        <v>40483</v>
      </c>
    </row>
    <row r="2111" spans="1:24" x14ac:dyDescent="0.25">
      <c r="A2111" t="s">
        <v>521</v>
      </c>
      <c r="B2111">
        <v>2009</v>
      </c>
      <c r="C2111" t="s">
        <v>382</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c r="X2111" s="19">
        <f ca="1">DATE(LifeExpectancyData[[#This Row],[Year]],RANDBETWEEN(1,12),1)</f>
        <v>40057</v>
      </c>
    </row>
    <row r="2112" spans="1:24" x14ac:dyDescent="0.25">
      <c r="A2112" t="s">
        <v>521</v>
      </c>
      <c r="B2112">
        <v>2008</v>
      </c>
      <c r="C2112" t="s">
        <v>382</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c r="X2112" s="19">
        <f ca="1">DATE(LifeExpectancyData[[#This Row],[Year]],RANDBETWEEN(1,12),1)</f>
        <v>39783</v>
      </c>
    </row>
    <row r="2113" spans="1:24" x14ac:dyDescent="0.25">
      <c r="A2113" t="s">
        <v>521</v>
      </c>
      <c r="B2113">
        <v>2007</v>
      </c>
      <c r="C2113" t="s">
        <v>382</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c r="X2113" s="19">
        <f ca="1">DATE(LifeExpectancyData[[#This Row],[Year]],RANDBETWEEN(1,12),1)</f>
        <v>39142</v>
      </c>
    </row>
    <row r="2114" spans="1:24" x14ac:dyDescent="0.25">
      <c r="A2114" t="s">
        <v>521</v>
      </c>
      <c r="B2114">
        <v>2006</v>
      </c>
      <c r="C2114" t="s">
        <v>382</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c r="X2114" s="19">
        <f ca="1">DATE(LifeExpectancyData[[#This Row],[Year]],RANDBETWEEN(1,12),1)</f>
        <v>39052</v>
      </c>
    </row>
    <row r="2115" spans="1:24" x14ac:dyDescent="0.25">
      <c r="A2115" t="s">
        <v>521</v>
      </c>
      <c r="B2115">
        <v>2005</v>
      </c>
      <c r="C2115" t="s">
        <v>382</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c r="X2115" s="19">
        <f ca="1">DATE(LifeExpectancyData[[#This Row],[Year]],RANDBETWEEN(1,12),1)</f>
        <v>38443</v>
      </c>
    </row>
    <row r="2116" spans="1:24" x14ac:dyDescent="0.25">
      <c r="A2116" t="s">
        <v>521</v>
      </c>
      <c r="B2116">
        <v>2004</v>
      </c>
      <c r="C2116" t="s">
        <v>382</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c r="X2116" s="19">
        <f ca="1">DATE(LifeExpectancyData[[#This Row],[Year]],RANDBETWEEN(1,12),1)</f>
        <v>38047</v>
      </c>
    </row>
    <row r="2117" spans="1:24" x14ac:dyDescent="0.25">
      <c r="A2117" t="s">
        <v>521</v>
      </c>
      <c r="B2117">
        <v>2003</v>
      </c>
      <c r="C2117" t="s">
        <v>382</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c r="X2117" s="19">
        <f ca="1">DATE(LifeExpectancyData[[#This Row],[Year]],RANDBETWEEN(1,12),1)</f>
        <v>37773</v>
      </c>
    </row>
    <row r="2118" spans="1:24" x14ac:dyDescent="0.25">
      <c r="A2118" t="s">
        <v>521</v>
      </c>
      <c r="B2118">
        <v>2002</v>
      </c>
      <c r="C2118" t="s">
        <v>382</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c r="X2118" s="19">
        <f ca="1">DATE(LifeExpectancyData[[#This Row],[Year]],RANDBETWEEN(1,12),1)</f>
        <v>37469</v>
      </c>
    </row>
    <row r="2119" spans="1:24" x14ac:dyDescent="0.25">
      <c r="A2119" t="s">
        <v>521</v>
      </c>
      <c r="B2119">
        <v>2001</v>
      </c>
      <c r="C2119" t="s">
        <v>382</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c r="X2119" s="19">
        <f ca="1">DATE(LifeExpectancyData[[#This Row],[Year]],RANDBETWEEN(1,12),1)</f>
        <v>37165</v>
      </c>
    </row>
    <row r="2120" spans="1:24" x14ac:dyDescent="0.25">
      <c r="A2120" t="s">
        <v>521</v>
      </c>
      <c r="B2120">
        <v>2000</v>
      </c>
      <c r="C2120" t="s">
        <v>382</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c r="X2120" s="19">
        <f ca="1">DATE(LifeExpectancyData[[#This Row],[Year]],RANDBETWEEN(1,12),1)</f>
        <v>36617</v>
      </c>
    </row>
    <row r="2121" spans="1:24" x14ac:dyDescent="0.25">
      <c r="A2121" t="s">
        <v>522</v>
      </c>
      <c r="B2121">
        <v>2015</v>
      </c>
      <c r="C2121" t="s">
        <v>390</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c r="X2121" s="19">
        <f ca="1">DATE(LifeExpectancyData[[#This Row],[Year]],RANDBETWEEN(1,12),1)</f>
        <v>42095</v>
      </c>
    </row>
    <row r="2122" spans="1:24" x14ac:dyDescent="0.25">
      <c r="A2122" t="s">
        <v>522</v>
      </c>
      <c r="B2122">
        <v>2014</v>
      </c>
      <c r="C2122" t="s">
        <v>390</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c r="X2122" s="19">
        <f ca="1">DATE(LifeExpectancyData[[#This Row],[Year]],RANDBETWEEN(1,12),1)</f>
        <v>41821</v>
      </c>
    </row>
    <row r="2123" spans="1:24" x14ac:dyDescent="0.25">
      <c r="A2123" t="s">
        <v>522</v>
      </c>
      <c r="B2123">
        <v>2013</v>
      </c>
      <c r="C2123" t="s">
        <v>390</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c r="X2123" s="19">
        <f ca="1">DATE(LifeExpectancyData[[#This Row],[Year]],RANDBETWEEN(1,12),1)</f>
        <v>41306</v>
      </c>
    </row>
    <row r="2124" spans="1:24" x14ac:dyDescent="0.25">
      <c r="A2124" t="s">
        <v>522</v>
      </c>
      <c r="B2124">
        <v>2012</v>
      </c>
      <c r="C2124" t="s">
        <v>390</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c r="X2124" s="19">
        <f ca="1">DATE(LifeExpectancyData[[#This Row],[Year]],RANDBETWEEN(1,12),1)</f>
        <v>41183</v>
      </c>
    </row>
    <row r="2125" spans="1:24" x14ac:dyDescent="0.25">
      <c r="A2125" t="s">
        <v>522</v>
      </c>
      <c r="B2125">
        <v>2011</v>
      </c>
      <c r="C2125" t="s">
        <v>390</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c r="X2125" s="19">
        <f ca="1">DATE(LifeExpectancyData[[#This Row],[Year]],RANDBETWEEN(1,12),1)</f>
        <v>40787</v>
      </c>
    </row>
    <row r="2126" spans="1:24" x14ac:dyDescent="0.25">
      <c r="A2126" t="s">
        <v>522</v>
      </c>
      <c r="B2126">
        <v>2010</v>
      </c>
      <c r="C2126" t="s">
        <v>390</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c r="X2126" s="19">
        <f ca="1">DATE(LifeExpectancyData[[#This Row],[Year]],RANDBETWEEN(1,12),1)</f>
        <v>40269</v>
      </c>
    </row>
    <row r="2127" spans="1:24" x14ac:dyDescent="0.25">
      <c r="A2127" t="s">
        <v>522</v>
      </c>
      <c r="B2127">
        <v>2009</v>
      </c>
      <c r="C2127" t="s">
        <v>390</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c r="X2127" s="19">
        <f ca="1">DATE(LifeExpectancyData[[#This Row],[Year]],RANDBETWEEN(1,12),1)</f>
        <v>39934</v>
      </c>
    </row>
    <row r="2128" spans="1:24" x14ac:dyDescent="0.25">
      <c r="A2128" t="s">
        <v>522</v>
      </c>
      <c r="B2128">
        <v>2008</v>
      </c>
      <c r="C2128" t="s">
        <v>390</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c r="X2128" s="19">
        <f ca="1">DATE(LifeExpectancyData[[#This Row],[Year]],RANDBETWEEN(1,12),1)</f>
        <v>39753</v>
      </c>
    </row>
    <row r="2129" spans="1:24" x14ac:dyDescent="0.25">
      <c r="A2129" t="s">
        <v>522</v>
      </c>
      <c r="B2129">
        <v>2007</v>
      </c>
      <c r="C2129" t="s">
        <v>390</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c r="X2129" s="19">
        <f ca="1">DATE(LifeExpectancyData[[#This Row],[Year]],RANDBETWEEN(1,12),1)</f>
        <v>39295</v>
      </c>
    </row>
    <row r="2130" spans="1:24" x14ac:dyDescent="0.25">
      <c r="A2130" t="s">
        <v>522</v>
      </c>
      <c r="B2130">
        <v>2006</v>
      </c>
      <c r="C2130" t="s">
        <v>390</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c r="X2130" s="19">
        <f ca="1">DATE(LifeExpectancyData[[#This Row],[Year]],RANDBETWEEN(1,12),1)</f>
        <v>38718</v>
      </c>
    </row>
    <row r="2131" spans="1:24" x14ac:dyDescent="0.25">
      <c r="A2131" t="s">
        <v>522</v>
      </c>
      <c r="B2131">
        <v>2005</v>
      </c>
      <c r="C2131" t="s">
        <v>390</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c r="X2131" s="19">
        <f ca="1">DATE(LifeExpectancyData[[#This Row],[Year]],RANDBETWEEN(1,12),1)</f>
        <v>38353</v>
      </c>
    </row>
    <row r="2132" spans="1:24" x14ac:dyDescent="0.25">
      <c r="A2132" t="s">
        <v>522</v>
      </c>
      <c r="B2132">
        <v>2004</v>
      </c>
      <c r="C2132" t="s">
        <v>390</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c r="X2132" s="19">
        <f ca="1">DATE(LifeExpectancyData[[#This Row],[Year]],RANDBETWEEN(1,12),1)</f>
        <v>38139</v>
      </c>
    </row>
    <row r="2133" spans="1:24" x14ac:dyDescent="0.25">
      <c r="A2133" t="s">
        <v>522</v>
      </c>
      <c r="B2133">
        <v>2003</v>
      </c>
      <c r="C2133" t="s">
        <v>390</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c r="X2133" s="19">
        <f ca="1">DATE(LifeExpectancyData[[#This Row],[Year]],RANDBETWEEN(1,12),1)</f>
        <v>37865</v>
      </c>
    </row>
    <row r="2134" spans="1:24" x14ac:dyDescent="0.25">
      <c r="A2134" t="s">
        <v>522</v>
      </c>
      <c r="B2134">
        <v>2002</v>
      </c>
      <c r="C2134" t="s">
        <v>390</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c r="X2134" s="19">
        <f ca="1">DATE(LifeExpectancyData[[#This Row],[Year]],RANDBETWEEN(1,12),1)</f>
        <v>37288</v>
      </c>
    </row>
    <row r="2135" spans="1:24" x14ac:dyDescent="0.25">
      <c r="A2135" t="s">
        <v>522</v>
      </c>
      <c r="B2135">
        <v>2001</v>
      </c>
      <c r="C2135" t="s">
        <v>390</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c r="X2135" s="19">
        <f ca="1">DATE(LifeExpectancyData[[#This Row],[Year]],RANDBETWEEN(1,12),1)</f>
        <v>37043</v>
      </c>
    </row>
    <row r="2136" spans="1:24" x14ac:dyDescent="0.25">
      <c r="A2136" t="s">
        <v>522</v>
      </c>
      <c r="B2136">
        <v>2000</v>
      </c>
      <c r="C2136" t="s">
        <v>390</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c r="X2136" s="19">
        <f ca="1">DATE(LifeExpectancyData[[#This Row],[Year]],RANDBETWEEN(1,12),1)</f>
        <v>36557</v>
      </c>
    </row>
    <row r="2137" spans="1:24" x14ac:dyDescent="0.25">
      <c r="A2137" t="s">
        <v>523</v>
      </c>
      <c r="B2137">
        <v>2015</v>
      </c>
      <c r="C2137" t="s">
        <v>382</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c r="X2137" s="19">
        <f ca="1">DATE(LifeExpectancyData[[#This Row],[Year]],RANDBETWEEN(1,12),1)</f>
        <v>42156</v>
      </c>
    </row>
    <row r="2138" spans="1:24" x14ac:dyDescent="0.25">
      <c r="A2138" t="s">
        <v>523</v>
      </c>
      <c r="B2138">
        <v>2014</v>
      </c>
      <c r="C2138" t="s">
        <v>382</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c r="X2138" s="19">
        <f ca="1">DATE(LifeExpectancyData[[#This Row],[Year]],RANDBETWEEN(1,12),1)</f>
        <v>41944</v>
      </c>
    </row>
    <row r="2139" spans="1:24" x14ac:dyDescent="0.25">
      <c r="A2139" t="s">
        <v>523</v>
      </c>
      <c r="B2139">
        <v>2013</v>
      </c>
      <c r="C2139" t="s">
        <v>382</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c r="X2139" s="19">
        <f ca="1">DATE(LifeExpectancyData[[#This Row],[Year]],RANDBETWEEN(1,12),1)</f>
        <v>41456</v>
      </c>
    </row>
    <row r="2140" spans="1:24" x14ac:dyDescent="0.25">
      <c r="A2140" t="s">
        <v>523</v>
      </c>
      <c r="B2140">
        <v>2012</v>
      </c>
      <c r="C2140" t="s">
        <v>382</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c r="X2140" s="19">
        <f ca="1">DATE(LifeExpectancyData[[#This Row],[Year]],RANDBETWEEN(1,12),1)</f>
        <v>41061</v>
      </c>
    </row>
    <row r="2141" spans="1:24" x14ac:dyDescent="0.25">
      <c r="A2141" t="s">
        <v>523</v>
      </c>
      <c r="B2141">
        <v>2011</v>
      </c>
      <c r="C2141" t="s">
        <v>382</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c r="X2141" s="19">
        <f ca="1">DATE(LifeExpectancyData[[#This Row],[Year]],RANDBETWEEN(1,12),1)</f>
        <v>40756</v>
      </c>
    </row>
    <row r="2142" spans="1:24" x14ac:dyDescent="0.25">
      <c r="A2142" t="s">
        <v>523</v>
      </c>
      <c r="B2142">
        <v>2010</v>
      </c>
      <c r="C2142" t="s">
        <v>382</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c r="X2142" s="19">
        <f ca="1">DATE(LifeExpectancyData[[#This Row],[Year]],RANDBETWEEN(1,12),1)</f>
        <v>40238</v>
      </c>
    </row>
    <row r="2143" spans="1:24" x14ac:dyDescent="0.25">
      <c r="A2143" t="s">
        <v>523</v>
      </c>
      <c r="B2143">
        <v>2009</v>
      </c>
      <c r="C2143" t="s">
        <v>382</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c r="X2143" s="19">
        <f ca="1">DATE(LifeExpectancyData[[#This Row],[Year]],RANDBETWEEN(1,12),1)</f>
        <v>40087</v>
      </c>
    </row>
    <row r="2144" spans="1:24" x14ac:dyDescent="0.25">
      <c r="A2144" t="s">
        <v>523</v>
      </c>
      <c r="B2144">
        <v>2008</v>
      </c>
      <c r="C2144" t="s">
        <v>382</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c r="X2144" s="19">
        <f ca="1">DATE(LifeExpectancyData[[#This Row],[Year]],RANDBETWEEN(1,12),1)</f>
        <v>39630</v>
      </c>
    </row>
    <row r="2145" spans="1:24" x14ac:dyDescent="0.25">
      <c r="A2145" t="s">
        <v>523</v>
      </c>
      <c r="B2145">
        <v>2007</v>
      </c>
      <c r="C2145" t="s">
        <v>382</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c r="X2145" s="19">
        <f ca="1">DATE(LifeExpectancyData[[#This Row],[Year]],RANDBETWEEN(1,12),1)</f>
        <v>39295</v>
      </c>
    </row>
    <row r="2146" spans="1:24" x14ac:dyDescent="0.25">
      <c r="A2146" t="s">
        <v>523</v>
      </c>
      <c r="B2146">
        <v>2006</v>
      </c>
      <c r="C2146" t="s">
        <v>382</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c r="X2146" s="19">
        <f ca="1">DATE(LifeExpectancyData[[#This Row],[Year]],RANDBETWEEN(1,12),1)</f>
        <v>38808</v>
      </c>
    </row>
    <row r="2147" spans="1:24" x14ac:dyDescent="0.25">
      <c r="A2147" t="s">
        <v>523</v>
      </c>
      <c r="B2147">
        <v>2005</v>
      </c>
      <c r="C2147" t="s">
        <v>382</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c r="X2147" s="19">
        <f ca="1">DATE(LifeExpectancyData[[#This Row],[Year]],RANDBETWEEN(1,12),1)</f>
        <v>38687</v>
      </c>
    </row>
    <row r="2148" spans="1:24" x14ac:dyDescent="0.25">
      <c r="A2148" t="s">
        <v>523</v>
      </c>
      <c r="B2148">
        <v>2004</v>
      </c>
      <c r="C2148" t="s">
        <v>382</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c r="X2148" s="19">
        <f ca="1">DATE(LifeExpectancyData[[#This Row],[Year]],RANDBETWEEN(1,12),1)</f>
        <v>38047</v>
      </c>
    </row>
    <row r="2149" spans="1:24" x14ac:dyDescent="0.25">
      <c r="A2149" t="s">
        <v>523</v>
      </c>
      <c r="B2149">
        <v>2003</v>
      </c>
      <c r="C2149" t="s">
        <v>382</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c r="X2149" s="19">
        <f ca="1">DATE(LifeExpectancyData[[#This Row],[Year]],RANDBETWEEN(1,12),1)</f>
        <v>37653</v>
      </c>
    </row>
    <row r="2150" spans="1:24" x14ac:dyDescent="0.25">
      <c r="A2150" t="s">
        <v>523</v>
      </c>
      <c r="B2150">
        <v>2002</v>
      </c>
      <c r="C2150" t="s">
        <v>382</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c r="X2150" s="19">
        <f ca="1">DATE(LifeExpectancyData[[#This Row],[Year]],RANDBETWEEN(1,12),1)</f>
        <v>37347</v>
      </c>
    </row>
    <row r="2151" spans="1:24" x14ac:dyDescent="0.25">
      <c r="A2151" t="s">
        <v>523</v>
      </c>
      <c r="B2151">
        <v>2001</v>
      </c>
      <c r="C2151" t="s">
        <v>382</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c r="X2151" s="19">
        <f ca="1">DATE(LifeExpectancyData[[#This Row],[Year]],RANDBETWEEN(1,12),1)</f>
        <v>37012</v>
      </c>
    </row>
    <row r="2152" spans="1:24" x14ac:dyDescent="0.25">
      <c r="A2152" t="s">
        <v>523</v>
      </c>
      <c r="B2152">
        <v>2000</v>
      </c>
      <c r="C2152" t="s">
        <v>382</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c r="X2152" s="19">
        <f ca="1">DATE(LifeExpectancyData[[#This Row],[Year]],RANDBETWEEN(1,12),1)</f>
        <v>36831</v>
      </c>
    </row>
    <row r="2153" spans="1:24" x14ac:dyDescent="0.25">
      <c r="A2153" t="s">
        <v>524</v>
      </c>
      <c r="B2153">
        <v>2015</v>
      </c>
      <c r="C2153" t="s">
        <v>382</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c r="X2153" s="19">
        <f ca="1">DATE(LifeExpectancyData[[#This Row],[Year]],RANDBETWEEN(1,12),1)</f>
        <v>42339</v>
      </c>
    </row>
    <row r="2154" spans="1:24" x14ac:dyDescent="0.25">
      <c r="A2154" t="s">
        <v>524</v>
      </c>
      <c r="B2154">
        <v>2014</v>
      </c>
      <c r="C2154" t="s">
        <v>382</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c r="X2154" s="19">
        <f ca="1">DATE(LifeExpectancyData[[#This Row],[Year]],RANDBETWEEN(1,12),1)</f>
        <v>41760</v>
      </c>
    </row>
    <row r="2155" spans="1:24" x14ac:dyDescent="0.25">
      <c r="A2155" t="s">
        <v>524</v>
      </c>
      <c r="B2155">
        <v>2013</v>
      </c>
      <c r="C2155" t="s">
        <v>382</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c r="X2155" s="19">
        <f ca="1">DATE(LifeExpectancyData[[#This Row],[Year]],RANDBETWEEN(1,12),1)</f>
        <v>41275</v>
      </c>
    </row>
    <row r="2156" spans="1:24" x14ac:dyDescent="0.25">
      <c r="A2156" t="s">
        <v>524</v>
      </c>
      <c r="B2156">
        <v>2012</v>
      </c>
      <c r="C2156" t="s">
        <v>382</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c r="X2156" s="19">
        <f ca="1">DATE(LifeExpectancyData[[#This Row],[Year]],RANDBETWEEN(1,12),1)</f>
        <v>41091</v>
      </c>
    </row>
    <row r="2157" spans="1:24" x14ac:dyDescent="0.25">
      <c r="A2157" t="s">
        <v>524</v>
      </c>
      <c r="B2157">
        <v>2011</v>
      </c>
      <c r="C2157" t="s">
        <v>382</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c r="X2157" s="19">
        <f ca="1">DATE(LifeExpectancyData[[#This Row],[Year]],RANDBETWEEN(1,12),1)</f>
        <v>40603</v>
      </c>
    </row>
    <row r="2158" spans="1:24" x14ac:dyDescent="0.25">
      <c r="A2158" t="s">
        <v>524</v>
      </c>
      <c r="B2158">
        <v>2010</v>
      </c>
      <c r="C2158" t="s">
        <v>382</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c r="X2158" s="19">
        <f ca="1">DATE(LifeExpectancyData[[#This Row],[Year]],RANDBETWEEN(1,12),1)</f>
        <v>40360</v>
      </c>
    </row>
    <row r="2159" spans="1:24" x14ac:dyDescent="0.25">
      <c r="A2159" t="s">
        <v>524</v>
      </c>
      <c r="B2159">
        <v>2009</v>
      </c>
      <c r="C2159" t="s">
        <v>382</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c r="X2159" s="19">
        <f ca="1">DATE(LifeExpectancyData[[#This Row],[Year]],RANDBETWEEN(1,12),1)</f>
        <v>39845</v>
      </c>
    </row>
    <row r="2160" spans="1:24" x14ac:dyDescent="0.25">
      <c r="A2160" t="s">
        <v>524</v>
      </c>
      <c r="B2160">
        <v>2008</v>
      </c>
      <c r="C2160" t="s">
        <v>382</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c r="X2160" s="19">
        <f ca="1">DATE(LifeExpectancyData[[#This Row],[Year]],RANDBETWEEN(1,12),1)</f>
        <v>39783</v>
      </c>
    </row>
    <row r="2161" spans="1:24" x14ac:dyDescent="0.25">
      <c r="A2161" t="s">
        <v>524</v>
      </c>
      <c r="B2161">
        <v>2007</v>
      </c>
      <c r="C2161" t="s">
        <v>382</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c r="X2161" s="19">
        <f ca="1">DATE(LifeExpectancyData[[#This Row],[Year]],RANDBETWEEN(1,12),1)</f>
        <v>39203</v>
      </c>
    </row>
    <row r="2162" spans="1:24" x14ac:dyDescent="0.25">
      <c r="A2162" t="s">
        <v>524</v>
      </c>
      <c r="B2162">
        <v>2006</v>
      </c>
      <c r="C2162" t="s">
        <v>382</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c r="X2162" s="19">
        <f ca="1">DATE(LifeExpectancyData[[#This Row],[Year]],RANDBETWEEN(1,12),1)</f>
        <v>38899</v>
      </c>
    </row>
    <row r="2163" spans="1:24" x14ac:dyDescent="0.25">
      <c r="A2163" t="s">
        <v>524</v>
      </c>
      <c r="B2163">
        <v>2005</v>
      </c>
      <c r="C2163" t="s">
        <v>382</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c r="X2163" s="19">
        <f ca="1">DATE(LifeExpectancyData[[#This Row],[Year]],RANDBETWEEN(1,12),1)</f>
        <v>38412</v>
      </c>
    </row>
    <row r="2164" spans="1:24" x14ac:dyDescent="0.25">
      <c r="A2164" t="s">
        <v>524</v>
      </c>
      <c r="B2164">
        <v>2004</v>
      </c>
      <c r="C2164" t="s">
        <v>382</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c r="X2164" s="19">
        <f ca="1">DATE(LifeExpectancyData[[#This Row],[Year]],RANDBETWEEN(1,12),1)</f>
        <v>38047</v>
      </c>
    </row>
    <row r="2165" spans="1:24" x14ac:dyDescent="0.25">
      <c r="A2165" t="s">
        <v>524</v>
      </c>
      <c r="B2165">
        <v>2003</v>
      </c>
      <c r="C2165" t="s">
        <v>382</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c r="X2165" s="19">
        <f ca="1">DATE(LifeExpectancyData[[#This Row],[Year]],RANDBETWEEN(1,12),1)</f>
        <v>37803</v>
      </c>
    </row>
    <row r="2166" spans="1:24" x14ac:dyDescent="0.25">
      <c r="A2166" t="s">
        <v>524</v>
      </c>
      <c r="B2166">
        <v>2002</v>
      </c>
      <c r="C2166" t="s">
        <v>382</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c r="X2166" s="19">
        <f ca="1">DATE(LifeExpectancyData[[#This Row],[Year]],RANDBETWEEN(1,12),1)</f>
        <v>37561</v>
      </c>
    </row>
    <row r="2167" spans="1:24" x14ac:dyDescent="0.25">
      <c r="A2167" t="s">
        <v>524</v>
      </c>
      <c r="B2167">
        <v>2001</v>
      </c>
      <c r="C2167" t="s">
        <v>382</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c r="X2167" s="19">
        <f ca="1">DATE(LifeExpectancyData[[#This Row],[Year]],RANDBETWEEN(1,12),1)</f>
        <v>37012</v>
      </c>
    </row>
    <row r="2168" spans="1:24" x14ac:dyDescent="0.25">
      <c r="A2168" t="s">
        <v>524</v>
      </c>
      <c r="B2168">
        <v>2000</v>
      </c>
      <c r="C2168" t="s">
        <v>382</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c r="X2168" s="19">
        <f ca="1">DATE(LifeExpectancyData[[#This Row],[Year]],RANDBETWEEN(1,12),1)</f>
        <v>36526</v>
      </c>
    </row>
    <row r="2169" spans="1:24" x14ac:dyDescent="0.25">
      <c r="A2169" t="s">
        <v>525</v>
      </c>
      <c r="B2169">
        <v>2013</v>
      </c>
      <c r="C2169" t="s">
        <v>382</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c r="X2169" s="19">
        <f ca="1">DATE(LifeExpectancyData[[#This Row],[Year]],RANDBETWEEN(1,12),1)</f>
        <v>41548</v>
      </c>
    </row>
    <row r="2170" spans="1:24" x14ac:dyDescent="0.25">
      <c r="A2170" t="s">
        <v>526</v>
      </c>
      <c r="B2170">
        <v>2015</v>
      </c>
      <c r="C2170" t="s">
        <v>382</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c r="X2170" s="19">
        <f ca="1">DATE(LifeExpectancyData[[#This Row],[Year]],RANDBETWEEN(1,12),1)</f>
        <v>42064</v>
      </c>
    </row>
    <row r="2171" spans="1:24" x14ac:dyDescent="0.25">
      <c r="A2171" t="s">
        <v>526</v>
      </c>
      <c r="B2171">
        <v>2014</v>
      </c>
      <c r="C2171" t="s">
        <v>382</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c r="X2171" s="19">
        <f ca="1">DATE(LifeExpectancyData[[#This Row],[Year]],RANDBETWEEN(1,12),1)</f>
        <v>41699</v>
      </c>
    </row>
    <row r="2172" spans="1:24" x14ac:dyDescent="0.25">
      <c r="A2172" t="s">
        <v>526</v>
      </c>
      <c r="B2172">
        <v>2013</v>
      </c>
      <c r="C2172" t="s">
        <v>382</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c r="X2172" s="19">
        <f ca="1">DATE(LifeExpectancyData[[#This Row],[Year]],RANDBETWEEN(1,12),1)</f>
        <v>41306</v>
      </c>
    </row>
    <row r="2173" spans="1:24" x14ac:dyDescent="0.25">
      <c r="A2173" t="s">
        <v>526</v>
      </c>
      <c r="B2173">
        <v>2012</v>
      </c>
      <c r="C2173" t="s">
        <v>382</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c r="X2173" s="19">
        <f ca="1">DATE(LifeExpectancyData[[#This Row],[Year]],RANDBETWEEN(1,12),1)</f>
        <v>41122</v>
      </c>
    </row>
    <row r="2174" spans="1:24" x14ac:dyDescent="0.25">
      <c r="A2174" t="s">
        <v>526</v>
      </c>
      <c r="B2174">
        <v>2011</v>
      </c>
      <c r="C2174" t="s">
        <v>382</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c r="X2174" s="19">
        <f ca="1">DATE(LifeExpectancyData[[#This Row],[Year]],RANDBETWEEN(1,12),1)</f>
        <v>40848</v>
      </c>
    </row>
    <row r="2175" spans="1:24" x14ac:dyDescent="0.25">
      <c r="A2175" t="s">
        <v>526</v>
      </c>
      <c r="B2175">
        <v>2010</v>
      </c>
      <c r="C2175" t="s">
        <v>382</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c r="X2175" s="19">
        <f ca="1">DATE(LifeExpectancyData[[#This Row],[Year]],RANDBETWEEN(1,12),1)</f>
        <v>40210</v>
      </c>
    </row>
    <row r="2176" spans="1:24" x14ac:dyDescent="0.25">
      <c r="A2176" t="s">
        <v>526</v>
      </c>
      <c r="B2176">
        <v>2009</v>
      </c>
      <c r="C2176" t="s">
        <v>382</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c r="X2176" s="19">
        <f ca="1">DATE(LifeExpectancyData[[#This Row],[Year]],RANDBETWEEN(1,12),1)</f>
        <v>39934</v>
      </c>
    </row>
    <row r="2177" spans="1:24" x14ac:dyDescent="0.25">
      <c r="A2177" t="s">
        <v>526</v>
      </c>
      <c r="B2177">
        <v>2008</v>
      </c>
      <c r="C2177" t="s">
        <v>382</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c r="X2177" s="19">
        <f ca="1">DATE(LifeExpectancyData[[#This Row],[Year]],RANDBETWEEN(1,12),1)</f>
        <v>39508</v>
      </c>
    </row>
    <row r="2178" spans="1:24" x14ac:dyDescent="0.25">
      <c r="A2178" t="s">
        <v>526</v>
      </c>
      <c r="B2178">
        <v>2007</v>
      </c>
      <c r="C2178" t="s">
        <v>382</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c r="X2178" s="19">
        <f ca="1">DATE(LifeExpectancyData[[#This Row],[Year]],RANDBETWEEN(1,12),1)</f>
        <v>39417</v>
      </c>
    </row>
    <row r="2179" spans="1:24" x14ac:dyDescent="0.25">
      <c r="A2179" t="s">
        <v>526</v>
      </c>
      <c r="B2179">
        <v>2006</v>
      </c>
      <c r="C2179" t="s">
        <v>382</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c r="X2179" s="19">
        <f ca="1">DATE(LifeExpectancyData[[#This Row],[Year]],RANDBETWEEN(1,12),1)</f>
        <v>38808</v>
      </c>
    </row>
    <row r="2180" spans="1:24" x14ac:dyDescent="0.25">
      <c r="A2180" t="s">
        <v>526</v>
      </c>
      <c r="B2180">
        <v>2005</v>
      </c>
      <c r="C2180" t="s">
        <v>382</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c r="X2180" s="19">
        <f ca="1">DATE(LifeExpectancyData[[#This Row],[Year]],RANDBETWEEN(1,12),1)</f>
        <v>38626</v>
      </c>
    </row>
    <row r="2181" spans="1:24" x14ac:dyDescent="0.25">
      <c r="A2181" t="s">
        <v>526</v>
      </c>
      <c r="B2181">
        <v>2004</v>
      </c>
      <c r="C2181" t="s">
        <v>382</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c r="X2181" s="19">
        <f ca="1">DATE(LifeExpectancyData[[#This Row],[Year]],RANDBETWEEN(1,12),1)</f>
        <v>38108</v>
      </c>
    </row>
    <row r="2182" spans="1:24" x14ac:dyDescent="0.25">
      <c r="A2182" t="s">
        <v>526</v>
      </c>
      <c r="B2182">
        <v>2003</v>
      </c>
      <c r="C2182" t="s">
        <v>382</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c r="X2182" s="19">
        <f ca="1">DATE(LifeExpectancyData[[#This Row],[Year]],RANDBETWEEN(1,12),1)</f>
        <v>37681</v>
      </c>
    </row>
    <row r="2183" spans="1:24" x14ac:dyDescent="0.25">
      <c r="A2183" t="s">
        <v>526</v>
      </c>
      <c r="B2183">
        <v>2002</v>
      </c>
      <c r="C2183" t="s">
        <v>382</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c r="X2183" s="19">
        <f ca="1">DATE(LifeExpectancyData[[#This Row],[Year]],RANDBETWEEN(1,12),1)</f>
        <v>37257</v>
      </c>
    </row>
    <row r="2184" spans="1:24" x14ac:dyDescent="0.25">
      <c r="A2184" t="s">
        <v>526</v>
      </c>
      <c r="B2184">
        <v>2001</v>
      </c>
      <c r="C2184" t="s">
        <v>382</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c r="X2184" s="19">
        <f ca="1">DATE(LifeExpectancyData[[#This Row],[Year]],RANDBETWEEN(1,12),1)</f>
        <v>36982</v>
      </c>
    </row>
    <row r="2185" spans="1:24" x14ac:dyDescent="0.25">
      <c r="A2185" t="s">
        <v>526</v>
      </c>
      <c r="B2185">
        <v>2000</v>
      </c>
      <c r="C2185" t="s">
        <v>382</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c r="X2185" s="19">
        <f ca="1">DATE(LifeExpectancyData[[#This Row],[Year]],RANDBETWEEN(1,12),1)</f>
        <v>36586</v>
      </c>
    </row>
    <row r="2186" spans="1:24" x14ac:dyDescent="0.25">
      <c r="A2186" t="s">
        <v>527</v>
      </c>
      <c r="B2186">
        <v>2015</v>
      </c>
      <c r="C2186" t="s">
        <v>382</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c r="X2186" s="19">
        <f ca="1">DATE(LifeExpectancyData[[#This Row],[Year]],RANDBETWEEN(1,12),1)</f>
        <v>42186</v>
      </c>
    </row>
    <row r="2187" spans="1:24" x14ac:dyDescent="0.25">
      <c r="A2187" t="s">
        <v>527</v>
      </c>
      <c r="B2187">
        <v>2014</v>
      </c>
      <c r="C2187" t="s">
        <v>382</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c r="X2187" s="19">
        <f ca="1">DATE(LifeExpectancyData[[#This Row],[Year]],RANDBETWEEN(1,12),1)</f>
        <v>41671</v>
      </c>
    </row>
    <row r="2188" spans="1:24" x14ac:dyDescent="0.25">
      <c r="A2188" t="s">
        <v>527</v>
      </c>
      <c r="B2188">
        <v>2013</v>
      </c>
      <c r="C2188" t="s">
        <v>382</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c r="X2188" s="19">
        <f ca="1">DATE(LifeExpectancyData[[#This Row],[Year]],RANDBETWEEN(1,12),1)</f>
        <v>41365</v>
      </c>
    </row>
    <row r="2189" spans="1:24" x14ac:dyDescent="0.25">
      <c r="A2189" t="s">
        <v>527</v>
      </c>
      <c r="B2189">
        <v>2012</v>
      </c>
      <c r="C2189" t="s">
        <v>382</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c r="X2189" s="19">
        <f ca="1">DATE(LifeExpectancyData[[#This Row],[Year]],RANDBETWEEN(1,12),1)</f>
        <v>41214</v>
      </c>
    </row>
    <row r="2190" spans="1:24" x14ac:dyDescent="0.25">
      <c r="A2190" t="s">
        <v>527</v>
      </c>
      <c r="B2190">
        <v>2011</v>
      </c>
      <c r="C2190" t="s">
        <v>382</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c r="X2190" s="19">
        <f ca="1">DATE(LifeExpectancyData[[#This Row],[Year]],RANDBETWEEN(1,12),1)</f>
        <v>40603</v>
      </c>
    </row>
    <row r="2191" spans="1:24" x14ac:dyDescent="0.25">
      <c r="A2191" t="s">
        <v>527</v>
      </c>
      <c r="B2191">
        <v>2010</v>
      </c>
      <c r="C2191" t="s">
        <v>382</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c r="X2191" s="19">
        <f ca="1">DATE(LifeExpectancyData[[#This Row],[Year]],RANDBETWEEN(1,12),1)</f>
        <v>40330</v>
      </c>
    </row>
    <row r="2192" spans="1:24" x14ac:dyDescent="0.25">
      <c r="A2192" t="s">
        <v>527</v>
      </c>
      <c r="B2192">
        <v>2009</v>
      </c>
      <c r="C2192" t="s">
        <v>382</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c r="X2192" s="19">
        <f ca="1">DATE(LifeExpectancyData[[#This Row],[Year]],RANDBETWEEN(1,12),1)</f>
        <v>39965</v>
      </c>
    </row>
    <row r="2193" spans="1:24" x14ac:dyDescent="0.25">
      <c r="A2193" t="s">
        <v>527</v>
      </c>
      <c r="B2193">
        <v>2008</v>
      </c>
      <c r="C2193" t="s">
        <v>382</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c r="X2193" s="19">
        <f ca="1">DATE(LifeExpectancyData[[#This Row],[Year]],RANDBETWEEN(1,12),1)</f>
        <v>39539</v>
      </c>
    </row>
    <row r="2194" spans="1:24" x14ac:dyDescent="0.25">
      <c r="A2194" t="s">
        <v>527</v>
      </c>
      <c r="B2194">
        <v>2007</v>
      </c>
      <c r="C2194" t="s">
        <v>382</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c r="X2194" s="19">
        <f ca="1">DATE(LifeExpectancyData[[#This Row],[Year]],RANDBETWEEN(1,12),1)</f>
        <v>39083</v>
      </c>
    </row>
    <row r="2195" spans="1:24" x14ac:dyDescent="0.25">
      <c r="A2195" t="s">
        <v>527</v>
      </c>
      <c r="B2195">
        <v>2006</v>
      </c>
      <c r="C2195" t="s">
        <v>382</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c r="X2195" s="19">
        <f ca="1">DATE(LifeExpectancyData[[#This Row],[Year]],RANDBETWEEN(1,12),1)</f>
        <v>38869</v>
      </c>
    </row>
    <row r="2196" spans="1:24" x14ac:dyDescent="0.25">
      <c r="A2196" t="s">
        <v>527</v>
      </c>
      <c r="B2196">
        <v>2005</v>
      </c>
      <c r="C2196" t="s">
        <v>382</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c r="X2196" s="19">
        <f ca="1">DATE(LifeExpectancyData[[#This Row],[Year]],RANDBETWEEN(1,12),1)</f>
        <v>38596</v>
      </c>
    </row>
    <row r="2197" spans="1:24" x14ac:dyDescent="0.25">
      <c r="A2197" t="s">
        <v>527</v>
      </c>
      <c r="B2197">
        <v>2004</v>
      </c>
      <c r="C2197" t="s">
        <v>382</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c r="X2197" s="19">
        <f ca="1">DATE(LifeExpectancyData[[#This Row],[Year]],RANDBETWEEN(1,12),1)</f>
        <v>38322</v>
      </c>
    </row>
    <row r="2198" spans="1:24" x14ac:dyDescent="0.25">
      <c r="A2198" t="s">
        <v>527</v>
      </c>
      <c r="B2198">
        <v>2003</v>
      </c>
      <c r="C2198" t="s">
        <v>382</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c r="X2198" s="19">
        <f ca="1">DATE(LifeExpectancyData[[#This Row],[Year]],RANDBETWEEN(1,12),1)</f>
        <v>37803</v>
      </c>
    </row>
    <row r="2199" spans="1:24" x14ac:dyDescent="0.25">
      <c r="A2199" t="s">
        <v>527</v>
      </c>
      <c r="B2199">
        <v>2002</v>
      </c>
      <c r="C2199" t="s">
        <v>382</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c r="X2199" s="19">
        <f ca="1">DATE(LifeExpectancyData[[#This Row],[Year]],RANDBETWEEN(1,12),1)</f>
        <v>37377</v>
      </c>
    </row>
    <row r="2200" spans="1:24" x14ac:dyDescent="0.25">
      <c r="A2200" t="s">
        <v>527</v>
      </c>
      <c r="B2200">
        <v>2001</v>
      </c>
      <c r="C2200" t="s">
        <v>382</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c r="X2200" s="19">
        <f ca="1">DATE(LifeExpectancyData[[#This Row],[Year]],RANDBETWEEN(1,12),1)</f>
        <v>36982</v>
      </c>
    </row>
    <row r="2201" spans="1:24" x14ac:dyDescent="0.25">
      <c r="A2201" t="s">
        <v>527</v>
      </c>
      <c r="B2201">
        <v>2000</v>
      </c>
      <c r="C2201" t="s">
        <v>382</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c r="X2201" s="19">
        <f ca="1">DATE(LifeExpectancyData[[#This Row],[Year]],RANDBETWEEN(1,12),1)</f>
        <v>36861</v>
      </c>
    </row>
    <row r="2202" spans="1:24" x14ac:dyDescent="0.25">
      <c r="A2202" t="s">
        <v>528</v>
      </c>
      <c r="B2202">
        <v>2015</v>
      </c>
      <c r="C2202" t="s">
        <v>382</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c r="X2202" s="19">
        <f ca="1">DATE(LifeExpectancyData[[#This Row],[Year]],RANDBETWEEN(1,12),1)</f>
        <v>42186</v>
      </c>
    </row>
    <row r="2203" spans="1:24" x14ac:dyDescent="0.25">
      <c r="A2203" t="s">
        <v>528</v>
      </c>
      <c r="B2203">
        <v>2014</v>
      </c>
      <c r="C2203" t="s">
        <v>382</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c r="X2203" s="19">
        <f ca="1">DATE(LifeExpectancyData[[#This Row],[Year]],RANDBETWEEN(1,12),1)</f>
        <v>41913</v>
      </c>
    </row>
    <row r="2204" spans="1:24" x14ac:dyDescent="0.25">
      <c r="A2204" t="s">
        <v>528</v>
      </c>
      <c r="B2204">
        <v>2013</v>
      </c>
      <c r="C2204" t="s">
        <v>382</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c r="X2204" s="19">
        <f ca="1">DATE(LifeExpectancyData[[#This Row],[Year]],RANDBETWEEN(1,12),1)</f>
        <v>41518</v>
      </c>
    </row>
    <row r="2205" spans="1:24" x14ac:dyDescent="0.25">
      <c r="A2205" t="s">
        <v>528</v>
      </c>
      <c r="B2205">
        <v>2012</v>
      </c>
      <c r="C2205" t="s">
        <v>382</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c r="X2205" s="19">
        <f ca="1">DATE(LifeExpectancyData[[#This Row],[Year]],RANDBETWEEN(1,12),1)</f>
        <v>41122</v>
      </c>
    </row>
    <row r="2206" spans="1:24" x14ac:dyDescent="0.25">
      <c r="A2206" t="s">
        <v>528</v>
      </c>
      <c r="B2206">
        <v>2011</v>
      </c>
      <c r="C2206" t="s">
        <v>382</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c r="X2206" s="19">
        <f ca="1">DATE(LifeExpectancyData[[#This Row],[Year]],RANDBETWEEN(1,12),1)</f>
        <v>40787</v>
      </c>
    </row>
    <row r="2207" spans="1:24" x14ac:dyDescent="0.25">
      <c r="A2207" t="s">
        <v>528</v>
      </c>
      <c r="B2207">
        <v>2010</v>
      </c>
      <c r="C2207" t="s">
        <v>382</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c r="X2207" s="19">
        <f ca="1">DATE(LifeExpectancyData[[#This Row],[Year]],RANDBETWEEN(1,12),1)</f>
        <v>40360</v>
      </c>
    </row>
    <row r="2208" spans="1:24" x14ac:dyDescent="0.25">
      <c r="A2208" t="s">
        <v>528</v>
      </c>
      <c r="B2208">
        <v>2009</v>
      </c>
      <c r="C2208" t="s">
        <v>382</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c r="X2208" s="19">
        <f ca="1">DATE(LifeExpectancyData[[#This Row],[Year]],RANDBETWEEN(1,12),1)</f>
        <v>40118</v>
      </c>
    </row>
    <row r="2209" spans="1:24" x14ac:dyDescent="0.25">
      <c r="A2209" t="s">
        <v>528</v>
      </c>
      <c r="B2209">
        <v>2008</v>
      </c>
      <c r="C2209" t="s">
        <v>382</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c r="X2209" s="19">
        <f ca="1">DATE(LifeExpectancyData[[#This Row],[Year]],RANDBETWEEN(1,12),1)</f>
        <v>39479</v>
      </c>
    </row>
    <row r="2210" spans="1:24" x14ac:dyDescent="0.25">
      <c r="A2210" t="s">
        <v>528</v>
      </c>
      <c r="B2210">
        <v>2007</v>
      </c>
      <c r="C2210" t="s">
        <v>382</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c r="X2210" s="19">
        <f ca="1">DATE(LifeExpectancyData[[#This Row],[Year]],RANDBETWEEN(1,12),1)</f>
        <v>39417</v>
      </c>
    </row>
    <row r="2211" spans="1:24" x14ac:dyDescent="0.25">
      <c r="A2211" t="s">
        <v>528</v>
      </c>
      <c r="B2211">
        <v>2006</v>
      </c>
      <c r="C2211" t="s">
        <v>382</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c r="X2211" s="19">
        <f ca="1">DATE(LifeExpectancyData[[#This Row],[Year]],RANDBETWEEN(1,12),1)</f>
        <v>38899</v>
      </c>
    </row>
    <row r="2212" spans="1:24" x14ac:dyDescent="0.25">
      <c r="A2212" t="s">
        <v>528</v>
      </c>
      <c r="B2212">
        <v>2005</v>
      </c>
      <c r="C2212" t="s">
        <v>382</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c r="X2212" s="19">
        <f ca="1">DATE(LifeExpectancyData[[#This Row],[Year]],RANDBETWEEN(1,12),1)</f>
        <v>38384</v>
      </c>
    </row>
    <row r="2213" spans="1:24" x14ac:dyDescent="0.25">
      <c r="A2213" t="s">
        <v>528</v>
      </c>
      <c r="B2213">
        <v>2004</v>
      </c>
      <c r="C2213" t="s">
        <v>382</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c r="X2213" s="19">
        <f ca="1">DATE(LifeExpectancyData[[#This Row],[Year]],RANDBETWEEN(1,12),1)</f>
        <v>38047</v>
      </c>
    </row>
    <row r="2214" spans="1:24" x14ac:dyDescent="0.25">
      <c r="A2214" t="s">
        <v>528</v>
      </c>
      <c r="B2214">
        <v>2003</v>
      </c>
      <c r="C2214" t="s">
        <v>382</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c r="X2214" s="19">
        <f ca="1">DATE(LifeExpectancyData[[#This Row],[Year]],RANDBETWEEN(1,12),1)</f>
        <v>37681</v>
      </c>
    </row>
    <row r="2215" spans="1:24" x14ac:dyDescent="0.25">
      <c r="A2215" t="s">
        <v>528</v>
      </c>
      <c r="B2215">
        <v>2002</v>
      </c>
      <c r="C2215" t="s">
        <v>382</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c r="X2215" s="19">
        <f ca="1">DATE(LifeExpectancyData[[#This Row],[Year]],RANDBETWEEN(1,12),1)</f>
        <v>37438</v>
      </c>
    </row>
    <row r="2216" spans="1:24" x14ac:dyDescent="0.25">
      <c r="A2216" t="s">
        <v>528</v>
      </c>
      <c r="B2216">
        <v>2001</v>
      </c>
      <c r="C2216" t="s">
        <v>382</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c r="X2216" s="19">
        <f ca="1">DATE(LifeExpectancyData[[#This Row],[Year]],RANDBETWEEN(1,12),1)</f>
        <v>37073</v>
      </c>
    </row>
    <row r="2217" spans="1:24" x14ac:dyDescent="0.25">
      <c r="A2217" t="s">
        <v>528</v>
      </c>
      <c r="B2217">
        <v>2000</v>
      </c>
      <c r="C2217" t="s">
        <v>382</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c r="X2217" s="19">
        <f ca="1">DATE(LifeExpectancyData[[#This Row],[Year]],RANDBETWEEN(1,12),1)</f>
        <v>36800</v>
      </c>
    </row>
    <row r="2218" spans="1:24" x14ac:dyDescent="0.25">
      <c r="A2218" t="s">
        <v>529</v>
      </c>
      <c r="B2218">
        <v>2013</v>
      </c>
      <c r="C2218" t="s">
        <v>382</v>
      </c>
      <c r="F2218">
        <v>0</v>
      </c>
      <c r="G2218">
        <v>0.01</v>
      </c>
      <c r="H2218">
        <v>0</v>
      </c>
      <c r="I2218">
        <v>69</v>
      </c>
      <c r="J2218">
        <v>0</v>
      </c>
      <c r="L2218">
        <v>0</v>
      </c>
      <c r="M2218">
        <v>69</v>
      </c>
      <c r="N2218">
        <v>6.5</v>
      </c>
      <c r="O2218">
        <v>69</v>
      </c>
      <c r="P2218">
        <v>0.1</v>
      </c>
      <c r="V2218">
        <v>15.1</v>
      </c>
      <c r="W2218" t="b">
        <f>Data_Completeness(LifeExpectancyData[[#This Row],[Life expectancy]:[Schooling]])</f>
        <v>0</v>
      </c>
      <c r="X2218" s="19">
        <f ca="1">DATE(LifeExpectancyData[[#This Row],[Year]],RANDBETWEEN(1,12),1)</f>
        <v>41456</v>
      </c>
    </row>
    <row r="2219" spans="1:24" x14ac:dyDescent="0.25">
      <c r="A2219" t="s">
        <v>530</v>
      </c>
      <c r="B2219">
        <v>2015</v>
      </c>
      <c r="C2219" t="s">
        <v>382</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c r="X2219" s="19">
        <f ca="1">DATE(LifeExpectancyData[[#This Row],[Year]],RANDBETWEEN(1,12),1)</f>
        <v>42339</v>
      </c>
    </row>
    <row r="2220" spans="1:24" x14ac:dyDescent="0.25">
      <c r="A2220" t="s">
        <v>530</v>
      </c>
      <c r="B2220">
        <v>2014</v>
      </c>
      <c r="C2220" t="s">
        <v>382</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c r="X2220" s="19">
        <f ca="1">DATE(LifeExpectancyData[[#This Row],[Year]],RANDBETWEEN(1,12),1)</f>
        <v>41791</v>
      </c>
    </row>
    <row r="2221" spans="1:24" x14ac:dyDescent="0.25">
      <c r="A2221" t="s">
        <v>530</v>
      </c>
      <c r="B2221">
        <v>2013</v>
      </c>
      <c r="C2221" t="s">
        <v>382</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c r="X2221" s="19">
        <f ca="1">DATE(LifeExpectancyData[[#This Row],[Year]],RANDBETWEEN(1,12),1)</f>
        <v>41456</v>
      </c>
    </row>
    <row r="2222" spans="1:24" x14ac:dyDescent="0.25">
      <c r="A2222" t="s">
        <v>530</v>
      </c>
      <c r="B2222">
        <v>2012</v>
      </c>
      <c r="C2222" t="s">
        <v>382</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c r="X2222" s="19">
        <f ca="1">DATE(LifeExpectancyData[[#This Row],[Year]],RANDBETWEEN(1,12),1)</f>
        <v>40969</v>
      </c>
    </row>
    <row r="2223" spans="1:24" x14ac:dyDescent="0.25">
      <c r="A2223" t="s">
        <v>530</v>
      </c>
      <c r="B2223">
        <v>2011</v>
      </c>
      <c r="C2223" t="s">
        <v>382</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c r="X2223" s="19">
        <f ca="1">DATE(LifeExpectancyData[[#This Row],[Year]],RANDBETWEEN(1,12),1)</f>
        <v>40544</v>
      </c>
    </row>
    <row r="2224" spans="1:24" x14ac:dyDescent="0.25">
      <c r="A2224" t="s">
        <v>530</v>
      </c>
      <c r="B2224">
        <v>2010</v>
      </c>
      <c r="C2224" t="s">
        <v>382</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c r="X2224" s="19">
        <f ca="1">DATE(LifeExpectancyData[[#This Row],[Year]],RANDBETWEEN(1,12),1)</f>
        <v>40422</v>
      </c>
    </row>
    <row r="2225" spans="1:24" x14ac:dyDescent="0.25">
      <c r="A2225" t="s">
        <v>530</v>
      </c>
      <c r="B2225">
        <v>2009</v>
      </c>
      <c r="C2225" t="s">
        <v>382</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c r="X2225" s="19">
        <f ca="1">DATE(LifeExpectancyData[[#This Row],[Year]],RANDBETWEEN(1,12),1)</f>
        <v>40087</v>
      </c>
    </row>
    <row r="2226" spans="1:24" x14ac:dyDescent="0.25">
      <c r="A2226" t="s">
        <v>530</v>
      </c>
      <c r="B2226">
        <v>2008</v>
      </c>
      <c r="C2226" t="s">
        <v>382</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c r="X2226" s="19">
        <f ca="1">DATE(LifeExpectancyData[[#This Row],[Year]],RANDBETWEEN(1,12),1)</f>
        <v>39569</v>
      </c>
    </row>
    <row r="2227" spans="1:24" x14ac:dyDescent="0.25">
      <c r="A2227" t="s">
        <v>530</v>
      </c>
      <c r="B2227">
        <v>2007</v>
      </c>
      <c r="C2227" t="s">
        <v>382</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c r="X2227" s="19">
        <f ca="1">DATE(LifeExpectancyData[[#This Row],[Year]],RANDBETWEEN(1,12),1)</f>
        <v>39417</v>
      </c>
    </row>
    <row r="2228" spans="1:24" x14ac:dyDescent="0.25">
      <c r="A2228" t="s">
        <v>530</v>
      </c>
      <c r="B2228">
        <v>2006</v>
      </c>
      <c r="C2228" t="s">
        <v>382</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c r="X2228" s="19">
        <f ca="1">DATE(LifeExpectancyData[[#This Row],[Year]],RANDBETWEEN(1,12),1)</f>
        <v>38718</v>
      </c>
    </row>
    <row r="2229" spans="1:24" x14ac:dyDescent="0.25">
      <c r="A2229" t="s">
        <v>530</v>
      </c>
      <c r="B2229">
        <v>2005</v>
      </c>
      <c r="C2229" t="s">
        <v>382</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c r="X2229" s="19">
        <f ca="1">DATE(LifeExpectancyData[[#This Row],[Year]],RANDBETWEEN(1,12),1)</f>
        <v>38626</v>
      </c>
    </row>
    <row r="2230" spans="1:24" x14ac:dyDescent="0.25">
      <c r="A2230" t="s">
        <v>530</v>
      </c>
      <c r="B2230">
        <v>2004</v>
      </c>
      <c r="C2230" t="s">
        <v>382</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c r="X2230" s="19">
        <f ca="1">DATE(LifeExpectancyData[[#This Row],[Year]],RANDBETWEEN(1,12),1)</f>
        <v>38169</v>
      </c>
    </row>
    <row r="2231" spans="1:24" x14ac:dyDescent="0.25">
      <c r="A2231" t="s">
        <v>530</v>
      </c>
      <c r="B2231">
        <v>2003</v>
      </c>
      <c r="C2231" t="s">
        <v>382</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c r="X2231" s="19">
        <f ca="1">DATE(LifeExpectancyData[[#This Row],[Year]],RANDBETWEEN(1,12),1)</f>
        <v>37742</v>
      </c>
    </row>
    <row r="2232" spans="1:24" x14ac:dyDescent="0.25">
      <c r="A2232" t="s">
        <v>530</v>
      </c>
      <c r="B2232">
        <v>2002</v>
      </c>
      <c r="C2232" t="s">
        <v>382</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c r="X2232" s="19">
        <f ca="1">DATE(LifeExpectancyData[[#This Row],[Year]],RANDBETWEEN(1,12),1)</f>
        <v>37469</v>
      </c>
    </row>
    <row r="2233" spans="1:24" x14ac:dyDescent="0.25">
      <c r="A2233" t="s">
        <v>530</v>
      </c>
      <c r="B2233">
        <v>2001</v>
      </c>
      <c r="C2233" t="s">
        <v>382</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c r="X2233" s="19">
        <f ca="1">DATE(LifeExpectancyData[[#This Row],[Year]],RANDBETWEEN(1,12),1)</f>
        <v>36951</v>
      </c>
    </row>
    <row r="2234" spans="1:24" x14ac:dyDescent="0.25">
      <c r="A2234" t="s">
        <v>530</v>
      </c>
      <c r="B2234">
        <v>2000</v>
      </c>
      <c r="C2234" t="s">
        <v>382</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c r="X2234" s="19">
        <f ca="1">DATE(LifeExpectancyData[[#This Row],[Year]],RANDBETWEEN(1,12),1)</f>
        <v>36739</v>
      </c>
    </row>
    <row r="2235" spans="1:24" x14ac:dyDescent="0.25">
      <c r="A2235" t="s">
        <v>531</v>
      </c>
      <c r="B2235">
        <v>2015</v>
      </c>
      <c r="C2235" t="s">
        <v>382</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c r="X2235" s="19">
        <f ca="1">DATE(LifeExpectancyData[[#This Row],[Year]],RANDBETWEEN(1,12),1)</f>
        <v>42095</v>
      </c>
    </row>
    <row r="2236" spans="1:24" x14ac:dyDescent="0.25">
      <c r="A2236" t="s">
        <v>531</v>
      </c>
      <c r="B2236">
        <v>2014</v>
      </c>
      <c r="C2236" t="s">
        <v>382</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c r="X2236" s="19">
        <f ca="1">DATE(LifeExpectancyData[[#This Row],[Year]],RANDBETWEEN(1,12),1)</f>
        <v>41974</v>
      </c>
    </row>
    <row r="2237" spans="1:24" x14ac:dyDescent="0.25">
      <c r="A2237" t="s">
        <v>531</v>
      </c>
      <c r="B2237">
        <v>2013</v>
      </c>
      <c r="C2237" t="s">
        <v>382</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c r="X2237" s="19">
        <f ca="1">DATE(LifeExpectancyData[[#This Row],[Year]],RANDBETWEEN(1,12),1)</f>
        <v>41548</v>
      </c>
    </row>
    <row r="2238" spans="1:24" x14ac:dyDescent="0.25">
      <c r="A2238" t="s">
        <v>531</v>
      </c>
      <c r="B2238">
        <v>2012</v>
      </c>
      <c r="C2238" t="s">
        <v>382</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c r="X2238" s="19">
        <f ca="1">DATE(LifeExpectancyData[[#This Row],[Year]],RANDBETWEEN(1,12),1)</f>
        <v>41214</v>
      </c>
    </row>
    <row r="2239" spans="1:24" x14ac:dyDescent="0.25">
      <c r="A2239" t="s">
        <v>531</v>
      </c>
      <c r="B2239">
        <v>2011</v>
      </c>
      <c r="C2239" t="s">
        <v>382</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c r="X2239" s="19">
        <f ca="1">DATE(LifeExpectancyData[[#This Row],[Year]],RANDBETWEEN(1,12),1)</f>
        <v>40787</v>
      </c>
    </row>
    <row r="2240" spans="1:24" x14ac:dyDescent="0.25">
      <c r="A2240" t="s">
        <v>531</v>
      </c>
      <c r="B2240">
        <v>2010</v>
      </c>
      <c r="C2240" t="s">
        <v>382</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c r="X2240" s="19">
        <f ca="1">DATE(LifeExpectancyData[[#This Row],[Year]],RANDBETWEEN(1,12),1)</f>
        <v>40269</v>
      </c>
    </row>
    <row r="2241" spans="1:24" x14ac:dyDescent="0.25">
      <c r="A2241" t="s">
        <v>531</v>
      </c>
      <c r="B2241">
        <v>2009</v>
      </c>
      <c r="C2241" t="s">
        <v>382</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c r="X2241" s="19">
        <f ca="1">DATE(LifeExpectancyData[[#This Row],[Year]],RANDBETWEEN(1,12),1)</f>
        <v>39995</v>
      </c>
    </row>
    <row r="2242" spans="1:24" x14ac:dyDescent="0.25">
      <c r="A2242" t="s">
        <v>531</v>
      </c>
      <c r="B2242">
        <v>2008</v>
      </c>
      <c r="C2242" t="s">
        <v>382</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c r="X2242" s="19">
        <f ca="1">DATE(LifeExpectancyData[[#This Row],[Year]],RANDBETWEEN(1,12),1)</f>
        <v>39722</v>
      </c>
    </row>
    <row r="2243" spans="1:24" x14ac:dyDescent="0.25">
      <c r="A2243" t="s">
        <v>531</v>
      </c>
      <c r="B2243">
        <v>2007</v>
      </c>
      <c r="C2243" t="s">
        <v>382</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c r="X2243" s="19">
        <f ca="1">DATE(LifeExpectancyData[[#This Row],[Year]],RANDBETWEEN(1,12),1)</f>
        <v>39326</v>
      </c>
    </row>
    <row r="2244" spans="1:24" x14ac:dyDescent="0.25">
      <c r="A2244" t="s">
        <v>531</v>
      </c>
      <c r="B2244">
        <v>2006</v>
      </c>
      <c r="C2244" t="s">
        <v>382</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c r="X2244" s="19">
        <f ca="1">DATE(LifeExpectancyData[[#This Row],[Year]],RANDBETWEEN(1,12),1)</f>
        <v>38899</v>
      </c>
    </row>
    <row r="2245" spans="1:24" x14ac:dyDescent="0.25">
      <c r="A2245" t="s">
        <v>531</v>
      </c>
      <c r="B2245">
        <v>2005</v>
      </c>
      <c r="C2245" t="s">
        <v>382</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c r="X2245" s="19">
        <f ca="1">DATE(LifeExpectancyData[[#This Row],[Year]],RANDBETWEEN(1,12),1)</f>
        <v>38596</v>
      </c>
    </row>
    <row r="2246" spans="1:24" x14ac:dyDescent="0.25">
      <c r="A2246" t="s">
        <v>531</v>
      </c>
      <c r="B2246">
        <v>2004</v>
      </c>
      <c r="C2246" t="s">
        <v>382</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c r="X2246" s="19">
        <f ca="1">DATE(LifeExpectancyData[[#This Row],[Year]],RANDBETWEEN(1,12),1)</f>
        <v>38047</v>
      </c>
    </row>
    <row r="2247" spans="1:24" x14ac:dyDescent="0.25">
      <c r="A2247" t="s">
        <v>531</v>
      </c>
      <c r="B2247">
        <v>2003</v>
      </c>
      <c r="C2247" t="s">
        <v>382</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c r="X2247" s="19">
        <f ca="1">DATE(LifeExpectancyData[[#This Row],[Year]],RANDBETWEEN(1,12),1)</f>
        <v>37895</v>
      </c>
    </row>
    <row r="2248" spans="1:24" x14ac:dyDescent="0.25">
      <c r="A2248" t="s">
        <v>531</v>
      </c>
      <c r="B2248">
        <v>2002</v>
      </c>
      <c r="C2248" t="s">
        <v>382</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c r="X2248" s="19">
        <f ca="1">DATE(LifeExpectancyData[[#This Row],[Year]],RANDBETWEEN(1,12),1)</f>
        <v>37500</v>
      </c>
    </row>
    <row r="2249" spans="1:24" x14ac:dyDescent="0.25">
      <c r="A2249" t="s">
        <v>531</v>
      </c>
      <c r="B2249">
        <v>2001</v>
      </c>
      <c r="C2249" t="s">
        <v>382</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c r="X2249" s="19">
        <f ca="1">DATE(LifeExpectancyData[[#This Row],[Year]],RANDBETWEEN(1,12),1)</f>
        <v>36892</v>
      </c>
    </row>
    <row r="2250" spans="1:24" x14ac:dyDescent="0.25">
      <c r="A2250" t="s">
        <v>531</v>
      </c>
      <c r="B2250">
        <v>2000</v>
      </c>
      <c r="C2250" t="s">
        <v>382</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c r="X2250" s="19">
        <f ca="1">DATE(LifeExpectancyData[[#This Row],[Year]],RANDBETWEEN(1,12),1)</f>
        <v>36586</v>
      </c>
    </row>
    <row r="2251" spans="1:24" x14ac:dyDescent="0.25">
      <c r="A2251" t="s">
        <v>532</v>
      </c>
      <c r="B2251">
        <v>2015</v>
      </c>
      <c r="C2251" t="s">
        <v>382</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c r="X2251" s="19">
        <f ca="1">DATE(LifeExpectancyData[[#This Row],[Year]],RANDBETWEEN(1,12),1)</f>
        <v>42217</v>
      </c>
    </row>
    <row r="2252" spans="1:24" x14ac:dyDescent="0.25">
      <c r="A2252" t="s">
        <v>532</v>
      </c>
      <c r="B2252">
        <v>2014</v>
      </c>
      <c r="C2252" t="s">
        <v>382</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c r="X2252" s="19">
        <f ca="1">DATE(LifeExpectancyData[[#This Row],[Year]],RANDBETWEEN(1,12),1)</f>
        <v>41821</v>
      </c>
    </row>
    <row r="2253" spans="1:24" x14ac:dyDescent="0.25">
      <c r="A2253" t="s">
        <v>532</v>
      </c>
      <c r="B2253">
        <v>2013</v>
      </c>
      <c r="C2253" t="s">
        <v>382</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c r="X2253" s="19">
        <f ca="1">DATE(LifeExpectancyData[[#This Row],[Year]],RANDBETWEEN(1,12),1)</f>
        <v>41306</v>
      </c>
    </row>
    <row r="2254" spans="1:24" x14ac:dyDescent="0.25">
      <c r="A2254" t="s">
        <v>532</v>
      </c>
      <c r="B2254">
        <v>2012</v>
      </c>
      <c r="C2254" t="s">
        <v>382</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c r="X2254" s="19">
        <f ca="1">DATE(LifeExpectancyData[[#This Row],[Year]],RANDBETWEEN(1,12),1)</f>
        <v>41061</v>
      </c>
    </row>
    <row r="2255" spans="1:24" x14ac:dyDescent="0.25">
      <c r="A2255" t="s">
        <v>532</v>
      </c>
      <c r="B2255">
        <v>2011</v>
      </c>
      <c r="C2255" t="s">
        <v>382</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c r="X2255" s="19">
        <f ca="1">DATE(LifeExpectancyData[[#This Row],[Year]],RANDBETWEEN(1,12),1)</f>
        <v>40878</v>
      </c>
    </row>
    <row r="2256" spans="1:24" x14ac:dyDescent="0.25">
      <c r="A2256" t="s">
        <v>532</v>
      </c>
      <c r="B2256">
        <v>2010</v>
      </c>
      <c r="C2256" t="s">
        <v>382</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c r="X2256" s="19">
        <f ca="1">DATE(LifeExpectancyData[[#This Row],[Year]],RANDBETWEEN(1,12),1)</f>
        <v>40179</v>
      </c>
    </row>
    <row r="2257" spans="1:24" x14ac:dyDescent="0.25">
      <c r="A2257" t="s">
        <v>532</v>
      </c>
      <c r="B2257">
        <v>2009</v>
      </c>
      <c r="C2257" t="s">
        <v>382</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c r="X2257" s="19">
        <f ca="1">DATE(LifeExpectancyData[[#This Row],[Year]],RANDBETWEEN(1,12),1)</f>
        <v>40026</v>
      </c>
    </row>
    <row r="2258" spans="1:24" x14ac:dyDescent="0.25">
      <c r="A2258" t="s">
        <v>532</v>
      </c>
      <c r="B2258">
        <v>2008</v>
      </c>
      <c r="C2258" t="s">
        <v>382</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c r="X2258" s="19">
        <f ca="1">DATE(LifeExpectancyData[[#This Row],[Year]],RANDBETWEEN(1,12),1)</f>
        <v>39569</v>
      </c>
    </row>
    <row r="2259" spans="1:24" x14ac:dyDescent="0.25">
      <c r="A2259" t="s">
        <v>532</v>
      </c>
      <c r="B2259">
        <v>2007</v>
      </c>
      <c r="C2259" t="s">
        <v>382</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c r="X2259" s="19">
        <f ca="1">DATE(LifeExpectancyData[[#This Row],[Year]],RANDBETWEEN(1,12),1)</f>
        <v>39203</v>
      </c>
    </row>
    <row r="2260" spans="1:24" x14ac:dyDescent="0.25">
      <c r="A2260" t="s">
        <v>532</v>
      </c>
      <c r="B2260">
        <v>2006</v>
      </c>
      <c r="C2260" t="s">
        <v>382</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c r="X2260" s="19">
        <f ca="1">DATE(LifeExpectancyData[[#This Row],[Year]],RANDBETWEEN(1,12),1)</f>
        <v>38961</v>
      </c>
    </row>
    <row r="2261" spans="1:24" x14ac:dyDescent="0.25">
      <c r="A2261" t="s">
        <v>532</v>
      </c>
      <c r="B2261">
        <v>2005</v>
      </c>
      <c r="C2261" t="s">
        <v>382</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c r="X2261" s="19">
        <f ca="1">DATE(LifeExpectancyData[[#This Row],[Year]],RANDBETWEEN(1,12),1)</f>
        <v>38384</v>
      </c>
    </row>
    <row r="2262" spans="1:24" x14ac:dyDescent="0.25">
      <c r="A2262" t="s">
        <v>532</v>
      </c>
      <c r="B2262">
        <v>2004</v>
      </c>
      <c r="C2262" t="s">
        <v>382</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c r="X2262" s="19">
        <f ca="1">DATE(LifeExpectancyData[[#This Row],[Year]],RANDBETWEEN(1,12),1)</f>
        <v>38261</v>
      </c>
    </row>
    <row r="2263" spans="1:24" x14ac:dyDescent="0.25">
      <c r="A2263" t="s">
        <v>532</v>
      </c>
      <c r="B2263">
        <v>2003</v>
      </c>
      <c r="C2263" t="s">
        <v>382</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c r="X2263" s="19">
        <f ca="1">DATE(LifeExpectancyData[[#This Row],[Year]],RANDBETWEEN(1,12),1)</f>
        <v>37653</v>
      </c>
    </row>
    <row r="2264" spans="1:24" x14ac:dyDescent="0.25">
      <c r="A2264" t="s">
        <v>532</v>
      </c>
      <c r="B2264">
        <v>2002</v>
      </c>
      <c r="C2264" t="s">
        <v>382</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c r="X2264" s="19">
        <f ca="1">DATE(LifeExpectancyData[[#This Row],[Year]],RANDBETWEEN(1,12),1)</f>
        <v>37377</v>
      </c>
    </row>
    <row r="2265" spans="1:24" x14ac:dyDescent="0.25">
      <c r="A2265" t="s">
        <v>532</v>
      </c>
      <c r="B2265">
        <v>2001</v>
      </c>
      <c r="C2265" t="s">
        <v>382</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c r="X2265" s="19">
        <f ca="1">DATE(LifeExpectancyData[[#This Row],[Year]],RANDBETWEEN(1,12),1)</f>
        <v>37012</v>
      </c>
    </row>
    <row r="2266" spans="1:24" x14ac:dyDescent="0.25">
      <c r="A2266" t="s">
        <v>532</v>
      </c>
      <c r="B2266">
        <v>2000</v>
      </c>
      <c r="C2266" t="s">
        <v>382</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c r="X2266" s="19">
        <f ca="1">DATE(LifeExpectancyData[[#This Row],[Year]],RANDBETWEEN(1,12),1)</f>
        <v>36831</v>
      </c>
    </row>
    <row r="2267" spans="1:24" x14ac:dyDescent="0.25">
      <c r="A2267" t="s">
        <v>533</v>
      </c>
      <c r="B2267">
        <v>2015</v>
      </c>
      <c r="C2267" t="s">
        <v>382</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c r="X2267" s="19">
        <f ca="1">DATE(LifeExpectancyData[[#This Row],[Year]],RANDBETWEEN(1,12),1)</f>
        <v>42309</v>
      </c>
    </row>
    <row r="2268" spans="1:24" x14ac:dyDescent="0.25">
      <c r="A2268" t="s">
        <v>533</v>
      </c>
      <c r="B2268">
        <v>2014</v>
      </c>
      <c r="C2268" t="s">
        <v>382</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c r="X2268" s="19">
        <f ca="1">DATE(LifeExpectancyData[[#This Row],[Year]],RANDBETWEEN(1,12),1)</f>
        <v>41974</v>
      </c>
    </row>
    <row r="2269" spans="1:24" x14ac:dyDescent="0.25">
      <c r="A2269" t="s">
        <v>533</v>
      </c>
      <c r="B2269">
        <v>2013</v>
      </c>
      <c r="C2269" t="s">
        <v>382</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c r="X2269" s="19">
        <f ca="1">DATE(LifeExpectancyData[[#This Row],[Year]],RANDBETWEEN(1,12),1)</f>
        <v>41548</v>
      </c>
    </row>
    <row r="2270" spans="1:24" x14ac:dyDescent="0.25">
      <c r="A2270" t="s">
        <v>533</v>
      </c>
      <c r="B2270">
        <v>2012</v>
      </c>
      <c r="C2270" t="s">
        <v>382</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c r="X2270" s="19">
        <f ca="1">DATE(LifeExpectancyData[[#This Row],[Year]],RANDBETWEEN(1,12),1)</f>
        <v>41061</v>
      </c>
    </row>
    <row r="2271" spans="1:24" x14ac:dyDescent="0.25">
      <c r="A2271" t="s">
        <v>533</v>
      </c>
      <c r="B2271">
        <v>2011</v>
      </c>
      <c r="C2271" t="s">
        <v>382</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c r="X2271" s="19">
        <f ca="1">DATE(LifeExpectancyData[[#This Row],[Year]],RANDBETWEEN(1,12),1)</f>
        <v>40603</v>
      </c>
    </row>
    <row r="2272" spans="1:24" x14ac:dyDescent="0.25">
      <c r="A2272" t="s">
        <v>533</v>
      </c>
      <c r="B2272">
        <v>2010</v>
      </c>
      <c r="C2272" t="s">
        <v>382</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c r="X2272" s="19">
        <f ca="1">DATE(LifeExpectancyData[[#This Row],[Year]],RANDBETWEEN(1,12),1)</f>
        <v>40452</v>
      </c>
    </row>
    <row r="2273" spans="1:24" x14ac:dyDescent="0.25">
      <c r="A2273" t="s">
        <v>533</v>
      </c>
      <c r="B2273">
        <v>2009</v>
      </c>
      <c r="C2273" t="s">
        <v>382</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c r="X2273" s="19">
        <f ca="1">DATE(LifeExpectancyData[[#This Row],[Year]],RANDBETWEEN(1,12),1)</f>
        <v>40057</v>
      </c>
    </row>
    <row r="2274" spans="1:24" x14ac:dyDescent="0.25">
      <c r="A2274" t="s">
        <v>533</v>
      </c>
      <c r="B2274">
        <v>2008</v>
      </c>
      <c r="C2274" t="s">
        <v>382</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c r="X2274" s="19">
        <f ca="1">DATE(LifeExpectancyData[[#This Row],[Year]],RANDBETWEEN(1,12),1)</f>
        <v>39569</v>
      </c>
    </row>
    <row r="2275" spans="1:24" x14ac:dyDescent="0.25">
      <c r="A2275" t="s">
        <v>533</v>
      </c>
      <c r="B2275">
        <v>2007</v>
      </c>
      <c r="C2275" t="s">
        <v>382</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c r="X2275" s="19">
        <f ca="1">DATE(LifeExpectancyData[[#This Row],[Year]],RANDBETWEEN(1,12),1)</f>
        <v>39356</v>
      </c>
    </row>
    <row r="2276" spans="1:24" x14ac:dyDescent="0.25">
      <c r="A2276" t="s">
        <v>533</v>
      </c>
      <c r="B2276">
        <v>2006</v>
      </c>
      <c r="C2276" t="s">
        <v>382</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c r="X2276" s="19">
        <f ca="1">DATE(LifeExpectancyData[[#This Row],[Year]],RANDBETWEEN(1,12),1)</f>
        <v>38930</v>
      </c>
    </row>
    <row r="2277" spans="1:24" x14ac:dyDescent="0.25">
      <c r="A2277" t="s">
        <v>533</v>
      </c>
      <c r="B2277">
        <v>2005</v>
      </c>
      <c r="C2277" t="s">
        <v>382</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c r="X2277" s="19">
        <f ca="1">DATE(LifeExpectancyData[[#This Row],[Year]],RANDBETWEEN(1,12),1)</f>
        <v>38443</v>
      </c>
    </row>
    <row r="2278" spans="1:24" x14ac:dyDescent="0.25">
      <c r="A2278" t="s">
        <v>533</v>
      </c>
      <c r="B2278">
        <v>2004</v>
      </c>
      <c r="C2278" t="s">
        <v>382</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c r="X2278" s="19">
        <f ca="1">DATE(LifeExpectancyData[[#This Row],[Year]],RANDBETWEEN(1,12),1)</f>
        <v>38108</v>
      </c>
    </row>
    <row r="2279" spans="1:24" x14ac:dyDescent="0.25">
      <c r="A2279" t="s">
        <v>533</v>
      </c>
      <c r="B2279">
        <v>2003</v>
      </c>
      <c r="C2279" t="s">
        <v>382</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c r="X2279" s="19">
        <f ca="1">DATE(LifeExpectancyData[[#This Row],[Year]],RANDBETWEEN(1,12),1)</f>
        <v>37622</v>
      </c>
    </row>
    <row r="2280" spans="1:24" x14ac:dyDescent="0.25">
      <c r="A2280" t="s">
        <v>533</v>
      </c>
      <c r="B2280">
        <v>2002</v>
      </c>
      <c r="C2280" t="s">
        <v>382</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c r="X2280" s="19">
        <f ca="1">DATE(LifeExpectancyData[[#This Row],[Year]],RANDBETWEEN(1,12),1)</f>
        <v>37469</v>
      </c>
    </row>
    <row r="2281" spans="1:24" x14ac:dyDescent="0.25">
      <c r="A2281" t="s">
        <v>533</v>
      </c>
      <c r="B2281">
        <v>2001</v>
      </c>
      <c r="C2281" t="s">
        <v>382</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c r="X2281" s="19">
        <f ca="1">DATE(LifeExpectancyData[[#This Row],[Year]],RANDBETWEEN(1,12),1)</f>
        <v>36982</v>
      </c>
    </row>
    <row r="2282" spans="1:24" x14ac:dyDescent="0.25">
      <c r="A2282" t="s">
        <v>533</v>
      </c>
      <c r="B2282">
        <v>2000</v>
      </c>
      <c r="C2282" t="s">
        <v>382</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c r="X2282" s="19">
        <f ca="1">DATE(LifeExpectancyData[[#This Row],[Year]],RANDBETWEEN(1,12),1)</f>
        <v>36831</v>
      </c>
    </row>
    <row r="2283" spans="1:24" x14ac:dyDescent="0.25">
      <c r="A2283" t="s">
        <v>534</v>
      </c>
      <c r="B2283">
        <v>2015</v>
      </c>
      <c r="C2283" t="s">
        <v>382</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c r="X2283" s="19">
        <f ca="1">DATE(LifeExpectancyData[[#This Row],[Year]],RANDBETWEEN(1,12),1)</f>
        <v>42309</v>
      </c>
    </row>
    <row r="2284" spans="1:24" x14ac:dyDescent="0.25">
      <c r="A2284" t="s">
        <v>534</v>
      </c>
      <c r="B2284">
        <v>2014</v>
      </c>
      <c r="C2284" t="s">
        <v>382</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c r="X2284" s="19">
        <f ca="1">DATE(LifeExpectancyData[[#This Row],[Year]],RANDBETWEEN(1,12),1)</f>
        <v>41640</v>
      </c>
    </row>
    <row r="2285" spans="1:24" x14ac:dyDescent="0.25">
      <c r="A2285" t="s">
        <v>534</v>
      </c>
      <c r="B2285">
        <v>2013</v>
      </c>
      <c r="C2285" t="s">
        <v>382</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c r="X2285" s="19">
        <f ca="1">DATE(LifeExpectancyData[[#This Row],[Year]],RANDBETWEEN(1,12),1)</f>
        <v>41365</v>
      </c>
    </row>
    <row r="2286" spans="1:24" x14ac:dyDescent="0.25">
      <c r="A2286" t="s">
        <v>534</v>
      </c>
      <c r="B2286">
        <v>2012</v>
      </c>
      <c r="C2286" t="s">
        <v>382</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c r="X2286" s="19">
        <f ca="1">DATE(LifeExpectancyData[[#This Row],[Year]],RANDBETWEEN(1,12),1)</f>
        <v>40940</v>
      </c>
    </row>
    <row r="2287" spans="1:24" x14ac:dyDescent="0.25">
      <c r="A2287" t="s">
        <v>534</v>
      </c>
      <c r="B2287">
        <v>2011</v>
      </c>
      <c r="C2287" t="s">
        <v>382</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c r="X2287" s="19">
        <f ca="1">DATE(LifeExpectancyData[[#This Row],[Year]],RANDBETWEEN(1,12),1)</f>
        <v>40787</v>
      </c>
    </row>
    <row r="2288" spans="1:24" x14ac:dyDescent="0.25">
      <c r="A2288" t="s">
        <v>534</v>
      </c>
      <c r="B2288">
        <v>2010</v>
      </c>
      <c r="C2288" t="s">
        <v>382</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c r="X2288" s="19">
        <f ca="1">DATE(LifeExpectancyData[[#This Row],[Year]],RANDBETWEEN(1,12),1)</f>
        <v>40513</v>
      </c>
    </row>
    <row r="2289" spans="1:24" x14ac:dyDescent="0.25">
      <c r="A2289" t="s">
        <v>534</v>
      </c>
      <c r="B2289">
        <v>2009</v>
      </c>
      <c r="C2289" t="s">
        <v>382</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c r="X2289" s="19">
        <f ca="1">DATE(LifeExpectancyData[[#This Row],[Year]],RANDBETWEEN(1,12),1)</f>
        <v>40087</v>
      </c>
    </row>
    <row r="2290" spans="1:24" x14ac:dyDescent="0.25">
      <c r="A2290" t="s">
        <v>534</v>
      </c>
      <c r="B2290">
        <v>2008</v>
      </c>
      <c r="C2290" t="s">
        <v>382</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c r="X2290" s="19">
        <f ca="1">DATE(LifeExpectancyData[[#This Row],[Year]],RANDBETWEEN(1,12),1)</f>
        <v>39722</v>
      </c>
    </row>
    <row r="2291" spans="1:24" x14ac:dyDescent="0.25">
      <c r="A2291" t="s">
        <v>534</v>
      </c>
      <c r="B2291">
        <v>2007</v>
      </c>
      <c r="C2291" t="s">
        <v>382</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c r="X2291" s="19">
        <f ca="1">DATE(LifeExpectancyData[[#This Row],[Year]],RANDBETWEEN(1,12),1)</f>
        <v>39142</v>
      </c>
    </row>
    <row r="2292" spans="1:24" x14ac:dyDescent="0.25">
      <c r="A2292" t="s">
        <v>534</v>
      </c>
      <c r="B2292">
        <v>2006</v>
      </c>
      <c r="C2292" t="s">
        <v>382</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c r="X2292" s="19">
        <f ca="1">DATE(LifeExpectancyData[[#This Row],[Year]],RANDBETWEEN(1,12),1)</f>
        <v>38838</v>
      </c>
    </row>
    <row r="2293" spans="1:24" x14ac:dyDescent="0.25">
      <c r="A2293" t="s">
        <v>534</v>
      </c>
      <c r="B2293">
        <v>2005</v>
      </c>
      <c r="C2293" t="s">
        <v>382</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c r="X2293" s="19">
        <f ca="1">DATE(LifeExpectancyData[[#This Row],[Year]],RANDBETWEEN(1,12),1)</f>
        <v>38596</v>
      </c>
    </row>
    <row r="2294" spans="1:24" x14ac:dyDescent="0.25">
      <c r="A2294" t="s">
        <v>534</v>
      </c>
      <c r="B2294">
        <v>2004</v>
      </c>
      <c r="C2294" t="s">
        <v>382</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c r="X2294" s="19">
        <f ca="1">DATE(LifeExpectancyData[[#This Row],[Year]],RANDBETWEEN(1,12),1)</f>
        <v>38139</v>
      </c>
    </row>
    <row r="2295" spans="1:24" x14ac:dyDescent="0.25">
      <c r="A2295" t="s">
        <v>534</v>
      </c>
      <c r="B2295">
        <v>2003</v>
      </c>
      <c r="C2295" t="s">
        <v>382</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c r="X2295" s="19">
        <f ca="1">DATE(LifeExpectancyData[[#This Row],[Year]],RANDBETWEEN(1,12),1)</f>
        <v>37803</v>
      </c>
    </row>
    <row r="2296" spans="1:24" x14ac:dyDescent="0.25">
      <c r="A2296" t="s">
        <v>534</v>
      </c>
      <c r="B2296">
        <v>2002</v>
      </c>
      <c r="C2296" t="s">
        <v>382</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c r="X2296" s="19">
        <f ca="1">DATE(LifeExpectancyData[[#This Row],[Year]],RANDBETWEEN(1,12),1)</f>
        <v>37408</v>
      </c>
    </row>
    <row r="2297" spans="1:24" x14ac:dyDescent="0.25">
      <c r="A2297" t="s">
        <v>534</v>
      </c>
      <c r="B2297">
        <v>2001</v>
      </c>
      <c r="C2297" t="s">
        <v>382</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c r="X2297" s="19">
        <f ca="1">DATE(LifeExpectancyData[[#This Row],[Year]],RANDBETWEEN(1,12),1)</f>
        <v>36892</v>
      </c>
    </row>
    <row r="2298" spans="1:24" x14ac:dyDescent="0.25">
      <c r="A2298" t="s">
        <v>534</v>
      </c>
      <c r="B2298">
        <v>2000</v>
      </c>
      <c r="C2298" t="s">
        <v>382</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c r="X2298" s="19">
        <f ca="1">DATE(LifeExpectancyData[[#This Row],[Year]],RANDBETWEEN(1,12),1)</f>
        <v>36678</v>
      </c>
    </row>
    <row r="2299" spans="1:24" x14ac:dyDescent="0.25">
      <c r="A2299" t="s">
        <v>535</v>
      </c>
      <c r="B2299">
        <v>2015</v>
      </c>
      <c r="C2299" t="s">
        <v>382</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c r="X2299" s="19">
        <f ca="1">DATE(LifeExpectancyData[[#This Row],[Year]],RANDBETWEEN(1,12),1)</f>
        <v>42005</v>
      </c>
    </row>
    <row r="2300" spans="1:24" x14ac:dyDescent="0.25">
      <c r="A2300" t="s">
        <v>535</v>
      </c>
      <c r="B2300">
        <v>2014</v>
      </c>
      <c r="C2300" t="s">
        <v>382</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c r="X2300" s="19">
        <f ca="1">DATE(LifeExpectancyData[[#This Row],[Year]],RANDBETWEEN(1,12),1)</f>
        <v>41944</v>
      </c>
    </row>
    <row r="2301" spans="1:24" x14ac:dyDescent="0.25">
      <c r="A2301" t="s">
        <v>535</v>
      </c>
      <c r="B2301">
        <v>2013</v>
      </c>
      <c r="C2301" t="s">
        <v>382</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c r="X2301" s="19">
        <f ca="1">DATE(LifeExpectancyData[[#This Row],[Year]],RANDBETWEEN(1,12),1)</f>
        <v>41609</v>
      </c>
    </row>
    <row r="2302" spans="1:24" x14ac:dyDescent="0.25">
      <c r="A2302" t="s">
        <v>535</v>
      </c>
      <c r="B2302">
        <v>2012</v>
      </c>
      <c r="C2302" t="s">
        <v>382</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c r="X2302" s="19">
        <f ca="1">DATE(LifeExpectancyData[[#This Row],[Year]],RANDBETWEEN(1,12),1)</f>
        <v>40909</v>
      </c>
    </row>
    <row r="2303" spans="1:24" x14ac:dyDescent="0.25">
      <c r="A2303" t="s">
        <v>535</v>
      </c>
      <c r="B2303">
        <v>2011</v>
      </c>
      <c r="C2303" t="s">
        <v>382</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c r="X2303" s="19">
        <f ca="1">DATE(LifeExpectancyData[[#This Row],[Year]],RANDBETWEEN(1,12),1)</f>
        <v>40634</v>
      </c>
    </row>
    <row r="2304" spans="1:24" x14ac:dyDescent="0.25">
      <c r="A2304" t="s">
        <v>535</v>
      </c>
      <c r="B2304">
        <v>2010</v>
      </c>
      <c r="C2304" t="s">
        <v>382</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c r="X2304" s="19">
        <f ca="1">DATE(LifeExpectancyData[[#This Row],[Year]],RANDBETWEEN(1,12),1)</f>
        <v>40179</v>
      </c>
    </row>
    <row r="2305" spans="1:24" x14ac:dyDescent="0.25">
      <c r="A2305" t="s">
        <v>535</v>
      </c>
      <c r="B2305">
        <v>2009</v>
      </c>
      <c r="C2305" t="s">
        <v>382</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c r="X2305" s="19">
        <f ca="1">DATE(LifeExpectancyData[[#This Row],[Year]],RANDBETWEEN(1,12),1)</f>
        <v>39904</v>
      </c>
    </row>
    <row r="2306" spans="1:24" x14ac:dyDescent="0.25">
      <c r="A2306" t="s">
        <v>535</v>
      </c>
      <c r="B2306">
        <v>2008</v>
      </c>
      <c r="C2306" t="s">
        <v>382</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c r="X2306" s="19">
        <f ca="1">DATE(LifeExpectancyData[[#This Row],[Year]],RANDBETWEEN(1,12),1)</f>
        <v>39692</v>
      </c>
    </row>
    <row r="2307" spans="1:24" x14ac:dyDescent="0.25">
      <c r="A2307" t="s">
        <v>535</v>
      </c>
      <c r="B2307">
        <v>2007</v>
      </c>
      <c r="C2307" t="s">
        <v>382</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c r="X2307" s="19">
        <f ca="1">DATE(LifeExpectancyData[[#This Row],[Year]],RANDBETWEEN(1,12),1)</f>
        <v>39083</v>
      </c>
    </row>
    <row r="2308" spans="1:24" x14ac:dyDescent="0.25">
      <c r="A2308" t="s">
        <v>535</v>
      </c>
      <c r="B2308">
        <v>2006</v>
      </c>
      <c r="C2308" t="s">
        <v>382</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c r="X2308" s="19">
        <f ca="1">DATE(LifeExpectancyData[[#This Row],[Year]],RANDBETWEEN(1,12),1)</f>
        <v>38838</v>
      </c>
    </row>
    <row r="2309" spans="1:24" x14ac:dyDescent="0.25">
      <c r="A2309" t="s">
        <v>535</v>
      </c>
      <c r="B2309">
        <v>2005</v>
      </c>
      <c r="C2309" t="s">
        <v>382</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c r="X2309" s="19">
        <f ca="1">DATE(LifeExpectancyData[[#This Row],[Year]],RANDBETWEEN(1,12),1)</f>
        <v>38412</v>
      </c>
    </row>
    <row r="2310" spans="1:24" x14ac:dyDescent="0.25">
      <c r="A2310" t="s">
        <v>535</v>
      </c>
      <c r="B2310">
        <v>2004</v>
      </c>
      <c r="C2310" t="s">
        <v>382</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c r="X2310" s="19">
        <f ca="1">DATE(LifeExpectancyData[[#This Row],[Year]],RANDBETWEEN(1,12),1)</f>
        <v>38231</v>
      </c>
    </row>
    <row r="2311" spans="1:24" x14ac:dyDescent="0.25">
      <c r="A2311" t="s">
        <v>535</v>
      </c>
      <c r="B2311">
        <v>2003</v>
      </c>
      <c r="C2311" t="s">
        <v>382</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c r="X2311" s="19">
        <f ca="1">DATE(LifeExpectancyData[[#This Row],[Year]],RANDBETWEEN(1,12),1)</f>
        <v>37956</v>
      </c>
    </row>
    <row r="2312" spans="1:24" x14ac:dyDescent="0.25">
      <c r="A2312" t="s">
        <v>535</v>
      </c>
      <c r="B2312">
        <v>2002</v>
      </c>
      <c r="C2312" t="s">
        <v>382</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c r="X2312" s="19">
        <f ca="1">DATE(LifeExpectancyData[[#This Row],[Year]],RANDBETWEEN(1,12),1)</f>
        <v>37591</v>
      </c>
    </row>
    <row r="2313" spans="1:24" x14ac:dyDescent="0.25">
      <c r="A2313" t="s">
        <v>535</v>
      </c>
      <c r="B2313">
        <v>2001</v>
      </c>
      <c r="C2313" t="s">
        <v>382</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c r="X2313" s="19">
        <f ca="1">DATE(LifeExpectancyData[[#This Row],[Year]],RANDBETWEEN(1,12),1)</f>
        <v>37043</v>
      </c>
    </row>
    <row r="2314" spans="1:24" x14ac:dyDescent="0.25">
      <c r="A2314" t="s">
        <v>535</v>
      </c>
      <c r="B2314">
        <v>2000</v>
      </c>
      <c r="C2314" t="s">
        <v>382</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c r="X2314" s="19">
        <f ca="1">DATE(LifeExpectancyData[[#This Row],[Year]],RANDBETWEEN(1,12),1)</f>
        <v>36526</v>
      </c>
    </row>
    <row r="2315" spans="1:24" x14ac:dyDescent="0.25">
      <c r="A2315" t="s">
        <v>536</v>
      </c>
      <c r="B2315">
        <v>2015</v>
      </c>
      <c r="C2315" t="s">
        <v>390</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c r="X2315" s="19">
        <f ca="1">DATE(LifeExpectancyData[[#This Row],[Year]],RANDBETWEEN(1,12),1)</f>
        <v>42309</v>
      </c>
    </row>
    <row r="2316" spans="1:24" x14ac:dyDescent="0.25">
      <c r="A2316" t="s">
        <v>536</v>
      </c>
      <c r="B2316">
        <v>2014</v>
      </c>
      <c r="C2316" t="s">
        <v>390</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c r="X2316" s="19">
        <f ca="1">DATE(LifeExpectancyData[[#This Row],[Year]],RANDBETWEEN(1,12),1)</f>
        <v>41760</v>
      </c>
    </row>
    <row r="2317" spans="1:24" x14ac:dyDescent="0.25">
      <c r="A2317" t="s">
        <v>536</v>
      </c>
      <c r="B2317">
        <v>2013</v>
      </c>
      <c r="C2317" t="s">
        <v>390</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c r="X2317" s="19">
        <f ca="1">DATE(LifeExpectancyData[[#This Row],[Year]],RANDBETWEEN(1,12),1)</f>
        <v>41609</v>
      </c>
    </row>
    <row r="2318" spans="1:24" x14ac:dyDescent="0.25">
      <c r="A2318" t="s">
        <v>536</v>
      </c>
      <c r="B2318">
        <v>2012</v>
      </c>
      <c r="C2318" t="s">
        <v>390</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c r="X2318" s="19">
        <f ca="1">DATE(LifeExpectancyData[[#This Row],[Year]],RANDBETWEEN(1,12),1)</f>
        <v>41244</v>
      </c>
    </row>
    <row r="2319" spans="1:24" x14ac:dyDescent="0.25">
      <c r="A2319" t="s">
        <v>536</v>
      </c>
      <c r="B2319">
        <v>2011</v>
      </c>
      <c r="C2319" t="s">
        <v>390</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c r="X2319" s="19">
        <f ca="1">DATE(LifeExpectancyData[[#This Row],[Year]],RANDBETWEEN(1,12),1)</f>
        <v>40878</v>
      </c>
    </row>
    <row r="2320" spans="1:24" x14ac:dyDescent="0.25">
      <c r="A2320" t="s">
        <v>536</v>
      </c>
      <c r="B2320">
        <v>2010</v>
      </c>
      <c r="C2320" t="s">
        <v>390</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c r="X2320" s="19">
        <f ca="1">DATE(LifeExpectancyData[[#This Row],[Year]],RANDBETWEEN(1,12),1)</f>
        <v>40299</v>
      </c>
    </row>
    <row r="2321" spans="1:24" x14ac:dyDescent="0.25">
      <c r="A2321" t="s">
        <v>536</v>
      </c>
      <c r="B2321">
        <v>2009</v>
      </c>
      <c r="C2321" t="s">
        <v>390</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c r="X2321" s="19">
        <f ca="1">DATE(LifeExpectancyData[[#This Row],[Year]],RANDBETWEEN(1,12),1)</f>
        <v>39995</v>
      </c>
    </row>
    <row r="2322" spans="1:24" x14ac:dyDescent="0.25">
      <c r="A2322" t="s">
        <v>536</v>
      </c>
      <c r="B2322">
        <v>2008</v>
      </c>
      <c r="C2322" t="s">
        <v>390</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c r="X2322" s="19">
        <f ca="1">DATE(LifeExpectancyData[[#This Row],[Year]],RANDBETWEEN(1,12),1)</f>
        <v>39448</v>
      </c>
    </row>
    <row r="2323" spans="1:24" x14ac:dyDescent="0.25">
      <c r="A2323" t="s">
        <v>536</v>
      </c>
      <c r="B2323">
        <v>2007</v>
      </c>
      <c r="C2323" t="s">
        <v>390</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c r="X2323" s="19">
        <f ca="1">DATE(LifeExpectancyData[[#This Row],[Year]],RANDBETWEEN(1,12),1)</f>
        <v>39417</v>
      </c>
    </row>
    <row r="2324" spans="1:24" x14ac:dyDescent="0.25">
      <c r="A2324" t="s">
        <v>536</v>
      </c>
      <c r="B2324">
        <v>2006</v>
      </c>
      <c r="C2324" t="s">
        <v>390</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c r="X2324" s="19">
        <f ca="1">DATE(LifeExpectancyData[[#This Row],[Year]],RANDBETWEEN(1,12),1)</f>
        <v>38991</v>
      </c>
    </row>
    <row r="2325" spans="1:24" x14ac:dyDescent="0.25">
      <c r="A2325" t="s">
        <v>536</v>
      </c>
      <c r="B2325">
        <v>2005</v>
      </c>
      <c r="C2325" t="s">
        <v>390</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c r="X2325" s="19">
        <f ca="1">DATE(LifeExpectancyData[[#This Row],[Year]],RANDBETWEEN(1,12),1)</f>
        <v>38504</v>
      </c>
    </row>
    <row r="2326" spans="1:24" x14ac:dyDescent="0.25">
      <c r="A2326" t="s">
        <v>536</v>
      </c>
      <c r="B2326">
        <v>2004</v>
      </c>
      <c r="C2326" t="s">
        <v>390</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c r="X2326" s="19">
        <f ca="1">DATE(LifeExpectancyData[[#This Row],[Year]],RANDBETWEEN(1,12),1)</f>
        <v>38200</v>
      </c>
    </row>
    <row r="2327" spans="1:24" x14ac:dyDescent="0.25">
      <c r="A2327" t="s">
        <v>536</v>
      </c>
      <c r="B2327">
        <v>2003</v>
      </c>
      <c r="C2327" t="s">
        <v>390</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c r="X2327" s="19">
        <f ca="1">DATE(LifeExpectancyData[[#This Row],[Year]],RANDBETWEEN(1,12),1)</f>
        <v>37956</v>
      </c>
    </row>
    <row r="2328" spans="1:24" x14ac:dyDescent="0.25">
      <c r="A2328" t="s">
        <v>536</v>
      </c>
      <c r="B2328">
        <v>2002</v>
      </c>
      <c r="C2328" t="s">
        <v>390</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c r="X2328" s="19">
        <f ca="1">DATE(LifeExpectancyData[[#This Row],[Year]],RANDBETWEEN(1,12),1)</f>
        <v>37591</v>
      </c>
    </row>
    <row r="2329" spans="1:24" x14ac:dyDescent="0.25">
      <c r="A2329" t="s">
        <v>536</v>
      </c>
      <c r="B2329">
        <v>2001</v>
      </c>
      <c r="C2329" t="s">
        <v>390</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c r="X2329" s="19">
        <f ca="1">DATE(LifeExpectancyData[[#This Row],[Year]],RANDBETWEEN(1,12),1)</f>
        <v>37165</v>
      </c>
    </row>
    <row r="2330" spans="1:24" x14ac:dyDescent="0.25">
      <c r="A2330" t="s">
        <v>536</v>
      </c>
      <c r="B2330">
        <v>2000</v>
      </c>
      <c r="C2330" t="s">
        <v>390</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c r="X2330" s="19">
        <f ca="1">DATE(LifeExpectancyData[[#This Row],[Year]],RANDBETWEEN(1,12),1)</f>
        <v>36831</v>
      </c>
    </row>
    <row r="2331" spans="1:24" x14ac:dyDescent="0.25">
      <c r="A2331" t="s">
        <v>537</v>
      </c>
      <c r="B2331">
        <v>2015</v>
      </c>
      <c r="C2331" t="s">
        <v>390</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c r="X2331" s="19">
        <f ca="1">DATE(LifeExpectancyData[[#This Row],[Year]],RANDBETWEEN(1,12),1)</f>
        <v>42005</v>
      </c>
    </row>
    <row r="2332" spans="1:24" x14ac:dyDescent="0.25">
      <c r="A2332" t="s">
        <v>537</v>
      </c>
      <c r="B2332">
        <v>2014</v>
      </c>
      <c r="C2332" t="s">
        <v>390</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c r="X2332" s="19">
        <f ca="1">DATE(LifeExpectancyData[[#This Row],[Year]],RANDBETWEEN(1,12),1)</f>
        <v>41913</v>
      </c>
    </row>
    <row r="2333" spans="1:24" x14ac:dyDescent="0.25">
      <c r="A2333" t="s">
        <v>537</v>
      </c>
      <c r="B2333">
        <v>2013</v>
      </c>
      <c r="C2333" t="s">
        <v>390</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c r="X2333" s="19">
        <f ca="1">DATE(LifeExpectancyData[[#This Row],[Year]],RANDBETWEEN(1,12),1)</f>
        <v>41334</v>
      </c>
    </row>
    <row r="2334" spans="1:24" x14ac:dyDescent="0.25">
      <c r="A2334" t="s">
        <v>537</v>
      </c>
      <c r="B2334">
        <v>2012</v>
      </c>
      <c r="C2334" t="s">
        <v>390</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c r="X2334" s="19">
        <f ca="1">DATE(LifeExpectancyData[[#This Row],[Year]],RANDBETWEEN(1,12),1)</f>
        <v>40940</v>
      </c>
    </row>
    <row r="2335" spans="1:24" x14ac:dyDescent="0.25">
      <c r="A2335" t="s">
        <v>537</v>
      </c>
      <c r="B2335">
        <v>2011</v>
      </c>
      <c r="C2335" t="s">
        <v>390</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c r="X2335" s="19">
        <f ca="1">DATE(LifeExpectancyData[[#This Row],[Year]],RANDBETWEEN(1,12),1)</f>
        <v>40848</v>
      </c>
    </row>
    <row r="2336" spans="1:24" x14ac:dyDescent="0.25">
      <c r="A2336" t="s">
        <v>537</v>
      </c>
      <c r="B2336">
        <v>2010</v>
      </c>
      <c r="C2336" t="s">
        <v>390</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c r="X2336" s="19">
        <f ca="1">DATE(LifeExpectancyData[[#This Row],[Year]],RANDBETWEEN(1,12),1)</f>
        <v>40238</v>
      </c>
    </row>
    <row r="2337" spans="1:24" x14ac:dyDescent="0.25">
      <c r="A2337" t="s">
        <v>537</v>
      </c>
      <c r="B2337">
        <v>2009</v>
      </c>
      <c r="C2337" t="s">
        <v>390</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c r="X2337" s="19">
        <f ca="1">DATE(LifeExpectancyData[[#This Row],[Year]],RANDBETWEEN(1,12),1)</f>
        <v>40026</v>
      </c>
    </row>
    <row r="2338" spans="1:24" x14ac:dyDescent="0.25">
      <c r="A2338" t="s">
        <v>537</v>
      </c>
      <c r="B2338">
        <v>2008</v>
      </c>
      <c r="C2338" t="s">
        <v>390</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c r="X2338" s="19">
        <f ca="1">DATE(LifeExpectancyData[[#This Row],[Year]],RANDBETWEEN(1,12),1)</f>
        <v>39539</v>
      </c>
    </row>
    <row r="2339" spans="1:24" x14ac:dyDescent="0.25">
      <c r="A2339" t="s">
        <v>537</v>
      </c>
      <c r="B2339">
        <v>2007</v>
      </c>
      <c r="C2339" t="s">
        <v>390</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c r="X2339" s="19">
        <f ca="1">DATE(LifeExpectancyData[[#This Row],[Year]],RANDBETWEEN(1,12),1)</f>
        <v>39264</v>
      </c>
    </row>
    <row r="2340" spans="1:24" x14ac:dyDescent="0.25">
      <c r="A2340" t="s">
        <v>537</v>
      </c>
      <c r="B2340">
        <v>2006</v>
      </c>
      <c r="C2340" t="s">
        <v>390</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c r="X2340" s="19">
        <f ca="1">DATE(LifeExpectancyData[[#This Row],[Year]],RANDBETWEEN(1,12),1)</f>
        <v>38749</v>
      </c>
    </row>
    <row r="2341" spans="1:24" x14ac:dyDescent="0.25">
      <c r="A2341" t="s">
        <v>537</v>
      </c>
      <c r="B2341">
        <v>2005</v>
      </c>
      <c r="C2341" t="s">
        <v>390</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c r="X2341" s="19">
        <f ca="1">DATE(LifeExpectancyData[[#This Row],[Year]],RANDBETWEEN(1,12),1)</f>
        <v>38412</v>
      </c>
    </row>
    <row r="2342" spans="1:24" x14ac:dyDescent="0.25">
      <c r="A2342" t="s">
        <v>537</v>
      </c>
      <c r="B2342">
        <v>2004</v>
      </c>
      <c r="C2342" t="s">
        <v>390</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c r="X2342" s="19">
        <f ca="1">DATE(LifeExpectancyData[[#This Row],[Year]],RANDBETWEEN(1,12),1)</f>
        <v>38078</v>
      </c>
    </row>
    <row r="2343" spans="1:24" x14ac:dyDescent="0.25">
      <c r="A2343" t="s">
        <v>537</v>
      </c>
      <c r="B2343">
        <v>2003</v>
      </c>
      <c r="C2343" t="s">
        <v>390</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c r="X2343" s="19">
        <f ca="1">DATE(LifeExpectancyData[[#This Row],[Year]],RANDBETWEEN(1,12),1)</f>
        <v>37712</v>
      </c>
    </row>
    <row r="2344" spans="1:24" x14ac:dyDescent="0.25">
      <c r="A2344" t="s">
        <v>537</v>
      </c>
      <c r="B2344">
        <v>2002</v>
      </c>
      <c r="C2344" t="s">
        <v>390</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c r="X2344" s="19">
        <f ca="1">DATE(LifeExpectancyData[[#This Row],[Year]],RANDBETWEEN(1,12),1)</f>
        <v>37408</v>
      </c>
    </row>
    <row r="2345" spans="1:24" x14ac:dyDescent="0.25">
      <c r="A2345" t="s">
        <v>537</v>
      </c>
      <c r="B2345">
        <v>2001</v>
      </c>
      <c r="C2345" t="s">
        <v>390</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c r="X2345" s="19">
        <f ca="1">DATE(LifeExpectancyData[[#This Row],[Year]],RANDBETWEEN(1,12),1)</f>
        <v>36982</v>
      </c>
    </row>
    <row r="2346" spans="1:24" x14ac:dyDescent="0.25">
      <c r="A2346" t="s">
        <v>537</v>
      </c>
      <c r="B2346">
        <v>2000</v>
      </c>
      <c r="C2346" t="s">
        <v>390</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c r="X2346" s="19">
        <f ca="1">DATE(LifeExpectancyData[[#This Row],[Year]],RANDBETWEEN(1,12),1)</f>
        <v>36831</v>
      </c>
    </row>
    <row r="2347" spans="1:24" x14ac:dyDescent="0.25">
      <c r="A2347" t="s">
        <v>538</v>
      </c>
      <c r="B2347">
        <v>2015</v>
      </c>
      <c r="C2347" t="s">
        <v>390</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c r="X2347" s="19">
        <f ca="1">DATE(LifeExpectancyData[[#This Row],[Year]],RANDBETWEEN(1,12),1)</f>
        <v>42309</v>
      </c>
    </row>
    <row r="2348" spans="1:24" x14ac:dyDescent="0.25">
      <c r="A2348" t="s">
        <v>538</v>
      </c>
      <c r="B2348">
        <v>2014</v>
      </c>
      <c r="C2348" t="s">
        <v>390</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c r="X2348" s="19">
        <f ca="1">DATE(LifeExpectancyData[[#This Row],[Year]],RANDBETWEEN(1,12),1)</f>
        <v>41821</v>
      </c>
    </row>
    <row r="2349" spans="1:24" x14ac:dyDescent="0.25">
      <c r="A2349" t="s">
        <v>538</v>
      </c>
      <c r="B2349">
        <v>2013</v>
      </c>
      <c r="C2349" t="s">
        <v>390</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c r="X2349" s="19">
        <f ca="1">DATE(LifeExpectancyData[[#This Row],[Year]],RANDBETWEEN(1,12),1)</f>
        <v>41275</v>
      </c>
    </row>
    <row r="2350" spans="1:24" x14ac:dyDescent="0.25">
      <c r="A2350" t="s">
        <v>538</v>
      </c>
      <c r="B2350">
        <v>2012</v>
      </c>
      <c r="C2350" t="s">
        <v>390</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c r="X2350" s="19">
        <f ca="1">DATE(LifeExpectancyData[[#This Row],[Year]],RANDBETWEEN(1,12),1)</f>
        <v>41153</v>
      </c>
    </row>
    <row r="2351" spans="1:24" x14ac:dyDescent="0.25">
      <c r="A2351" t="s">
        <v>538</v>
      </c>
      <c r="B2351">
        <v>2011</v>
      </c>
      <c r="C2351" t="s">
        <v>390</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c r="X2351" s="19">
        <f ca="1">DATE(LifeExpectancyData[[#This Row],[Year]],RANDBETWEEN(1,12),1)</f>
        <v>40848</v>
      </c>
    </row>
    <row r="2352" spans="1:24" x14ac:dyDescent="0.25">
      <c r="A2352" t="s">
        <v>538</v>
      </c>
      <c r="B2352">
        <v>2010</v>
      </c>
      <c r="C2352" t="s">
        <v>390</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c r="X2352" s="19">
        <f ca="1">DATE(LifeExpectancyData[[#This Row],[Year]],RANDBETWEEN(1,12),1)</f>
        <v>40452</v>
      </c>
    </row>
    <row r="2353" spans="1:24" x14ac:dyDescent="0.25">
      <c r="A2353" t="s">
        <v>538</v>
      </c>
      <c r="B2353">
        <v>2009</v>
      </c>
      <c r="C2353" t="s">
        <v>390</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c r="X2353" s="19">
        <f ca="1">DATE(LifeExpectancyData[[#This Row],[Year]],RANDBETWEEN(1,12),1)</f>
        <v>39934</v>
      </c>
    </row>
    <row r="2354" spans="1:24" x14ac:dyDescent="0.25">
      <c r="A2354" t="s">
        <v>538</v>
      </c>
      <c r="B2354">
        <v>2008</v>
      </c>
      <c r="C2354" t="s">
        <v>390</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c r="X2354" s="19">
        <f ca="1">DATE(LifeExpectancyData[[#This Row],[Year]],RANDBETWEEN(1,12),1)</f>
        <v>39692</v>
      </c>
    </row>
    <row r="2355" spans="1:24" x14ac:dyDescent="0.25">
      <c r="A2355" t="s">
        <v>538</v>
      </c>
      <c r="B2355">
        <v>2007</v>
      </c>
      <c r="C2355" t="s">
        <v>390</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c r="X2355" s="19">
        <f ca="1">DATE(LifeExpectancyData[[#This Row],[Year]],RANDBETWEEN(1,12),1)</f>
        <v>39356</v>
      </c>
    </row>
    <row r="2356" spans="1:24" x14ac:dyDescent="0.25">
      <c r="A2356" t="s">
        <v>538</v>
      </c>
      <c r="B2356">
        <v>2006</v>
      </c>
      <c r="C2356" t="s">
        <v>390</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c r="X2356" s="19">
        <f ca="1">DATE(LifeExpectancyData[[#This Row],[Year]],RANDBETWEEN(1,12),1)</f>
        <v>38808</v>
      </c>
    </row>
    <row r="2357" spans="1:24" x14ac:dyDescent="0.25">
      <c r="A2357" t="s">
        <v>538</v>
      </c>
      <c r="B2357">
        <v>2005</v>
      </c>
      <c r="C2357" t="s">
        <v>390</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c r="X2357" s="19">
        <f ca="1">DATE(LifeExpectancyData[[#This Row],[Year]],RANDBETWEEN(1,12),1)</f>
        <v>38626</v>
      </c>
    </row>
    <row r="2358" spans="1:24" x14ac:dyDescent="0.25">
      <c r="A2358" t="s">
        <v>538</v>
      </c>
      <c r="B2358">
        <v>2004</v>
      </c>
      <c r="C2358" t="s">
        <v>390</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c r="X2358" s="19">
        <f ca="1">DATE(LifeExpectancyData[[#This Row],[Year]],RANDBETWEEN(1,12),1)</f>
        <v>38078</v>
      </c>
    </row>
    <row r="2359" spans="1:24" x14ac:dyDescent="0.25">
      <c r="A2359" t="s">
        <v>538</v>
      </c>
      <c r="B2359">
        <v>2003</v>
      </c>
      <c r="C2359" t="s">
        <v>390</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c r="X2359" s="19">
        <f ca="1">DATE(LifeExpectancyData[[#This Row],[Year]],RANDBETWEEN(1,12),1)</f>
        <v>37653</v>
      </c>
    </row>
    <row r="2360" spans="1:24" x14ac:dyDescent="0.25">
      <c r="A2360" t="s">
        <v>538</v>
      </c>
      <c r="B2360">
        <v>2002</v>
      </c>
      <c r="C2360" t="s">
        <v>390</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c r="X2360" s="19">
        <f ca="1">DATE(LifeExpectancyData[[#This Row],[Year]],RANDBETWEEN(1,12),1)</f>
        <v>37469</v>
      </c>
    </row>
    <row r="2361" spans="1:24" x14ac:dyDescent="0.25">
      <c r="A2361" t="s">
        <v>538</v>
      </c>
      <c r="B2361">
        <v>2001</v>
      </c>
      <c r="C2361" t="s">
        <v>390</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c r="X2361" s="19">
        <f ca="1">DATE(LifeExpectancyData[[#This Row],[Year]],RANDBETWEEN(1,12),1)</f>
        <v>36982</v>
      </c>
    </row>
    <row r="2362" spans="1:24" x14ac:dyDescent="0.25">
      <c r="A2362" t="s">
        <v>538</v>
      </c>
      <c r="B2362">
        <v>2000</v>
      </c>
      <c r="C2362" t="s">
        <v>390</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c r="X2362" s="19">
        <f ca="1">DATE(LifeExpectancyData[[#This Row],[Year]],RANDBETWEEN(1,12),1)</f>
        <v>36647</v>
      </c>
    </row>
    <row r="2363" spans="1:24" x14ac:dyDescent="0.25">
      <c r="A2363" t="s">
        <v>539</v>
      </c>
      <c r="B2363">
        <v>2015</v>
      </c>
      <c r="C2363" t="s">
        <v>382</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c r="X2363" s="19">
        <f ca="1">DATE(LifeExpectancyData[[#This Row],[Year]],RANDBETWEEN(1,12),1)</f>
        <v>42248</v>
      </c>
    </row>
    <row r="2364" spans="1:24" x14ac:dyDescent="0.25">
      <c r="A2364" t="s">
        <v>539</v>
      </c>
      <c r="B2364">
        <v>2014</v>
      </c>
      <c r="C2364" t="s">
        <v>382</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c r="X2364" s="19">
        <f ca="1">DATE(LifeExpectancyData[[#This Row],[Year]],RANDBETWEEN(1,12),1)</f>
        <v>41883</v>
      </c>
    </row>
    <row r="2365" spans="1:24" x14ac:dyDescent="0.25">
      <c r="A2365" t="s">
        <v>539</v>
      </c>
      <c r="B2365">
        <v>2013</v>
      </c>
      <c r="C2365" t="s">
        <v>382</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c r="X2365" s="19">
        <f ca="1">DATE(LifeExpectancyData[[#This Row],[Year]],RANDBETWEEN(1,12),1)</f>
        <v>41426</v>
      </c>
    </row>
    <row r="2366" spans="1:24" x14ac:dyDescent="0.25">
      <c r="A2366" t="s">
        <v>539</v>
      </c>
      <c r="B2366">
        <v>2012</v>
      </c>
      <c r="C2366" t="s">
        <v>382</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c r="X2366" s="19">
        <f ca="1">DATE(LifeExpectancyData[[#This Row],[Year]],RANDBETWEEN(1,12),1)</f>
        <v>40940</v>
      </c>
    </row>
    <row r="2367" spans="1:24" x14ac:dyDescent="0.25">
      <c r="A2367" t="s">
        <v>539</v>
      </c>
      <c r="B2367">
        <v>2011</v>
      </c>
      <c r="C2367" t="s">
        <v>382</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c r="X2367" s="19">
        <f ca="1">DATE(LifeExpectancyData[[#This Row],[Year]],RANDBETWEEN(1,12),1)</f>
        <v>40878</v>
      </c>
    </row>
    <row r="2368" spans="1:24" x14ac:dyDescent="0.25">
      <c r="A2368" t="s">
        <v>539</v>
      </c>
      <c r="B2368">
        <v>2010</v>
      </c>
      <c r="C2368" t="s">
        <v>382</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c r="X2368" s="19">
        <f ca="1">DATE(LifeExpectancyData[[#This Row],[Year]],RANDBETWEEN(1,12),1)</f>
        <v>40391</v>
      </c>
    </row>
    <row r="2369" spans="1:24" x14ac:dyDescent="0.25">
      <c r="A2369" t="s">
        <v>539</v>
      </c>
      <c r="B2369">
        <v>2009</v>
      </c>
      <c r="C2369" t="s">
        <v>382</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c r="X2369" s="19">
        <f ca="1">DATE(LifeExpectancyData[[#This Row],[Year]],RANDBETWEEN(1,12),1)</f>
        <v>39965</v>
      </c>
    </row>
    <row r="2370" spans="1:24" x14ac:dyDescent="0.25">
      <c r="A2370" t="s">
        <v>539</v>
      </c>
      <c r="B2370">
        <v>2008</v>
      </c>
      <c r="C2370" t="s">
        <v>382</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c r="X2370" s="19">
        <f ca="1">DATE(LifeExpectancyData[[#This Row],[Year]],RANDBETWEEN(1,12),1)</f>
        <v>39569</v>
      </c>
    </row>
    <row r="2371" spans="1:24" x14ac:dyDescent="0.25">
      <c r="A2371" t="s">
        <v>539</v>
      </c>
      <c r="B2371">
        <v>2007</v>
      </c>
      <c r="C2371" t="s">
        <v>382</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c r="X2371" s="19">
        <f ca="1">DATE(LifeExpectancyData[[#This Row],[Year]],RANDBETWEEN(1,12),1)</f>
        <v>39387</v>
      </c>
    </row>
    <row r="2372" spans="1:24" x14ac:dyDescent="0.25">
      <c r="A2372" t="s">
        <v>539</v>
      </c>
      <c r="B2372">
        <v>2006</v>
      </c>
      <c r="C2372" t="s">
        <v>382</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c r="X2372" s="19">
        <f ca="1">DATE(LifeExpectancyData[[#This Row],[Year]],RANDBETWEEN(1,12),1)</f>
        <v>38991</v>
      </c>
    </row>
    <row r="2373" spans="1:24" x14ac:dyDescent="0.25">
      <c r="A2373" t="s">
        <v>539</v>
      </c>
      <c r="B2373">
        <v>2005</v>
      </c>
      <c r="C2373" t="s">
        <v>382</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c r="X2373" s="19">
        <f ca="1">DATE(LifeExpectancyData[[#This Row],[Year]],RANDBETWEEN(1,12),1)</f>
        <v>38565</v>
      </c>
    </row>
    <row r="2374" spans="1:24" x14ac:dyDescent="0.25">
      <c r="A2374" t="s">
        <v>539</v>
      </c>
      <c r="B2374">
        <v>2004</v>
      </c>
      <c r="C2374" t="s">
        <v>382</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c r="X2374" s="19">
        <f ca="1">DATE(LifeExpectancyData[[#This Row],[Year]],RANDBETWEEN(1,12),1)</f>
        <v>38169</v>
      </c>
    </row>
    <row r="2375" spans="1:24" x14ac:dyDescent="0.25">
      <c r="A2375" t="s">
        <v>539</v>
      </c>
      <c r="B2375">
        <v>2003</v>
      </c>
      <c r="C2375" t="s">
        <v>382</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c r="X2375" s="19">
        <f ca="1">DATE(LifeExpectancyData[[#This Row],[Year]],RANDBETWEEN(1,12),1)</f>
        <v>37681</v>
      </c>
    </row>
    <row r="2376" spans="1:24" x14ac:dyDescent="0.25">
      <c r="A2376" t="s">
        <v>539</v>
      </c>
      <c r="B2376">
        <v>2002</v>
      </c>
      <c r="C2376" t="s">
        <v>382</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c r="X2376" s="19">
        <f ca="1">DATE(LifeExpectancyData[[#This Row],[Year]],RANDBETWEEN(1,12),1)</f>
        <v>37500</v>
      </c>
    </row>
    <row r="2377" spans="1:24" x14ac:dyDescent="0.25">
      <c r="A2377" t="s">
        <v>539</v>
      </c>
      <c r="B2377">
        <v>2001</v>
      </c>
      <c r="C2377" t="s">
        <v>382</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c r="X2377" s="19">
        <f ca="1">DATE(LifeExpectancyData[[#This Row],[Year]],RANDBETWEEN(1,12),1)</f>
        <v>37073</v>
      </c>
    </row>
    <row r="2378" spans="1:24" x14ac:dyDescent="0.25">
      <c r="A2378" t="s">
        <v>539</v>
      </c>
      <c r="B2378">
        <v>2000</v>
      </c>
      <c r="C2378" t="s">
        <v>382</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c r="X2378" s="19">
        <f ca="1">DATE(LifeExpectancyData[[#This Row],[Year]],RANDBETWEEN(1,12),1)</f>
        <v>36770</v>
      </c>
    </row>
    <row r="2379" spans="1:24" x14ac:dyDescent="0.25">
      <c r="A2379" t="s">
        <v>540</v>
      </c>
      <c r="B2379">
        <v>2015</v>
      </c>
      <c r="C2379" t="s">
        <v>382</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c r="X2379" s="19">
        <f ca="1">DATE(LifeExpectancyData[[#This Row],[Year]],RANDBETWEEN(1,12),1)</f>
        <v>42005</v>
      </c>
    </row>
    <row r="2380" spans="1:24" x14ac:dyDescent="0.25">
      <c r="A2380" t="s">
        <v>540</v>
      </c>
      <c r="B2380">
        <v>2014</v>
      </c>
      <c r="C2380" t="s">
        <v>382</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c r="X2380" s="19">
        <f ca="1">DATE(LifeExpectancyData[[#This Row],[Year]],RANDBETWEEN(1,12),1)</f>
        <v>41699</v>
      </c>
    </row>
    <row r="2381" spans="1:24" x14ac:dyDescent="0.25">
      <c r="A2381" t="s">
        <v>540</v>
      </c>
      <c r="B2381">
        <v>2013</v>
      </c>
      <c r="C2381" t="s">
        <v>382</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c r="X2381" s="19">
        <f ca="1">DATE(LifeExpectancyData[[#This Row],[Year]],RANDBETWEEN(1,12),1)</f>
        <v>41365</v>
      </c>
    </row>
    <row r="2382" spans="1:24" x14ac:dyDescent="0.25">
      <c r="A2382" t="s">
        <v>540</v>
      </c>
      <c r="B2382">
        <v>2012</v>
      </c>
      <c r="C2382" t="s">
        <v>382</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c r="X2382" s="19">
        <f ca="1">DATE(LifeExpectancyData[[#This Row],[Year]],RANDBETWEEN(1,12),1)</f>
        <v>41214</v>
      </c>
    </row>
    <row r="2383" spans="1:24" x14ac:dyDescent="0.25">
      <c r="A2383" t="s">
        <v>540</v>
      </c>
      <c r="B2383">
        <v>2011</v>
      </c>
      <c r="C2383" t="s">
        <v>382</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c r="X2383" s="19">
        <f ca="1">DATE(LifeExpectancyData[[#This Row],[Year]],RANDBETWEEN(1,12),1)</f>
        <v>40756</v>
      </c>
    </row>
    <row r="2384" spans="1:24" x14ac:dyDescent="0.25">
      <c r="A2384" t="s">
        <v>540</v>
      </c>
      <c r="B2384">
        <v>2010</v>
      </c>
      <c r="C2384" t="s">
        <v>382</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c r="X2384" s="19">
        <f ca="1">DATE(LifeExpectancyData[[#This Row],[Year]],RANDBETWEEN(1,12),1)</f>
        <v>40330</v>
      </c>
    </row>
    <row r="2385" spans="1:24" x14ac:dyDescent="0.25">
      <c r="A2385" t="s">
        <v>540</v>
      </c>
      <c r="B2385">
        <v>2009</v>
      </c>
      <c r="C2385" t="s">
        <v>382</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c r="X2385" s="19">
        <f ca="1">DATE(LifeExpectancyData[[#This Row],[Year]],RANDBETWEEN(1,12),1)</f>
        <v>39904</v>
      </c>
    </row>
    <row r="2386" spans="1:24" x14ac:dyDescent="0.25">
      <c r="A2386" t="s">
        <v>540</v>
      </c>
      <c r="B2386">
        <v>2008</v>
      </c>
      <c r="C2386" t="s">
        <v>382</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c r="X2386" s="19">
        <f ca="1">DATE(LifeExpectancyData[[#This Row],[Year]],RANDBETWEEN(1,12),1)</f>
        <v>39539</v>
      </c>
    </row>
    <row r="2387" spans="1:24" x14ac:dyDescent="0.25">
      <c r="A2387" t="s">
        <v>540</v>
      </c>
      <c r="B2387">
        <v>2007</v>
      </c>
      <c r="C2387" t="s">
        <v>382</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c r="X2387" s="19">
        <f ca="1">DATE(LifeExpectancyData[[#This Row],[Year]],RANDBETWEEN(1,12),1)</f>
        <v>39264</v>
      </c>
    </row>
    <row r="2388" spans="1:24" x14ac:dyDescent="0.25">
      <c r="A2388" t="s">
        <v>540</v>
      </c>
      <c r="B2388">
        <v>2006</v>
      </c>
      <c r="C2388" t="s">
        <v>382</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c r="X2388" s="19">
        <f ca="1">DATE(LifeExpectancyData[[#This Row],[Year]],RANDBETWEEN(1,12),1)</f>
        <v>38869</v>
      </c>
    </row>
    <row r="2389" spans="1:24" x14ac:dyDescent="0.25">
      <c r="A2389" t="s">
        <v>540</v>
      </c>
      <c r="B2389">
        <v>2005</v>
      </c>
      <c r="C2389" t="s">
        <v>382</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c r="X2389" s="19">
        <f ca="1">DATE(LifeExpectancyData[[#This Row],[Year]],RANDBETWEEN(1,12),1)</f>
        <v>38353</v>
      </c>
    </row>
    <row r="2390" spans="1:24" x14ac:dyDescent="0.25">
      <c r="A2390" t="s">
        <v>540</v>
      </c>
      <c r="B2390">
        <v>2004</v>
      </c>
      <c r="C2390" t="s">
        <v>382</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c r="X2390" s="19">
        <f ca="1">DATE(LifeExpectancyData[[#This Row],[Year]],RANDBETWEEN(1,12),1)</f>
        <v>38261</v>
      </c>
    </row>
    <row r="2391" spans="1:24" x14ac:dyDescent="0.25">
      <c r="A2391" t="s">
        <v>540</v>
      </c>
      <c r="B2391">
        <v>2003</v>
      </c>
      <c r="C2391" t="s">
        <v>382</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c r="X2391" s="19">
        <f ca="1">DATE(LifeExpectancyData[[#This Row],[Year]],RANDBETWEEN(1,12),1)</f>
        <v>37622</v>
      </c>
    </row>
    <row r="2392" spans="1:24" x14ac:dyDescent="0.25">
      <c r="A2392" t="s">
        <v>540</v>
      </c>
      <c r="B2392">
        <v>2002</v>
      </c>
      <c r="C2392" t="s">
        <v>382</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c r="X2392" s="19">
        <f ca="1">DATE(LifeExpectancyData[[#This Row],[Year]],RANDBETWEEN(1,12),1)</f>
        <v>37316</v>
      </c>
    </row>
    <row r="2393" spans="1:24" x14ac:dyDescent="0.25">
      <c r="A2393" t="s">
        <v>540</v>
      </c>
      <c r="B2393">
        <v>2001</v>
      </c>
      <c r="C2393" t="s">
        <v>382</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c r="X2393" s="19">
        <f ca="1">DATE(LifeExpectancyData[[#This Row],[Year]],RANDBETWEEN(1,12),1)</f>
        <v>37104</v>
      </c>
    </row>
    <row r="2394" spans="1:24" x14ac:dyDescent="0.25">
      <c r="A2394" t="s">
        <v>540</v>
      </c>
      <c r="B2394">
        <v>2000</v>
      </c>
      <c r="C2394" t="s">
        <v>382</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c r="X2394" s="19">
        <f ca="1">DATE(LifeExpectancyData[[#This Row],[Year]],RANDBETWEEN(1,12),1)</f>
        <v>36770</v>
      </c>
    </row>
    <row r="2395" spans="1:24" x14ac:dyDescent="0.25">
      <c r="A2395" t="s">
        <v>541</v>
      </c>
      <c r="B2395">
        <v>2015</v>
      </c>
      <c r="C2395" t="s">
        <v>382</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c r="X2395" s="19">
        <f ca="1">DATE(LifeExpectancyData[[#This Row],[Year]],RANDBETWEEN(1,12),1)</f>
        <v>42248</v>
      </c>
    </row>
    <row r="2396" spans="1:24" x14ac:dyDescent="0.25">
      <c r="A2396" t="s">
        <v>541</v>
      </c>
      <c r="B2396">
        <v>2014</v>
      </c>
      <c r="C2396" t="s">
        <v>382</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c r="X2396" s="19">
        <f ca="1">DATE(LifeExpectancyData[[#This Row],[Year]],RANDBETWEEN(1,12),1)</f>
        <v>41852</v>
      </c>
    </row>
    <row r="2397" spans="1:24" x14ac:dyDescent="0.25">
      <c r="A2397" t="s">
        <v>541</v>
      </c>
      <c r="B2397">
        <v>2013</v>
      </c>
      <c r="C2397" t="s">
        <v>382</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c r="X2397" s="19">
        <f ca="1">DATE(LifeExpectancyData[[#This Row],[Year]],RANDBETWEEN(1,12),1)</f>
        <v>41306</v>
      </c>
    </row>
    <row r="2398" spans="1:24" x14ac:dyDescent="0.25">
      <c r="A2398" t="s">
        <v>541</v>
      </c>
      <c r="B2398">
        <v>2012</v>
      </c>
      <c r="C2398" t="s">
        <v>382</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c r="X2398" s="19">
        <f ca="1">DATE(LifeExpectancyData[[#This Row],[Year]],RANDBETWEEN(1,12),1)</f>
        <v>41091</v>
      </c>
    </row>
    <row r="2399" spans="1:24" x14ac:dyDescent="0.25">
      <c r="A2399" t="s">
        <v>541</v>
      </c>
      <c r="B2399">
        <v>2011</v>
      </c>
      <c r="C2399" t="s">
        <v>382</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c r="X2399" s="19">
        <f ca="1">DATE(LifeExpectancyData[[#This Row],[Year]],RANDBETWEEN(1,12),1)</f>
        <v>40603</v>
      </c>
    </row>
    <row r="2400" spans="1:24" x14ac:dyDescent="0.25">
      <c r="A2400" t="s">
        <v>541</v>
      </c>
      <c r="B2400">
        <v>2010</v>
      </c>
      <c r="C2400" t="s">
        <v>382</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c r="X2400" s="19">
        <f ca="1">DATE(LifeExpectancyData[[#This Row],[Year]],RANDBETWEEN(1,12),1)</f>
        <v>40513</v>
      </c>
    </row>
    <row r="2401" spans="1:24" x14ac:dyDescent="0.25">
      <c r="A2401" t="s">
        <v>541</v>
      </c>
      <c r="B2401">
        <v>2009</v>
      </c>
      <c r="C2401" t="s">
        <v>382</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c r="X2401" s="19">
        <f ca="1">DATE(LifeExpectancyData[[#This Row],[Year]],RANDBETWEEN(1,12),1)</f>
        <v>39904</v>
      </c>
    </row>
    <row r="2402" spans="1:24" x14ac:dyDescent="0.25">
      <c r="A2402" t="s">
        <v>541</v>
      </c>
      <c r="B2402">
        <v>2008</v>
      </c>
      <c r="C2402" t="s">
        <v>382</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c r="X2402" s="19">
        <f ca="1">DATE(LifeExpectancyData[[#This Row],[Year]],RANDBETWEEN(1,12),1)</f>
        <v>39722</v>
      </c>
    </row>
    <row r="2403" spans="1:24" x14ac:dyDescent="0.25">
      <c r="A2403" t="s">
        <v>541</v>
      </c>
      <c r="B2403">
        <v>2007</v>
      </c>
      <c r="C2403" t="s">
        <v>382</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c r="X2403" s="19">
        <f ca="1">DATE(LifeExpectancyData[[#This Row],[Year]],RANDBETWEEN(1,12),1)</f>
        <v>39417</v>
      </c>
    </row>
    <row r="2404" spans="1:24" x14ac:dyDescent="0.25">
      <c r="A2404" t="s">
        <v>541</v>
      </c>
      <c r="B2404">
        <v>2006</v>
      </c>
      <c r="C2404" t="s">
        <v>382</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c r="X2404" s="19">
        <f ca="1">DATE(LifeExpectancyData[[#This Row],[Year]],RANDBETWEEN(1,12),1)</f>
        <v>38961</v>
      </c>
    </row>
    <row r="2405" spans="1:24" x14ac:dyDescent="0.25">
      <c r="A2405" t="s">
        <v>541</v>
      </c>
      <c r="B2405">
        <v>2005</v>
      </c>
      <c r="C2405" t="s">
        <v>382</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c r="X2405" s="19">
        <f ca="1">DATE(LifeExpectancyData[[#This Row],[Year]],RANDBETWEEN(1,12),1)</f>
        <v>38443</v>
      </c>
    </row>
    <row r="2406" spans="1:24" x14ac:dyDescent="0.25">
      <c r="A2406" t="s">
        <v>541</v>
      </c>
      <c r="B2406">
        <v>2004</v>
      </c>
      <c r="C2406" t="s">
        <v>382</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c r="X2406" s="19">
        <f ca="1">DATE(LifeExpectancyData[[#This Row],[Year]],RANDBETWEEN(1,12),1)</f>
        <v>38261</v>
      </c>
    </row>
    <row r="2407" spans="1:24" x14ac:dyDescent="0.25">
      <c r="A2407" t="s">
        <v>541</v>
      </c>
      <c r="B2407">
        <v>2003</v>
      </c>
      <c r="C2407" t="s">
        <v>382</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c r="X2407" s="19">
        <f ca="1">DATE(LifeExpectancyData[[#This Row],[Year]],RANDBETWEEN(1,12),1)</f>
        <v>37803</v>
      </c>
    </row>
    <row r="2408" spans="1:24" x14ac:dyDescent="0.25">
      <c r="A2408" t="s">
        <v>541</v>
      </c>
      <c r="B2408">
        <v>2002</v>
      </c>
      <c r="C2408" t="s">
        <v>382</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c r="X2408" s="19">
        <f ca="1">DATE(LifeExpectancyData[[#This Row],[Year]],RANDBETWEEN(1,12),1)</f>
        <v>37591</v>
      </c>
    </row>
    <row r="2409" spans="1:24" x14ac:dyDescent="0.25">
      <c r="A2409" t="s">
        <v>541</v>
      </c>
      <c r="B2409">
        <v>2001</v>
      </c>
      <c r="C2409" t="s">
        <v>382</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c r="X2409" s="19">
        <f ca="1">DATE(LifeExpectancyData[[#This Row],[Year]],RANDBETWEEN(1,12),1)</f>
        <v>37073</v>
      </c>
    </row>
    <row r="2410" spans="1:24" x14ac:dyDescent="0.25">
      <c r="A2410" t="s">
        <v>541</v>
      </c>
      <c r="B2410">
        <v>2000</v>
      </c>
      <c r="C2410" t="s">
        <v>382</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c r="X2410" s="19">
        <f ca="1">DATE(LifeExpectancyData[[#This Row],[Year]],RANDBETWEEN(1,12),1)</f>
        <v>36800</v>
      </c>
    </row>
    <row r="2411" spans="1:24" x14ac:dyDescent="0.25">
      <c r="A2411" t="s">
        <v>542</v>
      </c>
      <c r="B2411">
        <v>2015</v>
      </c>
      <c r="C2411" t="s">
        <v>382</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c r="X2411" s="19">
        <f ca="1">DATE(LifeExpectancyData[[#This Row],[Year]],RANDBETWEEN(1,12),1)</f>
        <v>42248</v>
      </c>
    </row>
    <row r="2412" spans="1:24" x14ac:dyDescent="0.25">
      <c r="A2412" t="s">
        <v>542</v>
      </c>
      <c r="B2412">
        <v>2014</v>
      </c>
      <c r="C2412" t="s">
        <v>382</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c r="X2412" s="19">
        <f ca="1">DATE(LifeExpectancyData[[#This Row],[Year]],RANDBETWEEN(1,12),1)</f>
        <v>41974</v>
      </c>
    </row>
    <row r="2413" spans="1:24" x14ac:dyDescent="0.25">
      <c r="A2413" t="s">
        <v>542</v>
      </c>
      <c r="B2413">
        <v>2013</v>
      </c>
      <c r="C2413" t="s">
        <v>382</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c r="X2413" s="19">
        <f ca="1">DATE(LifeExpectancyData[[#This Row],[Year]],RANDBETWEEN(1,12),1)</f>
        <v>41395</v>
      </c>
    </row>
    <row r="2414" spans="1:24" x14ac:dyDescent="0.25">
      <c r="A2414" t="s">
        <v>542</v>
      </c>
      <c r="B2414">
        <v>2012</v>
      </c>
      <c r="C2414" t="s">
        <v>382</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c r="X2414" s="19">
        <f ca="1">DATE(LifeExpectancyData[[#This Row],[Year]],RANDBETWEEN(1,12),1)</f>
        <v>40969</v>
      </c>
    </row>
    <row r="2415" spans="1:24" x14ac:dyDescent="0.25">
      <c r="A2415" t="s">
        <v>542</v>
      </c>
      <c r="B2415">
        <v>2011</v>
      </c>
      <c r="C2415" t="s">
        <v>382</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c r="X2415" s="19">
        <f ca="1">DATE(LifeExpectancyData[[#This Row],[Year]],RANDBETWEEN(1,12),1)</f>
        <v>40695</v>
      </c>
    </row>
    <row r="2416" spans="1:24" x14ac:dyDescent="0.25">
      <c r="A2416" t="s">
        <v>542</v>
      </c>
      <c r="B2416">
        <v>2010</v>
      </c>
      <c r="C2416" t="s">
        <v>382</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c r="X2416" s="19">
        <f ca="1">DATE(LifeExpectancyData[[#This Row],[Year]],RANDBETWEEN(1,12),1)</f>
        <v>40330</v>
      </c>
    </row>
    <row r="2417" spans="1:24" x14ac:dyDescent="0.25">
      <c r="A2417" t="s">
        <v>542</v>
      </c>
      <c r="B2417">
        <v>2009</v>
      </c>
      <c r="C2417" t="s">
        <v>382</v>
      </c>
      <c r="D2417">
        <v>54.3</v>
      </c>
      <c r="E2417">
        <v>369</v>
      </c>
      <c r="F2417">
        <v>27</v>
      </c>
      <c r="H2417">
        <v>0</v>
      </c>
      <c r="J2417">
        <v>0</v>
      </c>
      <c r="L2417">
        <v>42</v>
      </c>
      <c r="P2417">
        <v>4.2</v>
      </c>
      <c r="Q2417">
        <v>1264.78998</v>
      </c>
      <c r="R2417">
        <v>967667</v>
      </c>
      <c r="U2417">
        <v>0</v>
      </c>
      <c r="V2417">
        <v>0</v>
      </c>
      <c r="W2417" t="b">
        <f>Data_Completeness(LifeExpectancyData[[#This Row],[Life expectancy]:[Schooling]])</f>
        <v>0</v>
      </c>
      <c r="X2417" s="19">
        <f ca="1">DATE(LifeExpectancyData[[#This Row],[Year]],RANDBETWEEN(1,12),1)</f>
        <v>39845</v>
      </c>
    </row>
    <row r="2418" spans="1:24" x14ac:dyDescent="0.25">
      <c r="A2418" t="s">
        <v>542</v>
      </c>
      <c r="B2418">
        <v>2008</v>
      </c>
      <c r="C2418" t="s">
        <v>382</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c r="X2418" s="19">
        <f ca="1">DATE(LifeExpectancyData[[#This Row],[Year]],RANDBETWEEN(1,12),1)</f>
        <v>39783</v>
      </c>
    </row>
    <row r="2419" spans="1:24" x14ac:dyDescent="0.25">
      <c r="A2419" t="s">
        <v>542</v>
      </c>
      <c r="B2419">
        <v>2007</v>
      </c>
      <c r="C2419" t="s">
        <v>382</v>
      </c>
      <c r="D2419">
        <v>53.1</v>
      </c>
      <c r="E2419">
        <v>381</v>
      </c>
      <c r="F2419">
        <v>27</v>
      </c>
      <c r="H2419">
        <v>0</v>
      </c>
      <c r="J2419">
        <v>0</v>
      </c>
      <c r="L2419">
        <v>43</v>
      </c>
      <c r="P2419">
        <v>4.2</v>
      </c>
      <c r="R2419">
        <v>88568</v>
      </c>
      <c r="U2419">
        <v>0</v>
      </c>
      <c r="V2419">
        <v>0</v>
      </c>
      <c r="W2419" t="b">
        <f>Data_Completeness(LifeExpectancyData[[#This Row],[Life expectancy]:[Schooling]])</f>
        <v>0</v>
      </c>
      <c r="X2419" s="19">
        <f ca="1">DATE(LifeExpectancyData[[#This Row],[Year]],RANDBETWEEN(1,12),1)</f>
        <v>39142</v>
      </c>
    </row>
    <row r="2420" spans="1:24" x14ac:dyDescent="0.25">
      <c r="A2420" t="s">
        <v>542</v>
      </c>
      <c r="B2420">
        <v>2006</v>
      </c>
      <c r="C2420" t="s">
        <v>382</v>
      </c>
      <c r="D2420">
        <v>52.5</v>
      </c>
      <c r="E2420">
        <v>383</v>
      </c>
      <c r="F2420">
        <v>28</v>
      </c>
      <c r="H2420">
        <v>0</v>
      </c>
      <c r="J2420">
        <v>0</v>
      </c>
      <c r="L2420">
        <v>43</v>
      </c>
      <c r="P2420">
        <v>4.0999999999999996</v>
      </c>
      <c r="R2420">
        <v>8468152</v>
      </c>
      <c r="U2420">
        <v>0</v>
      </c>
      <c r="V2420">
        <v>0</v>
      </c>
      <c r="W2420" t="b">
        <f>Data_Completeness(LifeExpectancyData[[#This Row],[Life expectancy]:[Schooling]])</f>
        <v>0</v>
      </c>
      <c r="X2420" s="19">
        <f ca="1">DATE(LifeExpectancyData[[#This Row],[Year]],RANDBETWEEN(1,12),1)</f>
        <v>38749</v>
      </c>
    </row>
    <row r="2421" spans="1:24" x14ac:dyDescent="0.25">
      <c r="A2421" t="s">
        <v>542</v>
      </c>
      <c r="B2421">
        <v>2005</v>
      </c>
      <c r="C2421" t="s">
        <v>382</v>
      </c>
      <c r="D2421">
        <v>51.9</v>
      </c>
      <c r="E2421">
        <v>383</v>
      </c>
      <c r="F2421">
        <v>28</v>
      </c>
      <c r="H2421">
        <v>0</v>
      </c>
      <c r="J2421">
        <v>0</v>
      </c>
      <c r="L2421">
        <v>44</v>
      </c>
      <c r="P2421">
        <v>3.9</v>
      </c>
      <c r="R2421">
        <v>818877</v>
      </c>
      <c r="U2421">
        <v>0</v>
      </c>
      <c r="V2421">
        <v>0</v>
      </c>
      <c r="W2421" t="b">
        <f>Data_Completeness(LifeExpectancyData[[#This Row],[Life expectancy]:[Schooling]])</f>
        <v>0</v>
      </c>
      <c r="X2421" s="19">
        <f ca="1">DATE(LifeExpectancyData[[#This Row],[Year]],RANDBETWEEN(1,12),1)</f>
        <v>38626</v>
      </c>
    </row>
    <row r="2422" spans="1:24" x14ac:dyDescent="0.25">
      <c r="A2422" t="s">
        <v>542</v>
      </c>
      <c r="B2422">
        <v>2004</v>
      </c>
      <c r="C2422" t="s">
        <v>382</v>
      </c>
      <c r="D2422">
        <v>51.4</v>
      </c>
      <c r="E2422">
        <v>383</v>
      </c>
      <c r="F2422">
        <v>29</v>
      </c>
      <c r="H2422">
        <v>0</v>
      </c>
      <c r="J2422">
        <v>0</v>
      </c>
      <c r="L2422">
        <v>45</v>
      </c>
      <c r="P2422">
        <v>3.8</v>
      </c>
      <c r="R2422">
        <v>7787655</v>
      </c>
      <c r="U2422">
        <v>0</v>
      </c>
      <c r="V2422">
        <v>0</v>
      </c>
      <c r="W2422" t="b">
        <f>Data_Completeness(LifeExpectancyData[[#This Row],[Life expectancy]:[Schooling]])</f>
        <v>0</v>
      </c>
      <c r="X2422" s="19">
        <f ca="1">DATE(LifeExpectancyData[[#This Row],[Year]],RANDBETWEEN(1,12),1)</f>
        <v>38018</v>
      </c>
    </row>
    <row r="2423" spans="1:24" x14ac:dyDescent="0.25">
      <c r="A2423" t="s">
        <v>542</v>
      </c>
      <c r="B2423">
        <v>2003</v>
      </c>
      <c r="C2423" t="s">
        <v>382</v>
      </c>
      <c r="D2423">
        <v>58</v>
      </c>
      <c r="E2423">
        <v>383</v>
      </c>
      <c r="F2423">
        <v>29</v>
      </c>
      <c r="H2423">
        <v>0</v>
      </c>
      <c r="J2423">
        <v>0</v>
      </c>
      <c r="L2423">
        <v>46</v>
      </c>
      <c r="P2423">
        <v>3.5</v>
      </c>
      <c r="R2423">
        <v>751642</v>
      </c>
      <c r="U2423">
        <v>0</v>
      </c>
      <c r="V2423">
        <v>0</v>
      </c>
      <c r="W2423" t="b">
        <f>Data_Completeness(LifeExpectancyData[[#This Row],[Life expectancy]:[Schooling]])</f>
        <v>0</v>
      </c>
      <c r="X2423" s="19">
        <f ca="1">DATE(LifeExpectancyData[[#This Row],[Year]],RANDBETWEEN(1,12),1)</f>
        <v>37895</v>
      </c>
    </row>
    <row r="2424" spans="1:24" x14ac:dyDescent="0.25">
      <c r="A2424" t="s">
        <v>542</v>
      </c>
      <c r="B2424">
        <v>2002</v>
      </c>
      <c r="C2424" t="s">
        <v>382</v>
      </c>
      <c r="D2424">
        <v>52</v>
      </c>
      <c r="E2424">
        <v>382</v>
      </c>
      <c r="F2424">
        <v>30</v>
      </c>
      <c r="H2424">
        <v>0</v>
      </c>
      <c r="J2424">
        <v>0</v>
      </c>
      <c r="L2424">
        <v>48</v>
      </c>
      <c r="P2424">
        <v>3.3</v>
      </c>
      <c r="R2424">
        <v>7237276</v>
      </c>
      <c r="U2424">
        <v>0</v>
      </c>
      <c r="V2424">
        <v>0</v>
      </c>
      <c r="W2424" t="b">
        <f>Data_Completeness(LifeExpectancyData[[#This Row],[Life expectancy]:[Schooling]])</f>
        <v>0</v>
      </c>
      <c r="X2424" s="19">
        <f ca="1">DATE(LifeExpectancyData[[#This Row],[Year]],RANDBETWEEN(1,12),1)</f>
        <v>37500</v>
      </c>
    </row>
    <row r="2425" spans="1:24" x14ac:dyDescent="0.25">
      <c r="A2425" t="s">
        <v>542</v>
      </c>
      <c r="B2425">
        <v>2001</v>
      </c>
      <c r="C2425" t="s">
        <v>382</v>
      </c>
      <c r="D2425">
        <v>49.6</v>
      </c>
      <c r="E2425">
        <v>381</v>
      </c>
      <c r="F2425">
        <v>30</v>
      </c>
      <c r="H2425">
        <v>0</v>
      </c>
      <c r="J2425">
        <v>0</v>
      </c>
      <c r="L2425">
        <v>49</v>
      </c>
      <c r="P2425">
        <v>3</v>
      </c>
      <c r="R2425">
        <v>6974442</v>
      </c>
      <c r="U2425">
        <v>0</v>
      </c>
      <c r="V2425">
        <v>0</v>
      </c>
      <c r="W2425" t="b">
        <f>Data_Completeness(LifeExpectancyData[[#This Row],[Life expectancy]:[Schooling]])</f>
        <v>0</v>
      </c>
      <c r="X2425" s="19">
        <f ca="1">DATE(LifeExpectancyData[[#This Row],[Year]],RANDBETWEEN(1,12),1)</f>
        <v>37012</v>
      </c>
    </row>
    <row r="2426" spans="1:24" x14ac:dyDescent="0.25">
      <c r="A2426" t="s">
        <v>542</v>
      </c>
      <c r="B2426">
        <v>2000</v>
      </c>
      <c r="C2426" t="s">
        <v>382</v>
      </c>
      <c r="D2426">
        <v>48.9</v>
      </c>
      <c r="E2426">
        <v>38</v>
      </c>
      <c r="F2426">
        <v>31</v>
      </c>
      <c r="H2426">
        <v>0</v>
      </c>
      <c r="J2426">
        <v>0</v>
      </c>
      <c r="L2426">
        <v>50</v>
      </c>
      <c r="P2426">
        <v>2.7</v>
      </c>
      <c r="R2426">
        <v>67656</v>
      </c>
      <c r="U2426">
        <v>0</v>
      </c>
      <c r="V2426">
        <v>0</v>
      </c>
      <c r="W2426" t="b">
        <f>Data_Completeness(LifeExpectancyData[[#This Row],[Life expectancy]:[Schooling]])</f>
        <v>0</v>
      </c>
      <c r="X2426" s="19">
        <f ca="1">DATE(LifeExpectancyData[[#This Row],[Year]],RANDBETWEEN(1,12),1)</f>
        <v>36800</v>
      </c>
    </row>
    <row r="2427" spans="1:24" x14ac:dyDescent="0.25">
      <c r="A2427" t="s">
        <v>543</v>
      </c>
      <c r="B2427">
        <v>2015</v>
      </c>
      <c r="C2427" t="s">
        <v>390</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c r="X2427" s="19">
        <f ca="1">DATE(LifeExpectancyData[[#This Row],[Year]],RANDBETWEEN(1,12),1)</f>
        <v>42005</v>
      </c>
    </row>
    <row r="2428" spans="1:24" x14ac:dyDescent="0.25">
      <c r="A2428" t="s">
        <v>543</v>
      </c>
      <c r="B2428">
        <v>2014</v>
      </c>
      <c r="C2428" t="s">
        <v>390</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c r="X2428" s="19">
        <f ca="1">DATE(LifeExpectancyData[[#This Row],[Year]],RANDBETWEEN(1,12),1)</f>
        <v>41944</v>
      </c>
    </row>
    <row r="2429" spans="1:24" x14ac:dyDescent="0.25">
      <c r="A2429" t="s">
        <v>543</v>
      </c>
      <c r="B2429">
        <v>2013</v>
      </c>
      <c r="C2429" t="s">
        <v>390</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c r="X2429" s="19">
        <f ca="1">DATE(LifeExpectancyData[[#This Row],[Year]],RANDBETWEEN(1,12),1)</f>
        <v>41487</v>
      </c>
    </row>
    <row r="2430" spans="1:24" x14ac:dyDescent="0.25">
      <c r="A2430" t="s">
        <v>543</v>
      </c>
      <c r="B2430">
        <v>2012</v>
      </c>
      <c r="C2430" t="s">
        <v>390</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c r="X2430" s="19">
        <f ca="1">DATE(LifeExpectancyData[[#This Row],[Year]],RANDBETWEEN(1,12),1)</f>
        <v>41030</v>
      </c>
    </row>
    <row r="2431" spans="1:24" x14ac:dyDescent="0.25">
      <c r="A2431" t="s">
        <v>543</v>
      </c>
      <c r="B2431">
        <v>2011</v>
      </c>
      <c r="C2431" t="s">
        <v>390</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c r="X2431" s="19">
        <f ca="1">DATE(LifeExpectancyData[[#This Row],[Year]],RANDBETWEEN(1,12),1)</f>
        <v>40603</v>
      </c>
    </row>
    <row r="2432" spans="1:24" x14ac:dyDescent="0.25">
      <c r="A2432" t="s">
        <v>543</v>
      </c>
      <c r="B2432">
        <v>2010</v>
      </c>
      <c r="C2432" t="s">
        <v>390</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c r="X2432" s="19">
        <f ca="1">DATE(LifeExpectancyData[[#This Row],[Year]],RANDBETWEEN(1,12),1)</f>
        <v>40210</v>
      </c>
    </row>
    <row r="2433" spans="1:24" x14ac:dyDescent="0.25">
      <c r="A2433" t="s">
        <v>543</v>
      </c>
      <c r="B2433">
        <v>2009</v>
      </c>
      <c r="C2433" t="s">
        <v>390</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c r="X2433" s="19">
        <f ca="1">DATE(LifeExpectancyData[[#This Row],[Year]],RANDBETWEEN(1,12),1)</f>
        <v>40118</v>
      </c>
    </row>
    <row r="2434" spans="1:24" x14ac:dyDescent="0.25">
      <c r="A2434" t="s">
        <v>543</v>
      </c>
      <c r="B2434">
        <v>2008</v>
      </c>
      <c r="C2434" t="s">
        <v>390</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c r="X2434" s="19">
        <f ca="1">DATE(LifeExpectancyData[[#This Row],[Year]],RANDBETWEEN(1,12),1)</f>
        <v>39569</v>
      </c>
    </row>
    <row r="2435" spans="1:24" x14ac:dyDescent="0.25">
      <c r="A2435" t="s">
        <v>543</v>
      </c>
      <c r="B2435">
        <v>2007</v>
      </c>
      <c r="C2435" t="s">
        <v>390</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c r="X2435" s="19">
        <f ca="1">DATE(LifeExpectancyData[[#This Row],[Year]],RANDBETWEEN(1,12),1)</f>
        <v>39203</v>
      </c>
    </row>
    <row r="2436" spans="1:24" x14ac:dyDescent="0.25">
      <c r="A2436" t="s">
        <v>543</v>
      </c>
      <c r="B2436">
        <v>2006</v>
      </c>
      <c r="C2436" t="s">
        <v>390</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c r="X2436" s="19">
        <f ca="1">DATE(LifeExpectancyData[[#This Row],[Year]],RANDBETWEEN(1,12),1)</f>
        <v>38718</v>
      </c>
    </row>
    <row r="2437" spans="1:24" x14ac:dyDescent="0.25">
      <c r="A2437" t="s">
        <v>543</v>
      </c>
      <c r="B2437">
        <v>2005</v>
      </c>
      <c r="C2437" t="s">
        <v>390</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c r="X2437" s="19">
        <f ca="1">DATE(LifeExpectancyData[[#This Row],[Year]],RANDBETWEEN(1,12),1)</f>
        <v>38565</v>
      </c>
    </row>
    <row r="2438" spans="1:24" x14ac:dyDescent="0.25">
      <c r="A2438" t="s">
        <v>543</v>
      </c>
      <c r="B2438">
        <v>2004</v>
      </c>
      <c r="C2438" t="s">
        <v>390</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c r="X2438" s="19">
        <f ca="1">DATE(LifeExpectancyData[[#This Row],[Year]],RANDBETWEEN(1,12),1)</f>
        <v>38139</v>
      </c>
    </row>
    <row r="2439" spans="1:24" x14ac:dyDescent="0.25">
      <c r="A2439" t="s">
        <v>543</v>
      </c>
      <c r="B2439">
        <v>2003</v>
      </c>
      <c r="C2439" t="s">
        <v>390</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c r="X2439" s="19">
        <f ca="1">DATE(LifeExpectancyData[[#This Row],[Year]],RANDBETWEEN(1,12),1)</f>
        <v>37834</v>
      </c>
    </row>
    <row r="2440" spans="1:24" x14ac:dyDescent="0.25">
      <c r="A2440" t="s">
        <v>543</v>
      </c>
      <c r="B2440">
        <v>2002</v>
      </c>
      <c r="C2440" t="s">
        <v>390</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c r="X2440" s="19">
        <f ca="1">DATE(LifeExpectancyData[[#This Row],[Year]],RANDBETWEEN(1,12),1)</f>
        <v>37377</v>
      </c>
    </row>
    <row r="2441" spans="1:24" x14ac:dyDescent="0.25">
      <c r="A2441" t="s">
        <v>543</v>
      </c>
      <c r="B2441">
        <v>2001</v>
      </c>
      <c r="C2441" t="s">
        <v>390</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c r="X2441" s="19">
        <f ca="1">DATE(LifeExpectancyData[[#This Row],[Year]],RANDBETWEEN(1,12),1)</f>
        <v>37196</v>
      </c>
    </row>
    <row r="2442" spans="1:24" x14ac:dyDescent="0.25">
      <c r="A2442" t="s">
        <v>543</v>
      </c>
      <c r="B2442">
        <v>2000</v>
      </c>
      <c r="C2442" t="s">
        <v>390</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c r="X2442" s="19">
        <f ca="1">DATE(LifeExpectancyData[[#This Row],[Year]],RANDBETWEEN(1,12),1)</f>
        <v>36526</v>
      </c>
    </row>
    <row r="2443" spans="1:24" x14ac:dyDescent="0.25">
      <c r="A2443" t="s">
        <v>544</v>
      </c>
      <c r="B2443">
        <v>2015</v>
      </c>
      <c r="C2443" t="s">
        <v>382</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c r="X2443" s="19">
        <f ca="1">DATE(LifeExpectancyData[[#This Row],[Year]],RANDBETWEEN(1,12),1)</f>
        <v>42278</v>
      </c>
    </row>
    <row r="2444" spans="1:24" x14ac:dyDescent="0.25">
      <c r="A2444" t="s">
        <v>544</v>
      </c>
      <c r="B2444">
        <v>2014</v>
      </c>
      <c r="C2444" t="s">
        <v>382</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c r="X2444" s="19">
        <f ca="1">DATE(LifeExpectancyData[[#This Row],[Year]],RANDBETWEEN(1,12),1)</f>
        <v>41883</v>
      </c>
    </row>
    <row r="2445" spans="1:24" x14ac:dyDescent="0.25">
      <c r="A2445" t="s">
        <v>544</v>
      </c>
      <c r="B2445">
        <v>2013</v>
      </c>
      <c r="C2445" t="s">
        <v>382</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c r="X2445" s="19">
        <f ca="1">DATE(LifeExpectancyData[[#This Row],[Year]],RANDBETWEEN(1,12),1)</f>
        <v>41518</v>
      </c>
    </row>
    <row r="2446" spans="1:24" x14ac:dyDescent="0.25">
      <c r="A2446" t="s">
        <v>544</v>
      </c>
      <c r="B2446">
        <v>2012</v>
      </c>
      <c r="C2446" t="s">
        <v>382</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c r="X2446" s="19">
        <f ca="1">DATE(LifeExpectancyData[[#This Row],[Year]],RANDBETWEEN(1,12),1)</f>
        <v>41091</v>
      </c>
    </row>
    <row r="2447" spans="1:24" x14ac:dyDescent="0.25">
      <c r="A2447" t="s">
        <v>544</v>
      </c>
      <c r="B2447">
        <v>2011</v>
      </c>
      <c r="C2447" t="s">
        <v>382</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c r="X2447" s="19">
        <f ca="1">DATE(LifeExpectancyData[[#This Row],[Year]],RANDBETWEEN(1,12),1)</f>
        <v>40603</v>
      </c>
    </row>
    <row r="2448" spans="1:24" x14ac:dyDescent="0.25">
      <c r="A2448" t="s">
        <v>544</v>
      </c>
      <c r="B2448">
        <v>2010</v>
      </c>
      <c r="C2448" t="s">
        <v>382</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c r="X2448" s="19">
        <f ca="1">DATE(LifeExpectancyData[[#This Row],[Year]],RANDBETWEEN(1,12),1)</f>
        <v>40391</v>
      </c>
    </row>
    <row r="2449" spans="1:24" x14ac:dyDescent="0.25">
      <c r="A2449" t="s">
        <v>544</v>
      </c>
      <c r="B2449">
        <v>2009</v>
      </c>
      <c r="C2449" t="s">
        <v>382</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c r="X2449" s="19">
        <f ca="1">DATE(LifeExpectancyData[[#This Row],[Year]],RANDBETWEEN(1,12),1)</f>
        <v>39814</v>
      </c>
    </row>
    <row r="2450" spans="1:24" x14ac:dyDescent="0.25">
      <c r="A2450" t="s">
        <v>544</v>
      </c>
      <c r="B2450">
        <v>2008</v>
      </c>
      <c r="C2450" t="s">
        <v>382</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c r="X2450" s="19">
        <f ca="1">DATE(LifeExpectancyData[[#This Row],[Year]],RANDBETWEEN(1,12),1)</f>
        <v>39479</v>
      </c>
    </row>
    <row r="2451" spans="1:24" x14ac:dyDescent="0.25">
      <c r="A2451" t="s">
        <v>544</v>
      </c>
      <c r="B2451">
        <v>2007</v>
      </c>
      <c r="C2451" t="s">
        <v>382</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c r="X2451" s="19">
        <f ca="1">DATE(LifeExpectancyData[[#This Row],[Year]],RANDBETWEEN(1,12),1)</f>
        <v>39417</v>
      </c>
    </row>
    <row r="2452" spans="1:24" x14ac:dyDescent="0.25">
      <c r="A2452" t="s">
        <v>544</v>
      </c>
      <c r="B2452">
        <v>2006</v>
      </c>
      <c r="C2452" t="s">
        <v>382</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c r="X2452" s="19">
        <f ca="1">DATE(LifeExpectancyData[[#This Row],[Year]],RANDBETWEEN(1,12),1)</f>
        <v>38718</v>
      </c>
    </row>
    <row r="2453" spans="1:24" x14ac:dyDescent="0.25">
      <c r="A2453" t="s">
        <v>544</v>
      </c>
      <c r="B2453">
        <v>2005</v>
      </c>
      <c r="C2453" t="s">
        <v>382</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c r="X2453" s="19">
        <f ca="1">DATE(LifeExpectancyData[[#This Row],[Year]],RANDBETWEEN(1,12),1)</f>
        <v>38687</v>
      </c>
    </row>
    <row r="2454" spans="1:24" x14ac:dyDescent="0.25">
      <c r="A2454" t="s">
        <v>544</v>
      </c>
      <c r="B2454">
        <v>2004</v>
      </c>
      <c r="C2454" t="s">
        <v>382</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c r="X2454" s="19">
        <f ca="1">DATE(LifeExpectancyData[[#This Row],[Year]],RANDBETWEEN(1,12),1)</f>
        <v>37987</v>
      </c>
    </row>
    <row r="2455" spans="1:24" x14ac:dyDescent="0.25">
      <c r="A2455" t="s">
        <v>544</v>
      </c>
      <c r="B2455">
        <v>2003</v>
      </c>
      <c r="C2455" t="s">
        <v>382</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c r="X2455" s="19">
        <f ca="1">DATE(LifeExpectancyData[[#This Row],[Year]],RANDBETWEEN(1,12),1)</f>
        <v>37956</v>
      </c>
    </row>
    <row r="2456" spans="1:24" x14ac:dyDescent="0.25">
      <c r="A2456" t="s">
        <v>544</v>
      </c>
      <c r="B2456">
        <v>2002</v>
      </c>
      <c r="C2456" t="s">
        <v>382</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c r="X2456" s="19">
        <f ca="1">DATE(LifeExpectancyData[[#This Row],[Year]],RANDBETWEEN(1,12),1)</f>
        <v>37561</v>
      </c>
    </row>
    <row r="2457" spans="1:24" x14ac:dyDescent="0.25">
      <c r="A2457" t="s">
        <v>544</v>
      </c>
      <c r="B2457">
        <v>2001</v>
      </c>
      <c r="C2457" t="s">
        <v>382</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c r="X2457" s="19">
        <f ca="1">DATE(LifeExpectancyData[[#This Row],[Year]],RANDBETWEEN(1,12),1)</f>
        <v>37226</v>
      </c>
    </row>
    <row r="2458" spans="1:24" x14ac:dyDescent="0.25">
      <c r="A2458" t="s">
        <v>544</v>
      </c>
      <c r="B2458">
        <v>2000</v>
      </c>
      <c r="C2458" t="s">
        <v>382</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c r="X2458" s="19">
        <f ca="1">DATE(LifeExpectancyData[[#This Row],[Year]],RANDBETWEEN(1,12),1)</f>
        <v>36800</v>
      </c>
    </row>
    <row r="2459" spans="1:24" x14ac:dyDescent="0.25">
      <c r="A2459" t="s">
        <v>545</v>
      </c>
      <c r="B2459">
        <v>2015</v>
      </c>
      <c r="C2459" t="s">
        <v>382</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c r="X2459" s="19">
        <f ca="1">DATE(LifeExpectancyData[[#This Row],[Year]],RANDBETWEEN(1,12),1)</f>
        <v>42156</v>
      </c>
    </row>
    <row r="2460" spans="1:24" x14ac:dyDescent="0.25">
      <c r="A2460" t="s">
        <v>545</v>
      </c>
      <c r="B2460">
        <v>2014</v>
      </c>
      <c r="C2460" t="s">
        <v>382</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c r="X2460" s="19">
        <f ca="1">DATE(LifeExpectancyData[[#This Row],[Year]],RANDBETWEEN(1,12),1)</f>
        <v>41883</v>
      </c>
    </row>
    <row r="2461" spans="1:24" x14ac:dyDescent="0.25">
      <c r="A2461" t="s">
        <v>545</v>
      </c>
      <c r="B2461">
        <v>2013</v>
      </c>
      <c r="C2461" t="s">
        <v>382</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c r="X2461" s="19">
        <f ca="1">DATE(LifeExpectancyData[[#This Row],[Year]],RANDBETWEEN(1,12),1)</f>
        <v>41609</v>
      </c>
    </row>
    <row r="2462" spans="1:24" x14ac:dyDescent="0.25">
      <c r="A2462" t="s">
        <v>545</v>
      </c>
      <c r="B2462">
        <v>2012</v>
      </c>
      <c r="C2462" t="s">
        <v>382</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c r="X2462" s="19">
        <f ca="1">DATE(LifeExpectancyData[[#This Row],[Year]],RANDBETWEEN(1,12),1)</f>
        <v>41183</v>
      </c>
    </row>
    <row r="2463" spans="1:24" x14ac:dyDescent="0.25">
      <c r="A2463" t="s">
        <v>545</v>
      </c>
      <c r="B2463">
        <v>2011</v>
      </c>
      <c r="C2463" t="s">
        <v>382</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c r="X2463" s="19">
        <f ca="1">DATE(LifeExpectancyData[[#This Row],[Year]],RANDBETWEEN(1,12),1)</f>
        <v>40664</v>
      </c>
    </row>
    <row r="2464" spans="1:24" x14ac:dyDescent="0.25">
      <c r="A2464" t="s">
        <v>545</v>
      </c>
      <c r="B2464">
        <v>2010</v>
      </c>
      <c r="C2464" t="s">
        <v>382</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c r="X2464" s="19">
        <f ca="1">DATE(LifeExpectancyData[[#This Row],[Year]],RANDBETWEEN(1,12),1)</f>
        <v>40238</v>
      </c>
    </row>
    <row r="2465" spans="1:24" x14ac:dyDescent="0.25">
      <c r="A2465" t="s">
        <v>545</v>
      </c>
      <c r="B2465">
        <v>2009</v>
      </c>
      <c r="C2465" t="s">
        <v>382</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c r="X2465" s="19">
        <f ca="1">DATE(LifeExpectancyData[[#This Row],[Year]],RANDBETWEEN(1,12),1)</f>
        <v>39873</v>
      </c>
    </row>
    <row r="2466" spans="1:24" x14ac:dyDescent="0.25">
      <c r="A2466" t="s">
        <v>545</v>
      </c>
      <c r="B2466">
        <v>2008</v>
      </c>
      <c r="C2466" t="s">
        <v>382</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c r="X2466" s="19">
        <f ca="1">DATE(LifeExpectancyData[[#This Row],[Year]],RANDBETWEEN(1,12),1)</f>
        <v>39539</v>
      </c>
    </row>
    <row r="2467" spans="1:24" x14ac:dyDescent="0.25">
      <c r="A2467" t="s">
        <v>545</v>
      </c>
      <c r="B2467">
        <v>2007</v>
      </c>
      <c r="C2467" t="s">
        <v>382</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c r="X2467" s="19">
        <f ca="1">DATE(LifeExpectancyData[[#This Row],[Year]],RANDBETWEEN(1,12),1)</f>
        <v>39142</v>
      </c>
    </row>
    <row r="2468" spans="1:24" x14ac:dyDescent="0.25">
      <c r="A2468" t="s">
        <v>545</v>
      </c>
      <c r="B2468">
        <v>2006</v>
      </c>
      <c r="C2468" t="s">
        <v>382</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c r="X2468" s="19">
        <f ca="1">DATE(LifeExpectancyData[[#This Row],[Year]],RANDBETWEEN(1,12),1)</f>
        <v>38869</v>
      </c>
    </row>
    <row r="2469" spans="1:24" x14ac:dyDescent="0.25">
      <c r="A2469" t="s">
        <v>545</v>
      </c>
      <c r="B2469">
        <v>2005</v>
      </c>
      <c r="C2469" t="s">
        <v>382</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c r="X2469" s="19">
        <f ca="1">DATE(LifeExpectancyData[[#This Row],[Year]],RANDBETWEEN(1,12),1)</f>
        <v>38504</v>
      </c>
    </row>
    <row r="2470" spans="1:24" x14ac:dyDescent="0.25">
      <c r="A2470" t="s">
        <v>545</v>
      </c>
      <c r="B2470">
        <v>2004</v>
      </c>
      <c r="C2470" t="s">
        <v>382</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c r="X2470" s="19">
        <f ca="1">DATE(LifeExpectancyData[[#This Row],[Year]],RANDBETWEEN(1,12),1)</f>
        <v>38322</v>
      </c>
    </row>
    <row r="2471" spans="1:24" x14ac:dyDescent="0.25">
      <c r="A2471" t="s">
        <v>545</v>
      </c>
      <c r="B2471">
        <v>2003</v>
      </c>
      <c r="C2471" t="s">
        <v>382</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c r="X2471" s="19">
        <f ca="1">DATE(LifeExpectancyData[[#This Row],[Year]],RANDBETWEEN(1,12),1)</f>
        <v>37956</v>
      </c>
    </row>
    <row r="2472" spans="1:24" x14ac:dyDescent="0.25">
      <c r="A2472" t="s">
        <v>545</v>
      </c>
      <c r="B2472">
        <v>2002</v>
      </c>
      <c r="C2472" t="s">
        <v>382</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c r="X2472" s="19">
        <f ca="1">DATE(LifeExpectancyData[[#This Row],[Year]],RANDBETWEEN(1,12),1)</f>
        <v>37561</v>
      </c>
    </row>
    <row r="2473" spans="1:24" x14ac:dyDescent="0.25">
      <c r="A2473" t="s">
        <v>545</v>
      </c>
      <c r="B2473">
        <v>2001</v>
      </c>
      <c r="C2473" t="s">
        <v>382</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c r="X2473" s="19">
        <f ca="1">DATE(LifeExpectancyData[[#This Row],[Year]],RANDBETWEEN(1,12),1)</f>
        <v>36951</v>
      </c>
    </row>
    <row r="2474" spans="1:24" x14ac:dyDescent="0.25">
      <c r="A2474" t="s">
        <v>545</v>
      </c>
      <c r="B2474">
        <v>2000</v>
      </c>
      <c r="C2474" t="s">
        <v>382</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c r="X2474" s="19">
        <f ca="1">DATE(LifeExpectancyData[[#This Row],[Year]],RANDBETWEEN(1,12),1)</f>
        <v>36770</v>
      </c>
    </row>
    <row r="2475" spans="1:24" x14ac:dyDescent="0.25">
      <c r="A2475" t="s">
        <v>546</v>
      </c>
      <c r="B2475">
        <v>2015</v>
      </c>
      <c r="C2475" t="s">
        <v>382</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c r="X2475" s="19">
        <f ca="1">DATE(LifeExpectancyData[[#This Row],[Year]],RANDBETWEEN(1,12),1)</f>
        <v>42095</v>
      </c>
    </row>
    <row r="2476" spans="1:24" x14ac:dyDescent="0.25">
      <c r="A2476" t="s">
        <v>546</v>
      </c>
      <c r="B2476">
        <v>2014</v>
      </c>
      <c r="C2476" t="s">
        <v>382</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c r="X2476" s="19">
        <f ca="1">DATE(LifeExpectancyData[[#This Row],[Year]],RANDBETWEEN(1,12),1)</f>
        <v>41730</v>
      </c>
    </row>
    <row r="2477" spans="1:24" x14ac:dyDescent="0.25">
      <c r="A2477" t="s">
        <v>546</v>
      </c>
      <c r="B2477">
        <v>2013</v>
      </c>
      <c r="C2477" t="s">
        <v>382</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c r="X2477" s="19">
        <f ca="1">DATE(LifeExpectancyData[[#This Row],[Year]],RANDBETWEEN(1,12),1)</f>
        <v>41609</v>
      </c>
    </row>
    <row r="2478" spans="1:24" x14ac:dyDescent="0.25">
      <c r="A2478" t="s">
        <v>546</v>
      </c>
      <c r="B2478">
        <v>2012</v>
      </c>
      <c r="C2478" t="s">
        <v>382</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c r="X2478" s="19">
        <f ca="1">DATE(LifeExpectancyData[[#This Row],[Year]],RANDBETWEEN(1,12),1)</f>
        <v>41244</v>
      </c>
    </row>
    <row r="2479" spans="1:24" x14ac:dyDescent="0.25">
      <c r="A2479" t="s">
        <v>546</v>
      </c>
      <c r="B2479">
        <v>2011</v>
      </c>
      <c r="C2479" t="s">
        <v>382</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c r="X2479" s="19">
        <f ca="1">DATE(LifeExpectancyData[[#This Row],[Year]],RANDBETWEEN(1,12),1)</f>
        <v>40634</v>
      </c>
    </row>
    <row r="2480" spans="1:24" x14ac:dyDescent="0.25">
      <c r="A2480" t="s">
        <v>546</v>
      </c>
      <c r="B2480">
        <v>2010</v>
      </c>
      <c r="C2480" t="s">
        <v>382</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c r="X2480" s="19">
        <f ca="1">DATE(LifeExpectancyData[[#This Row],[Year]],RANDBETWEEN(1,12),1)</f>
        <v>40238</v>
      </c>
    </row>
    <row r="2481" spans="1:24" x14ac:dyDescent="0.25">
      <c r="A2481" t="s">
        <v>546</v>
      </c>
      <c r="B2481">
        <v>2009</v>
      </c>
      <c r="C2481" t="s">
        <v>382</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c r="X2481" s="19">
        <f ca="1">DATE(LifeExpectancyData[[#This Row],[Year]],RANDBETWEEN(1,12),1)</f>
        <v>39814</v>
      </c>
    </row>
    <row r="2482" spans="1:24" x14ac:dyDescent="0.25">
      <c r="A2482" t="s">
        <v>546</v>
      </c>
      <c r="B2482">
        <v>2008</v>
      </c>
      <c r="C2482" t="s">
        <v>382</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c r="X2482" s="19">
        <f ca="1">DATE(LifeExpectancyData[[#This Row],[Year]],RANDBETWEEN(1,12),1)</f>
        <v>39661</v>
      </c>
    </row>
    <row r="2483" spans="1:24" x14ac:dyDescent="0.25">
      <c r="A2483" t="s">
        <v>546</v>
      </c>
      <c r="B2483">
        <v>2007</v>
      </c>
      <c r="C2483" t="s">
        <v>382</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c r="X2483" s="19">
        <f ca="1">DATE(LifeExpectancyData[[#This Row],[Year]],RANDBETWEEN(1,12),1)</f>
        <v>39173</v>
      </c>
    </row>
    <row r="2484" spans="1:24" x14ac:dyDescent="0.25">
      <c r="A2484" t="s">
        <v>546</v>
      </c>
      <c r="B2484">
        <v>2006</v>
      </c>
      <c r="C2484" t="s">
        <v>382</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c r="X2484" s="19">
        <f ca="1">DATE(LifeExpectancyData[[#This Row],[Year]],RANDBETWEEN(1,12),1)</f>
        <v>38808</v>
      </c>
    </row>
    <row r="2485" spans="1:24" x14ac:dyDescent="0.25">
      <c r="A2485" t="s">
        <v>546</v>
      </c>
      <c r="B2485">
        <v>2005</v>
      </c>
      <c r="C2485" t="s">
        <v>382</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c r="X2485" s="19">
        <f ca="1">DATE(LifeExpectancyData[[#This Row],[Year]],RANDBETWEEN(1,12),1)</f>
        <v>38626</v>
      </c>
    </row>
    <row r="2486" spans="1:24" x14ac:dyDescent="0.25">
      <c r="A2486" t="s">
        <v>546</v>
      </c>
      <c r="B2486">
        <v>2004</v>
      </c>
      <c r="C2486" t="s">
        <v>382</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c r="X2486" s="19">
        <f ca="1">DATE(LifeExpectancyData[[#This Row],[Year]],RANDBETWEEN(1,12),1)</f>
        <v>38047</v>
      </c>
    </row>
    <row r="2487" spans="1:24" x14ac:dyDescent="0.25">
      <c r="A2487" t="s">
        <v>546</v>
      </c>
      <c r="B2487">
        <v>2003</v>
      </c>
      <c r="C2487" t="s">
        <v>382</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c r="X2487" s="19">
        <f ca="1">DATE(LifeExpectancyData[[#This Row],[Year]],RANDBETWEEN(1,12),1)</f>
        <v>37956</v>
      </c>
    </row>
    <row r="2488" spans="1:24" x14ac:dyDescent="0.25">
      <c r="A2488" t="s">
        <v>546</v>
      </c>
      <c r="B2488">
        <v>2002</v>
      </c>
      <c r="C2488" t="s">
        <v>382</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c r="X2488" s="19">
        <f ca="1">DATE(LifeExpectancyData[[#This Row],[Year]],RANDBETWEEN(1,12),1)</f>
        <v>37408</v>
      </c>
    </row>
    <row r="2489" spans="1:24" x14ac:dyDescent="0.25">
      <c r="A2489" t="s">
        <v>546</v>
      </c>
      <c r="B2489">
        <v>2001</v>
      </c>
      <c r="C2489" t="s">
        <v>382</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c r="X2489" s="19">
        <f ca="1">DATE(LifeExpectancyData[[#This Row],[Year]],RANDBETWEEN(1,12),1)</f>
        <v>37043</v>
      </c>
    </row>
    <row r="2490" spans="1:24" x14ac:dyDescent="0.25">
      <c r="A2490" t="s">
        <v>546</v>
      </c>
      <c r="B2490">
        <v>2000</v>
      </c>
      <c r="C2490" t="s">
        <v>382</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c r="X2490" s="19">
        <f ca="1">DATE(LifeExpectancyData[[#This Row],[Year]],RANDBETWEEN(1,12),1)</f>
        <v>36861</v>
      </c>
    </row>
    <row r="2491" spans="1:24" x14ac:dyDescent="0.25">
      <c r="A2491" t="s">
        <v>547</v>
      </c>
      <c r="B2491">
        <v>2015</v>
      </c>
      <c r="C2491" t="s">
        <v>382</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c r="X2491" s="19">
        <f ca="1">DATE(LifeExpectancyData[[#This Row],[Year]],RANDBETWEEN(1,12),1)</f>
        <v>42156</v>
      </c>
    </row>
    <row r="2492" spans="1:24" x14ac:dyDescent="0.25">
      <c r="A2492" t="s">
        <v>547</v>
      </c>
      <c r="B2492">
        <v>2014</v>
      </c>
      <c r="C2492" t="s">
        <v>382</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c r="X2492" s="19">
        <f ca="1">DATE(LifeExpectancyData[[#This Row],[Year]],RANDBETWEEN(1,12),1)</f>
        <v>41671</v>
      </c>
    </row>
    <row r="2493" spans="1:24" x14ac:dyDescent="0.25">
      <c r="A2493" t="s">
        <v>547</v>
      </c>
      <c r="B2493">
        <v>2013</v>
      </c>
      <c r="C2493" t="s">
        <v>382</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c r="X2493" s="19">
        <f ca="1">DATE(LifeExpectancyData[[#This Row],[Year]],RANDBETWEEN(1,12),1)</f>
        <v>41518</v>
      </c>
    </row>
    <row r="2494" spans="1:24" x14ac:dyDescent="0.25">
      <c r="A2494" t="s">
        <v>547</v>
      </c>
      <c r="B2494">
        <v>2012</v>
      </c>
      <c r="C2494" t="s">
        <v>382</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c r="X2494" s="19">
        <f ca="1">DATE(LifeExpectancyData[[#This Row],[Year]],RANDBETWEEN(1,12),1)</f>
        <v>41000</v>
      </c>
    </row>
    <row r="2495" spans="1:24" x14ac:dyDescent="0.25">
      <c r="A2495" t="s">
        <v>547</v>
      </c>
      <c r="B2495">
        <v>2011</v>
      </c>
      <c r="C2495" t="s">
        <v>382</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c r="X2495" s="19">
        <f ca="1">DATE(LifeExpectancyData[[#This Row],[Year]],RANDBETWEEN(1,12),1)</f>
        <v>40787</v>
      </c>
    </row>
    <row r="2496" spans="1:24" x14ac:dyDescent="0.25">
      <c r="A2496" t="s">
        <v>547</v>
      </c>
      <c r="B2496">
        <v>2010</v>
      </c>
      <c r="C2496" t="s">
        <v>382</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c r="X2496" s="19">
        <f ca="1">DATE(LifeExpectancyData[[#This Row],[Year]],RANDBETWEEN(1,12),1)</f>
        <v>40330</v>
      </c>
    </row>
    <row r="2497" spans="1:24" x14ac:dyDescent="0.25">
      <c r="A2497" t="s">
        <v>547</v>
      </c>
      <c r="B2497">
        <v>2009</v>
      </c>
      <c r="C2497" t="s">
        <v>382</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c r="X2497" s="19">
        <f ca="1">DATE(LifeExpectancyData[[#This Row],[Year]],RANDBETWEEN(1,12),1)</f>
        <v>39845</v>
      </c>
    </row>
    <row r="2498" spans="1:24" x14ac:dyDescent="0.25">
      <c r="A2498" t="s">
        <v>547</v>
      </c>
      <c r="B2498">
        <v>2008</v>
      </c>
      <c r="C2498" t="s">
        <v>382</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c r="X2498" s="19">
        <f ca="1">DATE(LifeExpectancyData[[#This Row],[Year]],RANDBETWEEN(1,12),1)</f>
        <v>39539</v>
      </c>
    </row>
    <row r="2499" spans="1:24" x14ac:dyDescent="0.25">
      <c r="A2499" t="s">
        <v>547</v>
      </c>
      <c r="B2499">
        <v>2007</v>
      </c>
      <c r="C2499" t="s">
        <v>382</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c r="X2499" s="19">
        <f ca="1">DATE(LifeExpectancyData[[#This Row],[Year]],RANDBETWEEN(1,12),1)</f>
        <v>39356</v>
      </c>
    </row>
    <row r="2500" spans="1:24" x14ac:dyDescent="0.25">
      <c r="A2500" t="s">
        <v>547</v>
      </c>
      <c r="B2500">
        <v>2006</v>
      </c>
      <c r="C2500" t="s">
        <v>382</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c r="X2500" s="19">
        <f ca="1">DATE(LifeExpectancyData[[#This Row],[Year]],RANDBETWEEN(1,12),1)</f>
        <v>39022</v>
      </c>
    </row>
    <row r="2501" spans="1:24" x14ac:dyDescent="0.25">
      <c r="A2501" t="s">
        <v>547</v>
      </c>
      <c r="B2501">
        <v>2005</v>
      </c>
      <c r="C2501" t="s">
        <v>382</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c r="X2501" s="19">
        <f ca="1">DATE(LifeExpectancyData[[#This Row],[Year]],RANDBETWEEN(1,12),1)</f>
        <v>38443</v>
      </c>
    </row>
    <row r="2502" spans="1:24" x14ac:dyDescent="0.25">
      <c r="A2502" t="s">
        <v>547</v>
      </c>
      <c r="B2502">
        <v>2004</v>
      </c>
      <c r="C2502" t="s">
        <v>382</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c r="X2502" s="19">
        <f ca="1">DATE(LifeExpectancyData[[#This Row],[Year]],RANDBETWEEN(1,12),1)</f>
        <v>38322</v>
      </c>
    </row>
    <row r="2503" spans="1:24" x14ac:dyDescent="0.25">
      <c r="A2503" t="s">
        <v>547</v>
      </c>
      <c r="B2503">
        <v>2003</v>
      </c>
      <c r="C2503" t="s">
        <v>382</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c r="X2503" s="19">
        <f ca="1">DATE(LifeExpectancyData[[#This Row],[Year]],RANDBETWEEN(1,12),1)</f>
        <v>37834</v>
      </c>
    </row>
    <row r="2504" spans="1:24" x14ac:dyDescent="0.25">
      <c r="A2504" t="s">
        <v>547</v>
      </c>
      <c r="B2504">
        <v>2002</v>
      </c>
      <c r="C2504" t="s">
        <v>382</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c r="X2504" s="19">
        <f ca="1">DATE(LifeExpectancyData[[#This Row],[Year]],RANDBETWEEN(1,12),1)</f>
        <v>37377</v>
      </c>
    </row>
    <row r="2505" spans="1:24" x14ac:dyDescent="0.25">
      <c r="A2505" t="s">
        <v>547</v>
      </c>
      <c r="B2505">
        <v>2001</v>
      </c>
      <c r="C2505" t="s">
        <v>382</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c r="X2505" s="19">
        <f ca="1">DATE(LifeExpectancyData[[#This Row],[Year]],RANDBETWEEN(1,12),1)</f>
        <v>36923</v>
      </c>
    </row>
    <row r="2506" spans="1:24" x14ac:dyDescent="0.25">
      <c r="A2506" t="s">
        <v>547</v>
      </c>
      <c r="B2506">
        <v>2000</v>
      </c>
      <c r="C2506" t="s">
        <v>382</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c r="X2506" s="19">
        <f ca="1">DATE(LifeExpectancyData[[#This Row],[Year]],RANDBETWEEN(1,12),1)</f>
        <v>36647</v>
      </c>
    </row>
    <row r="2507" spans="1:24" x14ac:dyDescent="0.25">
      <c r="A2507" t="s">
        <v>548</v>
      </c>
      <c r="B2507">
        <v>2015</v>
      </c>
      <c r="C2507" t="s">
        <v>390</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c r="X2507" s="19">
        <f ca="1">DATE(LifeExpectancyData[[#This Row],[Year]],RANDBETWEEN(1,12),1)</f>
        <v>42278</v>
      </c>
    </row>
    <row r="2508" spans="1:24" x14ac:dyDescent="0.25">
      <c r="A2508" t="s">
        <v>548</v>
      </c>
      <c r="B2508">
        <v>2014</v>
      </c>
      <c r="C2508" t="s">
        <v>390</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c r="X2508" s="19">
        <f ca="1">DATE(LifeExpectancyData[[#This Row],[Year]],RANDBETWEEN(1,12),1)</f>
        <v>41730</v>
      </c>
    </row>
    <row r="2509" spans="1:24" x14ac:dyDescent="0.25">
      <c r="A2509" t="s">
        <v>548</v>
      </c>
      <c r="B2509">
        <v>2013</v>
      </c>
      <c r="C2509" t="s">
        <v>390</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c r="X2509" s="19">
        <f ca="1">DATE(LifeExpectancyData[[#This Row],[Year]],RANDBETWEEN(1,12),1)</f>
        <v>41487</v>
      </c>
    </row>
    <row r="2510" spans="1:24" x14ac:dyDescent="0.25">
      <c r="A2510" t="s">
        <v>548</v>
      </c>
      <c r="B2510">
        <v>2012</v>
      </c>
      <c r="C2510" t="s">
        <v>390</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c r="X2510" s="19">
        <f ca="1">DATE(LifeExpectancyData[[#This Row],[Year]],RANDBETWEEN(1,12),1)</f>
        <v>41183</v>
      </c>
    </row>
    <row r="2511" spans="1:24" x14ac:dyDescent="0.25">
      <c r="A2511" t="s">
        <v>548</v>
      </c>
      <c r="B2511">
        <v>2011</v>
      </c>
      <c r="C2511" t="s">
        <v>390</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c r="X2511" s="19">
        <f ca="1">DATE(LifeExpectancyData[[#This Row],[Year]],RANDBETWEEN(1,12),1)</f>
        <v>40817</v>
      </c>
    </row>
    <row r="2512" spans="1:24" x14ac:dyDescent="0.25">
      <c r="A2512" t="s">
        <v>548</v>
      </c>
      <c r="B2512">
        <v>2010</v>
      </c>
      <c r="C2512" t="s">
        <v>390</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c r="X2512" s="19">
        <f ca="1">DATE(LifeExpectancyData[[#This Row],[Year]],RANDBETWEEN(1,12),1)</f>
        <v>40360</v>
      </c>
    </row>
    <row r="2513" spans="1:24" x14ac:dyDescent="0.25">
      <c r="A2513" t="s">
        <v>548</v>
      </c>
      <c r="B2513">
        <v>2009</v>
      </c>
      <c r="C2513" t="s">
        <v>390</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c r="X2513" s="19">
        <f ca="1">DATE(LifeExpectancyData[[#This Row],[Year]],RANDBETWEEN(1,12),1)</f>
        <v>39904</v>
      </c>
    </row>
    <row r="2514" spans="1:24" x14ac:dyDescent="0.25">
      <c r="A2514" t="s">
        <v>548</v>
      </c>
      <c r="B2514">
        <v>2008</v>
      </c>
      <c r="C2514" t="s">
        <v>390</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c r="X2514" s="19">
        <f ca="1">DATE(LifeExpectancyData[[#This Row],[Year]],RANDBETWEEN(1,12),1)</f>
        <v>39722</v>
      </c>
    </row>
    <row r="2515" spans="1:24" x14ac:dyDescent="0.25">
      <c r="A2515" t="s">
        <v>548</v>
      </c>
      <c r="B2515">
        <v>2007</v>
      </c>
      <c r="C2515" t="s">
        <v>390</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c r="X2515" s="19">
        <f ca="1">DATE(LifeExpectancyData[[#This Row],[Year]],RANDBETWEEN(1,12),1)</f>
        <v>39295</v>
      </c>
    </row>
    <row r="2516" spans="1:24" x14ac:dyDescent="0.25">
      <c r="A2516" t="s">
        <v>548</v>
      </c>
      <c r="B2516">
        <v>2006</v>
      </c>
      <c r="C2516" t="s">
        <v>390</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c r="X2516" s="19">
        <f ca="1">DATE(LifeExpectancyData[[#This Row],[Year]],RANDBETWEEN(1,12),1)</f>
        <v>38869</v>
      </c>
    </row>
    <row r="2517" spans="1:24" x14ac:dyDescent="0.25">
      <c r="A2517" t="s">
        <v>548</v>
      </c>
      <c r="B2517">
        <v>2005</v>
      </c>
      <c r="C2517" t="s">
        <v>390</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c r="X2517" s="19">
        <f ca="1">DATE(LifeExpectancyData[[#This Row],[Year]],RANDBETWEEN(1,12),1)</f>
        <v>38657</v>
      </c>
    </row>
    <row r="2518" spans="1:24" x14ac:dyDescent="0.25">
      <c r="A2518" t="s">
        <v>548</v>
      </c>
      <c r="B2518">
        <v>2004</v>
      </c>
      <c r="C2518" t="s">
        <v>390</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c r="X2518" s="19">
        <f ca="1">DATE(LifeExpectancyData[[#This Row],[Year]],RANDBETWEEN(1,12),1)</f>
        <v>38322</v>
      </c>
    </row>
    <row r="2519" spans="1:24" x14ac:dyDescent="0.25">
      <c r="A2519" t="s">
        <v>548</v>
      </c>
      <c r="B2519">
        <v>2003</v>
      </c>
      <c r="C2519" t="s">
        <v>390</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c r="X2519" s="19">
        <f ca="1">DATE(LifeExpectancyData[[#This Row],[Year]],RANDBETWEEN(1,12),1)</f>
        <v>37653</v>
      </c>
    </row>
    <row r="2520" spans="1:24" x14ac:dyDescent="0.25">
      <c r="A2520" t="s">
        <v>548</v>
      </c>
      <c r="B2520">
        <v>2002</v>
      </c>
      <c r="C2520" t="s">
        <v>390</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c r="X2520" s="19">
        <f ca="1">DATE(LifeExpectancyData[[#This Row],[Year]],RANDBETWEEN(1,12),1)</f>
        <v>37347</v>
      </c>
    </row>
    <row r="2521" spans="1:24" x14ac:dyDescent="0.25">
      <c r="A2521" t="s">
        <v>548</v>
      </c>
      <c r="B2521">
        <v>2001</v>
      </c>
      <c r="C2521" t="s">
        <v>390</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c r="X2521" s="19">
        <f ca="1">DATE(LifeExpectancyData[[#This Row],[Year]],RANDBETWEEN(1,12),1)</f>
        <v>37196</v>
      </c>
    </row>
    <row r="2522" spans="1:24" x14ac:dyDescent="0.25">
      <c r="A2522" t="s">
        <v>548</v>
      </c>
      <c r="B2522">
        <v>2000</v>
      </c>
      <c r="C2522" t="s">
        <v>390</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c r="X2522" s="19">
        <f ca="1">DATE(LifeExpectancyData[[#This Row],[Year]],RANDBETWEEN(1,12),1)</f>
        <v>36861</v>
      </c>
    </row>
    <row r="2523" spans="1:24" x14ac:dyDescent="0.25">
      <c r="A2523" t="s">
        <v>549</v>
      </c>
      <c r="B2523">
        <v>2015</v>
      </c>
      <c r="C2523" t="s">
        <v>390</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c r="X2523" s="19">
        <f ca="1">DATE(LifeExpectancyData[[#This Row],[Year]],RANDBETWEEN(1,12),1)</f>
        <v>42217</v>
      </c>
    </row>
    <row r="2524" spans="1:24" x14ac:dyDescent="0.25">
      <c r="A2524" t="s">
        <v>549</v>
      </c>
      <c r="B2524">
        <v>2014</v>
      </c>
      <c r="C2524" t="s">
        <v>390</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c r="X2524" s="19">
        <f ca="1">DATE(LifeExpectancyData[[#This Row],[Year]],RANDBETWEEN(1,12),1)</f>
        <v>41671</v>
      </c>
    </row>
    <row r="2525" spans="1:24" x14ac:dyDescent="0.25">
      <c r="A2525" t="s">
        <v>549</v>
      </c>
      <c r="B2525">
        <v>2013</v>
      </c>
      <c r="C2525" t="s">
        <v>390</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c r="X2525" s="19">
        <f ca="1">DATE(LifeExpectancyData[[#This Row],[Year]],RANDBETWEEN(1,12),1)</f>
        <v>41487</v>
      </c>
    </row>
    <row r="2526" spans="1:24" x14ac:dyDescent="0.25">
      <c r="A2526" t="s">
        <v>549</v>
      </c>
      <c r="B2526">
        <v>2012</v>
      </c>
      <c r="C2526" t="s">
        <v>390</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c r="X2526" s="19">
        <f ca="1">DATE(LifeExpectancyData[[#This Row],[Year]],RANDBETWEEN(1,12),1)</f>
        <v>41153</v>
      </c>
    </row>
    <row r="2527" spans="1:24" x14ac:dyDescent="0.25">
      <c r="A2527" t="s">
        <v>549</v>
      </c>
      <c r="B2527">
        <v>2011</v>
      </c>
      <c r="C2527" t="s">
        <v>390</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c r="X2527" s="19">
        <f ca="1">DATE(LifeExpectancyData[[#This Row],[Year]],RANDBETWEEN(1,12),1)</f>
        <v>40787</v>
      </c>
    </row>
    <row r="2528" spans="1:24" x14ac:dyDescent="0.25">
      <c r="A2528" t="s">
        <v>549</v>
      </c>
      <c r="B2528">
        <v>2010</v>
      </c>
      <c r="C2528" t="s">
        <v>390</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c r="X2528" s="19">
        <f ca="1">DATE(LifeExpectancyData[[#This Row],[Year]],RANDBETWEEN(1,12),1)</f>
        <v>40452</v>
      </c>
    </row>
    <row r="2529" spans="1:24" x14ac:dyDescent="0.25">
      <c r="A2529" t="s">
        <v>549</v>
      </c>
      <c r="B2529">
        <v>2009</v>
      </c>
      <c r="C2529" t="s">
        <v>390</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c r="X2529" s="19">
        <f ca="1">DATE(LifeExpectancyData[[#This Row],[Year]],RANDBETWEEN(1,12),1)</f>
        <v>39904</v>
      </c>
    </row>
    <row r="2530" spans="1:24" x14ac:dyDescent="0.25">
      <c r="A2530" t="s">
        <v>549</v>
      </c>
      <c r="B2530">
        <v>2008</v>
      </c>
      <c r="C2530" t="s">
        <v>390</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c r="X2530" s="19">
        <f ca="1">DATE(LifeExpectancyData[[#This Row],[Year]],RANDBETWEEN(1,12),1)</f>
        <v>39569</v>
      </c>
    </row>
    <row r="2531" spans="1:24" x14ac:dyDescent="0.25">
      <c r="A2531" t="s">
        <v>549</v>
      </c>
      <c r="B2531">
        <v>2007</v>
      </c>
      <c r="C2531" t="s">
        <v>390</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c r="X2531" s="19">
        <f ca="1">DATE(LifeExpectancyData[[#This Row],[Year]],RANDBETWEEN(1,12),1)</f>
        <v>39203</v>
      </c>
    </row>
    <row r="2532" spans="1:24" x14ac:dyDescent="0.25">
      <c r="A2532" t="s">
        <v>549</v>
      </c>
      <c r="B2532">
        <v>2006</v>
      </c>
      <c r="C2532" t="s">
        <v>390</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c r="X2532" s="19">
        <f ca="1">DATE(LifeExpectancyData[[#This Row],[Year]],RANDBETWEEN(1,12),1)</f>
        <v>38899</v>
      </c>
    </row>
    <row r="2533" spans="1:24" x14ac:dyDescent="0.25">
      <c r="A2533" t="s">
        <v>549</v>
      </c>
      <c r="B2533">
        <v>2005</v>
      </c>
      <c r="C2533" t="s">
        <v>390</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c r="X2533" s="19">
        <f ca="1">DATE(LifeExpectancyData[[#This Row],[Year]],RANDBETWEEN(1,12),1)</f>
        <v>38657</v>
      </c>
    </row>
    <row r="2534" spans="1:24" x14ac:dyDescent="0.25">
      <c r="A2534" t="s">
        <v>549</v>
      </c>
      <c r="B2534">
        <v>2004</v>
      </c>
      <c r="C2534" t="s">
        <v>390</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c r="X2534" s="19">
        <f ca="1">DATE(LifeExpectancyData[[#This Row],[Year]],RANDBETWEEN(1,12),1)</f>
        <v>38169</v>
      </c>
    </row>
    <row r="2535" spans="1:24" x14ac:dyDescent="0.25">
      <c r="A2535" t="s">
        <v>549</v>
      </c>
      <c r="B2535">
        <v>2003</v>
      </c>
      <c r="C2535" t="s">
        <v>390</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c r="X2535" s="19">
        <f ca="1">DATE(LifeExpectancyData[[#This Row],[Year]],RANDBETWEEN(1,12),1)</f>
        <v>37834</v>
      </c>
    </row>
    <row r="2536" spans="1:24" x14ac:dyDescent="0.25">
      <c r="A2536" t="s">
        <v>549</v>
      </c>
      <c r="B2536">
        <v>2002</v>
      </c>
      <c r="C2536" t="s">
        <v>390</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c r="X2536" s="19">
        <f ca="1">DATE(LifeExpectancyData[[#This Row],[Year]],RANDBETWEEN(1,12),1)</f>
        <v>37469</v>
      </c>
    </row>
    <row r="2537" spans="1:24" x14ac:dyDescent="0.25">
      <c r="A2537" t="s">
        <v>549</v>
      </c>
      <c r="B2537">
        <v>2001</v>
      </c>
      <c r="C2537" t="s">
        <v>390</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c r="X2537" s="19">
        <f ca="1">DATE(LifeExpectancyData[[#This Row],[Year]],RANDBETWEEN(1,12),1)</f>
        <v>37196</v>
      </c>
    </row>
    <row r="2538" spans="1:24" x14ac:dyDescent="0.25">
      <c r="A2538" t="s">
        <v>549</v>
      </c>
      <c r="B2538">
        <v>2000</v>
      </c>
      <c r="C2538" t="s">
        <v>390</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c r="X2538" s="19">
        <f ca="1">DATE(LifeExpectancyData[[#This Row],[Year]],RANDBETWEEN(1,12),1)</f>
        <v>36831</v>
      </c>
    </row>
    <row r="2539" spans="1:24" x14ac:dyDescent="0.25">
      <c r="A2539" t="s">
        <v>550</v>
      </c>
      <c r="B2539">
        <v>2015</v>
      </c>
      <c r="C2539" t="s">
        <v>382</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c r="X2539" s="19">
        <f ca="1">DATE(LifeExpectancyData[[#This Row],[Year]],RANDBETWEEN(1,12),1)</f>
        <v>42309</v>
      </c>
    </row>
    <row r="2540" spans="1:24" x14ac:dyDescent="0.25">
      <c r="A2540" t="s">
        <v>550</v>
      </c>
      <c r="B2540">
        <v>2014</v>
      </c>
      <c r="C2540" t="s">
        <v>382</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c r="X2540" s="19">
        <f ca="1">DATE(LifeExpectancyData[[#This Row],[Year]],RANDBETWEEN(1,12),1)</f>
        <v>41671</v>
      </c>
    </row>
    <row r="2541" spans="1:24" x14ac:dyDescent="0.25">
      <c r="A2541" t="s">
        <v>550</v>
      </c>
      <c r="B2541">
        <v>2013</v>
      </c>
      <c r="C2541" t="s">
        <v>382</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c r="X2541" s="19">
        <f ca="1">DATE(LifeExpectancyData[[#This Row],[Year]],RANDBETWEEN(1,12),1)</f>
        <v>41548</v>
      </c>
    </row>
    <row r="2542" spans="1:24" x14ac:dyDescent="0.25">
      <c r="A2542" t="s">
        <v>550</v>
      </c>
      <c r="B2542">
        <v>2012</v>
      </c>
      <c r="C2542" t="s">
        <v>382</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c r="X2542" s="19">
        <f ca="1">DATE(LifeExpectancyData[[#This Row],[Year]],RANDBETWEEN(1,12),1)</f>
        <v>41091</v>
      </c>
    </row>
    <row r="2543" spans="1:24" x14ac:dyDescent="0.25">
      <c r="A2543" t="s">
        <v>550</v>
      </c>
      <c r="B2543">
        <v>2011</v>
      </c>
      <c r="C2543" t="s">
        <v>382</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c r="X2543" s="19">
        <f ca="1">DATE(LifeExpectancyData[[#This Row],[Year]],RANDBETWEEN(1,12),1)</f>
        <v>40848</v>
      </c>
    </row>
    <row r="2544" spans="1:24" x14ac:dyDescent="0.25">
      <c r="A2544" t="s">
        <v>550</v>
      </c>
      <c r="B2544">
        <v>2010</v>
      </c>
      <c r="C2544" t="s">
        <v>382</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c r="X2544" s="19">
        <f ca="1">DATE(LifeExpectancyData[[#This Row],[Year]],RANDBETWEEN(1,12),1)</f>
        <v>40483</v>
      </c>
    </row>
    <row r="2545" spans="1:24" x14ac:dyDescent="0.25">
      <c r="A2545" t="s">
        <v>550</v>
      </c>
      <c r="B2545">
        <v>2009</v>
      </c>
      <c r="C2545" t="s">
        <v>382</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c r="X2545" s="19">
        <f ca="1">DATE(LifeExpectancyData[[#This Row],[Year]],RANDBETWEEN(1,12),1)</f>
        <v>40057</v>
      </c>
    </row>
    <row r="2546" spans="1:24" x14ac:dyDescent="0.25">
      <c r="A2546" t="s">
        <v>550</v>
      </c>
      <c r="B2546">
        <v>2008</v>
      </c>
      <c r="C2546" t="s">
        <v>382</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c r="X2546" s="19">
        <f ca="1">DATE(LifeExpectancyData[[#This Row],[Year]],RANDBETWEEN(1,12),1)</f>
        <v>39722</v>
      </c>
    </row>
    <row r="2547" spans="1:24" x14ac:dyDescent="0.25">
      <c r="A2547" t="s">
        <v>550</v>
      </c>
      <c r="B2547">
        <v>2007</v>
      </c>
      <c r="C2547" t="s">
        <v>382</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c r="X2547" s="19">
        <f ca="1">DATE(LifeExpectancyData[[#This Row],[Year]],RANDBETWEEN(1,12),1)</f>
        <v>39295</v>
      </c>
    </row>
    <row r="2548" spans="1:24" x14ac:dyDescent="0.25">
      <c r="A2548" t="s">
        <v>550</v>
      </c>
      <c r="B2548">
        <v>2006</v>
      </c>
      <c r="C2548" t="s">
        <v>382</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c r="X2548" s="19">
        <f ca="1">DATE(LifeExpectancyData[[#This Row],[Year]],RANDBETWEEN(1,12),1)</f>
        <v>38838</v>
      </c>
    </row>
    <row r="2549" spans="1:24" x14ac:dyDescent="0.25">
      <c r="A2549" t="s">
        <v>550</v>
      </c>
      <c r="B2549">
        <v>2005</v>
      </c>
      <c r="C2549" t="s">
        <v>382</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c r="X2549" s="19">
        <f ca="1">DATE(LifeExpectancyData[[#This Row],[Year]],RANDBETWEEN(1,12),1)</f>
        <v>38687</v>
      </c>
    </row>
    <row r="2550" spans="1:24" x14ac:dyDescent="0.25">
      <c r="A2550" t="s">
        <v>550</v>
      </c>
      <c r="B2550">
        <v>2004</v>
      </c>
      <c r="C2550" t="s">
        <v>382</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c r="X2550" s="19">
        <f ca="1">DATE(LifeExpectancyData[[#This Row],[Year]],RANDBETWEEN(1,12),1)</f>
        <v>38018</v>
      </c>
    </row>
    <row r="2551" spans="1:24" x14ac:dyDescent="0.25">
      <c r="A2551" t="s">
        <v>550</v>
      </c>
      <c r="B2551">
        <v>2003</v>
      </c>
      <c r="C2551" t="s">
        <v>382</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c r="X2551" s="19">
        <f ca="1">DATE(LifeExpectancyData[[#This Row],[Year]],RANDBETWEEN(1,12),1)</f>
        <v>37834</v>
      </c>
    </row>
    <row r="2552" spans="1:24" x14ac:dyDescent="0.25">
      <c r="A2552" t="s">
        <v>550</v>
      </c>
      <c r="B2552">
        <v>2002</v>
      </c>
      <c r="C2552" t="s">
        <v>382</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c r="X2552" s="19">
        <f ca="1">DATE(LifeExpectancyData[[#This Row],[Year]],RANDBETWEEN(1,12),1)</f>
        <v>37438</v>
      </c>
    </row>
    <row r="2553" spans="1:24" x14ac:dyDescent="0.25">
      <c r="A2553" t="s">
        <v>550</v>
      </c>
      <c r="B2553">
        <v>2001</v>
      </c>
      <c r="C2553" t="s">
        <v>382</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c r="X2553" s="19">
        <f ca="1">DATE(LifeExpectancyData[[#This Row],[Year]],RANDBETWEEN(1,12),1)</f>
        <v>37196</v>
      </c>
    </row>
    <row r="2554" spans="1:24" x14ac:dyDescent="0.25">
      <c r="A2554" t="s">
        <v>550</v>
      </c>
      <c r="B2554">
        <v>2000</v>
      </c>
      <c r="C2554" t="s">
        <v>382</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c r="X2554" s="19">
        <f ca="1">DATE(LifeExpectancyData[[#This Row],[Year]],RANDBETWEEN(1,12),1)</f>
        <v>36800</v>
      </c>
    </row>
    <row r="2555" spans="1:24" x14ac:dyDescent="0.25">
      <c r="A2555" t="s">
        <v>551</v>
      </c>
      <c r="B2555">
        <v>2015</v>
      </c>
      <c r="C2555" t="s">
        <v>382</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c r="X2555" s="19">
        <f ca="1">DATE(LifeExpectancyData[[#This Row],[Year]],RANDBETWEEN(1,12),1)</f>
        <v>42186</v>
      </c>
    </row>
    <row r="2556" spans="1:24" x14ac:dyDescent="0.25">
      <c r="A2556" t="s">
        <v>551</v>
      </c>
      <c r="B2556">
        <v>2014</v>
      </c>
      <c r="C2556" t="s">
        <v>382</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c r="X2556" s="19">
        <f ca="1">DATE(LifeExpectancyData[[#This Row],[Year]],RANDBETWEEN(1,12),1)</f>
        <v>41699</v>
      </c>
    </row>
    <row r="2557" spans="1:24" x14ac:dyDescent="0.25">
      <c r="A2557" t="s">
        <v>551</v>
      </c>
      <c r="B2557">
        <v>2013</v>
      </c>
      <c r="C2557" t="s">
        <v>382</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c r="X2557" s="19">
        <f ca="1">DATE(LifeExpectancyData[[#This Row],[Year]],RANDBETWEEN(1,12),1)</f>
        <v>41365</v>
      </c>
    </row>
    <row r="2558" spans="1:24" x14ac:dyDescent="0.25">
      <c r="A2558" t="s">
        <v>551</v>
      </c>
      <c r="B2558">
        <v>2012</v>
      </c>
      <c r="C2558" t="s">
        <v>382</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c r="X2558" s="19">
        <f ca="1">DATE(LifeExpectancyData[[#This Row],[Year]],RANDBETWEEN(1,12),1)</f>
        <v>41061</v>
      </c>
    </row>
    <row r="2559" spans="1:24" x14ac:dyDescent="0.25">
      <c r="A2559" t="s">
        <v>551</v>
      </c>
      <c r="B2559">
        <v>2011</v>
      </c>
      <c r="C2559" t="s">
        <v>382</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c r="X2559" s="19">
        <f ca="1">DATE(LifeExpectancyData[[#This Row],[Year]],RANDBETWEEN(1,12),1)</f>
        <v>40634</v>
      </c>
    </row>
    <row r="2560" spans="1:24" x14ac:dyDescent="0.25">
      <c r="A2560" t="s">
        <v>551</v>
      </c>
      <c r="B2560">
        <v>2010</v>
      </c>
      <c r="C2560" t="s">
        <v>382</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c r="X2560" s="19">
        <f ca="1">DATE(LifeExpectancyData[[#This Row],[Year]],RANDBETWEEN(1,12),1)</f>
        <v>40299</v>
      </c>
    </row>
    <row r="2561" spans="1:24" x14ac:dyDescent="0.25">
      <c r="A2561" t="s">
        <v>551</v>
      </c>
      <c r="B2561">
        <v>2009</v>
      </c>
      <c r="C2561" t="s">
        <v>382</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c r="X2561" s="19">
        <f ca="1">DATE(LifeExpectancyData[[#This Row],[Year]],RANDBETWEEN(1,12),1)</f>
        <v>39814</v>
      </c>
    </row>
    <row r="2562" spans="1:24" x14ac:dyDescent="0.25">
      <c r="A2562" t="s">
        <v>551</v>
      </c>
      <c r="B2562">
        <v>2008</v>
      </c>
      <c r="C2562" t="s">
        <v>382</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c r="X2562" s="19">
        <f ca="1">DATE(LifeExpectancyData[[#This Row],[Year]],RANDBETWEEN(1,12),1)</f>
        <v>39722</v>
      </c>
    </row>
    <row r="2563" spans="1:24" x14ac:dyDescent="0.25">
      <c r="A2563" t="s">
        <v>551</v>
      </c>
      <c r="B2563">
        <v>2007</v>
      </c>
      <c r="C2563" t="s">
        <v>382</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c r="X2563" s="19">
        <f ca="1">DATE(LifeExpectancyData[[#This Row],[Year]],RANDBETWEEN(1,12),1)</f>
        <v>39173</v>
      </c>
    </row>
    <row r="2564" spans="1:24" x14ac:dyDescent="0.25">
      <c r="A2564" t="s">
        <v>551</v>
      </c>
      <c r="B2564">
        <v>2006</v>
      </c>
      <c r="C2564" t="s">
        <v>382</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c r="X2564" s="19">
        <f ca="1">DATE(LifeExpectancyData[[#This Row],[Year]],RANDBETWEEN(1,12),1)</f>
        <v>38930</v>
      </c>
    </row>
    <row r="2565" spans="1:24" x14ac:dyDescent="0.25">
      <c r="A2565" t="s">
        <v>551</v>
      </c>
      <c r="B2565">
        <v>2005</v>
      </c>
      <c r="C2565" t="s">
        <v>382</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c r="X2565" s="19">
        <f ca="1">DATE(LifeExpectancyData[[#This Row],[Year]],RANDBETWEEN(1,12),1)</f>
        <v>38565</v>
      </c>
    </row>
    <row r="2566" spans="1:24" x14ac:dyDescent="0.25">
      <c r="A2566" t="s">
        <v>551</v>
      </c>
      <c r="B2566">
        <v>2004</v>
      </c>
      <c r="C2566" t="s">
        <v>382</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c r="X2566" s="19">
        <f ca="1">DATE(LifeExpectancyData[[#This Row],[Year]],RANDBETWEEN(1,12),1)</f>
        <v>38047</v>
      </c>
    </row>
    <row r="2567" spans="1:24" x14ac:dyDescent="0.25">
      <c r="A2567" t="s">
        <v>551</v>
      </c>
      <c r="B2567">
        <v>2003</v>
      </c>
      <c r="C2567" t="s">
        <v>382</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c r="X2567" s="19">
        <f ca="1">DATE(LifeExpectancyData[[#This Row],[Year]],RANDBETWEEN(1,12),1)</f>
        <v>37712</v>
      </c>
    </row>
    <row r="2568" spans="1:24" x14ac:dyDescent="0.25">
      <c r="A2568" t="s">
        <v>551</v>
      </c>
      <c r="B2568">
        <v>2002</v>
      </c>
      <c r="C2568" t="s">
        <v>382</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c r="X2568" s="19">
        <f ca="1">DATE(LifeExpectancyData[[#This Row],[Year]],RANDBETWEEN(1,12),1)</f>
        <v>37500</v>
      </c>
    </row>
    <row r="2569" spans="1:24" x14ac:dyDescent="0.25">
      <c r="A2569" t="s">
        <v>551</v>
      </c>
      <c r="B2569">
        <v>2001</v>
      </c>
      <c r="C2569" t="s">
        <v>382</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c r="X2569" s="19">
        <f ca="1">DATE(LifeExpectancyData[[#This Row],[Year]],RANDBETWEEN(1,12),1)</f>
        <v>37135</v>
      </c>
    </row>
    <row r="2570" spans="1:24" x14ac:dyDescent="0.25">
      <c r="A2570" t="s">
        <v>551</v>
      </c>
      <c r="B2570">
        <v>2000</v>
      </c>
      <c r="C2570" t="s">
        <v>382</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c r="X2570" s="19">
        <f ca="1">DATE(LifeExpectancyData[[#This Row],[Year]],RANDBETWEEN(1,12),1)</f>
        <v>36770</v>
      </c>
    </row>
    <row r="2571" spans="1:24" x14ac:dyDescent="0.25">
      <c r="A2571" t="s">
        <v>552</v>
      </c>
      <c r="B2571">
        <v>2015</v>
      </c>
      <c r="C2571" t="s">
        <v>382</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c r="X2571" s="19">
        <f ca="1">DATE(LifeExpectancyData[[#This Row],[Year]],RANDBETWEEN(1,12),1)</f>
        <v>42339</v>
      </c>
    </row>
    <row r="2572" spans="1:24" x14ac:dyDescent="0.25">
      <c r="A2572" t="s">
        <v>552</v>
      </c>
      <c r="B2572">
        <v>2014</v>
      </c>
      <c r="C2572" t="s">
        <v>382</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c r="X2572" s="19">
        <f ca="1">DATE(LifeExpectancyData[[#This Row],[Year]],RANDBETWEEN(1,12),1)</f>
        <v>41640</v>
      </c>
    </row>
    <row r="2573" spans="1:24" x14ac:dyDescent="0.25">
      <c r="A2573" t="s">
        <v>552</v>
      </c>
      <c r="B2573">
        <v>2013</v>
      </c>
      <c r="C2573" t="s">
        <v>382</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c r="X2573" s="19">
        <f ca="1">DATE(LifeExpectancyData[[#This Row],[Year]],RANDBETWEEN(1,12),1)</f>
        <v>41306</v>
      </c>
    </row>
    <row r="2574" spans="1:24" x14ac:dyDescent="0.25">
      <c r="A2574" t="s">
        <v>552</v>
      </c>
      <c r="B2574">
        <v>2012</v>
      </c>
      <c r="C2574" t="s">
        <v>382</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c r="X2574" s="19">
        <f ca="1">DATE(LifeExpectancyData[[#This Row],[Year]],RANDBETWEEN(1,12),1)</f>
        <v>41214</v>
      </c>
    </row>
    <row r="2575" spans="1:24" x14ac:dyDescent="0.25">
      <c r="A2575" t="s">
        <v>552</v>
      </c>
      <c r="B2575">
        <v>2011</v>
      </c>
      <c r="C2575" t="s">
        <v>382</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c r="X2575" s="19">
        <f ca="1">DATE(LifeExpectancyData[[#This Row],[Year]],RANDBETWEEN(1,12),1)</f>
        <v>40544</v>
      </c>
    </row>
    <row r="2576" spans="1:24" x14ac:dyDescent="0.25">
      <c r="A2576" t="s">
        <v>552</v>
      </c>
      <c r="B2576">
        <v>2010</v>
      </c>
      <c r="C2576" t="s">
        <v>382</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c r="X2576" s="19">
        <f ca="1">DATE(LifeExpectancyData[[#This Row],[Year]],RANDBETWEEN(1,12),1)</f>
        <v>40210</v>
      </c>
    </row>
    <row r="2577" spans="1:24" x14ac:dyDescent="0.25">
      <c r="A2577" t="s">
        <v>552</v>
      </c>
      <c r="B2577">
        <v>2009</v>
      </c>
      <c r="C2577" t="s">
        <v>382</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c r="X2577" s="19">
        <f ca="1">DATE(LifeExpectancyData[[#This Row],[Year]],RANDBETWEEN(1,12),1)</f>
        <v>39845</v>
      </c>
    </row>
    <row r="2578" spans="1:24" x14ac:dyDescent="0.25">
      <c r="A2578" t="s">
        <v>552</v>
      </c>
      <c r="B2578">
        <v>2008</v>
      </c>
      <c r="C2578" t="s">
        <v>382</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c r="X2578" s="19">
        <f ca="1">DATE(LifeExpectancyData[[#This Row],[Year]],RANDBETWEEN(1,12),1)</f>
        <v>39692</v>
      </c>
    </row>
    <row r="2579" spans="1:24" x14ac:dyDescent="0.25">
      <c r="A2579" t="s">
        <v>552</v>
      </c>
      <c r="B2579">
        <v>2007</v>
      </c>
      <c r="C2579" t="s">
        <v>382</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c r="X2579" s="19">
        <f ca="1">DATE(LifeExpectancyData[[#This Row],[Year]],RANDBETWEEN(1,12),1)</f>
        <v>39356</v>
      </c>
    </row>
    <row r="2580" spans="1:24" x14ac:dyDescent="0.25">
      <c r="A2580" t="s">
        <v>552</v>
      </c>
      <c r="B2580">
        <v>2006</v>
      </c>
      <c r="C2580" t="s">
        <v>382</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c r="X2580" s="19">
        <f ca="1">DATE(LifeExpectancyData[[#This Row],[Year]],RANDBETWEEN(1,12),1)</f>
        <v>38718</v>
      </c>
    </row>
    <row r="2581" spans="1:24" x14ac:dyDescent="0.25">
      <c r="A2581" t="s">
        <v>552</v>
      </c>
      <c r="B2581">
        <v>2005</v>
      </c>
      <c r="C2581" t="s">
        <v>382</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c r="X2581" s="19">
        <f ca="1">DATE(LifeExpectancyData[[#This Row],[Year]],RANDBETWEEN(1,12),1)</f>
        <v>38626</v>
      </c>
    </row>
    <row r="2582" spans="1:24" x14ac:dyDescent="0.25">
      <c r="A2582" t="s">
        <v>552</v>
      </c>
      <c r="B2582">
        <v>2004</v>
      </c>
      <c r="C2582" t="s">
        <v>382</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c r="X2582" s="19">
        <f ca="1">DATE(LifeExpectancyData[[#This Row],[Year]],RANDBETWEEN(1,12),1)</f>
        <v>38261</v>
      </c>
    </row>
    <row r="2583" spans="1:24" x14ac:dyDescent="0.25">
      <c r="A2583" t="s">
        <v>552</v>
      </c>
      <c r="B2583">
        <v>2003</v>
      </c>
      <c r="C2583" t="s">
        <v>382</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c r="X2583" s="19">
        <f ca="1">DATE(LifeExpectancyData[[#This Row],[Year]],RANDBETWEEN(1,12),1)</f>
        <v>37681</v>
      </c>
    </row>
    <row r="2584" spans="1:24" x14ac:dyDescent="0.25">
      <c r="A2584" t="s">
        <v>552</v>
      </c>
      <c r="B2584">
        <v>2002</v>
      </c>
      <c r="C2584" t="s">
        <v>382</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c r="X2584" s="19">
        <f ca="1">DATE(LifeExpectancyData[[#This Row],[Year]],RANDBETWEEN(1,12),1)</f>
        <v>37347</v>
      </c>
    </row>
    <row r="2585" spans="1:24" x14ac:dyDescent="0.25">
      <c r="A2585" t="s">
        <v>552</v>
      </c>
      <c r="B2585">
        <v>2001</v>
      </c>
      <c r="C2585" t="s">
        <v>382</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c r="X2585" s="19">
        <f ca="1">DATE(LifeExpectancyData[[#This Row],[Year]],RANDBETWEEN(1,12),1)</f>
        <v>36982</v>
      </c>
    </row>
    <row r="2586" spans="1:24" x14ac:dyDescent="0.25">
      <c r="A2586" t="s">
        <v>552</v>
      </c>
      <c r="B2586">
        <v>2000</v>
      </c>
      <c r="C2586" t="s">
        <v>382</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c r="X2586" s="19">
        <f ca="1">DATE(LifeExpectancyData[[#This Row],[Year]],RANDBETWEEN(1,12),1)</f>
        <v>36617</v>
      </c>
    </row>
    <row r="2587" spans="1:24" x14ac:dyDescent="0.25">
      <c r="A2587" t="s">
        <v>553</v>
      </c>
      <c r="B2587">
        <v>2015</v>
      </c>
      <c r="C2587" t="s">
        <v>382</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c r="X2587" s="19">
        <f ca="1">DATE(LifeExpectancyData[[#This Row],[Year]],RANDBETWEEN(1,12),1)</f>
        <v>42217</v>
      </c>
    </row>
    <row r="2588" spans="1:24" x14ac:dyDescent="0.25">
      <c r="A2588" t="s">
        <v>553</v>
      </c>
      <c r="B2588">
        <v>2014</v>
      </c>
      <c r="C2588" t="s">
        <v>382</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c r="X2588" s="19">
        <f ca="1">DATE(LifeExpectancyData[[#This Row],[Year]],RANDBETWEEN(1,12),1)</f>
        <v>41883</v>
      </c>
    </row>
    <row r="2589" spans="1:24" x14ac:dyDescent="0.25">
      <c r="A2589" t="s">
        <v>553</v>
      </c>
      <c r="B2589">
        <v>2013</v>
      </c>
      <c r="C2589" t="s">
        <v>382</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c r="X2589" s="19">
        <f ca="1">DATE(LifeExpectancyData[[#This Row],[Year]],RANDBETWEEN(1,12),1)</f>
        <v>41548</v>
      </c>
    </row>
    <row r="2590" spans="1:24" x14ac:dyDescent="0.25">
      <c r="A2590" t="s">
        <v>553</v>
      </c>
      <c r="B2590">
        <v>2012</v>
      </c>
      <c r="C2590" t="s">
        <v>382</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c r="X2590" s="19">
        <f ca="1">DATE(LifeExpectancyData[[#This Row],[Year]],RANDBETWEEN(1,12),1)</f>
        <v>41000</v>
      </c>
    </row>
    <row r="2591" spans="1:24" x14ac:dyDescent="0.25">
      <c r="A2591" t="s">
        <v>553</v>
      </c>
      <c r="B2591">
        <v>2011</v>
      </c>
      <c r="C2591" t="s">
        <v>382</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c r="X2591" s="19">
        <f ca="1">DATE(LifeExpectancyData[[#This Row],[Year]],RANDBETWEEN(1,12),1)</f>
        <v>40787</v>
      </c>
    </row>
    <row r="2592" spans="1:24" x14ac:dyDescent="0.25">
      <c r="A2592" t="s">
        <v>553</v>
      </c>
      <c r="B2592">
        <v>2010</v>
      </c>
      <c r="C2592" t="s">
        <v>382</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c r="X2592" s="19">
        <f ca="1">DATE(LifeExpectancyData[[#This Row],[Year]],RANDBETWEEN(1,12),1)</f>
        <v>40269</v>
      </c>
    </row>
    <row r="2593" spans="1:24" x14ac:dyDescent="0.25">
      <c r="A2593" t="s">
        <v>553</v>
      </c>
      <c r="B2593">
        <v>2009</v>
      </c>
      <c r="C2593" t="s">
        <v>382</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c r="X2593" s="19">
        <f ca="1">DATE(LifeExpectancyData[[#This Row],[Year]],RANDBETWEEN(1,12),1)</f>
        <v>40118</v>
      </c>
    </row>
    <row r="2594" spans="1:24" x14ac:dyDescent="0.25">
      <c r="A2594" t="s">
        <v>553</v>
      </c>
      <c r="B2594">
        <v>2008</v>
      </c>
      <c r="C2594" t="s">
        <v>382</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c r="X2594" s="19">
        <f ca="1">DATE(LifeExpectancyData[[#This Row],[Year]],RANDBETWEEN(1,12),1)</f>
        <v>39753</v>
      </c>
    </row>
    <row r="2595" spans="1:24" x14ac:dyDescent="0.25">
      <c r="A2595" t="s">
        <v>553</v>
      </c>
      <c r="B2595">
        <v>2007</v>
      </c>
      <c r="C2595" t="s">
        <v>382</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c r="X2595" s="19">
        <f ca="1">DATE(LifeExpectancyData[[#This Row],[Year]],RANDBETWEEN(1,12),1)</f>
        <v>39417</v>
      </c>
    </row>
    <row r="2596" spans="1:24" x14ac:dyDescent="0.25">
      <c r="A2596" t="s">
        <v>553</v>
      </c>
      <c r="B2596">
        <v>2006</v>
      </c>
      <c r="C2596" t="s">
        <v>382</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c r="X2596" s="19">
        <f ca="1">DATE(LifeExpectancyData[[#This Row],[Year]],RANDBETWEEN(1,12),1)</f>
        <v>38899</v>
      </c>
    </row>
    <row r="2597" spans="1:24" x14ac:dyDescent="0.25">
      <c r="A2597" t="s">
        <v>553</v>
      </c>
      <c r="B2597">
        <v>2005</v>
      </c>
      <c r="C2597" t="s">
        <v>382</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c r="X2597" s="19">
        <f ca="1">DATE(LifeExpectancyData[[#This Row],[Year]],RANDBETWEEN(1,12),1)</f>
        <v>38534</v>
      </c>
    </row>
    <row r="2598" spans="1:24" x14ac:dyDescent="0.25">
      <c r="A2598" t="s">
        <v>553</v>
      </c>
      <c r="B2598">
        <v>2004</v>
      </c>
      <c r="C2598" t="s">
        <v>382</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c r="X2598" s="19">
        <f ca="1">DATE(LifeExpectancyData[[#This Row],[Year]],RANDBETWEEN(1,12),1)</f>
        <v>38200</v>
      </c>
    </row>
    <row r="2599" spans="1:24" x14ac:dyDescent="0.25">
      <c r="A2599" t="s">
        <v>553</v>
      </c>
      <c r="B2599">
        <v>2003</v>
      </c>
      <c r="C2599" t="s">
        <v>382</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c r="X2599" s="19">
        <f ca="1">DATE(LifeExpectancyData[[#This Row],[Year]],RANDBETWEEN(1,12),1)</f>
        <v>37712</v>
      </c>
    </row>
    <row r="2600" spans="1:24" x14ac:dyDescent="0.25">
      <c r="A2600" t="s">
        <v>553</v>
      </c>
      <c r="B2600">
        <v>2002</v>
      </c>
      <c r="C2600" t="s">
        <v>382</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c r="X2600" s="19">
        <f ca="1">DATE(LifeExpectancyData[[#This Row],[Year]],RANDBETWEEN(1,12),1)</f>
        <v>37591</v>
      </c>
    </row>
    <row r="2601" spans="1:24" x14ac:dyDescent="0.25">
      <c r="A2601" t="s">
        <v>553</v>
      </c>
      <c r="B2601">
        <v>2001</v>
      </c>
      <c r="C2601" t="s">
        <v>382</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c r="X2601" s="19">
        <f ca="1">DATE(LifeExpectancyData[[#This Row],[Year]],RANDBETWEEN(1,12),1)</f>
        <v>37165</v>
      </c>
    </row>
    <row r="2602" spans="1:24" x14ac:dyDescent="0.25">
      <c r="A2602" t="s">
        <v>553</v>
      </c>
      <c r="B2602">
        <v>2000</v>
      </c>
      <c r="C2602" t="s">
        <v>382</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c r="X2602" s="19">
        <f ca="1">DATE(LifeExpectancyData[[#This Row],[Year]],RANDBETWEEN(1,12),1)</f>
        <v>36647</v>
      </c>
    </row>
    <row r="2603" spans="1:24" x14ac:dyDescent="0.25">
      <c r="A2603" t="s">
        <v>554</v>
      </c>
      <c r="B2603">
        <v>2015</v>
      </c>
      <c r="C2603" t="s">
        <v>382</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c r="X2603" s="19">
        <f ca="1">DATE(LifeExpectancyData[[#This Row],[Year]],RANDBETWEEN(1,12),1)</f>
        <v>42036</v>
      </c>
    </row>
    <row r="2604" spans="1:24" x14ac:dyDescent="0.25">
      <c r="A2604" t="s">
        <v>554</v>
      </c>
      <c r="B2604">
        <v>2014</v>
      </c>
      <c r="C2604" t="s">
        <v>382</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c r="X2604" s="19">
        <f ca="1">DATE(LifeExpectancyData[[#This Row],[Year]],RANDBETWEEN(1,12),1)</f>
        <v>41671</v>
      </c>
    </row>
    <row r="2605" spans="1:24" x14ac:dyDescent="0.25">
      <c r="A2605" t="s">
        <v>554</v>
      </c>
      <c r="B2605">
        <v>2013</v>
      </c>
      <c r="C2605" t="s">
        <v>382</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c r="X2605" s="19">
        <f ca="1">DATE(LifeExpectancyData[[#This Row],[Year]],RANDBETWEEN(1,12),1)</f>
        <v>41579</v>
      </c>
    </row>
    <row r="2606" spans="1:24" x14ac:dyDescent="0.25">
      <c r="A2606" t="s">
        <v>554</v>
      </c>
      <c r="B2606">
        <v>2012</v>
      </c>
      <c r="C2606" t="s">
        <v>382</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c r="X2606" s="19">
        <f ca="1">DATE(LifeExpectancyData[[#This Row],[Year]],RANDBETWEEN(1,12),1)</f>
        <v>41122</v>
      </c>
    </row>
    <row r="2607" spans="1:24" x14ac:dyDescent="0.25">
      <c r="A2607" t="s">
        <v>554</v>
      </c>
      <c r="B2607">
        <v>2011</v>
      </c>
      <c r="C2607" t="s">
        <v>382</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c r="X2607" s="19">
        <f ca="1">DATE(LifeExpectancyData[[#This Row],[Year]],RANDBETWEEN(1,12),1)</f>
        <v>40634</v>
      </c>
    </row>
    <row r="2608" spans="1:24" x14ac:dyDescent="0.25">
      <c r="A2608" t="s">
        <v>554</v>
      </c>
      <c r="B2608">
        <v>2010</v>
      </c>
      <c r="C2608" t="s">
        <v>382</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c r="X2608" s="19">
        <f ca="1">DATE(LifeExpectancyData[[#This Row],[Year]],RANDBETWEEN(1,12),1)</f>
        <v>40513</v>
      </c>
    </row>
    <row r="2609" spans="1:24" x14ac:dyDescent="0.25">
      <c r="A2609" t="s">
        <v>554</v>
      </c>
      <c r="B2609">
        <v>2009</v>
      </c>
      <c r="C2609" t="s">
        <v>382</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c r="X2609" s="19">
        <f ca="1">DATE(LifeExpectancyData[[#This Row],[Year]],RANDBETWEEN(1,12),1)</f>
        <v>39845</v>
      </c>
    </row>
    <row r="2610" spans="1:24" x14ac:dyDescent="0.25">
      <c r="A2610" t="s">
        <v>554</v>
      </c>
      <c r="B2610">
        <v>2008</v>
      </c>
      <c r="C2610" t="s">
        <v>382</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c r="X2610" s="19">
        <f ca="1">DATE(LifeExpectancyData[[#This Row],[Year]],RANDBETWEEN(1,12),1)</f>
        <v>39753</v>
      </c>
    </row>
    <row r="2611" spans="1:24" x14ac:dyDescent="0.25">
      <c r="A2611" t="s">
        <v>554</v>
      </c>
      <c r="B2611">
        <v>2007</v>
      </c>
      <c r="C2611" t="s">
        <v>382</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c r="X2611" s="19">
        <f ca="1">DATE(LifeExpectancyData[[#This Row],[Year]],RANDBETWEEN(1,12),1)</f>
        <v>39326</v>
      </c>
    </row>
    <row r="2612" spans="1:24" x14ac:dyDescent="0.25">
      <c r="A2612" t="s">
        <v>554</v>
      </c>
      <c r="B2612">
        <v>2006</v>
      </c>
      <c r="C2612" t="s">
        <v>382</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c r="X2612" s="19">
        <f ca="1">DATE(LifeExpectancyData[[#This Row],[Year]],RANDBETWEEN(1,12),1)</f>
        <v>38869</v>
      </c>
    </row>
    <row r="2613" spans="1:24" x14ac:dyDescent="0.25">
      <c r="A2613" t="s">
        <v>554</v>
      </c>
      <c r="B2613">
        <v>2005</v>
      </c>
      <c r="C2613" t="s">
        <v>382</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c r="X2613" s="19">
        <f ca="1">DATE(LifeExpectancyData[[#This Row],[Year]],RANDBETWEEN(1,12),1)</f>
        <v>38384</v>
      </c>
    </row>
    <row r="2614" spans="1:24" x14ac:dyDescent="0.25">
      <c r="A2614" t="s">
        <v>554</v>
      </c>
      <c r="B2614">
        <v>2004</v>
      </c>
      <c r="C2614" t="s">
        <v>382</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c r="X2614" s="19">
        <f ca="1">DATE(LifeExpectancyData[[#This Row],[Year]],RANDBETWEEN(1,12),1)</f>
        <v>38231</v>
      </c>
    </row>
    <row r="2615" spans="1:24" x14ac:dyDescent="0.25">
      <c r="A2615" t="s">
        <v>554</v>
      </c>
      <c r="B2615">
        <v>2003</v>
      </c>
      <c r="C2615" t="s">
        <v>382</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c r="X2615" s="19">
        <f ca="1">DATE(LifeExpectancyData[[#This Row],[Year]],RANDBETWEEN(1,12),1)</f>
        <v>37712</v>
      </c>
    </row>
    <row r="2616" spans="1:24" x14ac:dyDescent="0.25">
      <c r="A2616" t="s">
        <v>554</v>
      </c>
      <c r="B2616">
        <v>2002</v>
      </c>
      <c r="C2616" t="s">
        <v>382</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c r="X2616" s="19">
        <f ca="1">DATE(LifeExpectancyData[[#This Row],[Year]],RANDBETWEEN(1,12),1)</f>
        <v>37438</v>
      </c>
    </row>
    <row r="2617" spans="1:24" x14ac:dyDescent="0.25">
      <c r="A2617" t="s">
        <v>554</v>
      </c>
      <c r="B2617">
        <v>2001</v>
      </c>
      <c r="C2617" t="s">
        <v>382</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c r="X2617" s="19">
        <f ca="1">DATE(LifeExpectancyData[[#This Row],[Year]],RANDBETWEEN(1,12),1)</f>
        <v>37165</v>
      </c>
    </row>
    <row r="2618" spans="1:24" x14ac:dyDescent="0.25">
      <c r="A2618" t="s">
        <v>554</v>
      </c>
      <c r="B2618">
        <v>2000</v>
      </c>
      <c r="C2618" t="s">
        <v>382</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c r="X2618" s="19">
        <f ca="1">DATE(LifeExpectancyData[[#This Row],[Year]],RANDBETWEEN(1,12),1)</f>
        <v>36526</v>
      </c>
    </row>
    <row r="2619" spans="1:24" x14ac:dyDescent="0.25">
      <c r="A2619" t="s">
        <v>555</v>
      </c>
      <c r="B2619">
        <v>2015</v>
      </c>
      <c r="C2619" t="s">
        <v>382</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c r="X2619" s="19">
        <f ca="1">DATE(LifeExpectancyData[[#This Row],[Year]],RANDBETWEEN(1,12),1)</f>
        <v>42248</v>
      </c>
    </row>
    <row r="2620" spans="1:24" x14ac:dyDescent="0.25">
      <c r="A2620" t="s">
        <v>555</v>
      </c>
      <c r="B2620">
        <v>2014</v>
      </c>
      <c r="C2620" t="s">
        <v>382</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c r="X2620" s="19">
        <f ca="1">DATE(LifeExpectancyData[[#This Row],[Year]],RANDBETWEEN(1,12),1)</f>
        <v>41699</v>
      </c>
    </row>
    <row r="2621" spans="1:24" x14ac:dyDescent="0.25">
      <c r="A2621" t="s">
        <v>555</v>
      </c>
      <c r="B2621">
        <v>2013</v>
      </c>
      <c r="C2621" t="s">
        <v>382</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c r="X2621" s="19">
        <f ca="1">DATE(LifeExpectancyData[[#This Row],[Year]],RANDBETWEEN(1,12),1)</f>
        <v>41306</v>
      </c>
    </row>
    <row r="2622" spans="1:24" x14ac:dyDescent="0.25">
      <c r="A2622" t="s">
        <v>555</v>
      </c>
      <c r="B2622">
        <v>2012</v>
      </c>
      <c r="C2622" t="s">
        <v>382</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c r="X2622" s="19">
        <f ca="1">DATE(LifeExpectancyData[[#This Row],[Year]],RANDBETWEEN(1,12),1)</f>
        <v>41000</v>
      </c>
    </row>
    <row r="2623" spans="1:24" x14ac:dyDescent="0.25">
      <c r="A2623" t="s">
        <v>555</v>
      </c>
      <c r="B2623">
        <v>2011</v>
      </c>
      <c r="C2623" t="s">
        <v>382</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c r="X2623" s="19">
        <f ca="1">DATE(LifeExpectancyData[[#This Row],[Year]],RANDBETWEEN(1,12),1)</f>
        <v>40817</v>
      </c>
    </row>
    <row r="2624" spans="1:24" x14ac:dyDescent="0.25">
      <c r="A2624" t="s">
        <v>555</v>
      </c>
      <c r="B2624">
        <v>2010</v>
      </c>
      <c r="C2624" t="s">
        <v>382</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c r="X2624" s="19">
        <f ca="1">DATE(LifeExpectancyData[[#This Row],[Year]],RANDBETWEEN(1,12),1)</f>
        <v>40269</v>
      </c>
    </row>
    <row r="2625" spans="1:24" x14ac:dyDescent="0.25">
      <c r="A2625" t="s">
        <v>555</v>
      </c>
      <c r="B2625">
        <v>2009</v>
      </c>
      <c r="C2625" t="s">
        <v>382</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c r="X2625" s="19">
        <f ca="1">DATE(LifeExpectancyData[[#This Row],[Year]],RANDBETWEEN(1,12),1)</f>
        <v>39814</v>
      </c>
    </row>
    <row r="2626" spans="1:24" x14ac:dyDescent="0.25">
      <c r="A2626" t="s">
        <v>555</v>
      </c>
      <c r="B2626">
        <v>2008</v>
      </c>
      <c r="C2626" t="s">
        <v>382</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c r="X2626" s="19">
        <f ca="1">DATE(LifeExpectancyData[[#This Row],[Year]],RANDBETWEEN(1,12),1)</f>
        <v>39569</v>
      </c>
    </row>
    <row r="2627" spans="1:24" x14ac:dyDescent="0.25">
      <c r="A2627" t="s">
        <v>555</v>
      </c>
      <c r="B2627">
        <v>2007</v>
      </c>
      <c r="C2627" t="s">
        <v>382</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c r="X2627" s="19">
        <f ca="1">DATE(LifeExpectancyData[[#This Row],[Year]],RANDBETWEEN(1,12),1)</f>
        <v>39114</v>
      </c>
    </row>
    <row r="2628" spans="1:24" x14ac:dyDescent="0.25">
      <c r="A2628" t="s">
        <v>555</v>
      </c>
      <c r="B2628">
        <v>2006</v>
      </c>
      <c r="C2628" t="s">
        <v>382</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c r="X2628" s="19">
        <f ca="1">DATE(LifeExpectancyData[[#This Row],[Year]],RANDBETWEEN(1,12),1)</f>
        <v>38930</v>
      </c>
    </row>
    <row r="2629" spans="1:24" x14ac:dyDescent="0.25">
      <c r="A2629" t="s">
        <v>555</v>
      </c>
      <c r="B2629">
        <v>2005</v>
      </c>
      <c r="C2629" t="s">
        <v>382</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c r="X2629" s="19">
        <f ca="1">DATE(LifeExpectancyData[[#This Row],[Year]],RANDBETWEEN(1,12),1)</f>
        <v>38504</v>
      </c>
    </row>
    <row r="2630" spans="1:24" x14ac:dyDescent="0.25">
      <c r="A2630" t="s">
        <v>555</v>
      </c>
      <c r="B2630">
        <v>2004</v>
      </c>
      <c r="C2630" t="s">
        <v>382</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c r="X2630" s="19">
        <f ca="1">DATE(LifeExpectancyData[[#This Row],[Year]],RANDBETWEEN(1,12),1)</f>
        <v>38018</v>
      </c>
    </row>
    <row r="2631" spans="1:24" x14ac:dyDescent="0.25">
      <c r="A2631" t="s">
        <v>555</v>
      </c>
      <c r="B2631">
        <v>2003</v>
      </c>
      <c r="C2631" t="s">
        <v>382</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c r="X2631" s="19">
        <f ca="1">DATE(LifeExpectancyData[[#This Row],[Year]],RANDBETWEEN(1,12),1)</f>
        <v>37681</v>
      </c>
    </row>
    <row r="2632" spans="1:24" x14ac:dyDescent="0.25">
      <c r="A2632" t="s">
        <v>555</v>
      </c>
      <c r="B2632">
        <v>2002</v>
      </c>
      <c r="C2632" t="s">
        <v>382</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c r="X2632" s="19">
        <f ca="1">DATE(LifeExpectancyData[[#This Row],[Year]],RANDBETWEEN(1,12),1)</f>
        <v>37591</v>
      </c>
    </row>
    <row r="2633" spans="1:24" x14ac:dyDescent="0.25">
      <c r="A2633" t="s">
        <v>555</v>
      </c>
      <c r="B2633">
        <v>2001</v>
      </c>
      <c r="C2633" t="s">
        <v>382</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c r="X2633" s="19">
        <f ca="1">DATE(LifeExpectancyData[[#This Row],[Year]],RANDBETWEEN(1,12),1)</f>
        <v>36892</v>
      </c>
    </row>
    <row r="2634" spans="1:24" x14ac:dyDescent="0.25">
      <c r="A2634" t="s">
        <v>555</v>
      </c>
      <c r="B2634">
        <v>2000</v>
      </c>
      <c r="C2634" t="s">
        <v>382</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c r="X2634" s="19">
        <f ca="1">DATE(LifeExpectancyData[[#This Row],[Year]],RANDBETWEEN(1,12),1)</f>
        <v>36647</v>
      </c>
    </row>
    <row r="2635" spans="1:24" x14ac:dyDescent="0.25">
      <c r="A2635" t="s">
        <v>556</v>
      </c>
      <c r="B2635">
        <v>2015</v>
      </c>
      <c r="C2635" t="s">
        <v>382</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c r="X2635" s="19">
        <f ca="1">DATE(LifeExpectancyData[[#This Row],[Year]],RANDBETWEEN(1,12),1)</f>
        <v>42125</v>
      </c>
    </row>
    <row r="2636" spans="1:24" x14ac:dyDescent="0.25">
      <c r="A2636" t="s">
        <v>556</v>
      </c>
      <c r="B2636">
        <v>2014</v>
      </c>
      <c r="C2636" t="s">
        <v>382</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c r="X2636" s="19">
        <f ca="1">DATE(LifeExpectancyData[[#This Row],[Year]],RANDBETWEEN(1,12),1)</f>
        <v>41974</v>
      </c>
    </row>
    <row r="2637" spans="1:24" x14ac:dyDescent="0.25">
      <c r="A2637" t="s">
        <v>556</v>
      </c>
      <c r="B2637">
        <v>2013</v>
      </c>
      <c r="C2637" t="s">
        <v>382</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c r="X2637" s="19">
        <f ca="1">DATE(LifeExpectancyData[[#This Row],[Year]],RANDBETWEEN(1,12),1)</f>
        <v>41334</v>
      </c>
    </row>
    <row r="2638" spans="1:24" x14ac:dyDescent="0.25">
      <c r="A2638" t="s">
        <v>556</v>
      </c>
      <c r="B2638">
        <v>2012</v>
      </c>
      <c r="C2638" t="s">
        <v>382</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c r="X2638" s="19">
        <f ca="1">DATE(LifeExpectancyData[[#This Row],[Year]],RANDBETWEEN(1,12),1)</f>
        <v>41153</v>
      </c>
    </row>
    <row r="2639" spans="1:24" x14ac:dyDescent="0.25">
      <c r="A2639" t="s">
        <v>556</v>
      </c>
      <c r="B2639">
        <v>2011</v>
      </c>
      <c r="C2639" t="s">
        <v>382</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c r="X2639" s="19">
        <f ca="1">DATE(LifeExpectancyData[[#This Row],[Year]],RANDBETWEEN(1,12),1)</f>
        <v>40603</v>
      </c>
    </row>
    <row r="2640" spans="1:24" x14ac:dyDescent="0.25">
      <c r="A2640" t="s">
        <v>556</v>
      </c>
      <c r="B2640">
        <v>2010</v>
      </c>
      <c r="C2640" t="s">
        <v>382</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c r="X2640" s="19">
        <f ca="1">DATE(LifeExpectancyData[[#This Row],[Year]],RANDBETWEEN(1,12),1)</f>
        <v>40269</v>
      </c>
    </row>
    <row r="2641" spans="1:24" x14ac:dyDescent="0.25">
      <c r="A2641" t="s">
        <v>556</v>
      </c>
      <c r="B2641">
        <v>2009</v>
      </c>
      <c r="C2641" t="s">
        <v>382</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c r="X2641" s="19">
        <f ca="1">DATE(LifeExpectancyData[[#This Row],[Year]],RANDBETWEEN(1,12),1)</f>
        <v>40057</v>
      </c>
    </row>
    <row r="2642" spans="1:24" x14ac:dyDescent="0.25">
      <c r="A2642" t="s">
        <v>556</v>
      </c>
      <c r="B2642">
        <v>2008</v>
      </c>
      <c r="C2642" t="s">
        <v>382</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c r="X2642" s="19">
        <f ca="1">DATE(LifeExpectancyData[[#This Row],[Year]],RANDBETWEEN(1,12),1)</f>
        <v>39692</v>
      </c>
    </row>
    <row r="2643" spans="1:24" x14ac:dyDescent="0.25">
      <c r="A2643" t="s">
        <v>556</v>
      </c>
      <c r="B2643">
        <v>2007</v>
      </c>
      <c r="C2643" t="s">
        <v>382</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c r="X2643" s="19">
        <f ca="1">DATE(LifeExpectancyData[[#This Row],[Year]],RANDBETWEEN(1,12),1)</f>
        <v>39356</v>
      </c>
    </row>
    <row r="2644" spans="1:24" x14ac:dyDescent="0.25">
      <c r="A2644" t="s">
        <v>556</v>
      </c>
      <c r="B2644">
        <v>2006</v>
      </c>
      <c r="C2644" t="s">
        <v>382</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c r="X2644" s="19">
        <f ca="1">DATE(LifeExpectancyData[[#This Row],[Year]],RANDBETWEEN(1,12),1)</f>
        <v>38961</v>
      </c>
    </row>
    <row r="2645" spans="1:24" x14ac:dyDescent="0.25">
      <c r="A2645" t="s">
        <v>556</v>
      </c>
      <c r="B2645">
        <v>2005</v>
      </c>
      <c r="C2645" t="s">
        <v>382</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c r="X2645" s="19">
        <f ca="1">DATE(LifeExpectancyData[[#This Row],[Year]],RANDBETWEEN(1,12),1)</f>
        <v>38565</v>
      </c>
    </row>
    <row r="2646" spans="1:24" x14ac:dyDescent="0.25">
      <c r="A2646" t="s">
        <v>556</v>
      </c>
      <c r="B2646">
        <v>2004</v>
      </c>
      <c r="C2646" t="s">
        <v>382</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c r="X2646" s="19">
        <f ca="1">DATE(LifeExpectancyData[[#This Row],[Year]],RANDBETWEEN(1,12),1)</f>
        <v>38322</v>
      </c>
    </row>
    <row r="2647" spans="1:24" x14ac:dyDescent="0.25">
      <c r="A2647" t="s">
        <v>556</v>
      </c>
      <c r="B2647">
        <v>2003</v>
      </c>
      <c r="C2647" t="s">
        <v>382</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c r="X2647" s="19">
        <f ca="1">DATE(LifeExpectancyData[[#This Row],[Year]],RANDBETWEEN(1,12),1)</f>
        <v>37895</v>
      </c>
    </row>
    <row r="2648" spans="1:24" x14ac:dyDescent="0.25">
      <c r="A2648" t="s">
        <v>556</v>
      </c>
      <c r="B2648">
        <v>2002</v>
      </c>
      <c r="C2648" t="s">
        <v>382</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c r="X2648" s="19">
        <f ca="1">DATE(LifeExpectancyData[[#This Row],[Year]],RANDBETWEEN(1,12),1)</f>
        <v>37591</v>
      </c>
    </row>
    <row r="2649" spans="1:24" x14ac:dyDescent="0.25">
      <c r="A2649" t="s">
        <v>556</v>
      </c>
      <c r="B2649">
        <v>2001</v>
      </c>
      <c r="C2649" t="s">
        <v>382</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c r="X2649" s="19">
        <f ca="1">DATE(LifeExpectancyData[[#This Row],[Year]],RANDBETWEEN(1,12),1)</f>
        <v>36951</v>
      </c>
    </row>
    <row r="2650" spans="1:24" x14ac:dyDescent="0.25">
      <c r="A2650" t="s">
        <v>556</v>
      </c>
      <c r="B2650">
        <v>2000</v>
      </c>
      <c r="C2650" t="s">
        <v>382</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c r="X2650" s="19">
        <f ca="1">DATE(LifeExpectancyData[[#This Row],[Year]],RANDBETWEEN(1,12),1)</f>
        <v>36800</v>
      </c>
    </row>
    <row r="2651" spans="1:24" x14ac:dyDescent="0.25">
      <c r="A2651" t="s">
        <v>557</v>
      </c>
      <c r="B2651">
        <v>2015</v>
      </c>
      <c r="C2651" t="s">
        <v>382</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c r="X2651" s="19">
        <f ca="1">DATE(LifeExpectancyData[[#This Row],[Year]],RANDBETWEEN(1,12),1)</f>
        <v>42095</v>
      </c>
    </row>
    <row r="2652" spans="1:24" x14ac:dyDescent="0.25">
      <c r="A2652" t="s">
        <v>557</v>
      </c>
      <c r="B2652">
        <v>2014</v>
      </c>
      <c r="C2652" t="s">
        <v>382</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c r="X2652" s="19">
        <f ca="1">DATE(LifeExpectancyData[[#This Row],[Year]],RANDBETWEEN(1,12),1)</f>
        <v>41640</v>
      </c>
    </row>
    <row r="2653" spans="1:24" x14ac:dyDescent="0.25">
      <c r="A2653" t="s">
        <v>557</v>
      </c>
      <c r="B2653">
        <v>2013</v>
      </c>
      <c r="C2653" t="s">
        <v>382</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c r="X2653" s="19">
        <f ca="1">DATE(LifeExpectancyData[[#This Row],[Year]],RANDBETWEEN(1,12),1)</f>
        <v>41548</v>
      </c>
    </row>
    <row r="2654" spans="1:24" x14ac:dyDescent="0.25">
      <c r="A2654" t="s">
        <v>557</v>
      </c>
      <c r="B2654">
        <v>2012</v>
      </c>
      <c r="C2654" t="s">
        <v>382</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c r="X2654" s="19">
        <f ca="1">DATE(LifeExpectancyData[[#This Row],[Year]],RANDBETWEEN(1,12),1)</f>
        <v>41183</v>
      </c>
    </row>
    <row r="2655" spans="1:24" x14ac:dyDescent="0.25">
      <c r="A2655" t="s">
        <v>557</v>
      </c>
      <c r="B2655">
        <v>2011</v>
      </c>
      <c r="C2655" t="s">
        <v>382</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c r="X2655" s="19">
        <f ca="1">DATE(LifeExpectancyData[[#This Row],[Year]],RANDBETWEEN(1,12),1)</f>
        <v>40848</v>
      </c>
    </row>
    <row r="2656" spans="1:24" x14ac:dyDescent="0.25">
      <c r="A2656" t="s">
        <v>557</v>
      </c>
      <c r="B2656">
        <v>2010</v>
      </c>
      <c r="C2656" t="s">
        <v>382</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c r="X2656" s="19">
        <f ca="1">DATE(LifeExpectancyData[[#This Row],[Year]],RANDBETWEEN(1,12),1)</f>
        <v>40299</v>
      </c>
    </row>
    <row r="2657" spans="1:24" x14ac:dyDescent="0.25">
      <c r="A2657" t="s">
        <v>557</v>
      </c>
      <c r="B2657">
        <v>2009</v>
      </c>
      <c r="C2657" t="s">
        <v>382</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c r="X2657" s="19">
        <f ca="1">DATE(LifeExpectancyData[[#This Row],[Year]],RANDBETWEEN(1,12),1)</f>
        <v>40026</v>
      </c>
    </row>
    <row r="2658" spans="1:24" x14ac:dyDescent="0.25">
      <c r="A2658" t="s">
        <v>557</v>
      </c>
      <c r="B2658">
        <v>2008</v>
      </c>
      <c r="C2658" t="s">
        <v>382</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c r="X2658" s="19">
        <f ca="1">DATE(LifeExpectancyData[[#This Row],[Year]],RANDBETWEEN(1,12),1)</f>
        <v>39479</v>
      </c>
    </row>
    <row r="2659" spans="1:24" x14ac:dyDescent="0.25">
      <c r="A2659" t="s">
        <v>557</v>
      </c>
      <c r="B2659">
        <v>2007</v>
      </c>
      <c r="C2659" t="s">
        <v>382</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c r="X2659" s="19">
        <f ca="1">DATE(LifeExpectancyData[[#This Row],[Year]],RANDBETWEEN(1,12),1)</f>
        <v>39417</v>
      </c>
    </row>
    <row r="2660" spans="1:24" x14ac:dyDescent="0.25">
      <c r="A2660" t="s">
        <v>557</v>
      </c>
      <c r="B2660">
        <v>2006</v>
      </c>
      <c r="C2660" t="s">
        <v>382</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c r="X2660" s="19">
        <f ca="1">DATE(LifeExpectancyData[[#This Row],[Year]],RANDBETWEEN(1,12),1)</f>
        <v>38808</v>
      </c>
    </row>
    <row r="2661" spans="1:24" x14ac:dyDescent="0.25">
      <c r="A2661" t="s">
        <v>557</v>
      </c>
      <c r="B2661">
        <v>2005</v>
      </c>
      <c r="C2661" t="s">
        <v>382</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c r="X2661" s="19">
        <f ca="1">DATE(LifeExpectancyData[[#This Row],[Year]],RANDBETWEEN(1,12),1)</f>
        <v>38687</v>
      </c>
    </row>
    <row r="2662" spans="1:24" x14ac:dyDescent="0.25">
      <c r="A2662" t="s">
        <v>557</v>
      </c>
      <c r="B2662">
        <v>2004</v>
      </c>
      <c r="C2662" t="s">
        <v>382</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c r="X2662" s="19">
        <f ca="1">DATE(LifeExpectancyData[[#This Row],[Year]],RANDBETWEEN(1,12),1)</f>
        <v>38292</v>
      </c>
    </row>
    <row r="2663" spans="1:24" x14ac:dyDescent="0.25">
      <c r="A2663" t="s">
        <v>557</v>
      </c>
      <c r="B2663">
        <v>2003</v>
      </c>
      <c r="C2663" t="s">
        <v>382</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c r="X2663" s="19">
        <f ca="1">DATE(LifeExpectancyData[[#This Row],[Year]],RANDBETWEEN(1,12),1)</f>
        <v>37834</v>
      </c>
    </row>
    <row r="2664" spans="1:24" x14ac:dyDescent="0.25">
      <c r="A2664" t="s">
        <v>557</v>
      </c>
      <c r="B2664">
        <v>2002</v>
      </c>
      <c r="C2664" t="s">
        <v>382</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c r="X2664" s="19">
        <f ca="1">DATE(LifeExpectancyData[[#This Row],[Year]],RANDBETWEEN(1,12),1)</f>
        <v>37377</v>
      </c>
    </row>
    <row r="2665" spans="1:24" x14ac:dyDescent="0.25">
      <c r="A2665" t="s">
        <v>557</v>
      </c>
      <c r="B2665">
        <v>2001</v>
      </c>
      <c r="C2665" t="s">
        <v>382</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c r="X2665" s="19">
        <f ca="1">DATE(LifeExpectancyData[[#This Row],[Year]],RANDBETWEEN(1,12),1)</f>
        <v>37165</v>
      </c>
    </row>
    <row r="2666" spans="1:24" x14ac:dyDescent="0.25">
      <c r="A2666" t="s">
        <v>557</v>
      </c>
      <c r="B2666">
        <v>2000</v>
      </c>
      <c r="C2666" t="s">
        <v>382</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c r="X2666" s="19">
        <f ca="1">DATE(LifeExpectancyData[[#This Row],[Year]],RANDBETWEEN(1,12),1)</f>
        <v>36861</v>
      </c>
    </row>
    <row r="2667" spans="1:24" x14ac:dyDescent="0.25">
      <c r="A2667" t="s">
        <v>558</v>
      </c>
      <c r="B2667">
        <v>2015</v>
      </c>
      <c r="C2667" t="s">
        <v>382</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c r="X2667" s="19">
        <f ca="1">DATE(LifeExpectancyData[[#This Row],[Year]],RANDBETWEEN(1,12),1)</f>
        <v>42036</v>
      </c>
    </row>
    <row r="2668" spans="1:24" x14ac:dyDescent="0.25">
      <c r="A2668" t="s">
        <v>558</v>
      </c>
      <c r="B2668">
        <v>2014</v>
      </c>
      <c r="C2668" t="s">
        <v>382</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c r="X2668" s="19">
        <f ca="1">DATE(LifeExpectancyData[[#This Row],[Year]],RANDBETWEEN(1,12),1)</f>
        <v>41944</v>
      </c>
    </row>
    <row r="2669" spans="1:24" x14ac:dyDescent="0.25">
      <c r="A2669" t="s">
        <v>558</v>
      </c>
      <c r="B2669">
        <v>2013</v>
      </c>
      <c r="C2669" t="s">
        <v>382</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c r="X2669" s="19">
        <f ca="1">DATE(LifeExpectancyData[[#This Row],[Year]],RANDBETWEEN(1,12),1)</f>
        <v>41306</v>
      </c>
    </row>
    <row r="2670" spans="1:24" x14ac:dyDescent="0.25">
      <c r="A2670" t="s">
        <v>558</v>
      </c>
      <c r="B2670">
        <v>2012</v>
      </c>
      <c r="C2670" t="s">
        <v>382</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c r="X2670" s="19">
        <f ca="1">DATE(LifeExpectancyData[[#This Row],[Year]],RANDBETWEEN(1,12),1)</f>
        <v>40909</v>
      </c>
    </row>
    <row r="2671" spans="1:24" x14ac:dyDescent="0.25">
      <c r="A2671" t="s">
        <v>558</v>
      </c>
      <c r="B2671">
        <v>2011</v>
      </c>
      <c r="C2671" t="s">
        <v>382</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c r="X2671" s="19">
        <f ca="1">DATE(LifeExpectancyData[[#This Row],[Year]],RANDBETWEEN(1,12),1)</f>
        <v>40544</v>
      </c>
    </row>
    <row r="2672" spans="1:24" x14ac:dyDescent="0.25">
      <c r="A2672" t="s">
        <v>558</v>
      </c>
      <c r="B2672">
        <v>2010</v>
      </c>
      <c r="C2672" t="s">
        <v>382</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c r="X2672" s="19">
        <f ca="1">DATE(LifeExpectancyData[[#This Row],[Year]],RANDBETWEEN(1,12),1)</f>
        <v>40452</v>
      </c>
    </row>
    <row r="2673" spans="1:24" x14ac:dyDescent="0.25">
      <c r="A2673" t="s">
        <v>558</v>
      </c>
      <c r="B2673">
        <v>2009</v>
      </c>
      <c r="C2673" t="s">
        <v>382</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c r="X2673" s="19">
        <f ca="1">DATE(LifeExpectancyData[[#This Row],[Year]],RANDBETWEEN(1,12),1)</f>
        <v>39845</v>
      </c>
    </row>
    <row r="2674" spans="1:24" x14ac:dyDescent="0.25">
      <c r="A2674" t="s">
        <v>558</v>
      </c>
      <c r="B2674">
        <v>2008</v>
      </c>
      <c r="C2674" t="s">
        <v>382</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c r="X2674" s="19">
        <f ca="1">DATE(LifeExpectancyData[[#This Row],[Year]],RANDBETWEEN(1,12),1)</f>
        <v>39661</v>
      </c>
    </row>
    <row r="2675" spans="1:24" x14ac:dyDescent="0.25">
      <c r="A2675" t="s">
        <v>558</v>
      </c>
      <c r="B2675">
        <v>2007</v>
      </c>
      <c r="C2675" t="s">
        <v>382</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c r="X2675" s="19">
        <f ca="1">DATE(LifeExpectancyData[[#This Row],[Year]],RANDBETWEEN(1,12),1)</f>
        <v>39203</v>
      </c>
    </row>
    <row r="2676" spans="1:24" x14ac:dyDescent="0.25">
      <c r="A2676" t="s">
        <v>558</v>
      </c>
      <c r="B2676">
        <v>2006</v>
      </c>
      <c r="C2676" t="s">
        <v>382</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c r="X2676" s="19">
        <f ca="1">DATE(LifeExpectancyData[[#This Row],[Year]],RANDBETWEEN(1,12),1)</f>
        <v>38808</v>
      </c>
    </row>
    <row r="2677" spans="1:24" x14ac:dyDescent="0.25">
      <c r="A2677" t="s">
        <v>558</v>
      </c>
      <c r="B2677">
        <v>2005</v>
      </c>
      <c r="C2677" t="s">
        <v>382</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c r="X2677" s="19">
        <f ca="1">DATE(LifeExpectancyData[[#This Row],[Year]],RANDBETWEEN(1,12),1)</f>
        <v>38687</v>
      </c>
    </row>
    <row r="2678" spans="1:24" x14ac:dyDescent="0.25">
      <c r="A2678" t="s">
        <v>558</v>
      </c>
      <c r="B2678">
        <v>2004</v>
      </c>
      <c r="C2678" t="s">
        <v>382</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c r="X2678" s="19">
        <f ca="1">DATE(LifeExpectancyData[[#This Row],[Year]],RANDBETWEEN(1,12),1)</f>
        <v>38139</v>
      </c>
    </row>
    <row r="2679" spans="1:24" x14ac:dyDescent="0.25">
      <c r="A2679" t="s">
        <v>558</v>
      </c>
      <c r="B2679">
        <v>2003</v>
      </c>
      <c r="C2679" t="s">
        <v>382</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c r="X2679" s="19">
        <f ca="1">DATE(LifeExpectancyData[[#This Row],[Year]],RANDBETWEEN(1,12),1)</f>
        <v>37895</v>
      </c>
    </row>
    <row r="2680" spans="1:24" x14ac:dyDescent="0.25">
      <c r="A2680" t="s">
        <v>558</v>
      </c>
      <c r="B2680">
        <v>2002</v>
      </c>
      <c r="C2680" t="s">
        <v>382</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c r="X2680" s="19">
        <f ca="1">DATE(LifeExpectancyData[[#This Row],[Year]],RANDBETWEEN(1,12),1)</f>
        <v>37561</v>
      </c>
    </row>
    <row r="2681" spans="1:24" x14ac:dyDescent="0.25">
      <c r="A2681" t="s">
        <v>558</v>
      </c>
      <c r="B2681">
        <v>2001</v>
      </c>
      <c r="C2681" t="s">
        <v>382</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c r="X2681" s="19">
        <f ca="1">DATE(LifeExpectancyData[[#This Row],[Year]],RANDBETWEEN(1,12),1)</f>
        <v>37043</v>
      </c>
    </row>
    <row r="2682" spans="1:24" x14ac:dyDescent="0.25">
      <c r="A2682" t="s">
        <v>558</v>
      </c>
      <c r="B2682">
        <v>2000</v>
      </c>
      <c r="C2682" t="s">
        <v>382</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c r="X2682" s="19">
        <f ca="1">DATE(LifeExpectancyData[[#This Row],[Year]],RANDBETWEEN(1,12),1)</f>
        <v>36557</v>
      </c>
    </row>
    <row r="2683" spans="1:24" x14ac:dyDescent="0.25">
      <c r="A2683" t="s">
        <v>559</v>
      </c>
      <c r="B2683">
        <v>2015</v>
      </c>
      <c r="C2683" t="s">
        <v>382</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c r="X2683" s="19">
        <f ca="1">DATE(LifeExpectancyData[[#This Row],[Year]],RANDBETWEEN(1,12),1)</f>
        <v>42095</v>
      </c>
    </row>
    <row r="2684" spans="1:24" x14ac:dyDescent="0.25">
      <c r="A2684" t="s">
        <v>559</v>
      </c>
      <c r="B2684">
        <v>2014</v>
      </c>
      <c r="C2684" t="s">
        <v>382</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c r="X2684" s="19">
        <f ca="1">DATE(LifeExpectancyData[[#This Row],[Year]],RANDBETWEEN(1,12),1)</f>
        <v>41699</v>
      </c>
    </row>
    <row r="2685" spans="1:24" x14ac:dyDescent="0.25">
      <c r="A2685" t="s">
        <v>559</v>
      </c>
      <c r="B2685">
        <v>2013</v>
      </c>
      <c r="C2685" t="s">
        <v>382</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c r="X2685" s="19">
        <f ca="1">DATE(LifeExpectancyData[[#This Row],[Year]],RANDBETWEEN(1,12),1)</f>
        <v>41334</v>
      </c>
    </row>
    <row r="2686" spans="1:24" x14ac:dyDescent="0.25">
      <c r="A2686" t="s">
        <v>559</v>
      </c>
      <c r="B2686">
        <v>2012</v>
      </c>
      <c r="C2686" t="s">
        <v>382</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c r="X2686" s="19">
        <f ca="1">DATE(LifeExpectancyData[[#This Row],[Year]],RANDBETWEEN(1,12),1)</f>
        <v>40940</v>
      </c>
    </row>
    <row r="2687" spans="1:24" x14ac:dyDescent="0.25">
      <c r="A2687" t="s">
        <v>559</v>
      </c>
      <c r="B2687">
        <v>2011</v>
      </c>
      <c r="C2687" t="s">
        <v>382</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c r="X2687" s="19">
        <f ca="1">DATE(LifeExpectancyData[[#This Row],[Year]],RANDBETWEEN(1,12),1)</f>
        <v>40817</v>
      </c>
    </row>
    <row r="2688" spans="1:24" x14ac:dyDescent="0.25">
      <c r="A2688" t="s">
        <v>559</v>
      </c>
      <c r="B2688">
        <v>2010</v>
      </c>
      <c r="C2688" t="s">
        <v>382</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c r="X2688" s="19">
        <f ca="1">DATE(LifeExpectancyData[[#This Row],[Year]],RANDBETWEEN(1,12),1)</f>
        <v>40422</v>
      </c>
    </row>
    <row r="2689" spans="1:24" x14ac:dyDescent="0.25">
      <c r="A2689" t="s">
        <v>559</v>
      </c>
      <c r="B2689">
        <v>2009</v>
      </c>
      <c r="C2689" t="s">
        <v>382</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c r="X2689" s="19">
        <f ca="1">DATE(LifeExpectancyData[[#This Row],[Year]],RANDBETWEEN(1,12),1)</f>
        <v>39845</v>
      </c>
    </row>
    <row r="2690" spans="1:24" x14ac:dyDescent="0.25">
      <c r="A2690" t="s">
        <v>559</v>
      </c>
      <c r="B2690">
        <v>2008</v>
      </c>
      <c r="C2690" t="s">
        <v>382</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c r="X2690" s="19">
        <f ca="1">DATE(LifeExpectancyData[[#This Row],[Year]],RANDBETWEEN(1,12),1)</f>
        <v>39508</v>
      </c>
    </row>
    <row r="2691" spans="1:24" x14ac:dyDescent="0.25">
      <c r="A2691" t="s">
        <v>559</v>
      </c>
      <c r="B2691">
        <v>2007</v>
      </c>
      <c r="C2691" t="s">
        <v>382</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c r="X2691" s="19">
        <f ca="1">DATE(LifeExpectancyData[[#This Row],[Year]],RANDBETWEEN(1,12),1)</f>
        <v>39417</v>
      </c>
    </row>
    <row r="2692" spans="1:24" x14ac:dyDescent="0.25">
      <c r="A2692" t="s">
        <v>559</v>
      </c>
      <c r="B2692">
        <v>2006</v>
      </c>
      <c r="C2692" t="s">
        <v>382</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c r="X2692" s="19">
        <f ca="1">DATE(LifeExpectancyData[[#This Row],[Year]],RANDBETWEEN(1,12),1)</f>
        <v>39022</v>
      </c>
    </row>
    <row r="2693" spans="1:24" x14ac:dyDescent="0.25">
      <c r="A2693" t="s">
        <v>559</v>
      </c>
      <c r="B2693">
        <v>2005</v>
      </c>
      <c r="C2693" t="s">
        <v>382</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c r="X2693" s="19">
        <f ca="1">DATE(LifeExpectancyData[[#This Row],[Year]],RANDBETWEEN(1,12),1)</f>
        <v>38565</v>
      </c>
    </row>
    <row r="2694" spans="1:24" x14ac:dyDescent="0.25">
      <c r="A2694" t="s">
        <v>559</v>
      </c>
      <c r="B2694">
        <v>2004</v>
      </c>
      <c r="C2694" t="s">
        <v>382</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c r="X2694" s="19">
        <f ca="1">DATE(LifeExpectancyData[[#This Row],[Year]],RANDBETWEEN(1,12),1)</f>
        <v>38169</v>
      </c>
    </row>
    <row r="2695" spans="1:24" x14ac:dyDescent="0.25">
      <c r="A2695" t="s">
        <v>559</v>
      </c>
      <c r="B2695">
        <v>2003</v>
      </c>
      <c r="C2695" t="s">
        <v>382</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c r="X2695" s="19">
        <f ca="1">DATE(LifeExpectancyData[[#This Row],[Year]],RANDBETWEEN(1,12),1)</f>
        <v>37681</v>
      </c>
    </row>
    <row r="2696" spans="1:24" x14ac:dyDescent="0.25">
      <c r="A2696" t="s">
        <v>559</v>
      </c>
      <c r="B2696">
        <v>2002</v>
      </c>
      <c r="C2696" t="s">
        <v>382</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c r="X2696" s="19">
        <f ca="1">DATE(LifeExpectancyData[[#This Row],[Year]],RANDBETWEEN(1,12),1)</f>
        <v>37469</v>
      </c>
    </row>
    <row r="2697" spans="1:24" x14ac:dyDescent="0.25">
      <c r="A2697" t="s">
        <v>559</v>
      </c>
      <c r="B2697">
        <v>2001</v>
      </c>
      <c r="C2697" t="s">
        <v>382</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c r="X2697" s="19">
        <f ca="1">DATE(LifeExpectancyData[[#This Row],[Year]],RANDBETWEEN(1,12),1)</f>
        <v>37196</v>
      </c>
    </row>
    <row r="2698" spans="1:24" x14ac:dyDescent="0.25">
      <c r="A2698" t="s">
        <v>559</v>
      </c>
      <c r="B2698">
        <v>2000</v>
      </c>
      <c r="C2698" t="s">
        <v>382</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c r="X2698" s="19">
        <f ca="1">DATE(LifeExpectancyData[[#This Row],[Year]],RANDBETWEEN(1,12),1)</f>
        <v>36526</v>
      </c>
    </row>
    <row r="2699" spans="1:24" x14ac:dyDescent="0.25">
      <c r="A2699" t="s">
        <v>560</v>
      </c>
      <c r="B2699">
        <v>2015</v>
      </c>
      <c r="C2699" t="s">
        <v>382</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c r="X2699" s="19">
        <f ca="1">DATE(LifeExpectancyData[[#This Row],[Year]],RANDBETWEEN(1,12),1)</f>
        <v>42339</v>
      </c>
    </row>
    <row r="2700" spans="1:24" x14ac:dyDescent="0.25">
      <c r="A2700" t="s">
        <v>560</v>
      </c>
      <c r="B2700">
        <v>2014</v>
      </c>
      <c r="C2700" t="s">
        <v>382</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c r="X2700" s="19">
        <f ca="1">DATE(LifeExpectancyData[[#This Row],[Year]],RANDBETWEEN(1,12),1)</f>
        <v>41730</v>
      </c>
    </row>
    <row r="2701" spans="1:24" x14ac:dyDescent="0.25">
      <c r="A2701" t="s">
        <v>560</v>
      </c>
      <c r="B2701">
        <v>2013</v>
      </c>
      <c r="C2701" t="s">
        <v>382</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c r="X2701" s="19">
        <f ca="1">DATE(LifeExpectancyData[[#This Row],[Year]],RANDBETWEEN(1,12),1)</f>
        <v>41426</v>
      </c>
    </row>
    <row r="2702" spans="1:24" x14ac:dyDescent="0.25">
      <c r="A2702" t="s">
        <v>560</v>
      </c>
      <c r="B2702">
        <v>2012</v>
      </c>
      <c r="C2702" t="s">
        <v>382</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c r="X2702" s="19">
        <f ca="1">DATE(LifeExpectancyData[[#This Row],[Year]],RANDBETWEEN(1,12),1)</f>
        <v>40969</v>
      </c>
    </row>
    <row r="2703" spans="1:24" x14ac:dyDescent="0.25">
      <c r="A2703" t="s">
        <v>560</v>
      </c>
      <c r="B2703">
        <v>2011</v>
      </c>
      <c r="C2703" t="s">
        <v>382</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c r="X2703" s="19">
        <f ca="1">DATE(LifeExpectancyData[[#This Row],[Year]],RANDBETWEEN(1,12),1)</f>
        <v>40603</v>
      </c>
    </row>
    <row r="2704" spans="1:24" x14ac:dyDescent="0.25">
      <c r="A2704" t="s">
        <v>560</v>
      </c>
      <c r="B2704">
        <v>2010</v>
      </c>
      <c r="C2704" t="s">
        <v>382</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c r="X2704" s="19">
        <f ca="1">DATE(LifeExpectancyData[[#This Row],[Year]],RANDBETWEEN(1,12),1)</f>
        <v>40238</v>
      </c>
    </row>
    <row r="2705" spans="1:24" x14ac:dyDescent="0.25">
      <c r="A2705" t="s">
        <v>560</v>
      </c>
      <c r="B2705">
        <v>2009</v>
      </c>
      <c r="C2705" t="s">
        <v>382</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c r="X2705" s="19">
        <f ca="1">DATE(LifeExpectancyData[[#This Row],[Year]],RANDBETWEEN(1,12),1)</f>
        <v>39873</v>
      </c>
    </row>
    <row r="2706" spans="1:24" x14ac:dyDescent="0.25">
      <c r="A2706" t="s">
        <v>560</v>
      </c>
      <c r="B2706">
        <v>2008</v>
      </c>
      <c r="C2706" t="s">
        <v>382</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c r="X2706" s="19">
        <f ca="1">DATE(LifeExpectancyData[[#This Row],[Year]],RANDBETWEEN(1,12),1)</f>
        <v>39753</v>
      </c>
    </row>
    <row r="2707" spans="1:24" x14ac:dyDescent="0.25">
      <c r="A2707" t="s">
        <v>560</v>
      </c>
      <c r="B2707">
        <v>2007</v>
      </c>
      <c r="C2707" t="s">
        <v>382</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c r="X2707" s="19">
        <f ca="1">DATE(LifeExpectancyData[[#This Row],[Year]],RANDBETWEEN(1,12),1)</f>
        <v>39417</v>
      </c>
    </row>
    <row r="2708" spans="1:24" x14ac:dyDescent="0.25">
      <c r="A2708" t="s">
        <v>560</v>
      </c>
      <c r="B2708">
        <v>2006</v>
      </c>
      <c r="C2708" t="s">
        <v>382</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c r="X2708" s="19">
        <f ca="1">DATE(LifeExpectancyData[[#This Row],[Year]],RANDBETWEEN(1,12),1)</f>
        <v>38808</v>
      </c>
    </row>
    <row r="2709" spans="1:24" x14ac:dyDescent="0.25">
      <c r="A2709" t="s">
        <v>560</v>
      </c>
      <c r="B2709">
        <v>2005</v>
      </c>
      <c r="C2709" t="s">
        <v>382</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c r="X2709" s="19">
        <f ca="1">DATE(LifeExpectancyData[[#This Row],[Year]],RANDBETWEEN(1,12),1)</f>
        <v>38626</v>
      </c>
    </row>
    <row r="2710" spans="1:24" x14ac:dyDescent="0.25">
      <c r="A2710" t="s">
        <v>560</v>
      </c>
      <c r="B2710">
        <v>2004</v>
      </c>
      <c r="C2710" t="s">
        <v>382</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c r="X2710" s="19">
        <f ca="1">DATE(LifeExpectancyData[[#This Row],[Year]],RANDBETWEEN(1,12),1)</f>
        <v>38261</v>
      </c>
    </row>
    <row r="2711" spans="1:24" x14ac:dyDescent="0.25">
      <c r="A2711" t="s">
        <v>560</v>
      </c>
      <c r="B2711">
        <v>2003</v>
      </c>
      <c r="C2711" t="s">
        <v>382</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c r="X2711" s="19">
        <f ca="1">DATE(LifeExpectancyData[[#This Row],[Year]],RANDBETWEEN(1,12),1)</f>
        <v>37712</v>
      </c>
    </row>
    <row r="2712" spans="1:24" x14ac:dyDescent="0.25">
      <c r="A2712" t="s">
        <v>560</v>
      </c>
      <c r="B2712">
        <v>2002</v>
      </c>
      <c r="C2712" t="s">
        <v>382</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c r="X2712" s="19">
        <f ca="1">DATE(LifeExpectancyData[[#This Row],[Year]],RANDBETWEEN(1,12),1)</f>
        <v>37500</v>
      </c>
    </row>
    <row r="2713" spans="1:24" x14ac:dyDescent="0.25">
      <c r="A2713" t="s">
        <v>560</v>
      </c>
      <c r="B2713">
        <v>2001</v>
      </c>
      <c r="C2713" t="s">
        <v>382</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c r="X2713" s="19">
        <f ca="1">DATE(LifeExpectancyData[[#This Row],[Year]],RANDBETWEEN(1,12),1)</f>
        <v>37043</v>
      </c>
    </row>
    <row r="2714" spans="1:24" x14ac:dyDescent="0.25">
      <c r="A2714" t="s">
        <v>560</v>
      </c>
      <c r="B2714">
        <v>2000</v>
      </c>
      <c r="C2714" t="s">
        <v>382</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c r="X2714" s="19">
        <f ca="1">DATE(LifeExpectancyData[[#This Row],[Year]],RANDBETWEEN(1,12),1)</f>
        <v>36678</v>
      </c>
    </row>
    <row r="2715" spans="1:24" x14ac:dyDescent="0.25">
      <c r="A2715" t="s">
        <v>561</v>
      </c>
      <c r="B2715">
        <v>2013</v>
      </c>
      <c r="C2715" t="s">
        <v>382</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c r="X2715" s="19">
        <f ca="1">DATE(LifeExpectancyData[[#This Row],[Year]],RANDBETWEEN(1,12),1)</f>
        <v>41395</v>
      </c>
    </row>
    <row r="2716" spans="1:24" x14ac:dyDescent="0.25">
      <c r="A2716" t="s">
        <v>562</v>
      </c>
      <c r="B2716">
        <v>2015</v>
      </c>
      <c r="C2716" t="s">
        <v>382</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c r="X2716" s="19">
        <f ca="1">DATE(LifeExpectancyData[[#This Row],[Year]],RANDBETWEEN(1,12),1)</f>
        <v>42156</v>
      </c>
    </row>
    <row r="2717" spans="1:24" x14ac:dyDescent="0.25">
      <c r="A2717" t="s">
        <v>562</v>
      </c>
      <c r="B2717">
        <v>2014</v>
      </c>
      <c r="C2717" t="s">
        <v>382</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c r="X2717" s="19">
        <f ca="1">DATE(LifeExpectancyData[[#This Row],[Year]],RANDBETWEEN(1,12),1)</f>
        <v>41913</v>
      </c>
    </row>
    <row r="2718" spans="1:24" x14ac:dyDescent="0.25">
      <c r="A2718" t="s">
        <v>562</v>
      </c>
      <c r="B2718">
        <v>2013</v>
      </c>
      <c r="C2718" t="s">
        <v>382</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c r="X2718" s="19">
        <f ca="1">DATE(LifeExpectancyData[[#This Row],[Year]],RANDBETWEEN(1,12),1)</f>
        <v>41579</v>
      </c>
    </row>
    <row r="2719" spans="1:24" x14ac:dyDescent="0.25">
      <c r="A2719" t="s">
        <v>562</v>
      </c>
      <c r="B2719">
        <v>2012</v>
      </c>
      <c r="C2719" t="s">
        <v>382</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c r="X2719" s="19">
        <f ca="1">DATE(LifeExpectancyData[[#This Row],[Year]],RANDBETWEEN(1,12),1)</f>
        <v>40969</v>
      </c>
    </row>
    <row r="2720" spans="1:24" x14ac:dyDescent="0.25">
      <c r="A2720" t="s">
        <v>562</v>
      </c>
      <c r="B2720">
        <v>2011</v>
      </c>
      <c r="C2720" t="s">
        <v>382</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c r="X2720" s="19">
        <f ca="1">DATE(LifeExpectancyData[[#This Row],[Year]],RANDBETWEEN(1,12),1)</f>
        <v>40756</v>
      </c>
    </row>
    <row r="2721" spans="1:24" x14ac:dyDescent="0.25">
      <c r="A2721" t="s">
        <v>562</v>
      </c>
      <c r="B2721">
        <v>2010</v>
      </c>
      <c r="C2721" t="s">
        <v>382</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c r="X2721" s="19">
        <f ca="1">DATE(LifeExpectancyData[[#This Row],[Year]],RANDBETWEEN(1,12),1)</f>
        <v>40452</v>
      </c>
    </row>
    <row r="2722" spans="1:24" x14ac:dyDescent="0.25">
      <c r="A2722" t="s">
        <v>562</v>
      </c>
      <c r="B2722">
        <v>2009</v>
      </c>
      <c r="C2722" t="s">
        <v>382</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c r="X2722" s="19">
        <f ca="1">DATE(LifeExpectancyData[[#This Row],[Year]],RANDBETWEEN(1,12),1)</f>
        <v>40118</v>
      </c>
    </row>
    <row r="2723" spans="1:24" x14ac:dyDescent="0.25">
      <c r="A2723" t="s">
        <v>562</v>
      </c>
      <c r="B2723">
        <v>2008</v>
      </c>
      <c r="C2723" t="s">
        <v>382</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c r="X2723" s="19">
        <f ca="1">DATE(LifeExpectancyData[[#This Row],[Year]],RANDBETWEEN(1,12),1)</f>
        <v>39539</v>
      </c>
    </row>
    <row r="2724" spans="1:24" x14ac:dyDescent="0.25">
      <c r="A2724" t="s">
        <v>562</v>
      </c>
      <c r="B2724">
        <v>2007</v>
      </c>
      <c r="C2724" t="s">
        <v>382</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c r="X2724" s="19">
        <f ca="1">DATE(LifeExpectancyData[[#This Row],[Year]],RANDBETWEEN(1,12),1)</f>
        <v>39142</v>
      </c>
    </row>
    <row r="2725" spans="1:24" x14ac:dyDescent="0.25">
      <c r="A2725" t="s">
        <v>562</v>
      </c>
      <c r="B2725">
        <v>2006</v>
      </c>
      <c r="C2725" t="s">
        <v>382</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c r="X2725" s="19">
        <f ca="1">DATE(LifeExpectancyData[[#This Row],[Year]],RANDBETWEEN(1,12),1)</f>
        <v>38718</v>
      </c>
    </row>
    <row r="2726" spans="1:24" x14ac:dyDescent="0.25">
      <c r="A2726" t="s">
        <v>562</v>
      </c>
      <c r="B2726">
        <v>2005</v>
      </c>
      <c r="C2726" t="s">
        <v>382</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c r="X2726" s="19">
        <f ca="1">DATE(LifeExpectancyData[[#This Row],[Year]],RANDBETWEEN(1,12),1)</f>
        <v>38504</v>
      </c>
    </row>
    <row r="2727" spans="1:24" x14ac:dyDescent="0.25">
      <c r="A2727" t="s">
        <v>562</v>
      </c>
      <c r="B2727">
        <v>2004</v>
      </c>
      <c r="C2727" t="s">
        <v>382</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c r="X2727" s="19">
        <f ca="1">DATE(LifeExpectancyData[[#This Row],[Year]],RANDBETWEEN(1,12),1)</f>
        <v>38078</v>
      </c>
    </row>
    <row r="2728" spans="1:24" x14ac:dyDescent="0.25">
      <c r="A2728" t="s">
        <v>562</v>
      </c>
      <c r="B2728">
        <v>2003</v>
      </c>
      <c r="C2728" t="s">
        <v>382</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c r="X2728" s="19">
        <f ca="1">DATE(LifeExpectancyData[[#This Row],[Year]],RANDBETWEEN(1,12),1)</f>
        <v>37865</v>
      </c>
    </row>
    <row r="2729" spans="1:24" x14ac:dyDescent="0.25">
      <c r="A2729" t="s">
        <v>562</v>
      </c>
      <c r="B2729">
        <v>2002</v>
      </c>
      <c r="C2729" t="s">
        <v>382</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c r="X2729" s="19">
        <f ca="1">DATE(LifeExpectancyData[[#This Row],[Year]],RANDBETWEEN(1,12),1)</f>
        <v>37316</v>
      </c>
    </row>
    <row r="2730" spans="1:24" x14ac:dyDescent="0.25">
      <c r="A2730" t="s">
        <v>562</v>
      </c>
      <c r="B2730">
        <v>2001</v>
      </c>
      <c r="C2730" t="s">
        <v>382</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c r="X2730" s="19">
        <f ca="1">DATE(LifeExpectancyData[[#This Row],[Year]],RANDBETWEEN(1,12),1)</f>
        <v>37104</v>
      </c>
    </row>
    <row r="2731" spans="1:24" x14ac:dyDescent="0.25">
      <c r="A2731" t="s">
        <v>562</v>
      </c>
      <c r="B2731">
        <v>2000</v>
      </c>
      <c r="C2731" t="s">
        <v>382</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c r="X2731" s="19">
        <f ca="1">DATE(LifeExpectancyData[[#This Row],[Year]],RANDBETWEEN(1,12),1)</f>
        <v>36617</v>
      </c>
    </row>
    <row r="2732" spans="1:24" x14ac:dyDescent="0.25">
      <c r="A2732" t="s">
        <v>563</v>
      </c>
      <c r="B2732">
        <v>2015</v>
      </c>
      <c r="C2732" t="s">
        <v>382</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c r="X2732" s="19">
        <f ca="1">DATE(LifeExpectancyData[[#This Row],[Year]],RANDBETWEEN(1,12),1)</f>
        <v>42156</v>
      </c>
    </row>
    <row r="2733" spans="1:24" x14ac:dyDescent="0.25">
      <c r="A2733" t="s">
        <v>563</v>
      </c>
      <c r="B2733">
        <v>2014</v>
      </c>
      <c r="C2733" t="s">
        <v>382</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c r="X2733" s="19">
        <f ca="1">DATE(LifeExpectancyData[[#This Row],[Year]],RANDBETWEEN(1,12),1)</f>
        <v>41913</v>
      </c>
    </row>
    <row r="2734" spans="1:24" x14ac:dyDescent="0.25">
      <c r="A2734" t="s">
        <v>563</v>
      </c>
      <c r="B2734">
        <v>2013</v>
      </c>
      <c r="C2734" t="s">
        <v>382</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c r="X2734" s="19">
        <f ca="1">DATE(LifeExpectancyData[[#This Row],[Year]],RANDBETWEEN(1,12),1)</f>
        <v>41395</v>
      </c>
    </row>
    <row r="2735" spans="1:24" x14ac:dyDescent="0.25">
      <c r="A2735" t="s">
        <v>563</v>
      </c>
      <c r="B2735">
        <v>2012</v>
      </c>
      <c r="C2735" t="s">
        <v>382</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c r="X2735" s="19">
        <f ca="1">DATE(LifeExpectancyData[[#This Row],[Year]],RANDBETWEEN(1,12),1)</f>
        <v>41030</v>
      </c>
    </row>
    <row r="2736" spans="1:24" x14ac:dyDescent="0.25">
      <c r="A2736" t="s">
        <v>563</v>
      </c>
      <c r="B2736">
        <v>2011</v>
      </c>
      <c r="C2736" t="s">
        <v>382</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c r="X2736" s="19">
        <f ca="1">DATE(LifeExpectancyData[[#This Row],[Year]],RANDBETWEEN(1,12),1)</f>
        <v>40725</v>
      </c>
    </row>
    <row r="2737" spans="1:24" x14ac:dyDescent="0.25">
      <c r="A2737" t="s">
        <v>563</v>
      </c>
      <c r="B2737">
        <v>2010</v>
      </c>
      <c r="C2737" t="s">
        <v>382</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c r="X2737" s="19">
        <f ca="1">DATE(LifeExpectancyData[[#This Row],[Year]],RANDBETWEEN(1,12),1)</f>
        <v>40210</v>
      </c>
    </row>
    <row r="2738" spans="1:24" x14ac:dyDescent="0.25">
      <c r="A2738" t="s">
        <v>563</v>
      </c>
      <c r="B2738">
        <v>2009</v>
      </c>
      <c r="C2738" t="s">
        <v>382</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c r="X2738" s="19">
        <f ca="1">DATE(LifeExpectancyData[[#This Row],[Year]],RANDBETWEEN(1,12),1)</f>
        <v>40148</v>
      </c>
    </row>
    <row r="2739" spans="1:24" x14ac:dyDescent="0.25">
      <c r="A2739" t="s">
        <v>563</v>
      </c>
      <c r="B2739">
        <v>2008</v>
      </c>
      <c r="C2739" t="s">
        <v>382</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c r="X2739" s="19">
        <f ca="1">DATE(LifeExpectancyData[[#This Row],[Year]],RANDBETWEEN(1,12),1)</f>
        <v>39479</v>
      </c>
    </row>
    <row r="2740" spans="1:24" x14ac:dyDescent="0.25">
      <c r="A2740" t="s">
        <v>563</v>
      </c>
      <c r="B2740">
        <v>2007</v>
      </c>
      <c r="C2740" t="s">
        <v>382</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c r="X2740" s="19">
        <f ca="1">DATE(LifeExpectancyData[[#This Row],[Year]],RANDBETWEEN(1,12),1)</f>
        <v>39234</v>
      </c>
    </row>
    <row r="2741" spans="1:24" x14ac:dyDescent="0.25">
      <c r="A2741" t="s">
        <v>563</v>
      </c>
      <c r="B2741">
        <v>2006</v>
      </c>
      <c r="C2741" t="s">
        <v>382</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c r="X2741" s="19">
        <f ca="1">DATE(LifeExpectancyData[[#This Row],[Year]],RANDBETWEEN(1,12),1)</f>
        <v>38991</v>
      </c>
    </row>
    <row r="2742" spans="1:24" x14ac:dyDescent="0.25">
      <c r="A2742" t="s">
        <v>563</v>
      </c>
      <c r="B2742">
        <v>2005</v>
      </c>
      <c r="C2742" t="s">
        <v>382</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c r="X2742" s="19">
        <f ca="1">DATE(LifeExpectancyData[[#This Row],[Year]],RANDBETWEEN(1,12),1)</f>
        <v>38443</v>
      </c>
    </row>
    <row r="2743" spans="1:24" x14ac:dyDescent="0.25">
      <c r="A2743" t="s">
        <v>563</v>
      </c>
      <c r="B2743">
        <v>2004</v>
      </c>
      <c r="C2743" t="s">
        <v>382</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c r="X2743" s="19">
        <f ca="1">DATE(LifeExpectancyData[[#This Row],[Year]],RANDBETWEEN(1,12),1)</f>
        <v>38108</v>
      </c>
    </row>
    <row r="2744" spans="1:24" x14ac:dyDescent="0.25">
      <c r="A2744" t="s">
        <v>563</v>
      </c>
      <c r="B2744">
        <v>2003</v>
      </c>
      <c r="C2744" t="s">
        <v>382</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c r="X2744" s="19">
        <f ca="1">DATE(LifeExpectancyData[[#This Row],[Year]],RANDBETWEEN(1,12),1)</f>
        <v>37622</v>
      </c>
    </row>
    <row r="2745" spans="1:24" x14ac:dyDescent="0.25">
      <c r="A2745" t="s">
        <v>563</v>
      </c>
      <c r="B2745">
        <v>2002</v>
      </c>
      <c r="C2745" t="s">
        <v>382</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c r="X2745" s="19">
        <f ca="1">DATE(LifeExpectancyData[[#This Row],[Year]],RANDBETWEEN(1,12),1)</f>
        <v>37591</v>
      </c>
    </row>
    <row r="2746" spans="1:24" x14ac:dyDescent="0.25">
      <c r="A2746" t="s">
        <v>563</v>
      </c>
      <c r="B2746">
        <v>2001</v>
      </c>
      <c r="C2746" t="s">
        <v>382</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c r="X2746" s="19">
        <f ca="1">DATE(LifeExpectancyData[[#This Row],[Year]],RANDBETWEEN(1,12),1)</f>
        <v>37226</v>
      </c>
    </row>
    <row r="2747" spans="1:24" x14ac:dyDescent="0.25">
      <c r="A2747" t="s">
        <v>563</v>
      </c>
      <c r="B2747">
        <v>2000</v>
      </c>
      <c r="C2747" t="s">
        <v>382</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c r="X2747" s="19">
        <f ca="1">DATE(LifeExpectancyData[[#This Row],[Year]],RANDBETWEEN(1,12),1)</f>
        <v>36739</v>
      </c>
    </row>
    <row r="2748" spans="1:24" x14ac:dyDescent="0.25">
      <c r="A2748" t="s">
        <v>564</v>
      </c>
      <c r="B2748">
        <v>2015</v>
      </c>
      <c r="C2748" t="s">
        <v>382</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c r="X2748" s="19">
        <f ca="1">DATE(LifeExpectancyData[[#This Row],[Year]],RANDBETWEEN(1,12),1)</f>
        <v>42095</v>
      </c>
    </row>
    <row r="2749" spans="1:24" x14ac:dyDescent="0.25">
      <c r="A2749" t="s">
        <v>564</v>
      </c>
      <c r="B2749">
        <v>2014</v>
      </c>
      <c r="C2749" t="s">
        <v>382</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c r="X2749" s="19">
        <f ca="1">DATE(LifeExpectancyData[[#This Row],[Year]],RANDBETWEEN(1,12),1)</f>
        <v>41883</v>
      </c>
    </row>
    <row r="2750" spans="1:24" x14ac:dyDescent="0.25">
      <c r="A2750" t="s">
        <v>564</v>
      </c>
      <c r="B2750">
        <v>2013</v>
      </c>
      <c r="C2750" t="s">
        <v>382</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c r="X2750" s="19">
        <f ca="1">DATE(LifeExpectancyData[[#This Row],[Year]],RANDBETWEEN(1,12),1)</f>
        <v>41456</v>
      </c>
    </row>
    <row r="2751" spans="1:24" x14ac:dyDescent="0.25">
      <c r="A2751" t="s">
        <v>564</v>
      </c>
      <c r="B2751">
        <v>2012</v>
      </c>
      <c r="C2751" t="s">
        <v>382</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c r="X2751" s="19">
        <f ca="1">DATE(LifeExpectancyData[[#This Row],[Year]],RANDBETWEEN(1,12),1)</f>
        <v>40969</v>
      </c>
    </row>
    <row r="2752" spans="1:24" x14ac:dyDescent="0.25">
      <c r="A2752" t="s">
        <v>564</v>
      </c>
      <c r="B2752">
        <v>2011</v>
      </c>
      <c r="C2752" t="s">
        <v>382</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c r="X2752" s="19">
        <f ca="1">DATE(LifeExpectancyData[[#This Row],[Year]],RANDBETWEEN(1,12),1)</f>
        <v>40634</v>
      </c>
    </row>
    <row r="2753" spans="1:24" x14ac:dyDescent="0.25">
      <c r="A2753" t="s">
        <v>564</v>
      </c>
      <c r="B2753">
        <v>2010</v>
      </c>
      <c r="C2753" t="s">
        <v>382</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c r="X2753" s="19">
        <f ca="1">DATE(LifeExpectancyData[[#This Row],[Year]],RANDBETWEEN(1,12),1)</f>
        <v>40330</v>
      </c>
    </row>
    <row r="2754" spans="1:24" x14ac:dyDescent="0.25">
      <c r="A2754" t="s">
        <v>564</v>
      </c>
      <c r="B2754">
        <v>2009</v>
      </c>
      <c r="C2754" t="s">
        <v>382</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c r="X2754" s="19">
        <f ca="1">DATE(LifeExpectancyData[[#This Row],[Year]],RANDBETWEEN(1,12),1)</f>
        <v>40057</v>
      </c>
    </row>
    <row r="2755" spans="1:24" x14ac:dyDescent="0.25">
      <c r="A2755" t="s">
        <v>564</v>
      </c>
      <c r="B2755">
        <v>2008</v>
      </c>
      <c r="C2755" t="s">
        <v>382</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c r="X2755" s="19">
        <f ca="1">DATE(LifeExpectancyData[[#This Row],[Year]],RANDBETWEEN(1,12),1)</f>
        <v>39783</v>
      </c>
    </row>
    <row r="2756" spans="1:24" x14ac:dyDescent="0.25">
      <c r="A2756" t="s">
        <v>564</v>
      </c>
      <c r="B2756">
        <v>2007</v>
      </c>
      <c r="C2756" t="s">
        <v>382</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c r="X2756" s="19">
        <f ca="1">DATE(LifeExpectancyData[[#This Row],[Year]],RANDBETWEEN(1,12),1)</f>
        <v>39326</v>
      </c>
    </row>
    <row r="2757" spans="1:24" x14ac:dyDescent="0.25">
      <c r="A2757" t="s">
        <v>564</v>
      </c>
      <c r="B2757">
        <v>2006</v>
      </c>
      <c r="C2757" t="s">
        <v>382</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c r="X2757" s="19">
        <f ca="1">DATE(LifeExpectancyData[[#This Row],[Year]],RANDBETWEEN(1,12),1)</f>
        <v>39052</v>
      </c>
    </row>
    <row r="2758" spans="1:24" x14ac:dyDescent="0.25">
      <c r="A2758" t="s">
        <v>564</v>
      </c>
      <c r="B2758">
        <v>2005</v>
      </c>
      <c r="C2758" t="s">
        <v>382</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c r="X2758" s="19">
        <f ca="1">DATE(LifeExpectancyData[[#This Row],[Year]],RANDBETWEEN(1,12),1)</f>
        <v>38534</v>
      </c>
    </row>
    <row r="2759" spans="1:24" x14ac:dyDescent="0.25">
      <c r="A2759" t="s">
        <v>564</v>
      </c>
      <c r="B2759">
        <v>2004</v>
      </c>
      <c r="C2759" t="s">
        <v>382</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c r="X2759" s="19">
        <f ca="1">DATE(LifeExpectancyData[[#This Row],[Year]],RANDBETWEEN(1,12),1)</f>
        <v>38292</v>
      </c>
    </row>
    <row r="2760" spans="1:24" x14ac:dyDescent="0.25">
      <c r="A2760" t="s">
        <v>564</v>
      </c>
      <c r="B2760">
        <v>2003</v>
      </c>
      <c r="C2760" t="s">
        <v>382</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c r="X2760" s="19">
        <f ca="1">DATE(LifeExpectancyData[[#This Row],[Year]],RANDBETWEEN(1,12),1)</f>
        <v>37653</v>
      </c>
    </row>
    <row r="2761" spans="1:24" x14ac:dyDescent="0.25">
      <c r="A2761" t="s">
        <v>564</v>
      </c>
      <c r="B2761">
        <v>2002</v>
      </c>
      <c r="C2761" t="s">
        <v>382</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c r="X2761" s="19">
        <f ca="1">DATE(LifeExpectancyData[[#This Row],[Year]],RANDBETWEEN(1,12),1)</f>
        <v>37591</v>
      </c>
    </row>
    <row r="2762" spans="1:24" x14ac:dyDescent="0.25">
      <c r="A2762" t="s">
        <v>564</v>
      </c>
      <c r="B2762">
        <v>2001</v>
      </c>
      <c r="C2762" t="s">
        <v>382</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c r="X2762" s="19">
        <f ca="1">DATE(LifeExpectancyData[[#This Row],[Year]],RANDBETWEEN(1,12),1)</f>
        <v>37135</v>
      </c>
    </row>
    <row r="2763" spans="1:24" x14ac:dyDescent="0.25">
      <c r="A2763" t="s">
        <v>564</v>
      </c>
      <c r="B2763">
        <v>2000</v>
      </c>
      <c r="C2763" t="s">
        <v>382</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c r="X2763" s="19">
        <f ca="1">DATE(LifeExpectancyData[[#This Row],[Year]],RANDBETWEEN(1,12),1)</f>
        <v>36708</v>
      </c>
    </row>
    <row r="2764" spans="1:24" x14ac:dyDescent="0.25">
      <c r="A2764" t="s">
        <v>565</v>
      </c>
      <c r="B2764">
        <v>2015</v>
      </c>
      <c r="C2764" t="s">
        <v>390</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c r="X2764" s="19">
        <f ca="1">DATE(LifeExpectancyData[[#This Row],[Year]],RANDBETWEEN(1,12),1)</f>
        <v>42278</v>
      </c>
    </row>
    <row r="2765" spans="1:24" x14ac:dyDescent="0.25">
      <c r="A2765" t="s">
        <v>565</v>
      </c>
      <c r="B2765">
        <v>2014</v>
      </c>
      <c r="C2765" t="s">
        <v>390</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c r="X2765" s="19">
        <f ca="1">DATE(LifeExpectancyData[[#This Row],[Year]],RANDBETWEEN(1,12),1)</f>
        <v>41640</v>
      </c>
    </row>
    <row r="2766" spans="1:24" x14ac:dyDescent="0.25">
      <c r="A2766" t="s">
        <v>565</v>
      </c>
      <c r="B2766">
        <v>2013</v>
      </c>
      <c r="C2766" t="s">
        <v>390</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c r="X2766" s="19">
        <f ca="1">DATE(LifeExpectancyData[[#This Row],[Year]],RANDBETWEEN(1,12),1)</f>
        <v>41609</v>
      </c>
    </row>
    <row r="2767" spans="1:24" x14ac:dyDescent="0.25">
      <c r="A2767" t="s">
        <v>565</v>
      </c>
      <c r="B2767">
        <v>2012</v>
      </c>
      <c r="C2767" t="s">
        <v>390</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c r="X2767" s="19">
        <f ca="1">DATE(LifeExpectancyData[[#This Row],[Year]],RANDBETWEEN(1,12),1)</f>
        <v>41214</v>
      </c>
    </row>
    <row r="2768" spans="1:24" x14ac:dyDescent="0.25">
      <c r="A2768" t="s">
        <v>565</v>
      </c>
      <c r="B2768">
        <v>2011</v>
      </c>
      <c r="C2768" t="s">
        <v>390</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c r="X2768" s="19">
        <f ca="1">DATE(LifeExpectancyData[[#This Row],[Year]],RANDBETWEEN(1,12),1)</f>
        <v>40817</v>
      </c>
    </row>
    <row r="2769" spans="1:24" x14ac:dyDescent="0.25">
      <c r="A2769" t="s">
        <v>565</v>
      </c>
      <c r="B2769">
        <v>2010</v>
      </c>
      <c r="C2769" t="s">
        <v>390</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c r="X2769" s="19">
        <f ca="1">DATE(LifeExpectancyData[[#This Row],[Year]],RANDBETWEEN(1,12),1)</f>
        <v>40299</v>
      </c>
    </row>
    <row r="2770" spans="1:24" x14ac:dyDescent="0.25">
      <c r="A2770" t="s">
        <v>565</v>
      </c>
      <c r="B2770">
        <v>2009</v>
      </c>
      <c r="C2770" t="s">
        <v>390</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c r="X2770" s="19">
        <f ca="1">DATE(LifeExpectancyData[[#This Row],[Year]],RANDBETWEEN(1,12),1)</f>
        <v>39995</v>
      </c>
    </row>
    <row r="2771" spans="1:24" x14ac:dyDescent="0.25">
      <c r="A2771" t="s">
        <v>565</v>
      </c>
      <c r="B2771">
        <v>2008</v>
      </c>
      <c r="C2771" t="s">
        <v>390</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c r="X2771" s="19">
        <f ca="1">DATE(LifeExpectancyData[[#This Row],[Year]],RANDBETWEEN(1,12),1)</f>
        <v>39661</v>
      </c>
    </row>
    <row r="2772" spans="1:24" x14ac:dyDescent="0.25">
      <c r="A2772" t="s">
        <v>565</v>
      </c>
      <c r="B2772">
        <v>2007</v>
      </c>
      <c r="C2772" t="s">
        <v>390</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c r="X2772" s="19">
        <f ca="1">DATE(LifeExpectancyData[[#This Row],[Year]],RANDBETWEEN(1,12),1)</f>
        <v>39387</v>
      </c>
    </row>
    <row r="2773" spans="1:24" x14ac:dyDescent="0.25">
      <c r="A2773" t="s">
        <v>565</v>
      </c>
      <c r="B2773">
        <v>2006</v>
      </c>
      <c r="C2773" t="s">
        <v>390</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c r="X2773" s="19">
        <f ca="1">DATE(LifeExpectancyData[[#This Row],[Year]],RANDBETWEEN(1,12),1)</f>
        <v>38869</v>
      </c>
    </row>
    <row r="2774" spans="1:24" x14ac:dyDescent="0.25">
      <c r="A2774" t="s">
        <v>565</v>
      </c>
      <c r="B2774">
        <v>2005</v>
      </c>
      <c r="C2774" t="s">
        <v>390</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c r="X2774" s="19">
        <f ca="1">DATE(LifeExpectancyData[[#This Row],[Year]],RANDBETWEEN(1,12),1)</f>
        <v>38596</v>
      </c>
    </row>
    <row r="2775" spans="1:24" x14ac:dyDescent="0.25">
      <c r="A2775" t="s">
        <v>565</v>
      </c>
      <c r="B2775">
        <v>2004</v>
      </c>
      <c r="C2775" t="s">
        <v>390</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c r="X2775" s="19">
        <f ca="1">DATE(LifeExpectancyData[[#This Row],[Year]],RANDBETWEEN(1,12),1)</f>
        <v>38169</v>
      </c>
    </row>
    <row r="2776" spans="1:24" x14ac:dyDescent="0.25">
      <c r="A2776" t="s">
        <v>565</v>
      </c>
      <c r="B2776">
        <v>2003</v>
      </c>
      <c r="C2776" t="s">
        <v>390</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c r="X2776" s="19">
        <f ca="1">DATE(LifeExpectancyData[[#This Row],[Year]],RANDBETWEEN(1,12),1)</f>
        <v>37956</v>
      </c>
    </row>
    <row r="2777" spans="1:24" x14ac:dyDescent="0.25">
      <c r="A2777" t="s">
        <v>565</v>
      </c>
      <c r="B2777">
        <v>2002</v>
      </c>
      <c r="C2777" t="s">
        <v>390</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c r="X2777" s="19">
        <f ca="1">DATE(LifeExpectancyData[[#This Row],[Year]],RANDBETWEEN(1,12),1)</f>
        <v>37561</v>
      </c>
    </row>
    <row r="2778" spans="1:24" x14ac:dyDescent="0.25">
      <c r="A2778" t="s">
        <v>565</v>
      </c>
      <c r="B2778">
        <v>2001</v>
      </c>
      <c r="C2778" t="s">
        <v>390</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c r="X2778" s="19">
        <f ca="1">DATE(LifeExpectancyData[[#This Row],[Year]],RANDBETWEEN(1,12),1)</f>
        <v>37104</v>
      </c>
    </row>
    <row r="2779" spans="1:24" x14ac:dyDescent="0.25">
      <c r="A2779" t="s">
        <v>565</v>
      </c>
      <c r="B2779">
        <v>2000</v>
      </c>
      <c r="C2779" t="s">
        <v>390</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c r="X2779" s="19">
        <f ca="1">DATE(LifeExpectancyData[[#This Row],[Year]],RANDBETWEEN(1,12),1)</f>
        <v>36708</v>
      </c>
    </row>
    <row r="2780" spans="1:24" x14ac:dyDescent="0.25">
      <c r="A2780" t="s">
        <v>566</v>
      </c>
      <c r="B2780">
        <v>2015</v>
      </c>
      <c r="C2780" t="s">
        <v>382</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c r="X2780" s="19">
        <f ca="1">DATE(LifeExpectancyData[[#This Row],[Year]],RANDBETWEEN(1,12),1)</f>
        <v>42125</v>
      </c>
    </row>
    <row r="2781" spans="1:24" x14ac:dyDescent="0.25">
      <c r="A2781" t="s">
        <v>566</v>
      </c>
      <c r="B2781">
        <v>2014</v>
      </c>
      <c r="C2781" t="s">
        <v>382</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c r="X2781" s="19">
        <f ca="1">DATE(LifeExpectancyData[[#This Row],[Year]],RANDBETWEEN(1,12),1)</f>
        <v>41974</v>
      </c>
    </row>
    <row r="2782" spans="1:24" x14ac:dyDescent="0.25">
      <c r="A2782" t="s">
        <v>566</v>
      </c>
      <c r="B2782">
        <v>2013</v>
      </c>
      <c r="C2782" t="s">
        <v>382</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c r="X2782" s="19">
        <f ca="1">DATE(LifeExpectancyData[[#This Row],[Year]],RANDBETWEEN(1,12),1)</f>
        <v>41487</v>
      </c>
    </row>
    <row r="2783" spans="1:24" x14ac:dyDescent="0.25">
      <c r="A2783" t="s">
        <v>566</v>
      </c>
      <c r="B2783">
        <v>2012</v>
      </c>
      <c r="C2783" t="s">
        <v>382</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c r="X2783" s="19">
        <f ca="1">DATE(LifeExpectancyData[[#This Row],[Year]],RANDBETWEEN(1,12),1)</f>
        <v>41091</v>
      </c>
    </row>
    <row r="2784" spans="1:24" x14ac:dyDescent="0.25">
      <c r="A2784" t="s">
        <v>566</v>
      </c>
      <c r="B2784">
        <v>2011</v>
      </c>
      <c r="C2784" t="s">
        <v>382</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c r="X2784" s="19">
        <f ca="1">DATE(LifeExpectancyData[[#This Row],[Year]],RANDBETWEEN(1,12),1)</f>
        <v>40634</v>
      </c>
    </row>
    <row r="2785" spans="1:24" x14ac:dyDescent="0.25">
      <c r="A2785" t="s">
        <v>566</v>
      </c>
      <c r="B2785">
        <v>2010</v>
      </c>
      <c r="C2785" t="s">
        <v>382</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c r="X2785" s="19">
        <f ca="1">DATE(LifeExpectancyData[[#This Row],[Year]],RANDBETWEEN(1,12),1)</f>
        <v>40269</v>
      </c>
    </row>
    <row r="2786" spans="1:24" x14ac:dyDescent="0.25">
      <c r="A2786" t="s">
        <v>566</v>
      </c>
      <c r="B2786">
        <v>2009</v>
      </c>
      <c r="C2786" t="s">
        <v>382</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c r="X2786" s="19">
        <f ca="1">DATE(LifeExpectancyData[[#This Row],[Year]],RANDBETWEEN(1,12),1)</f>
        <v>39934</v>
      </c>
    </row>
    <row r="2787" spans="1:24" x14ac:dyDescent="0.25">
      <c r="A2787" t="s">
        <v>566</v>
      </c>
      <c r="B2787">
        <v>2008</v>
      </c>
      <c r="C2787" t="s">
        <v>382</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c r="X2787" s="19">
        <f ca="1">DATE(LifeExpectancyData[[#This Row],[Year]],RANDBETWEEN(1,12),1)</f>
        <v>39479</v>
      </c>
    </row>
    <row r="2788" spans="1:24" x14ac:dyDescent="0.25">
      <c r="A2788" t="s">
        <v>566</v>
      </c>
      <c r="B2788">
        <v>2007</v>
      </c>
      <c r="C2788" t="s">
        <v>382</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c r="X2788" s="19">
        <f ca="1">DATE(LifeExpectancyData[[#This Row],[Year]],RANDBETWEEN(1,12),1)</f>
        <v>39203</v>
      </c>
    </row>
    <row r="2789" spans="1:24" x14ac:dyDescent="0.25">
      <c r="A2789" t="s">
        <v>566</v>
      </c>
      <c r="B2789">
        <v>2006</v>
      </c>
      <c r="C2789" t="s">
        <v>382</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c r="X2789" s="19">
        <f ca="1">DATE(LifeExpectancyData[[#This Row],[Year]],RANDBETWEEN(1,12),1)</f>
        <v>38930</v>
      </c>
    </row>
    <row r="2790" spans="1:24" x14ac:dyDescent="0.25">
      <c r="A2790" t="s">
        <v>566</v>
      </c>
      <c r="B2790">
        <v>2005</v>
      </c>
      <c r="C2790" t="s">
        <v>382</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c r="X2790" s="19">
        <f ca="1">DATE(LifeExpectancyData[[#This Row],[Year]],RANDBETWEEN(1,12),1)</f>
        <v>38687</v>
      </c>
    </row>
    <row r="2791" spans="1:24" x14ac:dyDescent="0.25">
      <c r="A2791" t="s">
        <v>566</v>
      </c>
      <c r="B2791">
        <v>2004</v>
      </c>
      <c r="C2791" t="s">
        <v>382</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c r="X2791" s="19">
        <f ca="1">DATE(LifeExpectancyData[[#This Row],[Year]],RANDBETWEEN(1,12),1)</f>
        <v>38078</v>
      </c>
    </row>
    <row r="2792" spans="1:24" x14ac:dyDescent="0.25">
      <c r="A2792" t="s">
        <v>566</v>
      </c>
      <c r="B2792">
        <v>2003</v>
      </c>
      <c r="C2792" t="s">
        <v>382</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c r="X2792" s="19">
        <f ca="1">DATE(LifeExpectancyData[[#This Row],[Year]],RANDBETWEEN(1,12),1)</f>
        <v>37956</v>
      </c>
    </row>
    <row r="2793" spans="1:24" x14ac:dyDescent="0.25">
      <c r="A2793" t="s">
        <v>566</v>
      </c>
      <c r="B2793">
        <v>2002</v>
      </c>
      <c r="C2793" t="s">
        <v>382</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c r="X2793" s="19">
        <f ca="1">DATE(LifeExpectancyData[[#This Row],[Year]],RANDBETWEEN(1,12),1)</f>
        <v>37530</v>
      </c>
    </row>
    <row r="2794" spans="1:24" x14ac:dyDescent="0.25">
      <c r="A2794" t="s">
        <v>566</v>
      </c>
      <c r="B2794">
        <v>2001</v>
      </c>
      <c r="C2794" t="s">
        <v>382</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c r="X2794" s="19">
        <f ca="1">DATE(LifeExpectancyData[[#This Row],[Year]],RANDBETWEEN(1,12),1)</f>
        <v>36892</v>
      </c>
    </row>
    <row r="2795" spans="1:24" x14ac:dyDescent="0.25">
      <c r="A2795" t="s">
        <v>566</v>
      </c>
      <c r="B2795">
        <v>2000</v>
      </c>
      <c r="C2795" t="s">
        <v>382</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c r="X2795" s="19">
        <f ca="1">DATE(LifeExpectancyData[[#This Row],[Year]],RANDBETWEEN(1,12),1)</f>
        <v>36617</v>
      </c>
    </row>
    <row r="2796" spans="1:24" x14ac:dyDescent="0.25">
      <c r="A2796" t="s">
        <v>567</v>
      </c>
      <c r="B2796">
        <v>2015</v>
      </c>
      <c r="C2796" t="s">
        <v>390</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c r="X2796" s="19">
        <f ca="1">DATE(LifeExpectancyData[[#This Row],[Year]],RANDBETWEEN(1,12),1)</f>
        <v>42217</v>
      </c>
    </row>
    <row r="2797" spans="1:24" x14ac:dyDescent="0.25">
      <c r="A2797" t="s">
        <v>567</v>
      </c>
      <c r="B2797">
        <v>2014</v>
      </c>
      <c r="C2797" t="s">
        <v>390</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c r="X2797" s="19">
        <f ca="1">DATE(LifeExpectancyData[[#This Row],[Year]],RANDBETWEEN(1,12),1)</f>
        <v>41730</v>
      </c>
    </row>
    <row r="2798" spans="1:24" x14ac:dyDescent="0.25">
      <c r="A2798" t="s">
        <v>567</v>
      </c>
      <c r="B2798">
        <v>2013</v>
      </c>
      <c r="C2798" t="s">
        <v>390</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c r="X2798" s="19">
        <f ca="1">DATE(LifeExpectancyData[[#This Row],[Year]],RANDBETWEEN(1,12),1)</f>
        <v>41456</v>
      </c>
    </row>
    <row r="2799" spans="1:24" x14ac:dyDescent="0.25">
      <c r="A2799" t="s">
        <v>567</v>
      </c>
      <c r="B2799">
        <v>2012</v>
      </c>
      <c r="C2799" t="s">
        <v>390</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c r="X2799" s="19">
        <f ca="1">DATE(LifeExpectancyData[[#This Row],[Year]],RANDBETWEEN(1,12),1)</f>
        <v>41214</v>
      </c>
    </row>
    <row r="2800" spans="1:24" x14ac:dyDescent="0.25">
      <c r="A2800" t="s">
        <v>567</v>
      </c>
      <c r="B2800">
        <v>2011</v>
      </c>
      <c r="C2800" t="s">
        <v>390</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c r="X2800" s="19">
        <f ca="1">DATE(LifeExpectancyData[[#This Row],[Year]],RANDBETWEEN(1,12),1)</f>
        <v>40695</v>
      </c>
    </row>
    <row r="2801" spans="1:24" x14ac:dyDescent="0.25">
      <c r="A2801" t="s">
        <v>567</v>
      </c>
      <c r="B2801">
        <v>2010</v>
      </c>
      <c r="C2801" t="s">
        <v>390</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c r="X2801" s="19">
        <f ca="1">DATE(LifeExpectancyData[[#This Row],[Year]],RANDBETWEEN(1,12),1)</f>
        <v>40360</v>
      </c>
    </row>
    <row r="2802" spans="1:24" x14ac:dyDescent="0.25">
      <c r="A2802" t="s">
        <v>567</v>
      </c>
      <c r="B2802">
        <v>2009</v>
      </c>
      <c r="C2802" t="s">
        <v>390</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c r="X2802" s="19">
        <f ca="1">DATE(LifeExpectancyData[[#This Row],[Year]],RANDBETWEEN(1,12),1)</f>
        <v>39934</v>
      </c>
    </row>
    <row r="2803" spans="1:24" x14ac:dyDescent="0.25">
      <c r="A2803" t="s">
        <v>567</v>
      </c>
      <c r="B2803">
        <v>2008</v>
      </c>
      <c r="C2803" t="s">
        <v>390</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c r="X2803" s="19">
        <f ca="1">DATE(LifeExpectancyData[[#This Row],[Year]],RANDBETWEEN(1,12),1)</f>
        <v>39753</v>
      </c>
    </row>
    <row r="2804" spans="1:24" x14ac:dyDescent="0.25">
      <c r="A2804" t="s">
        <v>567</v>
      </c>
      <c r="B2804">
        <v>2007</v>
      </c>
      <c r="C2804" t="s">
        <v>390</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c r="X2804" s="19">
        <f ca="1">DATE(LifeExpectancyData[[#This Row],[Year]],RANDBETWEEN(1,12),1)</f>
        <v>39356</v>
      </c>
    </row>
    <row r="2805" spans="1:24" x14ac:dyDescent="0.25">
      <c r="A2805" t="s">
        <v>567</v>
      </c>
      <c r="B2805">
        <v>2006</v>
      </c>
      <c r="C2805" t="s">
        <v>390</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c r="X2805" s="19">
        <f ca="1">DATE(LifeExpectancyData[[#This Row],[Year]],RANDBETWEEN(1,12),1)</f>
        <v>38749</v>
      </c>
    </row>
    <row r="2806" spans="1:24" x14ac:dyDescent="0.25">
      <c r="A2806" t="s">
        <v>567</v>
      </c>
      <c r="B2806">
        <v>2005</v>
      </c>
      <c r="C2806" t="s">
        <v>390</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c r="X2806" s="19">
        <f ca="1">DATE(LifeExpectancyData[[#This Row],[Year]],RANDBETWEEN(1,12),1)</f>
        <v>38626</v>
      </c>
    </row>
    <row r="2807" spans="1:24" x14ac:dyDescent="0.25">
      <c r="A2807" t="s">
        <v>567</v>
      </c>
      <c r="B2807">
        <v>2004</v>
      </c>
      <c r="C2807" t="s">
        <v>390</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c r="X2807" s="19">
        <f ca="1">DATE(LifeExpectancyData[[#This Row],[Year]],RANDBETWEEN(1,12),1)</f>
        <v>38108</v>
      </c>
    </row>
    <row r="2808" spans="1:24" x14ac:dyDescent="0.25">
      <c r="A2808" t="s">
        <v>567</v>
      </c>
      <c r="B2808">
        <v>2003</v>
      </c>
      <c r="C2808" t="s">
        <v>390</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c r="X2808" s="19">
        <f ca="1">DATE(LifeExpectancyData[[#This Row],[Year]],RANDBETWEEN(1,12),1)</f>
        <v>37803</v>
      </c>
    </row>
    <row r="2809" spans="1:24" x14ac:dyDescent="0.25">
      <c r="A2809" t="s">
        <v>567</v>
      </c>
      <c r="B2809">
        <v>2002</v>
      </c>
      <c r="C2809" t="s">
        <v>390</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c r="X2809" s="19">
        <f ca="1">DATE(LifeExpectancyData[[#This Row],[Year]],RANDBETWEEN(1,12),1)</f>
        <v>37316</v>
      </c>
    </row>
    <row r="2810" spans="1:24" x14ac:dyDescent="0.25">
      <c r="A2810" t="s">
        <v>567</v>
      </c>
      <c r="B2810">
        <v>2001</v>
      </c>
      <c r="C2810" t="s">
        <v>390</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c r="X2810" s="19">
        <f ca="1">DATE(LifeExpectancyData[[#This Row],[Year]],RANDBETWEEN(1,12),1)</f>
        <v>36982</v>
      </c>
    </row>
    <row r="2811" spans="1:24" x14ac:dyDescent="0.25">
      <c r="A2811" t="s">
        <v>567</v>
      </c>
      <c r="B2811">
        <v>2000</v>
      </c>
      <c r="C2811" t="s">
        <v>390</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c r="X2811" s="19">
        <f ca="1">DATE(LifeExpectancyData[[#This Row],[Year]],RANDBETWEEN(1,12),1)</f>
        <v>36800</v>
      </c>
    </row>
    <row r="2812" spans="1:24" x14ac:dyDescent="0.25">
      <c r="A2812" t="s">
        <v>568</v>
      </c>
      <c r="B2812">
        <v>2015</v>
      </c>
      <c r="C2812" t="s">
        <v>382</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c r="X2812" s="19">
        <f ca="1">DATE(LifeExpectancyData[[#This Row],[Year]],RANDBETWEEN(1,12),1)</f>
        <v>42064</v>
      </c>
    </row>
    <row r="2813" spans="1:24" x14ac:dyDescent="0.25">
      <c r="A2813" t="s">
        <v>568</v>
      </c>
      <c r="B2813">
        <v>2014</v>
      </c>
      <c r="C2813" t="s">
        <v>382</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c r="X2813" s="19">
        <f ca="1">DATE(LifeExpectancyData[[#This Row],[Year]],RANDBETWEEN(1,12),1)</f>
        <v>41699</v>
      </c>
    </row>
    <row r="2814" spans="1:24" x14ac:dyDescent="0.25">
      <c r="A2814" t="s">
        <v>568</v>
      </c>
      <c r="B2814">
        <v>2013</v>
      </c>
      <c r="C2814" t="s">
        <v>382</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c r="X2814" s="19">
        <f ca="1">DATE(LifeExpectancyData[[#This Row],[Year]],RANDBETWEEN(1,12),1)</f>
        <v>41487</v>
      </c>
    </row>
    <row r="2815" spans="1:24" x14ac:dyDescent="0.25">
      <c r="A2815" t="s">
        <v>568</v>
      </c>
      <c r="B2815">
        <v>2012</v>
      </c>
      <c r="C2815" t="s">
        <v>382</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c r="X2815" s="19">
        <f ca="1">DATE(LifeExpectancyData[[#This Row],[Year]],RANDBETWEEN(1,12),1)</f>
        <v>40969</v>
      </c>
    </row>
    <row r="2816" spans="1:24" x14ac:dyDescent="0.25">
      <c r="A2816" t="s">
        <v>568</v>
      </c>
      <c r="B2816">
        <v>2011</v>
      </c>
      <c r="C2816" t="s">
        <v>382</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c r="X2816" s="19">
        <f ca="1">DATE(LifeExpectancyData[[#This Row],[Year]],RANDBETWEEN(1,12),1)</f>
        <v>40634</v>
      </c>
    </row>
    <row r="2817" spans="1:24" x14ac:dyDescent="0.25">
      <c r="A2817" t="s">
        <v>568</v>
      </c>
      <c r="B2817">
        <v>2010</v>
      </c>
      <c r="C2817" t="s">
        <v>382</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c r="X2817" s="19">
        <f ca="1">DATE(LifeExpectancyData[[#This Row],[Year]],RANDBETWEEN(1,12),1)</f>
        <v>40483</v>
      </c>
    </row>
    <row r="2818" spans="1:24" x14ac:dyDescent="0.25">
      <c r="A2818" t="s">
        <v>568</v>
      </c>
      <c r="B2818">
        <v>2009</v>
      </c>
      <c r="C2818" t="s">
        <v>382</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c r="X2818" s="19">
        <f ca="1">DATE(LifeExpectancyData[[#This Row],[Year]],RANDBETWEEN(1,12),1)</f>
        <v>39995</v>
      </c>
    </row>
    <row r="2819" spans="1:24" x14ac:dyDescent="0.25">
      <c r="A2819" t="s">
        <v>568</v>
      </c>
      <c r="B2819">
        <v>2008</v>
      </c>
      <c r="C2819" t="s">
        <v>382</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c r="X2819" s="19">
        <f ca="1">DATE(LifeExpectancyData[[#This Row],[Year]],RANDBETWEEN(1,12),1)</f>
        <v>39569</v>
      </c>
    </row>
    <row r="2820" spans="1:24" x14ac:dyDescent="0.25">
      <c r="A2820" t="s">
        <v>568</v>
      </c>
      <c r="B2820">
        <v>2007</v>
      </c>
      <c r="C2820" t="s">
        <v>382</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c r="X2820" s="19">
        <f ca="1">DATE(LifeExpectancyData[[#This Row],[Year]],RANDBETWEEN(1,12),1)</f>
        <v>39417</v>
      </c>
    </row>
    <row r="2821" spans="1:24" x14ac:dyDescent="0.25">
      <c r="A2821" t="s">
        <v>568</v>
      </c>
      <c r="B2821">
        <v>2006</v>
      </c>
      <c r="C2821" t="s">
        <v>382</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c r="X2821" s="19">
        <f ca="1">DATE(LifeExpectancyData[[#This Row],[Year]],RANDBETWEEN(1,12),1)</f>
        <v>38808</v>
      </c>
    </row>
    <row r="2822" spans="1:24" x14ac:dyDescent="0.25">
      <c r="A2822" t="s">
        <v>568</v>
      </c>
      <c r="B2822">
        <v>2005</v>
      </c>
      <c r="C2822" t="s">
        <v>382</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c r="X2822" s="19">
        <f ca="1">DATE(LifeExpectancyData[[#This Row],[Year]],RANDBETWEEN(1,12),1)</f>
        <v>38687</v>
      </c>
    </row>
    <row r="2823" spans="1:24" x14ac:dyDescent="0.25">
      <c r="A2823" t="s">
        <v>568</v>
      </c>
      <c r="B2823">
        <v>2004</v>
      </c>
      <c r="C2823" t="s">
        <v>382</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c r="X2823" s="19">
        <f ca="1">DATE(LifeExpectancyData[[#This Row],[Year]],RANDBETWEEN(1,12),1)</f>
        <v>38231</v>
      </c>
    </row>
    <row r="2824" spans="1:24" x14ac:dyDescent="0.25">
      <c r="A2824" t="s">
        <v>568</v>
      </c>
      <c r="B2824">
        <v>2003</v>
      </c>
      <c r="C2824" t="s">
        <v>382</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c r="X2824" s="19">
        <f ca="1">DATE(LifeExpectancyData[[#This Row],[Year]],RANDBETWEEN(1,12),1)</f>
        <v>37681</v>
      </c>
    </row>
    <row r="2825" spans="1:24" x14ac:dyDescent="0.25">
      <c r="A2825" t="s">
        <v>568</v>
      </c>
      <c r="B2825">
        <v>2002</v>
      </c>
      <c r="C2825" t="s">
        <v>382</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c r="X2825" s="19">
        <f ca="1">DATE(LifeExpectancyData[[#This Row],[Year]],RANDBETWEEN(1,12),1)</f>
        <v>37561</v>
      </c>
    </row>
    <row r="2826" spans="1:24" x14ac:dyDescent="0.25">
      <c r="A2826" t="s">
        <v>568</v>
      </c>
      <c r="B2826">
        <v>2001</v>
      </c>
      <c r="C2826" t="s">
        <v>382</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c r="X2826" s="19">
        <f ca="1">DATE(LifeExpectancyData[[#This Row],[Year]],RANDBETWEEN(1,12),1)</f>
        <v>36951</v>
      </c>
    </row>
    <row r="2827" spans="1:24" x14ac:dyDescent="0.25">
      <c r="A2827" t="s">
        <v>568</v>
      </c>
      <c r="B2827">
        <v>2000</v>
      </c>
      <c r="C2827" t="s">
        <v>382</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c r="X2827" s="19">
        <f ca="1">DATE(LifeExpectancyData[[#This Row],[Year]],RANDBETWEEN(1,12),1)</f>
        <v>36526</v>
      </c>
    </row>
    <row r="2828" spans="1:24" x14ac:dyDescent="0.25">
      <c r="A2828" t="s">
        <v>569</v>
      </c>
      <c r="B2828">
        <v>2015</v>
      </c>
      <c r="C2828" t="s">
        <v>382</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c r="X2828" s="19">
        <f ca="1">DATE(LifeExpectancyData[[#This Row],[Year]],RANDBETWEEN(1,12),1)</f>
        <v>42217</v>
      </c>
    </row>
    <row r="2829" spans="1:24" x14ac:dyDescent="0.25">
      <c r="A2829" t="s">
        <v>569</v>
      </c>
      <c r="B2829">
        <v>2014</v>
      </c>
      <c r="C2829" t="s">
        <v>382</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c r="X2829" s="19">
        <f ca="1">DATE(LifeExpectancyData[[#This Row],[Year]],RANDBETWEEN(1,12),1)</f>
        <v>41913</v>
      </c>
    </row>
    <row r="2830" spans="1:24" x14ac:dyDescent="0.25">
      <c r="A2830" t="s">
        <v>569</v>
      </c>
      <c r="B2830">
        <v>2013</v>
      </c>
      <c r="C2830" t="s">
        <v>382</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c r="X2830" s="19">
        <f ca="1">DATE(LifeExpectancyData[[#This Row],[Year]],RANDBETWEEN(1,12),1)</f>
        <v>41487</v>
      </c>
    </row>
    <row r="2831" spans="1:24" x14ac:dyDescent="0.25">
      <c r="A2831" t="s">
        <v>569</v>
      </c>
      <c r="B2831">
        <v>2012</v>
      </c>
      <c r="C2831" t="s">
        <v>382</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c r="X2831" s="19">
        <f ca="1">DATE(LifeExpectancyData[[#This Row],[Year]],RANDBETWEEN(1,12),1)</f>
        <v>41153</v>
      </c>
    </row>
    <row r="2832" spans="1:24" x14ac:dyDescent="0.25">
      <c r="A2832" t="s">
        <v>569</v>
      </c>
      <c r="B2832">
        <v>2011</v>
      </c>
      <c r="C2832" t="s">
        <v>382</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c r="X2832" s="19">
        <f ca="1">DATE(LifeExpectancyData[[#This Row],[Year]],RANDBETWEEN(1,12),1)</f>
        <v>40725</v>
      </c>
    </row>
    <row r="2833" spans="1:24" x14ac:dyDescent="0.25">
      <c r="A2833" t="s">
        <v>569</v>
      </c>
      <c r="B2833">
        <v>2010</v>
      </c>
      <c r="C2833" t="s">
        <v>382</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c r="X2833" s="19">
        <f ca="1">DATE(LifeExpectancyData[[#This Row],[Year]],RANDBETWEEN(1,12),1)</f>
        <v>40330</v>
      </c>
    </row>
    <row r="2834" spans="1:24" x14ac:dyDescent="0.25">
      <c r="A2834" t="s">
        <v>569</v>
      </c>
      <c r="B2834">
        <v>2009</v>
      </c>
      <c r="C2834" t="s">
        <v>382</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c r="X2834" s="19">
        <f ca="1">DATE(LifeExpectancyData[[#This Row],[Year]],RANDBETWEEN(1,12),1)</f>
        <v>40026</v>
      </c>
    </row>
    <row r="2835" spans="1:24" x14ac:dyDescent="0.25">
      <c r="A2835" t="s">
        <v>569</v>
      </c>
      <c r="B2835">
        <v>2008</v>
      </c>
      <c r="C2835" t="s">
        <v>382</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c r="X2835" s="19">
        <f ca="1">DATE(LifeExpectancyData[[#This Row],[Year]],RANDBETWEEN(1,12),1)</f>
        <v>39448</v>
      </c>
    </row>
    <row r="2836" spans="1:24" x14ac:dyDescent="0.25">
      <c r="A2836" t="s">
        <v>569</v>
      </c>
      <c r="B2836">
        <v>2007</v>
      </c>
      <c r="C2836" t="s">
        <v>382</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c r="X2836" s="19">
        <f ca="1">DATE(LifeExpectancyData[[#This Row],[Year]],RANDBETWEEN(1,12),1)</f>
        <v>39142</v>
      </c>
    </row>
    <row r="2837" spans="1:24" x14ac:dyDescent="0.25">
      <c r="A2837" t="s">
        <v>569</v>
      </c>
      <c r="B2837">
        <v>2006</v>
      </c>
      <c r="C2837" t="s">
        <v>382</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c r="X2837" s="19">
        <f ca="1">DATE(LifeExpectancyData[[#This Row],[Year]],RANDBETWEEN(1,12),1)</f>
        <v>38838</v>
      </c>
    </row>
    <row r="2838" spans="1:24" x14ac:dyDescent="0.25">
      <c r="A2838" t="s">
        <v>569</v>
      </c>
      <c r="B2838">
        <v>2005</v>
      </c>
      <c r="C2838" t="s">
        <v>382</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c r="X2838" s="19">
        <f ca="1">DATE(LifeExpectancyData[[#This Row],[Year]],RANDBETWEEN(1,12),1)</f>
        <v>38443</v>
      </c>
    </row>
    <row r="2839" spans="1:24" x14ac:dyDescent="0.25">
      <c r="A2839" t="s">
        <v>569</v>
      </c>
      <c r="B2839">
        <v>2004</v>
      </c>
      <c r="C2839" t="s">
        <v>382</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c r="X2839" s="19">
        <f ca="1">DATE(LifeExpectancyData[[#This Row],[Year]],RANDBETWEEN(1,12),1)</f>
        <v>38292</v>
      </c>
    </row>
    <row r="2840" spans="1:24" x14ac:dyDescent="0.25">
      <c r="A2840" t="s">
        <v>569</v>
      </c>
      <c r="B2840">
        <v>2003</v>
      </c>
      <c r="C2840" t="s">
        <v>382</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c r="X2840" s="19">
        <f ca="1">DATE(LifeExpectancyData[[#This Row],[Year]],RANDBETWEEN(1,12),1)</f>
        <v>37803</v>
      </c>
    </row>
    <row r="2841" spans="1:24" x14ac:dyDescent="0.25">
      <c r="A2841" t="s">
        <v>569</v>
      </c>
      <c r="B2841">
        <v>2002</v>
      </c>
      <c r="C2841" t="s">
        <v>382</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c r="X2841" s="19">
        <f ca="1">DATE(LifeExpectancyData[[#This Row],[Year]],RANDBETWEEN(1,12),1)</f>
        <v>37530</v>
      </c>
    </row>
    <row r="2842" spans="1:24" x14ac:dyDescent="0.25">
      <c r="A2842" t="s">
        <v>569</v>
      </c>
      <c r="B2842">
        <v>2001</v>
      </c>
      <c r="C2842" t="s">
        <v>382</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c r="X2842" s="19">
        <f ca="1">DATE(LifeExpectancyData[[#This Row],[Year]],RANDBETWEEN(1,12),1)</f>
        <v>36923</v>
      </c>
    </row>
    <row r="2843" spans="1:24" x14ac:dyDescent="0.25">
      <c r="A2843" t="s">
        <v>569</v>
      </c>
      <c r="B2843">
        <v>2000</v>
      </c>
      <c r="C2843" t="s">
        <v>382</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c r="X2843" s="19">
        <f ca="1">DATE(LifeExpectancyData[[#This Row],[Year]],RANDBETWEEN(1,12),1)</f>
        <v>36831</v>
      </c>
    </row>
    <row r="2844" spans="1:24" x14ac:dyDescent="0.25">
      <c r="A2844" t="s">
        <v>570</v>
      </c>
      <c r="B2844">
        <v>2015</v>
      </c>
      <c r="C2844" t="s">
        <v>382</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c r="X2844" s="19">
        <f ca="1">DATE(LifeExpectancyData[[#This Row],[Year]],RANDBETWEEN(1,12),1)</f>
        <v>42217</v>
      </c>
    </row>
    <row r="2845" spans="1:24" x14ac:dyDescent="0.25">
      <c r="A2845" t="s">
        <v>570</v>
      </c>
      <c r="B2845">
        <v>2014</v>
      </c>
      <c r="C2845" t="s">
        <v>382</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c r="X2845" s="19">
        <f ca="1">DATE(LifeExpectancyData[[#This Row],[Year]],RANDBETWEEN(1,12),1)</f>
        <v>41671</v>
      </c>
    </row>
    <row r="2846" spans="1:24" x14ac:dyDescent="0.25">
      <c r="A2846" t="s">
        <v>570</v>
      </c>
      <c r="B2846">
        <v>2013</v>
      </c>
      <c r="C2846" t="s">
        <v>382</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c r="X2846" s="19">
        <f ca="1">DATE(LifeExpectancyData[[#This Row],[Year]],RANDBETWEEN(1,12),1)</f>
        <v>41487</v>
      </c>
    </row>
    <row r="2847" spans="1:24" x14ac:dyDescent="0.25">
      <c r="A2847" t="s">
        <v>570</v>
      </c>
      <c r="B2847">
        <v>2012</v>
      </c>
      <c r="C2847" t="s">
        <v>382</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c r="X2847" s="19">
        <f ca="1">DATE(LifeExpectancyData[[#This Row],[Year]],RANDBETWEEN(1,12),1)</f>
        <v>40940</v>
      </c>
    </row>
    <row r="2848" spans="1:24" x14ac:dyDescent="0.25">
      <c r="A2848" t="s">
        <v>570</v>
      </c>
      <c r="B2848">
        <v>2011</v>
      </c>
      <c r="C2848" t="s">
        <v>382</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c r="X2848" s="19">
        <f ca="1">DATE(LifeExpectancyData[[#This Row],[Year]],RANDBETWEEN(1,12),1)</f>
        <v>40787</v>
      </c>
    </row>
    <row r="2849" spans="1:24" x14ac:dyDescent="0.25">
      <c r="A2849" t="s">
        <v>570</v>
      </c>
      <c r="B2849">
        <v>2010</v>
      </c>
      <c r="C2849" t="s">
        <v>382</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c r="X2849" s="19">
        <f ca="1">DATE(LifeExpectancyData[[#This Row],[Year]],RANDBETWEEN(1,12),1)</f>
        <v>40391</v>
      </c>
    </row>
    <row r="2850" spans="1:24" x14ac:dyDescent="0.25">
      <c r="A2850" t="s">
        <v>570</v>
      </c>
      <c r="B2850">
        <v>2009</v>
      </c>
      <c r="C2850" t="s">
        <v>382</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c r="X2850" s="19">
        <f ca="1">DATE(LifeExpectancyData[[#This Row],[Year]],RANDBETWEEN(1,12),1)</f>
        <v>39845</v>
      </c>
    </row>
    <row r="2851" spans="1:24" x14ac:dyDescent="0.25">
      <c r="A2851" t="s">
        <v>570</v>
      </c>
      <c r="B2851">
        <v>2008</v>
      </c>
      <c r="C2851" t="s">
        <v>382</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c r="X2851" s="19">
        <f ca="1">DATE(LifeExpectancyData[[#This Row],[Year]],RANDBETWEEN(1,12),1)</f>
        <v>39539</v>
      </c>
    </row>
    <row r="2852" spans="1:24" x14ac:dyDescent="0.25">
      <c r="A2852" t="s">
        <v>570</v>
      </c>
      <c r="B2852">
        <v>2007</v>
      </c>
      <c r="C2852" t="s">
        <v>382</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c r="X2852" s="19">
        <f ca="1">DATE(LifeExpectancyData[[#This Row],[Year]],RANDBETWEEN(1,12),1)</f>
        <v>39264</v>
      </c>
    </row>
    <row r="2853" spans="1:24" x14ac:dyDescent="0.25">
      <c r="A2853" t="s">
        <v>570</v>
      </c>
      <c r="B2853">
        <v>2006</v>
      </c>
      <c r="C2853" t="s">
        <v>382</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c r="X2853" s="19">
        <f ca="1">DATE(LifeExpectancyData[[#This Row],[Year]],RANDBETWEEN(1,12),1)</f>
        <v>38718</v>
      </c>
    </row>
    <row r="2854" spans="1:24" x14ac:dyDescent="0.25">
      <c r="A2854" t="s">
        <v>570</v>
      </c>
      <c r="B2854">
        <v>2005</v>
      </c>
      <c r="C2854" t="s">
        <v>382</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c r="X2854" s="19">
        <f ca="1">DATE(LifeExpectancyData[[#This Row],[Year]],RANDBETWEEN(1,12),1)</f>
        <v>38565</v>
      </c>
    </row>
    <row r="2855" spans="1:24" x14ac:dyDescent="0.25">
      <c r="A2855" t="s">
        <v>570</v>
      </c>
      <c r="B2855">
        <v>2004</v>
      </c>
      <c r="C2855" t="s">
        <v>382</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c r="X2855" s="19">
        <f ca="1">DATE(LifeExpectancyData[[#This Row],[Year]],RANDBETWEEN(1,12),1)</f>
        <v>38200</v>
      </c>
    </row>
    <row r="2856" spans="1:24" x14ac:dyDescent="0.25">
      <c r="A2856" t="s">
        <v>570</v>
      </c>
      <c r="B2856">
        <v>2003</v>
      </c>
      <c r="C2856" t="s">
        <v>382</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c r="X2856" s="19">
        <f ca="1">DATE(LifeExpectancyData[[#This Row],[Year]],RANDBETWEEN(1,12),1)</f>
        <v>37895</v>
      </c>
    </row>
    <row r="2857" spans="1:24" x14ac:dyDescent="0.25">
      <c r="A2857" t="s">
        <v>570</v>
      </c>
      <c r="B2857">
        <v>2002</v>
      </c>
      <c r="C2857" t="s">
        <v>382</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c r="X2857" s="19">
        <f ca="1">DATE(LifeExpectancyData[[#This Row],[Year]],RANDBETWEEN(1,12),1)</f>
        <v>37408</v>
      </c>
    </row>
    <row r="2858" spans="1:24" x14ac:dyDescent="0.25">
      <c r="A2858" t="s">
        <v>570</v>
      </c>
      <c r="B2858">
        <v>2001</v>
      </c>
      <c r="C2858" t="s">
        <v>382</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c r="X2858" s="19">
        <f ca="1">DATE(LifeExpectancyData[[#This Row],[Year]],RANDBETWEEN(1,12),1)</f>
        <v>37043</v>
      </c>
    </row>
    <row r="2859" spans="1:24" x14ac:dyDescent="0.25">
      <c r="A2859" t="s">
        <v>570</v>
      </c>
      <c r="B2859">
        <v>2000</v>
      </c>
      <c r="C2859" t="s">
        <v>382</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c r="X2859" s="19">
        <f ca="1">DATE(LifeExpectancyData[[#This Row],[Year]],RANDBETWEEN(1,12),1)</f>
        <v>36647</v>
      </c>
    </row>
    <row r="2860" spans="1:24" x14ac:dyDescent="0.25">
      <c r="A2860" t="s">
        <v>571</v>
      </c>
      <c r="B2860">
        <v>2015</v>
      </c>
      <c r="C2860" t="s">
        <v>382</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c r="X2860" s="19">
        <f ca="1">DATE(LifeExpectancyData[[#This Row],[Year]],RANDBETWEEN(1,12),1)</f>
        <v>42339</v>
      </c>
    </row>
    <row r="2861" spans="1:24" x14ac:dyDescent="0.25">
      <c r="A2861" t="s">
        <v>571</v>
      </c>
      <c r="B2861">
        <v>2014</v>
      </c>
      <c r="C2861" t="s">
        <v>382</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c r="X2861" s="19">
        <f ca="1">DATE(LifeExpectancyData[[#This Row],[Year]],RANDBETWEEN(1,12),1)</f>
        <v>41640</v>
      </c>
    </row>
    <row r="2862" spans="1:24" x14ac:dyDescent="0.25">
      <c r="A2862" t="s">
        <v>571</v>
      </c>
      <c r="B2862">
        <v>2013</v>
      </c>
      <c r="C2862" t="s">
        <v>382</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c r="X2862" s="19">
        <f ca="1">DATE(LifeExpectancyData[[#This Row],[Year]],RANDBETWEEN(1,12),1)</f>
        <v>41487</v>
      </c>
    </row>
    <row r="2863" spans="1:24" x14ac:dyDescent="0.25">
      <c r="A2863" t="s">
        <v>571</v>
      </c>
      <c r="B2863">
        <v>2012</v>
      </c>
      <c r="C2863" t="s">
        <v>382</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c r="X2863" s="19">
        <f ca="1">DATE(LifeExpectancyData[[#This Row],[Year]],RANDBETWEEN(1,12),1)</f>
        <v>40969</v>
      </c>
    </row>
    <row r="2864" spans="1:24" x14ac:dyDescent="0.25">
      <c r="A2864" t="s">
        <v>571</v>
      </c>
      <c r="B2864">
        <v>2011</v>
      </c>
      <c r="C2864" t="s">
        <v>382</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c r="X2864" s="19">
        <f ca="1">DATE(LifeExpectancyData[[#This Row],[Year]],RANDBETWEEN(1,12),1)</f>
        <v>40634</v>
      </c>
    </row>
    <row r="2865" spans="1:24" x14ac:dyDescent="0.25">
      <c r="A2865" t="s">
        <v>571</v>
      </c>
      <c r="B2865">
        <v>2010</v>
      </c>
      <c r="C2865" t="s">
        <v>382</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c r="X2865" s="19">
        <f ca="1">DATE(LifeExpectancyData[[#This Row],[Year]],RANDBETWEEN(1,12),1)</f>
        <v>40210</v>
      </c>
    </row>
    <row r="2866" spans="1:24" x14ac:dyDescent="0.25">
      <c r="A2866" t="s">
        <v>571</v>
      </c>
      <c r="B2866">
        <v>2009</v>
      </c>
      <c r="C2866" t="s">
        <v>382</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c r="X2866" s="19">
        <f ca="1">DATE(LifeExpectancyData[[#This Row],[Year]],RANDBETWEEN(1,12),1)</f>
        <v>40148</v>
      </c>
    </row>
    <row r="2867" spans="1:24" x14ac:dyDescent="0.25">
      <c r="A2867" t="s">
        <v>571</v>
      </c>
      <c r="B2867">
        <v>2008</v>
      </c>
      <c r="C2867" t="s">
        <v>382</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c r="X2867" s="19">
        <f ca="1">DATE(LifeExpectancyData[[#This Row],[Year]],RANDBETWEEN(1,12),1)</f>
        <v>39539</v>
      </c>
    </row>
    <row r="2868" spans="1:24" x14ac:dyDescent="0.25">
      <c r="A2868" t="s">
        <v>571</v>
      </c>
      <c r="B2868">
        <v>2007</v>
      </c>
      <c r="C2868" t="s">
        <v>382</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c r="X2868" s="19">
        <f ca="1">DATE(LifeExpectancyData[[#This Row],[Year]],RANDBETWEEN(1,12),1)</f>
        <v>39356</v>
      </c>
    </row>
    <row r="2869" spans="1:24" x14ac:dyDescent="0.25">
      <c r="A2869" t="s">
        <v>571</v>
      </c>
      <c r="B2869">
        <v>2006</v>
      </c>
      <c r="C2869" t="s">
        <v>382</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c r="X2869" s="19">
        <f ca="1">DATE(LifeExpectancyData[[#This Row],[Year]],RANDBETWEEN(1,12),1)</f>
        <v>38930</v>
      </c>
    </row>
    <row r="2870" spans="1:24" x14ac:dyDescent="0.25">
      <c r="A2870" t="s">
        <v>571</v>
      </c>
      <c r="B2870">
        <v>2005</v>
      </c>
      <c r="C2870" t="s">
        <v>382</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c r="X2870" s="19">
        <f ca="1">DATE(LifeExpectancyData[[#This Row],[Year]],RANDBETWEEN(1,12),1)</f>
        <v>38626</v>
      </c>
    </row>
    <row r="2871" spans="1:24" x14ac:dyDescent="0.25">
      <c r="A2871" t="s">
        <v>571</v>
      </c>
      <c r="B2871">
        <v>2004</v>
      </c>
      <c r="C2871" t="s">
        <v>382</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c r="X2871" s="19">
        <f ca="1">DATE(LifeExpectancyData[[#This Row],[Year]],RANDBETWEEN(1,12),1)</f>
        <v>38322</v>
      </c>
    </row>
    <row r="2872" spans="1:24" x14ac:dyDescent="0.25">
      <c r="A2872" t="s">
        <v>571</v>
      </c>
      <c r="B2872">
        <v>2003</v>
      </c>
      <c r="C2872" t="s">
        <v>382</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c r="X2872" s="19">
        <f ca="1">DATE(LifeExpectancyData[[#This Row],[Year]],RANDBETWEEN(1,12),1)</f>
        <v>37712</v>
      </c>
    </row>
    <row r="2873" spans="1:24" x14ac:dyDescent="0.25">
      <c r="A2873" t="s">
        <v>571</v>
      </c>
      <c r="B2873">
        <v>2002</v>
      </c>
      <c r="C2873" t="s">
        <v>382</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c r="X2873" s="19">
        <f ca="1">DATE(LifeExpectancyData[[#This Row],[Year]],RANDBETWEEN(1,12),1)</f>
        <v>37500</v>
      </c>
    </row>
    <row r="2874" spans="1:24" x14ac:dyDescent="0.25">
      <c r="A2874" t="s">
        <v>571</v>
      </c>
      <c r="B2874">
        <v>2001</v>
      </c>
      <c r="C2874" t="s">
        <v>382</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c r="X2874" s="19">
        <f ca="1">DATE(LifeExpectancyData[[#This Row],[Year]],RANDBETWEEN(1,12),1)</f>
        <v>37135</v>
      </c>
    </row>
    <row r="2875" spans="1:24" x14ac:dyDescent="0.25">
      <c r="A2875" t="s">
        <v>571</v>
      </c>
      <c r="B2875">
        <v>2000</v>
      </c>
      <c r="C2875" t="s">
        <v>382</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c r="X2875" s="19">
        <f ca="1">DATE(LifeExpectancyData[[#This Row],[Year]],RANDBETWEEN(1,12),1)</f>
        <v>36770</v>
      </c>
    </row>
    <row r="2876" spans="1:24" x14ac:dyDescent="0.25">
      <c r="A2876" t="s">
        <v>572</v>
      </c>
      <c r="B2876">
        <v>2015</v>
      </c>
      <c r="C2876" t="s">
        <v>382</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c r="X2876" s="19">
        <f ca="1">DATE(LifeExpectancyData[[#This Row],[Year]],RANDBETWEEN(1,12),1)</f>
        <v>42339</v>
      </c>
    </row>
    <row r="2877" spans="1:24" x14ac:dyDescent="0.25">
      <c r="A2877" t="s">
        <v>572</v>
      </c>
      <c r="B2877">
        <v>2014</v>
      </c>
      <c r="C2877" t="s">
        <v>382</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c r="X2877" s="19">
        <f ca="1">DATE(LifeExpectancyData[[#This Row],[Year]],RANDBETWEEN(1,12),1)</f>
        <v>41944</v>
      </c>
    </row>
    <row r="2878" spans="1:24" x14ac:dyDescent="0.25">
      <c r="A2878" t="s">
        <v>572</v>
      </c>
      <c r="B2878">
        <v>2013</v>
      </c>
      <c r="C2878" t="s">
        <v>382</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c r="X2878" s="19">
        <f ca="1">DATE(LifeExpectancyData[[#This Row],[Year]],RANDBETWEEN(1,12),1)</f>
        <v>41609</v>
      </c>
    </row>
    <row r="2879" spans="1:24" x14ac:dyDescent="0.25">
      <c r="A2879" t="s">
        <v>572</v>
      </c>
      <c r="B2879">
        <v>2012</v>
      </c>
      <c r="C2879" t="s">
        <v>382</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c r="X2879" s="19">
        <f ca="1">DATE(LifeExpectancyData[[#This Row],[Year]],RANDBETWEEN(1,12),1)</f>
        <v>41244</v>
      </c>
    </row>
    <row r="2880" spans="1:24" x14ac:dyDescent="0.25">
      <c r="A2880" t="s">
        <v>572</v>
      </c>
      <c r="B2880">
        <v>2011</v>
      </c>
      <c r="C2880" t="s">
        <v>382</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c r="X2880" s="19">
        <f ca="1">DATE(LifeExpectancyData[[#This Row],[Year]],RANDBETWEEN(1,12),1)</f>
        <v>40695</v>
      </c>
    </row>
    <row r="2881" spans="1:24" x14ac:dyDescent="0.25">
      <c r="A2881" t="s">
        <v>572</v>
      </c>
      <c r="B2881">
        <v>2010</v>
      </c>
      <c r="C2881" t="s">
        <v>382</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c r="X2881" s="19">
        <f ca="1">DATE(LifeExpectancyData[[#This Row],[Year]],RANDBETWEEN(1,12),1)</f>
        <v>40210</v>
      </c>
    </row>
    <row r="2882" spans="1:24" x14ac:dyDescent="0.25">
      <c r="A2882" t="s">
        <v>572</v>
      </c>
      <c r="B2882">
        <v>2009</v>
      </c>
      <c r="C2882" t="s">
        <v>382</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c r="X2882" s="19">
        <f ca="1">DATE(LifeExpectancyData[[#This Row],[Year]],RANDBETWEEN(1,12),1)</f>
        <v>39845</v>
      </c>
    </row>
    <row r="2883" spans="1:24" x14ac:dyDescent="0.25">
      <c r="A2883" t="s">
        <v>572</v>
      </c>
      <c r="B2883">
        <v>2008</v>
      </c>
      <c r="C2883" t="s">
        <v>382</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c r="X2883" s="19">
        <f ca="1">DATE(LifeExpectancyData[[#This Row],[Year]],RANDBETWEEN(1,12),1)</f>
        <v>39539</v>
      </c>
    </row>
    <row r="2884" spans="1:24" x14ac:dyDescent="0.25">
      <c r="A2884" t="s">
        <v>572</v>
      </c>
      <c r="B2884">
        <v>2007</v>
      </c>
      <c r="C2884" t="s">
        <v>382</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c r="X2884" s="19">
        <f ca="1">DATE(LifeExpectancyData[[#This Row],[Year]],RANDBETWEEN(1,12),1)</f>
        <v>39326</v>
      </c>
    </row>
    <row r="2885" spans="1:24" x14ac:dyDescent="0.25">
      <c r="A2885" t="s">
        <v>572</v>
      </c>
      <c r="B2885">
        <v>2006</v>
      </c>
      <c r="C2885" t="s">
        <v>382</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c r="X2885" s="19">
        <f ca="1">DATE(LifeExpectancyData[[#This Row],[Year]],RANDBETWEEN(1,12),1)</f>
        <v>38930</v>
      </c>
    </row>
    <row r="2886" spans="1:24" x14ac:dyDescent="0.25">
      <c r="A2886" t="s">
        <v>572</v>
      </c>
      <c r="B2886">
        <v>2005</v>
      </c>
      <c r="C2886" t="s">
        <v>382</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c r="X2886" s="19">
        <f ca="1">DATE(LifeExpectancyData[[#This Row],[Year]],RANDBETWEEN(1,12),1)</f>
        <v>38353</v>
      </c>
    </row>
    <row r="2887" spans="1:24" x14ac:dyDescent="0.25">
      <c r="A2887" t="s">
        <v>572</v>
      </c>
      <c r="B2887">
        <v>2004</v>
      </c>
      <c r="C2887" t="s">
        <v>382</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c r="X2887" s="19">
        <f ca="1">DATE(LifeExpectancyData[[#This Row],[Year]],RANDBETWEEN(1,12),1)</f>
        <v>38078</v>
      </c>
    </row>
    <row r="2888" spans="1:24" x14ac:dyDescent="0.25">
      <c r="A2888" t="s">
        <v>572</v>
      </c>
      <c r="B2888">
        <v>2003</v>
      </c>
      <c r="C2888" t="s">
        <v>382</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c r="X2888" s="19">
        <f ca="1">DATE(LifeExpectancyData[[#This Row],[Year]],RANDBETWEEN(1,12),1)</f>
        <v>37926</v>
      </c>
    </row>
    <row r="2889" spans="1:24" x14ac:dyDescent="0.25">
      <c r="A2889" t="s">
        <v>572</v>
      </c>
      <c r="B2889">
        <v>2002</v>
      </c>
      <c r="C2889" t="s">
        <v>382</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c r="X2889" s="19">
        <f ca="1">DATE(LifeExpectancyData[[#This Row],[Year]],RANDBETWEEN(1,12),1)</f>
        <v>37438</v>
      </c>
    </row>
    <row r="2890" spans="1:24" x14ac:dyDescent="0.25">
      <c r="A2890" t="s">
        <v>572</v>
      </c>
      <c r="B2890">
        <v>2001</v>
      </c>
      <c r="C2890" t="s">
        <v>382</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c r="X2890" s="19">
        <f ca="1">DATE(LifeExpectancyData[[#This Row],[Year]],RANDBETWEEN(1,12),1)</f>
        <v>37012</v>
      </c>
    </row>
    <row r="2891" spans="1:24" x14ac:dyDescent="0.25">
      <c r="A2891" t="s">
        <v>572</v>
      </c>
      <c r="B2891">
        <v>2000</v>
      </c>
      <c r="C2891" t="s">
        <v>382</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c r="X2891" s="19">
        <f ca="1">DATE(LifeExpectancyData[[#This Row],[Year]],RANDBETWEEN(1,12),1)</f>
        <v>36586</v>
      </c>
    </row>
    <row r="2892" spans="1:24" x14ac:dyDescent="0.25">
      <c r="A2892" t="s">
        <v>573</v>
      </c>
      <c r="B2892">
        <v>2015</v>
      </c>
      <c r="C2892" t="s">
        <v>382</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c r="X2892" s="19">
        <f ca="1">DATE(LifeExpectancyData[[#This Row],[Year]],RANDBETWEEN(1,12),1)</f>
        <v>42125</v>
      </c>
    </row>
    <row r="2893" spans="1:24" x14ac:dyDescent="0.25">
      <c r="A2893" t="s">
        <v>573</v>
      </c>
      <c r="B2893">
        <v>2014</v>
      </c>
      <c r="C2893" t="s">
        <v>382</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c r="X2893" s="19">
        <f ca="1">DATE(LifeExpectancyData[[#This Row],[Year]],RANDBETWEEN(1,12),1)</f>
        <v>41699</v>
      </c>
    </row>
    <row r="2894" spans="1:24" x14ac:dyDescent="0.25">
      <c r="A2894" t="s">
        <v>573</v>
      </c>
      <c r="B2894">
        <v>2013</v>
      </c>
      <c r="C2894" t="s">
        <v>382</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c r="X2894" s="19">
        <f ca="1">DATE(LifeExpectancyData[[#This Row],[Year]],RANDBETWEEN(1,12),1)</f>
        <v>41609</v>
      </c>
    </row>
    <row r="2895" spans="1:24" x14ac:dyDescent="0.25">
      <c r="A2895" t="s">
        <v>573</v>
      </c>
      <c r="B2895">
        <v>2012</v>
      </c>
      <c r="C2895" t="s">
        <v>382</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c r="X2895" s="19">
        <f ca="1">DATE(LifeExpectancyData[[#This Row],[Year]],RANDBETWEEN(1,12),1)</f>
        <v>40969</v>
      </c>
    </row>
    <row r="2896" spans="1:24" x14ac:dyDescent="0.25">
      <c r="A2896" t="s">
        <v>573</v>
      </c>
      <c r="B2896">
        <v>2011</v>
      </c>
      <c r="C2896" t="s">
        <v>382</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c r="X2896" s="19">
        <f ca="1">DATE(LifeExpectancyData[[#This Row],[Year]],RANDBETWEEN(1,12),1)</f>
        <v>40848</v>
      </c>
    </row>
    <row r="2897" spans="1:24" x14ac:dyDescent="0.25">
      <c r="A2897" t="s">
        <v>573</v>
      </c>
      <c r="B2897">
        <v>2010</v>
      </c>
      <c r="C2897" t="s">
        <v>382</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c r="X2897" s="19">
        <f ca="1">DATE(LifeExpectancyData[[#This Row],[Year]],RANDBETWEEN(1,12),1)</f>
        <v>40269</v>
      </c>
    </row>
    <row r="2898" spans="1:24" x14ac:dyDescent="0.25">
      <c r="A2898" t="s">
        <v>573</v>
      </c>
      <c r="B2898">
        <v>2009</v>
      </c>
      <c r="C2898" t="s">
        <v>382</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c r="X2898" s="19">
        <f ca="1">DATE(LifeExpectancyData[[#This Row],[Year]],RANDBETWEEN(1,12),1)</f>
        <v>39995</v>
      </c>
    </row>
    <row r="2899" spans="1:24" x14ac:dyDescent="0.25">
      <c r="A2899" t="s">
        <v>573</v>
      </c>
      <c r="B2899">
        <v>2008</v>
      </c>
      <c r="C2899" t="s">
        <v>382</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c r="X2899" s="19">
        <f ca="1">DATE(LifeExpectancyData[[#This Row],[Year]],RANDBETWEEN(1,12),1)</f>
        <v>39630</v>
      </c>
    </row>
    <row r="2900" spans="1:24" x14ac:dyDescent="0.25">
      <c r="A2900" t="s">
        <v>573</v>
      </c>
      <c r="B2900">
        <v>2007</v>
      </c>
      <c r="C2900" t="s">
        <v>382</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c r="X2900" s="19">
        <f ca="1">DATE(LifeExpectancyData[[#This Row],[Year]],RANDBETWEEN(1,12),1)</f>
        <v>39083</v>
      </c>
    </row>
    <row r="2901" spans="1:24" x14ac:dyDescent="0.25">
      <c r="A2901" t="s">
        <v>573</v>
      </c>
      <c r="B2901">
        <v>2006</v>
      </c>
      <c r="C2901" t="s">
        <v>382</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c r="X2901" s="19">
        <f ca="1">DATE(LifeExpectancyData[[#This Row],[Year]],RANDBETWEEN(1,12),1)</f>
        <v>38930</v>
      </c>
    </row>
    <row r="2902" spans="1:24" x14ac:dyDescent="0.25">
      <c r="A2902" t="s">
        <v>573</v>
      </c>
      <c r="B2902">
        <v>2005</v>
      </c>
      <c r="C2902" t="s">
        <v>382</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c r="X2902" s="19">
        <f ca="1">DATE(LifeExpectancyData[[#This Row],[Year]],RANDBETWEEN(1,12),1)</f>
        <v>38412</v>
      </c>
    </row>
    <row r="2903" spans="1:24" x14ac:dyDescent="0.25">
      <c r="A2903" t="s">
        <v>573</v>
      </c>
      <c r="B2903">
        <v>2004</v>
      </c>
      <c r="C2903" t="s">
        <v>382</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c r="X2903" s="19">
        <f ca="1">DATE(LifeExpectancyData[[#This Row],[Year]],RANDBETWEEN(1,12),1)</f>
        <v>38200</v>
      </c>
    </row>
    <row r="2904" spans="1:24" x14ac:dyDescent="0.25">
      <c r="A2904" t="s">
        <v>573</v>
      </c>
      <c r="B2904">
        <v>2003</v>
      </c>
      <c r="C2904" t="s">
        <v>382</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c r="X2904" s="19">
        <f ca="1">DATE(LifeExpectancyData[[#This Row],[Year]],RANDBETWEEN(1,12),1)</f>
        <v>37742</v>
      </c>
    </row>
    <row r="2905" spans="1:24" x14ac:dyDescent="0.25">
      <c r="A2905" t="s">
        <v>573</v>
      </c>
      <c r="B2905">
        <v>2002</v>
      </c>
      <c r="C2905" t="s">
        <v>382</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c r="X2905" s="19">
        <f ca="1">DATE(LifeExpectancyData[[#This Row],[Year]],RANDBETWEEN(1,12),1)</f>
        <v>37288</v>
      </c>
    </row>
    <row r="2906" spans="1:24" x14ac:dyDescent="0.25">
      <c r="A2906" t="s">
        <v>573</v>
      </c>
      <c r="B2906">
        <v>2001</v>
      </c>
      <c r="C2906" t="s">
        <v>382</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c r="X2906" s="19">
        <f ca="1">DATE(LifeExpectancyData[[#This Row],[Year]],RANDBETWEEN(1,12),1)</f>
        <v>37012</v>
      </c>
    </row>
    <row r="2907" spans="1:24" x14ac:dyDescent="0.25">
      <c r="A2907" t="s">
        <v>573</v>
      </c>
      <c r="B2907">
        <v>2000</v>
      </c>
      <c r="C2907" t="s">
        <v>382</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c r="X2907" s="19">
        <f ca="1">DATE(LifeExpectancyData[[#This Row],[Year]],RANDBETWEEN(1,12),1)</f>
        <v>36800</v>
      </c>
    </row>
    <row r="2908" spans="1:24" x14ac:dyDescent="0.25">
      <c r="A2908" t="s">
        <v>574</v>
      </c>
      <c r="B2908">
        <v>2015</v>
      </c>
      <c r="C2908" t="s">
        <v>382</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c r="X2908" s="19">
        <f ca="1">DATE(LifeExpectancyData[[#This Row],[Year]],RANDBETWEEN(1,12),1)</f>
        <v>42156</v>
      </c>
    </row>
    <row r="2909" spans="1:24" x14ac:dyDescent="0.25">
      <c r="A2909" t="s">
        <v>574</v>
      </c>
      <c r="B2909">
        <v>2014</v>
      </c>
      <c r="C2909" t="s">
        <v>382</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c r="X2909" s="19">
        <f ca="1">DATE(LifeExpectancyData[[#This Row],[Year]],RANDBETWEEN(1,12),1)</f>
        <v>41791</v>
      </c>
    </row>
    <row r="2910" spans="1:24" x14ac:dyDescent="0.25">
      <c r="A2910" t="s">
        <v>574</v>
      </c>
      <c r="B2910">
        <v>2013</v>
      </c>
      <c r="C2910" t="s">
        <v>382</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c r="X2910" s="19">
        <f ca="1">DATE(LifeExpectancyData[[#This Row],[Year]],RANDBETWEEN(1,12),1)</f>
        <v>41487</v>
      </c>
    </row>
    <row r="2911" spans="1:24" x14ac:dyDescent="0.25">
      <c r="A2911" t="s">
        <v>574</v>
      </c>
      <c r="B2911">
        <v>2012</v>
      </c>
      <c r="C2911" t="s">
        <v>382</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c r="X2911" s="19">
        <f ca="1">DATE(LifeExpectancyData[[#This Row],[Year]],RANDBETWEEN(1,12),1)</f>
        <v>41153</v>
      </c>
    </row>
    <row r="2912" spans="1:24" x14ac:dyDescent="0.25">
      <c r="A2912" t="s">
        <v>574</v>
      </c>
      <c r="B2912">
        <v>2011</v>
      </c>
      <c r="C2912" t="s">
        <v>382</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c r="X2912" s="19">
        <f ca="1">DATE(LifeExpectancyData[[#This Row],[Year]],RANDBETWEEN(1,12),1)</f>
        <v>40603</v>
      </c>
    </row>
    <row r="2913" spans="1:24" x14ac:dyDescent="0.25">
      <c r="A2913" t="s">
        <v>574</v>
      </c>
      <c r="B2913">
        <v>2010</v>
      </c>
      <c r="C2913" t="s">
        <v>382</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c r="X2913" s="19">
        <f ca="1">DATE(LifeExpectancyData[[#This Row],[Year]],RANDBETWEEN(1,12),1)</f>
        <v>40238</v>
      </c>
    </row>
    <row r="2914" spans="1:24" x14ac:dyDescent="0.25">
      <c r="A2914" t="s">
        <v>574</v>
      </c>
      <c r="B2914">
        <v>2009</v>
      </c>
      <c r="C2914" t="s">
        <v>382</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c r="X2914" s="19">
        <f ca="1">DATE(LifeExpectancyData[[#This Row],[Year]],RANDBETWEEN(1,12),1)</f>
        <v>39995</v>
      </c>
    </row>
    <row r="2915" spans="1:24" x14ac:dyDescent="0.25">
      <c r="A2915" t="s">
        <v>574</v>
      </c>
      <c r="B2915">
        <v>2008</v>
      </c>
      <c r="C2915" t="s">
        <v>382</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c r="X2915" s="19">
        <f ca="1">DATE(LifeExpectancyData[[#This Row],[Year]],RANDBETWEEN(1,12),1)</f>
        <v>39722</v>
      </c>
    </row>
    <row r="2916" spans="1:24" x14ac:dyDescent="0.25">
      <c r="A2916" t="s">
        <v>574</v>
      </c>
      <c r="B2916">
        <v>2007</v>
      </c>
      <c r="C2916" t="s">
        <v>382</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c r="X2916" s="19">
        <f ca="1">DATE(LifeExpectancyData[[#This Row],[Year]],RANDBETWEEN(1,12),1)</f>
        <v>39083</v>
      </c>
    </row>
    <row r="2917" spans="1:24" x14ac:dyDescent="0.25">
      <c r="A2917" t="s">
        <v>574</v>
      </c>
      <c r="B2917">
        <v>2006</v>
      </c>
      <c r="C2917" t="s">
        <v>382</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c r="X2917" s="19">
        <f ca="1">DATE(LifeExpectancyData[[#This Row],[Year]],RANDBETWEEN(1,12),1)</f>
        <v>38961</v>
      </c>
    </row>
    <row r="2918" spans="1:24" x14ac:dyDescent="0.25">
      <c r="A2918" t="s">
        <v>574</v>
      </c>
      <c r="B2918">
        <v>2005</v>
      </c>
      <c r="C2918" t="s">
        <v>382</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c r="X2918" s="19">
        <f ca="1">DATE(LifeExpectancyData[[#This Row],[Year]],RANDBETWEEN(1,12),1)</f>
        <v>38412</v>
      </c>
    </row>
    <row r="2919" spans="1:24" x14ac:dyDescent="0.25">
      <c r="A2919" t="s">
        <v>574</v>
      </c>
      <c r="B2919">
        <v>2004</v>
      </c>
      <c r="C2919" t="s">
        <v>382</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c r="X2919" s="19">
        <f ca="1">DATE(LifeExpectancyData[[#This Row],[Year]],RANDBETWEEN(1,12),1)</f>
        <v>38108</v>
      </c>
    </row>
    <row r="2920" spans="1:24" x14ac:dyDescent="0.25">
      <c r="A2920" t="s">
        <v>574</v>
      </c>
      <c r="B2920">
        <v>2003</v>
      </c>
      <c r="C2920" t="s">
        <v>382</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c r="X2920" s="19">
        <f ca="1">DATE(LifeExpectancyData[[#This Row],[Year]],RANDBETWEEN(1,12),1)</f>
        <v>37834</v>
      </c>
    </row>
    <row r="2921" spans="1:24" x14ac:dyDescent="0.25">
      <c r="A2921" t="s">
        <v>574</v>
      </c>
      <c r="B2921">
        <v>2002</v>
      </c>
      <c r="C2921" t="s">
        <v>382</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c r="X2921" s="19">
        <f ca="1">DATE(LifeExpectancyData[[#This Row],[Year]],RANDBETWEEN(1,12),1)</f>
        <v>37347</v>
      </c>
    </row>
    <row r="2922" spans="1:24" x14ac:dyDescent="0.25">
      <c r="A2922" t="s">
        <v>574</v>
      </c>
      <c r="B2922">
        <v>2001</v>
      </c>
      <c r="C2922" t="s">
        <v>382</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c r="X2922" s="19">
        <f ca="1">DATE(LifeExpectancyData[[#This Row],[Year]],RANDBETWEEN(1,12),1)</f>
        <v>36951</v>
      </c>
    </row>
    <row r="2923" spans="1:24" x14ac:dyDescent="0.25">
      <c r="A2923" t="s">
        <v>574</v>
      </c>
      <c r="B2923">
        <v>2000</v>
      </c>
      <c r="C2923" t="s">
        <v>382</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c r="X2923" s="19">
        <f ca="1">DATE(LifeExpectancyData[[#This Row],[Year]],RANDBETWEEN(1,12),1)</f>
        <v>36831</v>
      </c>
    </row>
    <row r="2924" spans="1:24" x14ac:dyDescent="0.25">
      <c r="A2924" t="s">
        <v>575</v>
      </c>
      <c r="B2924">
        <v>2015</v>
      </c>
      <c r="C2924" t="s">
        <v>382</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c r="X2924" s="19">
        <f ca="1">DATE(LifeExpectancyData[[#This Row],[Year]],RANDBETWEEN(1,12),1)</f>
        <v>42064</v>
      </c>
    </row>
    <row r="2925" spans="1:24" x14ac:dyDescent="0.25">
      <c r="A2925" t="s">
        <v>575</v>
      </c>
      <c r="B2925">
        <v>2014</v>
      </c>
      <c r="C2925" t="s">
        <v>382</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c r="X2925" s="19">
        <f ca="1">DATE(LifeExpectancyData[[#This Row],[Year]],RANDBETWEEN(1,12),1)</f>
        <v>41760</v>
      </c>
    </row>
    <row r="2926" spans="1:24" x14ac:dyDescent="0.25">
      <c r="A2926" t="s">
        <v>575</v>
      </c>
      <c r="B2926">
        <v>2013</v>
      </c>
      <c r="C2926" t="s">
        <v>382</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c r="X2926" s="19">
        <f ca="1">DATE(LifeExpectancyData[[#This Row],[Year]],RANDBETWEEN(1,12),1)</f>
        <v>41609</v>
      </c>
    </row>
    <row r="2927" spans="1:24" x14ac:dyDescent="0.25">
      <c r="A2927" t="s">
        <v>575</v>
      </c>
      <c r="B2927">
        <v>2012</v>
      </c>
      <c r="C2927" t="s">
        <v>382</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c r="X2927" s="19">
        <f ca="1">DATE(LifeExpectancyData[[#This Row],[Year]],RANDBETWEEN(1,12),1)</f>
        <v>41153</v>
      </c>
    </row>
    <row r="2928" spans="1:24" x14ac:dyDescent="0.25">
      <c r="A2928" t="s">
        <v>575</v>
      </c>
      <c r="B2928">
        <v>2011</v>
      </c>
      <c r="C2928" t="s">
        <v>382</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c r="X2928" s="19">
        <f ca="1">DATE(LifeExpectancyData[[#This Row],[Year]],RANDBETWEEN(1,12),1)</f>
        <v>40664</v>
      </c>
    </row>
    <row r="2929" spans="1:24" x14ac:dyDescent="0.25">
      <c r="A2929" t="s">
        <v>575</v>
      </c>
      <c r="B2929">
        <v>2010</v>
      </c>
      <c r="C2929" t="s">
        <v>382</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c r="X2929" s="19">
        <f ca="1">DATE(LifeExpectancyData[[#This Row],[Year]],RANDBETWEEN(1,12),1)</f>
        <v>40179</v>
      </c>
    </row>
    <row r="2930" spans="1:24" x14ac:dyDescent="0.25">
      <c r="A2930" t="s">
        <v>575</v>
      </c>
      <c r="B2930">
        <v>2009</v>
      </c>
      <c r="C2930" t="s">
        <v>382</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c r="X2930" s="19">
        <f ca="1">DATE(LifeExpectancyData[[#This Row],[Year]],RANDBETWEEN(1,12),1)</f>
        <v>40026</v>
      </c>
    </row>
    <row r="2931" spans="1:24" x14ac:dyDescent="0.25">
      <c r="A2931" t="s">
        <v>575</v>
      </c>
      <c r="B2931">
        <v>2008</v>
      </c>
      <c r="C2931" t="s">
        <v>382</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c r="X2931" s="19">
        <f ca="1">DATE(LifeExpectancyData[[#This Row],[Year]],RANDBETWEEN(1,12),1)</f>
        <v>39722</v>
      </c>
    </row>
    <row r="2932" spans="1:24" x14ac:dyDescent="0.25">
      <c r="A2932" t="s">
        <v>575</v>
      </c>
      <c r="B2932">
        <v>2007</v>
      </c>
      <c r="C2932" t="s">
        <v>382</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c r="X2932" s="19">
        <f ca="1">DATE(LifeExpectancyData[[#This Row],[Year]],RANDBETWEEN(1,12),1)</f>
        <v>39387</v>
      </c>
    </row>
    <row r="2933" spans="1:24" x14ac:dyDescent="0.25">
      <c r="A2933" t="s">
        <v>575</v>
      </c>
      <c r="B2933">
        <v>2006</v>
      </c>
      <c r="C2933" t="s">
        <v>382</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c r="X2933" s="19">
        <f ca="1">DATE(LifeExpectancyData[[#This Row],[Year]],RANDBETWEEN(1,12),1)</f>
        <v>38961</v>
      </c>
    </row>
    <row r="2934" spans="1:24" x14ac:dyDescent="0.25">
      <c r="A2934" t="s">
        <v>575</v>
      </c>
      <c r="B2934">
        <v>2005</v>
      </c>
      <c r="C2934" t="s">
        <v>382</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c r="X2934" s="19">
        <f ca="1">DATE(LifeExpectancyData[[#This Row],[Year]],RANDBETWEEN(1,12),1)</f>
        <v>38504</v>
      </c>
    </row>
    <row r="2935" spans="1:24" x14ac:dyDescent="0.25">
      <c r="A2935" t="s">
        <v>575</v>
      </c>
      <c r="B2935">
        <v>2004</v>
      </c>
      <c r="C2935" t="s">
        <v>382</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c r="X2935" s="19">
        <f ca="1">DATE(LifeExpectancyData[[#This Row],[Year]],RANDBETWEEN(1,12),1)</f>
        <v>38322</v>
      </c>
    </row>
    <row r="2936" spans="1:24" x14ac:dyDescent="0.25">
      <c r="A2936" t="s">
        <v>575</v>
      </c>
      <c r="B2936">
        <v>2003</v>
      </c>
      <c r="C2936" t="s">
        <v>382</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c r="X2936" s="19">
        <f ca="1">DATE(LifeExpectancyData[[#This Row],[Year]],RANDBETWEEN(1,12),1)</f>
        <v>37803</v>
      </c>
    </row>
    <row r="2937" spans="1:24" x14ac:dyDescent="0.25">
      <c r="A2937" t="s">
        <v>575</v>
      </c>
      <c r="B2937">
        <v>2002</v>
      </c>
      <c r="C2937" t="s">
        <v>382</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c r="X2937" s="19">
        <f ca="1">DATE(LifeExpectancyData[[#This Row],[Year]],RANDBETWEEN(1,12),1)</f>
        <v>37316</v>
      </c>
    </row>
    <row r="2938" spans="1:24" x14ac:dyDescent="0.25">
      <c r="A2938" t="s">
        <v>575</v>
      </c>
      <c r="B2938">
        <v>2001</v>
      </c>
      <c r="C2938" t="s">
        <v>382</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c r="X2938" s="19">
        <f ca="1">DATE(LifeExpectancyData[[#This Row],[Year]],RANDBETWEEN(1,12),1)</f>
        <v>37043</v>
      </c>
    </row>
    <row r="2939" spans="1:24" x14ac:dyDescent="0.25">
      <c r="A2939" t="s">
        <v>575</v>
      </c>
      <c r="B2939">
        <v>2000</v>
      </c>
      <c r="C2939" t="s">
        <v>382</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c r="X2939" s="19">
        <f ca="1">DATE(LifeExpectancyData[[#This Row],[Year]],RANDBETWEEN(1,12),1)</f>
        <v>36861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dimension ref="A1:A20"/>
  <sheetViews>
    <sheetView workbookViewId="0"/>
  </sheetViews>
  <sheetFormatPr defaultRowHeight="15" x14ac:dyDescent="0.25"/>
  <cols>
    <col min="1" max="1" width="110.7109375" customWidth="1"/>
  </cols>
  <sheetData>
    <row r="1" spans="1:1" x14ac:dyDescent="0.25">
      <c r="A1" s="4" t="s">
        <v>576</v>
      </c>
    </row>
    <row r="2" spans="1:1" ht="30" x14ac:dyDescent="0.25">
      <c r="A2" s="2" t="s">
        <v>935</v>
      </c>
    </row>
    <row r="3" spans="1:1" ht="30" x14ac:dyDescent="0.25">
      <c r="A3" s="2" t="s">
        <v>577</v>
      </c>
    </row>
    <row r="5" spans="1:1" x14ac:dyDescent="0.25">
      <c r="A5" s="4" t="s">
        <v>936</v>
      </c>
    </row>
    <row r="6" spans="1:1" ht="45" x14ac:dyDescent="0.25">
      <c r="A6" s="2" t="s">
        <v>937</v>
      </c>
    </row>
    <row r="8" spans="1:1" x14ac:dyDescent="0.25">
      <c r="A8" s="4" t="s">
        <v>953</v>
      </c>
    </row>
    <row r="9" spans="1:1" ht="135" x14ac:dyDescent="0.25">
      <c r="A9" s="2" t="s">
        <v>938</v>
      </c>
    </row>
    <row r="10" spans="1:1" ht="90" x14ac:dyDescent="0.25">
      <c r="A10" s="2" t="s">
        <v>939</v>
      </c>
    </row>
    <row r="11" spans="1:1" ht="165" x14ac:dyDescent="0.25">
      <c r="A11" s="2" t="s">
        <v>1018</v>
      </c>
    </row>
    <row r="13" spans="1:1" x14ac:dyDescent="0.25">
      <c r="A13" s="4" t="s">
        <v>940</v>
      </c>
    </row>
    <row r="14" spans="1:1" ht="45" x14ac:dyDescent="0.25">
      <c r="A14" s="2" t="s">
        <v>941</v>
      </c>
    </row>
    <row r="16" spans="1:1" x14ac:dyDescent="0.25">
      <c r="A16" s="4" t="s">
        <v>942</v>
      </c>
    </row>
    <row r="17" spans="1:1" ht="60" x14ac:dyDescent="0.25">
      <c r="A17" s="2" t="s">
        <v>943</v>
      </c>
    </row>
    <row r="19" spans="1:1" x14ac:dyDescent="0.25">
      <c r="A19" s="4" t="s">
        <v>578</v>
      </c>
    </row>
    <row r="20" spans="1:1" ht="75" x14ac:dyDescent="0.25">
      <c r="A20" s="2" t="s">
        <v>944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579</v>
      </c>
      <c r="B1" s="13"/>
      <c r="C1" s="13"/>
      <c r="D1" s="13"/>
    </row>
    <row r="2" spans="1:4" ht="90" x14ac:dyDescent="0.25">
      <c r="A2" s="2" t="s">
        <v>580</v>
      </c>
    </row>
    <row r="4" spans="1:4" x14ac:dyDescent="0.25">
      <c r="A4" s="6" t="s">
        <v>581</v>
      </c>
      <c r="B4" s="5"/>
      <c r="C4" s="5"/>
      <c r="D4" s="5"/>
    </row>
    <row r="5" spans="1:4" x14ac:dyDescent="0.25">
      <c r="A5" s="6" t="s">
        <v>582</v>
      </c>
      <c r="B5" s="6" t="s">
        <v>583</v>
      </c>
      <c r="C5" s="6" t="s">
        <v>584</v>
      </c>
      <c r="D5" s="6" t="s">
        <v>585</v>
      </c>
    </row>
    <row r="6" spans="1:4" ht="45" x14ac:dyDescent="0.25">
      <c r="A6" s="2" t="s">
        <v>586</v>
      </c>
      <c r="B6" s="2" t="s">
        <v>587</v>
      </c>
      <c r="C6" s="2" t="s">
        <v>167</v>
      </c>
      <c r="D6" s="2" t="s">
        <v>588</v>
      </c>
    </row>
    <row r="7" spans="1:4" ht="60" x14ac:dyDescent="0.25">
      <c r="A7" s="2" t="s">
        <v>589</v>
      </c>
      <c r="B7" s="2" t="s">
        <v>590</v>
      </c>
      <c r="C7" s="2" t="s">
        <v>591</v>
      </c>
      <c r="D7" s="2" t="s">
        <v>592</v>
      </c>
    </row>
    <row r="8" spans="1:4" ht="45" x14ac:dyDescent="0.25">
      <c r="A8" s="2" t="s">
        <v>593</v>
      </c>
      <c r="B8" s="2" t="s">
        <v>587</v>
      </c>
      <c r="C8" s="2" t="s">
        <v>594</v>
      </c>
      <c r="D8" s="2" t="s">
        <v>595</v>
      </c>
    </row>
    <row r="10" spans="1:4" x14ac:dyDescent="0.25">
      <c r="A10" s="6" t="s">
        <v>596</v>
      </c>
      <c r="B10" s="5"/>
      <c r="C10" s="5"/>
      <c r="D10" s="5"/>
    </row>
    <row r="11" spans="1:4" x14ac:dyDescent="0.25">
      <c r="A11" s="6" t="s">
        <v>582</v>
      </c>
      <c r="B11" s="6" t="s">
        <v>583</v>
      </c>
      <c r="C11" s="6" t="s">
        <v>584</v>
      </c>
      <c r="D11" s="6" t="s">
        <v>585</v>
      </c>
    </row>
    <row r="12" spans="1:4" ht="60" x14ac:dyDescent="0.25">
      <c r="A12" s="2" t="s">
        <v>597</v>
      </c>
      <c r="B12" s="2" t="s">
        <v>587</v>
      </c>
      <c r="C12" s="2" t="s">
        <v>598</v>
      </c>
      <c r="D12" s="2" t="s">
        <v>599</v>
      </c>
    </row>
    <row r="13" spans="1:4" ht="180" x14ac:dyDescent="0.25">
      <c r="A13" s="2" t="s">
        <v>600</v>
      </c>
      <c r="B13" s="2" t="s">
        <v>601</v>
      </c>
      <c r="C13" s="2" t="s">
        <v>600</v>
      </c>
      <c r="D13" s="2" t="s">
        <v>602</v>
      </c>
    </row>
    <row r="14" spans="1:4" ht="60" x14ac:dyDescent="0.25">
      <c r="A14" s="2" t="s">
        <v>603</v>
      </c>
      <c r="B14" s="2" t="s">
        <v>604</v>
      </c>
      <c r="C14" s="2" t="s">
        <v>605</v>
      </c>
      <c r="D14" s="2" t="s">
        <v>606</v>
      </c>
    </row>
    <row r="15" spans="1:4" ht="75" x14ac:dyDescent="0.25">
      <c r="A15" s="2" t="s">
        <v>607</v>
      </c>
      <c r="B15" s="2" t="s">
        <v>601</v>
      </c>
      <c r="C15" s="2" t="s">
        <v>608</v>
      </c>
      <c r="D15" s="2" t="s">
        <v>609</v>
      </c>
    </row>
    <row r="17" spans="1:4" x14ac:dyDescent="0.25">
      <c r="A17" s="6" t="s">
        <v>610</v>
      </c>
      <c r="B17" s="5"/>
      <c r="C17" s="5"/>
      <c r="D17" s="5"/>
    </row>
    <row r="18" spans="1:4" x14ac:dyDescent="0.25">
      <c r="A18" s="6" t="s">
        <v>611</v>
      </c>
      <c r="B18" s="6" t="s">
        <v>612</v>
      </c>
      <c r="C18" s="6" t="s">
        <v>613</v>
      </c>
      <c r="D18" s="6" t="s">
        <v>614</v>
      </c>
    </row>
    <row r="19" spans="1:4" ht="30" x14ac:dyDescent="0.25">
      <c r="A19" s="2" t="s">
        <v>615</v>
      </c>
      <c r="B19" s="2" t="s">
        <v>616</v>
      </c>
      <c r="C19" s="2" t="s">
        <v>617</v>
      </c>
      <c r="D19" s="2" t="s">
        <v>618</v>
      </c>
    </row>
    <row r="20" spans="1:4" ht="30" x14ac:dyDescent="0.25">
      <c r="A20" s="2" t="s">
        <v>117</v>
      </c>
      <c r="B20" s="2" t="s">
        <v>619</v>
      </c>
      <c r="C20" s="2" t="s">
        <v>620</v>
      </c>
      <c r="D20" s="2" t="s">
        <v>621</v>
      </c>
    </row>
    <row r="21" spans="1:4" x14ac:dyDescent="0.25">
      <c r="A21" s="2" t="s">
        <v>622</v>
      </c>
      <c r="B21" s="2" t="s">
        <v>623</v>
      </c>
      <c r="C21" s="2" t="s">
        <v>624</v>
      </c>
      <c r="D21" s="2" t="s">
        <v>625</v>
      </c>
    </row>
    <row r="22" spans="1:4" ht="30" x14ac:dyDescent="0.25">
      <c r="A22" s="2" t="s">
        <v>626</v>
      </c>
      <c r="B22" s="2" t="s">
        <v>627</v>
      </c>
      <c r="C22" s="2" t="s">
        <v>628</v>
      </c>
      <c r="D22" s="2" t="s">
        <v>629</v>
      </c>
    </row>
    <row r="23" spans="1:4" x14ac:dyDescent="0.25">
      <c r="A23" s="2" t="s">
        <v>630</v>
      </c>
      <c r="B23" s="2" t="s">
        <v>631</v>
      </c>
      <c r="C23" s="2" t="s">
        <v>624</v>
      </c>
      <c r="D23" s="2" t="s">
        <v>632</v>
      </c>
    </row>
    <row r="24" spans="1:4" x14ac:dyDescent="0.25">
      <c r="A24" s="2" t="s">
        <v>633</v>
      </c>
      <c r="B24" s="2" t="s">
        <v>634</v>
      </c>
      <c r="C24" s="2" t="s">
        <v>624</v>
      </c>
      <c r="D24" s="2" t="s">
        <v>635</v>
      </c>
    </row>
    <row r="25" spans="1:4" x14ac:dyDescent="0.25">
      <c r="A25" s="2" t="s">
        <v>604</v>
      </c>
      <c r="B25" s="2" t="s">
        <v>636</v>
      </c>
      <c r="C25" s="2" t="s">
        <v>624</v>
      </c>
      <c r="D25" s="2" t="s">
        <v>637</v>
      </c>
    </row>
    <row r="26" spans="1:4" ht="30" x14ac:dyDescent="0.25">
      <c r="A26" s="2" t="s">
        <v>605</v>
      </c>
      <c r="B26" s="2" t="s">
        <v>638</v>
      </c>
      <c r="C26" s="2" t="s">
        <v>639</v>
      </c>
      <c r="D26" s="2" t="s">
        <v>640</v>
      </c>
    </row>
    <row r="27" spans="1:4" x14ac:dyDescent="0.25">
      <c r="A27" s="2" t="s">
        <v>600</v>
      </c>
      <c r="B27" s="2" t="s">
        <v>641</v>
      </c>
      <c r="C27" s="2" t="s">
        <v>642</v>
      </c>
      <c r="D27" s="2" t="s">
        <v>643</v>
      </c>
    </row>
    <row r="28" spans="1:4" ht="30" x14ac:dyDescent="0.25">
      <c r="A28" s="2" t="s">
        <v>597</v>
      </c>
      <c r="B28" s="2" t="s">
        <v>644</v>
      </c>
      <c r="C28" s="2" t="s">
        <v>645</v>
      </c>
      <c r="D28" s="2" t="s">
        <v>646</v>
      </c>
    </row>
    <row r="29" spans="1:4" x14ac:dyDescent="0.25">
      <c r="A29" s="2" t="s">
        <v>647</v>
      </c>
      <c r="B29" s="2" t="s">
        <v>648</v>
      </c>
      <c r="C29" s="2" t="s">
        <v>649</v>
      </c>
      <c r="D29" s="2" t="s">
        <v>650</v>
      </c>
    </row>
    <row r="31" spans="1:4" x14ac:dyDescent="0.25">
      <c r="A31" s="6" t="s">
        <v>651</v>
      </c>
      <c r="B31" s="5"/>
      <c r="C31" s="5"/>
    </row>
    <row r="32" spans="1:4" x14ac:dyDescent="0.25">
      <c r="A32" s="6" t="s">
        <v>652</v>
      </c>
      <c r="B32" s="6" t="s">
        <v>653</v>
      </c>
      <c r="C32" s="6" t="s">
        <v>654</v>
      </c>
    </row>
    <row r="33" spans="1:3" ht="120" x14ac:dyDescent="0.25">
      <c r="A33" s="2" t="s">
        <v>655</v>
      </c>
      <c r="B33" s="2" t="s">
        <v>656</v>
      </c>
      <c r="C33" s="2" t="s">
        <v>657</v>
      </c>
    </row>
    <row r="34" spans="1:3" ht="105" x14ac:dyDescent="0.25">
      <c r="A34" s="2" t="s">
        <v>658</v>
      </c>
      <c r="B34" s="2" t="s">
        <v>659</v>
      </c>
      <c r="C34" s="2" t="s">
        <v>660</v>
      </c>
    </row>
    <row r="35" spans="1:3" ht="120" x14ac:dyDescent="0.25">
      <c r="A35" s="2" t="s">
        <v>661</v>
      </c>
      <c r="B35" s="2" t="s">
        <v>662</v>
      </c>
      <c r="C35" s="2" t="s">
        <v>663</v>
      </c>
    </row>
    <row r="36" spans="1:3" ht="240" x14ac:dyDescent="0.25">
      <c r="A36" s="2" t="s">
        <v>664</v>
      </c>
      <c r="B36" s="2" t="s">
        <v>665</v>
      </c>
      <c r="C36" s="2" t="s">
        <v>666</v>
      </c>
    </row>
    <row r="37" spans="1:3" ht="150" x14ac:dyDescent="0.25">
      <c r="A37" s="2" t="s">
        <v>667</v>
      </c>
      <c r="B37" s="2" t="s">
        <v>668</v>
      </c>
      <c r="C37" s="2" t="s">
        <v>669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dimension ref="A1:D6"/>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670</v>
      </c>
      <c r="B1" s="13"/>
      <c r="C1" s="13"/>
      <c r="D1" s="13"/>
    </row>
    <row r="2" spans="1:4" x14ac:dyDescent="0.25">
      <c r="A2" s="6" t="s">
        <v>671</v>
      </c>
      <c r="B2" s="6" t="s">
        <v>672</v>
      </c>
      <c r="C2" s="6" t="s">
        <v>945</v>
      </c>
      <c r="D2" s="6" t="s">
        <v>673</v>
      </c>
    </row>
    <row r="3" spans="1:4" ht="105" x14ac:dyDescent="0.25">
      <c r="A3" t="s">
        <v>674</v>
      </c>
      <c r="B3" s="19">
        <v>46189</v>
      </c>
      <c r="C3" t="s">
        <v>947</v>
      </c>
      <c r="D3" s="2" t="s">
        <v>675</v>
      </c>
    </row>
    <row r="4" spans="1:4" ht="105" x14ac:dyDescent="0.25">
      <c r="A4" t="s">
        <v>946</v>
      </c>
      <c r="B4" s="19">
        <v>46202</v>
      </c>
      <c r="C4" t="s">
        <v>947</v>
      </c>
      <c r="D4" s="2" t="s">
        <v>890</v>
      </c>
    </row>
    <row r="5" spans="1:4" ht="105" x14ac:dyDescent="0.25">
      <c r="A5" t="s">
        <v>948</v>
      </c>
      <c r="B5" s="19">
        <v>46206</v>
      </c>
      <c r="C5" t="s">
        <v>947</v>
      </c>
      <c r="D5" s="2" t="s">
        <v>949</v>
      </c>
    </row>
    <row r="6" spans="1:4" ht="150" x14ac:dyDescent="0.25">
      <c r="A6" t="s">
        <v>889</v>
      </c>
      <c r="B6" s="19">
        <v>46208</v>
      </c>
      <c r="C6" t="s">
        <v>950</v>
      </c>
      <c r="D6" s="2" t="s">
        <v>1019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dimension ref="A1:AW1651"/>
  <sheetViews>
    <sheetView tabSelected="1" zoomScaleNormal="100" workbookViewId="0">
      <pane ySplit="2" topLeftCell="A3" activePane="bottomLeft" state="frozenSplit"/>
      <selection pane="bottomLeft" activeCell="I2" sqref="I2"/>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8.140625" bestFit="1" customWidth="1" outlineLevel="1"/>
    <col min="6" max="6" width="8.42578125" bestFit="1" customWidth="1" outlineLevel="1"/>
    <col min="7" max="7" width="12.42578125" bestFit="1" customWidth="1" outlineLevel="1"/>
    <col min="8" max="8" width="12.28515625" bestFit="1" customWidth="1" outlineLevel="1"/>
    <col min="9" max="9" width="38.7109375" customWidth="1" outlineLevel="1"/>
    <col min="10" max="10" width="14.7109375" customWidth="1" outlineLevel="1"/>
    <col min="11" max="11" width="7.7109375" customWidth="1" outlineLevel="1"/>
    <col min="12" max="12" width="16.7109375" customWidth="1" outlineLevel="1"/>
    <col min="13" max="13" width="10.7109375" customWidth="1" outlineLevel="1"/>
    <col min="14" max="14" width="8.7109375" customWidth="1" outlineLevel="1"/>
    <col min="15" max="15" width="2.7109375" customWidth="1"/>
    <col min="16" max="16" width="24.7109375" customWidth="1" outlineLevel="1"/>
    <col min="17" max="22" width="9.7109375" customWidth="1" outlineLevel="1"/>
    <col min="23" max="23" width="2.7109375" customWidth="1"/>
    <col min="24" max="24" width="22.7109375" customWidth="1" outlineLevel="1"/>
    <col min="25" max="26" width="12.7109375" customWidth="1" outlineLevel="1"/>
    <col min="27" max="27" width="24.7109375" customWidth="1" outlineLevel="1"/>
    <col min="28" max="28" width="16.7109375" customWidth="1" outlineLevel="1"/>
    <col min="29" max="29" width="14.7109375" customWidth="1" outlineLevel="1"/>
    <col min="30" max="31" width="10.7109375" customWidth="1" outlineLevel="1"/>
    <col min="32" max="32" width="2.7109375" customWidth="1"/>
    <col min="33" max="33" width="24.7109375" customWidth="1" outlineLevel="1"/>
    <col min="34" max="34" width="16.7109375" customWidth="1" outlineLevel="1"/>
    <col min="35" max="35" width="14.7109375" style="7" customWidth="1" outlineLevel="1"/>
    <col min="36" max="36" width="2.7109375" customWidth="1"/>
    <col min="37" max="37" width="16.7109375" customWidth="1" outlineLevel="1"/>
    <col min="38" max="39" width="10.7109375" style="7" customWidth="1" outlineLevel="1"/>
    <col min="40" max="40" width="9.7109375" style="7" customWidth="1" outlineLevel="1"/>
    <col min="41" max="41" width="10.7109375" style="7" customWidth="1" outlineLevel="1"/>
    <col min="42" max="43" width="9.7109375" style="7" customWidth="1" outlineLevel="1"/>
    <col min="44" max="44" width="12.7109375" style="7" customWidth="1" outlineLevel="1"/>
    <col min="45" max="45" width="9.7109375" style="7" customWidth="1" outlineLevel="1"/>
    <col min="46" max="46" width="14.7109375" style="7" customWidth="1" outlineLevel="1"/>
    <col min="47" max="47" width="17.7109375" style="7" customWidth="1" outlineLevel="1"/>
    <col min="48" max="48" width="14.7109375" style="7" customWidth="1" outlineLevel="1"/>
    <col min="49" max="50" width="15.7109375" customWidth="1"/>
  </cols>
  <sheetData>
    <row r="1" spans="1:49" x14ac:dyDescent="0.25">
      <c r="A1" s="4" t="s">
        <v>932</v>
      </c>
      <c r="E1" s="3" t="str" cm="1">
        <f t="array" ref="E1">IF(SUMPRODUCT(N(_xlfn.TAKE(Spec_Sequence,COLUMNS(Source_Data))=TRUE))&gt;1,"ERROR: multiple Sequence flags (mark at most one variable)","")</f>
        <v/>
      </c>
      <c r="I1" s="3" t="s">
        <v>1024</v>
      </c>
      <c r="M1" s="3" t="s">
        <v>1022</v>
      </c>
      <c r="N1" s="3" t="s">
        <v>1023</v>
      </c>
      <c r="P1" s="4" t="s">
        <v>676</v>
      </c>
      <c r="X1" s="4" t="s">
        <v>679</v>
      </c>
      <c r="AG1" s="35" t="s">
        <v>703</v>
      </c>
      <c r="AH1" s="36"/>
      <c r="AK1" s="4" t="s">
        <v>713</v>
      </c>
    </row>
    <row r="2" spans="1:49" ht="60" x14ac:dyDescent="0.25">
      <c r="A2" s="3" t="s">
        <v>712</v>
      </c>
      <c r="C2" s="16" t="b">
        <v>1</v>
      </c>
      <c r="I2" s="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
      </c>
      <c r="M2" t="str" cm="1">
        <f t="array" ref="M2">IFERROR(Sequence_Delta_Spectrum(),"")</f>
        <v/>
      </c>
      <c r="P2" s="27"/>
      <c r="Q2" s="27" t="s">
        <v>677</v>
      </c>
      <c r="R2" s="27" t="s">
        <v>678</v>
      </c>
      <c r="S2" s="27" t="s">
        <v>238</v>
      </c>
      <c r="T2" s="27" t="s">
        <v>244</v>
      </c>
      <c r="U2" s="27" t="s">
        <v>112</v>
      </c>
      <c r="V2" s="27" t="s">
        <v>117</v>
      </c>
      <c r="W2" s="2"/>
      <c r="X2" s="2"/>
      <c r="Y2" s="2"/>
      <c r="Z2" s="2"/>
      <c r="AA2" s="2"/>
      <c r="AB2" s="31" t="s">
        <v>794</v>
      </c>
      <c r="AC2" s="31" t="str" cm="1">
        <f t="array" ref="AC2">IFERROR(INDEX(_xlfn.TOROW(Header_Names),_xlfn.XMATCH("Response (y)",_xlfn.TAKE(Spec_Role,COLUMNS(Source_Data)))),"(none)")</f>
        <v>Life expectancy</v>
      </c>
      <c r="AD2" s="2"/>
      <c r="AE2" s="2"/>
      <c r="AF2" s="2"/>
      <c r="AG2" s="28" t="s">
        <v>704</v>
      </c>
      <c r="AH2" s="29"/>
      <c r="AI2" s="33"/>
      <c r="AJ2" s="2"/>
      <c r="AK2" s="27" t="s">
        <v>933</v>
      </c>
      <c r="AL2" s="30" t="s">
        <v>594</v>
      </c>
      <c r="AM2" s="30" t="s">
        <v>587</v>
      </c>
      <c r="AN2" s="30" t="s">
        <v>167</v>
      </c>
      <c r="AO2" s="30" t="s">
        <v>714</v>
      </c>
      <c r="AP2" s="30" t="s">
        <v>715</v>
      </c>
      <c r="AQ2" s="30" t="s">
        <v>605</v>
      </c>
      <c r="AR2" s="30" t="s">
        <v>600</v>
      </c>
      <c r="AS2" s="30" t="s">
        <v>716</v>
      </c>
      <c r="AT2" s="30" t="s">
        <v>591</v>
      </c>
      <c r="AU2" s="30" t="s">
        <v>597</v>
      </c>
      <c r="AV2" s="30" t="s">
        <v>647</v>
      </c>
      <c r="AW2" s="2"/>
    </row>
    <row r="3" spans="1:49" x14ac:dyDescent="0.25">
      <c r="A3" s="3" t="s">
        <v>1010</v>
      </c>
      <c r="B3" s="3" t="s">
        <v>891</v>
      </c>
      <c r="C3" s="3" t="s">
        <v>888</v>
      </c>
      <c r="D3" s="3" t="s">
        <v>892</v>
      </c>
      <c r="E3" s="3" t="s">
        <v>893</v>
      </c>
      <c r="F3" s="3" t="s">
        <v>894</v>
      </c>
      <c r="G3" s="3" t="s">
        <v>895</v>
      </c>
      <c r="H3" s="3" t="s">
        <v>954</v>
      </c>
      <c r="I3" s="3" t="s">
        <v>1020</v>
      </c>
      <c r="J3" s="3" t="s">
        <v>1021</v>
      </c>
      <c r="K3" s="3" t="s">
        <v>896</v>
      </c>
      <c r="L3" s="3" t="s">
        <v>931</v>
      </c>
      <c r="P3" t="str" cm="1">
        <f t="array" aca="1" ref="P3:P154" ca="1">TRANSPOSE(Constructed_Column_Names())</f>
        <v>Country: Albania</v>
      </c>
      <c r="Q3" s="14" cm="1">
        <f t="array" aca="1" ref="Q3:Q154" ca="1">Pearson_R(X_s(),Response_Column(),Sample_Include())</f>
        <v>6.589021125522479E-2</v>
      </c>
      <c r="R3" s="14" cm="1">
        <f t="array" aca="1" ref="R3:R154" ca="1">Spearman_R(X_s(),Response_Column(),Sample_Include())</f>
        <v>7.9889295113809877E-2</v>
      </c>
      <c r="S3" s="14" cm="1">
        <f t="array" aca="1" ref="S3:S154" ca="1">Skewness(X_s(),Sample_Include())</f>
        <v>10.012724541982871</v>
      </c>
      <c r="T3" s="14" cm="1">
        <f t="array" aca="1" ref="T3:T154" ca="1">Kurtosis(X_s(),Sample_Include())</f>
        <v>98.373964850278625</v>
      </c>
      <c r="U3" s="14" t="e" cm="1">
        <f t="array" aca="1" ref="U3:U154" ca="1">VIF(X_s(),Allow_Intercept,Sample_Include())</f>
        <v>#REF!</v>
      </c>
      <c r="V3" s="14" t="e" cm="1">
        <f t="array" aca="1" ref="V3:V154" ca="1">Tolerance(X_s(),Allow_Intercept,Regression!Sample_Include())</f>
        <v>#REF!</v>
      </c>
      <c r="X3" s="35" t="s">
        <v>680</v>
      </c>
      <c r="Y3" s="36"/>
      <c r="AA3" s="35" t="s">
        <v>685</v>
      </c>
      <c r="AB3" s="36"/>
      <c r="AG3" s="8" t="s">
        <v>705</v>
      </c>
      <c r="AH3" s="11" t="e" cm="1">
        <f t="array" aca="1" ref="AH3" ca="1">IF(Zero_Predictors_Selected(),IF(AND(Allow_Intercept,Intercept_Only_N()&gt;=2),_xlfn.LET(_xlpm.point,Intercept_Only_Point(),_xlpm.se_pred,Intercept_Only_S()*SQRT(1+1/Intercept_Only_N()),_xlpm.t_crit,_xlfn.T.INV.2T(alpha,Intercept_Only_DF()),_xlfn.VSTACK(_xlpm.point,_xlpm.se_pred,_xlpm.t_crit,_xlpm.point-_xlpm.t_crit*_xlpm.se_pred,_xlpm.point+_xlpm.t_crit*_xlpm.se_pred,1-alpha)),NA()),_xlfn.LET(_xlpm.pred_input,_xlfn.VSTACK($AH$12,_xlfn.TAKE($AH$13:$AH$62,COLUMNS(X_s()))),Prediction_Interval(X_s(),Response_Column(),_xlpm.pred_input,Allow_Intercept,Sample_Include(),alpha)))</f>
        <v>#REF!</v>
      </c>
      <c r="AK3" t="str" cm="1">
        <f t="array" aca="1" ref="AK3:AK1651" ca="1">IFERROR(_xlfn._xlws.FILTER(Row_Labels(),Sample_Include()),NA())</f>
        <v>Obs. 1</v>
      </c>
      <c r="AL3" s="7" cm="1">
        <f t="array" aca="1" ref="AL3:AL1651" ca="1">Dependent_Variable(Response_Column(),Sample_Include())</f>
        <v>65</v>
      </c>
      <c r="AM3" s="7" t="e" cm="1">
        <f t="array" aca="1" ref="AM3" ca="1">Predictions(X_s(),Response_Column(),Allow_Intercept,Sample_Include())</f>
        <v>#REF!</v>
      </c>
      <c r="AN3" s="7" t="e" cm="1">
        <f t="array" aca="1" ref="AN3:AN1651" ca="1">Residuals(X_s(),Response_Column(),Allow_Intercept,Sample_Include())</f>
        <v>#REF!</v>
      </c>
      <c r="AO3" s="7" t="e" cm="1">
        <f t="array" aca="1" ref="AO3:AO1651" ca="1">LOOCV_Residual(X_s(),Response_Column(),Allow_Intercept,Sample_Include())</f>
        <v>#REF!</v>
      </c>
      <c r="AP3" s="7" cm="1">
        <f t="array" aca="1" ref="AP3:AP1651" ca="1">Hat_Diagonal(X_s(),Allow_Intercept,Sample_Include())</f>
        <v>7.2149082327699343E-2</v>
      </c>
      <c r="AQ3" s="7" t="e" cm="1">
        <f t="array" aca="1" ref="AQ3:AQ1651" ca="1">Studentized_Residuals(X_s(),Response_Column(),Allow_Intercept,Sample_Include())</f>
        <v>#REF!</v>
      </c>
      <c r="AR3" s="7" t="e" cm="1">
        <f t="array" aca="1" ref="AR3:AR1651" ca="1">Cooks_Distance(X_s(),Response_Column(),Allow_Intercept,Sample_Include())</f>
        <v>#REF!</v>
      </c>
      <c r="AS3" s="7" cm="1">
        <f t="array" aca="1" ref="AS3:AS1651" ca="1">_xlfn._xlws.SORT(Normal_Scores(Response_Column(),Sample_Include()))</f>
        <v>-3.4287229888501014</v>
      </c>
      <c r="AT3" s="7" t="e" cm="1">
        <f t="array" aca="1" ref="AT3:AT1651" ca="1">Studentized_Residuals_Ranked(X_s(),Response_Column(),Allow_Intercept,Sample_Include())</f>
        <v>#REF!</v>
      </c>
      <c r="AU3" s="7" t="e" cm="1">
        <f t="array" aca="1" ref="AU3:AU1651" ca="1">SQRT(ABS(Studentized_Residuals(X_s(),Response_Column(),Allow_Intercept,Sample_Include())))</f>
        <v>#REF!</v>
      </c>
      <c r="AV3" s="7" t="e" cm="1">
        <f t="array" aca="1" ref="AV3:AV1651" ca="1">LOOCV_Residual(X_s(),Response_Column(),Allow_Intercept,Sample_Include())</f>
        <v>#REF!</v>
      </c>
    </row>
    <row r="4" spans="1:49" x14ac:dyDescent="0.25">
      <c r="A4" t="str" cm="1">
        <f t="array" ref="A4:A27">TRANSPOSE(Header_Names)</f>
        <v>Country</v>
      </c>
      <c r="B4" s="16" t="s">
        <v>929</v>
      </c>
      <c r="C4" s="16" t="b">
        <v>1</v>
      </c>
      <c r="D4" s="16" t="s">
        <v>899</v>
      </c>
      <c r="E4" s="16"/>
      <c r="F4" s="16"/>
      <c r="G4" s="16" t="s">
        <v>898</v>
      </c>
      <c r="H4" s="16"/>
      <c r="I4" s="16"/>
      <c r="J4" t="str">
        <f>IF(SpecTable[[#This Row],[Sequence]]&lt;&gt;TRUE,"",IF(N(SpecTable[[#This Row],[Sequence Period]])&lt;&gt;0,SpecTable[[#This Row],[Sequence Period]],IFERROR(Base_Period_Delta_Candidate(),"")))</f>
        <v/>
      </c>
      <c r="K4" cm="1">
        <f t="array" aca="1" ref="K4" ca="1">IF(OR(SpecTable[[#This Row],[Role]]&lt;&gt;"Predictor (x)",SpecTable[[#This Row],[Type]]&lt;&gt;"Categorical"),"",_xlfn.LET(_xlpm.col,INDEX(Source_Data,0,ROW()-3),_xlpm.x,IF(_xlfn.SINGLE(_xlpm.col)="","",_xlpm.col),IFERROR(ROWS(_xlfn.UNIQUE(_xlfn._xlws.FILTER(_xlpm.x,(_xlpm.x&lt;&gt;"")*Sample_Include()))),0)))</f>
        <v>133</v>
      </c>
      <c r="L4" t="str">
        <f ca="1">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Afghanistan</v>
      </c>
      <c r="P4" t="str">
        <f ca="1"/>
        <v>Country: Algeria</v>
      </c>
      <c r="Q4" s="14">
        <f ca="1"/>
        <v>4.572375349863441E-2</v>
      </c>
      <c r="R4" s="14">
        <f ca="1"/>
        <v>5.441640654787213E-2</v>
      </c>
      <c r="S4" s="14">
        <f ca="1"/>
        <v>12.131921568375665</v>
      </c>
      <c r="T4" s="14">
        <f ca="1"/>
        <v>145.35982016929722</v>
      </c>
      <c r="U4" s="14" t="e">
        <f ca="1"/>
        <v>#REF!</v>
      </c>
      <c r="V4" s="14" t="e">
        <f ca="1"/>
        <v>#REF!</v>
      </c>
      <c r="X4" s="8" t="s">
        <v>681</v>
      </c>
      <c r="Y4" s="11" t="e" cm="1">
        <f t="array" aca="1" ref="Y4" ca="1">Multiple_R(X_s(),Response_Column(),Allow_Intercept,Sample_Include())</f>
        <v>#REF!</v>
      </c>
      <c r="AA4" s="8" t="s">
        <v>55</v>
      </c>
      <c r="AB4" s="11" t="e" cm="1">
        <f t="array" aca="1" ref="AB4" ca="1">PRESS(X_s(),Response_Column(),Allow_Intercept,Sample_Include())</f>
        <v>#REF!</v>
      </c>
      <c r="AG4" s="8" t="s">
        <v>706</v>
      </c>
      <c r="AH4" s="11"/>
      <c r="AK4" t="str">
        <f ca="1"/>
        <v>Obs. 2</v>
      </c>
      <c r="AL4" s="7">
        <f ca="1"/>
        <v>59.9</v>
      </c>
      <c r="AN4" s="7" t="e">
        <f ca="1"/>
        <v>#REF!</v>
      </c>
      <c r="AO4" s="7" t="e">
        <f ca="1"/>
        <v>#REF!</v>
      </c>
      <c r="AP4" s="7">
        <f ca="1"/>
        <v>6.5777038246361261E-2</v>
      </c>
      <c r="AQ4" s="7" t="e">
        <f ca="1"/>
        <v>#REF!</v>
      </c>
      <c r="AR4" s="7" t="e">
        <f ca="1"/>
        <v>#REF!</v>
      </c>
      <c r="AS4" s="7">
        <f ca="1"/>
        <v>-3.118249953252767</v>
      </c>
      <c r="AT4" s="7" t="e">
        <f ca="1"/>
        <v>#REF!</v>
      </c>
      <c r="AU4" s="7" t="e">
        <f ca="1"/>
        <v>#REF!</v>
      </c>
      <c r="AV4" s="7" t="e">
        <f ca="1"/>
        <v>#REF!</v>
      </c>
    </row>
    <row r="5" spans="1:49" x14ac:dyDescent="0.25">
      <c r="A5" t="str">
        <v>Year</v>
      </c>
      <c r="B5" s="16" t="s">
        <v>1011</v>
      </c>
      <c r="C5" s="16" t="b">
        <v>1</v>
      </c>
      <c r="D5" s="16" t="s">
        <v>897</v>
      </c>
      <c r="E5" s="16"/>
      <c r="F5" s="16"/>
      <c r="G5" s="16" t="s">
        <v>898</v>
      </c>
      <c r="H5" s="16"/>
      <c r="I5" s="16"/>
      <c r="J5" t="str">
        <f>IF(SpecTable[[#This Row],[Sequence]]&lt;&gt;TRUE,"",IF(N(SpecTable[[#This Row],[Sequence Period]])&lt;&gt;0,SpecTable[[#This Row],[Sequence Period]],IFERROR(Base_Period_Delta_Candidate(),"")))</f>
        <v/>
      </c>
      <c r="K5" t="str" cm="1">
        <f t="array" ref="K5">IF(OR(SpecTable[[#This Row],[Role]]&lt;&gt;"Predictor (x)",SpecTable[[#This Row],[Type]]&lt;&gt;"Categorical"),"",_xlfn.LET(_xlpm.col,INDEX(Source_Data,0,ROW()-3),_xlpm.x,IF(_xlfn.SINGLE(_xlpm.col)="","",_xlpm.col),IFERROR(ROWS(_xlfn.UNIQUE(_xlfn._xlws.FILTER(_xlpm.x,(_xlpm.x&lt;&gt;"")*Sample_Include()))),0)))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5" t="str">
        <f ca="1"/>
        <v>Country: Angola</v>
      </c>
      <c r="Q5" s="14">
        <f ca="1"/>
        <v>-0.14789246105483306</v>
      </c>
      <c r="R5" s="14">
        <f ca="1"/>
        <v>-0.11145801883463426</v>
      </c>
      <c r="S5" s="14">
        <f ca="1"/>
        <v>14.26534348046971</v>
      </c>
      <c r="T5" s="14">
        <f ca="1"/>
        <v>201.74471066252011</v>
      </c>
      <c r="U5" s="14" t="e">
        <f ca="1"/>
        <v>#REF!</v>
      </c>
      <c r="V5" s="14" t="e">
        <f ca="1"/>
        <v>#REF!</v>
      </c>
      <c r="X5" s="8" t="s">
        <v>682</v>
      </c>
      <c r="Y5" s="11" t="e" cm="1">
        <f t="array" aca="1" ref="Y5" ca="1">R_Squared(X_s(),Response_Column(),Allow_Intercept,Sample_Include())</f>
        <v>#REF!</v>
      </c>
      <c r="AA5" s="8" t="s">
        <v>622</v>
      </c>
      <c r="AB5" s="11" t="e" cm="1">
        <f t="array" aca="1" ref="AB5" ca="1">1-PRESS(X_s(),Response_Column(),Allow_Intercept,Sample_Include())/SS_Total(Response_Column(),Allow_Intercept,Sample_Include())</f>
        <v>#REF!</v>
      </c>
      <c r="AG5" s="8" t="s">
        <v>707</v>
      </c>
      <c r="AH5" s="11"/>
      <c r="AK5" t="str">
        <f ca="1"/>
        <v>Obs. 3</v>
      </c>
      <c r="AL5" s="7">
        <f ca="1"/>
        <v>59.9</v>
      </c>
      <c r="AN5" s="7" t="e">
        <f ca="1"/>
        <v>#REF!</v>
      </c>
      <c r="AO5" s="7" t="e">
        <f ca="1"/>
        <v>#REF!</v>
      </c>
      <c r="AP5" s="7">
        <f ca="1"/>
        <v>6.577255712809188E-2</v>
      </c>
      <c r="AQ5" s="7" t="e">
        <f ca="1"/>
        <v>#REF!</v>
      </c>
      <c r="AR5" s="7" t="e">
        <f ca="1"/>
        <v>#REF!</v>
      </c>
      <c r="AS5" s="7">
        <f ca="1"/>
        <v>-2.9644605992605717</v>
      </c>
      <c r="AT5" s="7" t="e">
        <f ca="1"/>
        <v>#REF!</v>
      </c>
      <c r="AU5" s="7" t="e">
        <f ca="1"/>
        <v>#REF!</v>
      </c>
      <c r="AV5" s="7" t="e">
        <f ca="1"/>
        <v>#REF!</v>
      </c>
    </row>
    <row r="6" spans="1:49" x14ac:dyDescent="0.25">
      <c r="A6" t="str">
        <v>Status</v>
      </c>
      <c r="B6" s="16" t="s">
        <v>929</v>
      </c>
      <c r="C6" s="16" t="b">
        <v>1</v>
      </c>
      <c r="D6" s="16" t="s">
        <v>899</v>
      </c>
      <c r="E6" s="16"/>
      <c r="F6" s="16"/>
      <c r="G6" s="16" t="s">
        <v>898</v>
      </c>
      <c r="H6" s="16"/>
      <c r="I6" s="16"/>
      <c r="J6" t="str">
        <f>IF(SpecTable[[#This Row],[Sequence]]&lt;&gt;TRUE,"",IF(N(SpecTable[[#This Row],[Sequence Period]])&lt;&gt;0,SpecTable[[#This Row],[Sequence Period]],IFERROR(Base_Period_Delta_Candidate(),"")))</f>
        <v/>
      </c>
      <c r="K6" cm="1">
        <f t="array" aca="1" ref="K6" ca="1">IF(OR(SpecTable[[#This Row],[Role]]&lt;&gt;"Predictor (x)",SpecTable[[#This Row],[Type]]&lt;&gt;"Categorical"),"",_xlfn.LET(_xlpm.col,INDEX(Source_Data,0,ROW()-3),_xlpm.x,IF(_xlfn.SINGLE(_xlpm.col)="","",_xlpm.col),IFERROR(ROWS(_xlfn.UNIQUE(_xlfn._xlws.FILTER(_xlpm.x,(_xlpm.x&lt;&gt;"")*Sample_Include()))),0)))</f>
        <v>2</v>
      </c>
      <c r="L6" t="str">
        <f ca="1">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Developed</v>
      </c>
      <c r="P6" t="str">
        <f ca="1"/>
        <v>Country: Argentina</v>
      </c>
      <c r="Q6" s="14">
        <f ca="1"/>
        <v>6.017148559393911E-2</v>
      </c>
      <c r="R6" s="14">
        <f ca="1"/>
        <v>8.0920436191669984E-2</v>
      </c>
      <c r="S6" s="14">
        <f ca="1"/>
        <v>11.139110863412274</v>
      </c>
      <c r="T6" s="14">
        <f ca="1"/>
        <v>122.22803450341098</v>
      </c>
      <c r="U6" s="14" t="e">
        <f ca="1"/>
        <v>#REF!</v>
      </c>
      <c r="V6" s="14" t="e">
        <f ca="1"/>
        <v>#REF!</v>
      </c>
      <c r="X6" s="8" t="s">
        <v>683</v>
      </c>
      <c r="Y6" s="11" t="e" cm="1">
        <f t="array" aca="1" ref="Y6" ca="1">Adjusted_R_Squared(X_s(),Response_Column(),Allow_Intercept,Sample_Include())</f>
        <v>#REF!</v>
      </c>
      <c r="AA6" s="8" t="s">
        <v>686</v>
      </c>
      <c r="AB6" s="11" cm="1">
        <f t="array" aca="1" ref="AB6" ca="1">(Regression_Degrees_Of_Freedom(X_s())+IF(Allow_Intercept,1,0))/Observations(Response_Column(),Sample_Include())</f>
        <v>9.2783505154639179E-2</v>
      </c>
      <c r="AG6" s="8" t="s">
        <v>700</v>
      </c>
      <c r="AH6" s="11"/>
      <c r="AK6" t="str">
        <f ca="1"/>
        <v>Obs. 4</v>
      </c>
      <c r="AL6" s="7">
        <f ca="1"/>
        <v>59.5</v>
      </c>
      <c r="AN6" s="7" t="e">
        <f ca="1"/>
        <v>#REF!</v>
      </c>
      <c r="AO6" s="7" t="e">
        <f ca="1"/>
        <v>#REF!</v>
      </c>
      <c r="AP6" s="7">
        <f ca="1"/>
        <v>6.5881799916934894E-2</v>
      </c>
      <c r="AQ6" s="7" t="e">
        <f ca="1"/>
        <v>#REF!</v>
      </c>
      <c r="AR6" s="7" t="e">
        <f ca="1"/>
        <v>#REF!</v>
      </c>
      <c r="AS6" s="7">
        <f ca="1"/>
        <v>-2.9644605992605717</v>
      </c>
      <c r="AT6" s="7" t="e">
        <f ca="1"/>
        <v>#REF!</v>
      </c>
      <c r="AU6" s="7" t="e">
        <f ca="1"/>
        <v>#REF!</v>
      </c>
      <c r="AV6" s="7" t="e">
        <f ca="1"/>
        <v>#REF!</v>
      </c>
    </row>
    <row r="7" spans="1:49" x14ac:dyDescent="0.25">
      <c r="A7" t="str">
        <v>Life expectancy</v>
      </c>
      <c r="B7" s="16" t="s">
        <v>930</v>
      </c>
      <c r="C7" s="16" t="b">
        <v>1</v>
      </c>
      <c r="D7" s="16" t="s">
        <v>897</v>
      </c>
      <c r="E7" s="16"/>
      <c r="F7" s="16"/>
      <c r="G7" s="16" t="s">
        <v>898</v>
      </c>
      <c r="H7" s="16"/>
      <c r="I7" s="16"/>
      <c r="J7" t="str">
        <f>IF(SpecTable[[#This Row],[Sequence]]&lt;&gt;TRUE,"",IF(N(SpecTable[[#This Row],[Sequence Period]])&lt;&gt;0,SpecTable[[#This Row],[Sequence Period]],IFERROR(Base_Period_Delta_Candidate(),"")))</f>
        <v/>
      </c>
      <c r="K7" t="str" cm="1">
        <f t="array" ref="K7">IF(OR(SpecTable[[#This Row],[Role]]&lt;&gt;"Predictor (x)",SpecTable[[#This Row],[Type]]&lt;&gt;"Categorical"),"",_xlfn.LET(_xlpm.col,INDEX(Source_Data,0,ROW()-3),_xlpm.x,IF(_xlfn.SINGLE(_xlpm.col)="","",_xlpm.col),IFERROR(ROWS(_xlfn.UNIQUE(_xlfn._xlws.FILTER(_xlpm.x,(_xlpm.x&lt;&gt;"")*Sample_Include()))),0)))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7" t="str">
        <f ca="1"/>
        <v>Country: Armenia</v>
      </c>
      <c r="Q7" s="14">
        <f ca="1"/>
        <v>4.3627294507430109E-2</v>
      </c>
      <c r="R7" s="14">
        <f ca="1"/>
        <v>4.0745541107306653E-2</v>
      </c>
      <c r="S7" s="14">
        <f ca="1"/>
        <v>10.350719164118873</v>
      </c>
      <c r="T7" s="14">
        <f ca="1"/>
        <v>105.26505722183931</v>
      </c>
      <c r="U7" s="14" t="e">
        <f ca="1"/>
        <v>#REF!</v>
      </c>
      <c r="V7" s="14" t="e">
        <f ca="1"/>
        <v>#REF!</v>
      </c>
      <c r="X7" s="8" t="s">
        <v>684</v>
      </c>
      <c r="Y7" s="11" t="e" cm="1">
        <f t="array" aca="1" ref="Y7" ca="1">SE_Regression(X_s(),Response_Column(),Allow_Intercept,Sample_Include())</f>
        <v>#REF!</v>
      </c>
      <c r="AA7" s="8" t="s">
        <v>58</v>
      </c>
      <c r="AB7" s="11" t="e" cm="1">
        <f t="array" aca="1" ref="AB7" ca="1">AIC(X_s(),Response_Column(),Allow_Intercept,Sample_Include())</f>
        <v>#REF!</v>
      </c>
      <c r="AG7" s="8" t="s">
        <v>701</v>
      </c>
      <c r="AH7" s="11"/>
      <c r="AK7" t="str">
        <f ca="1"/>
        <v>Obs. 5</v>
      </c>
      <c r="AL7" s="7">
        <f ca="1"/>
        <v>59.2</v>
      </c>
      <c r="AN7" s="7" t="e">
        <f ca="1"/>
        <v>#REF!</v>
      </c>
      <c r="AO7" s="7" t="e">
        <f ca="1"/>
        <v>#REF!</v>
      </c>
      <c r="AP7" s="7">
        <f ca="1"/>
        <v>6.5144473484130758E-2</v>
      </c>
      <c r="AQ7" s="7" t="e">
        <f ca="1"/>
        <v>#REF!</v>
      </c>
      <c r="AR7" s="7" t="e">
        <f ca="1"/>
        <v>#REF!</v>
      </c>
      <c r="AS7" s="7">
        <f ca="1"/>
        <v>-2.7786903070508315</v>
      </c>
      <c r="AT7" s="7" t="e">
        <f ca="1"/>
        <v>#REF!</v>
      </c>
      <c r="AU7" s="7" t="e">
        <f ca="1"/>
        <v>#REF!</v>
      </c>
      <c r="AV7" s="7" t="e">
        <f ca="1"/>
        <v>#REF!</v>
      </c>
    </row>
    <row r="8" spans="1:49" x14ac:dyDescent="0.25">
      <c r="A8" t="str">
        <v>Adult Mortality</v>
      </c>
      <c r="B8" s="16" t="s">
        <v>929</v>
      </c>
      <c r="C8" s="16" t="b">
        <v>1</v>
      </c>
      <c r="D8" s="16" t="s">
        <v>897</v>
      </c>
      <c r="E8" s="16"/>
      <c r="F8" s="16"/>
      <c r="G8" s="16" t="s">
        <v>898</v>
      </c>
      <c r="H8" s="16"/>
      <c r="I8" s="16"/>
      <c r="J8" t="str">
        <f>IF(SpecTable[[#This Row],[Sequence]]&lt;&gt;TRUE,"",IF(N(SpecTable[[#This Row],[Sequence Period]])&lt;&gt;0,SpecTable[[#This Row],[Sequence Period]],IFERROR(Base_Period_Delta_Candidate(),"")))</f>
        <v/>
      </c>
      <c r="K8" t="str" cm="1">
        <f t="array" ref="K8">IF(OR(SpecTable[[#This Row],[Role]]&lt;&gt;"Predictor (x)",SpecTable[[#This Row],[Type]]&lt;&gt;"Categorical"),"",_xlfn.LET(_xlpm.col,INDEX(Source_Data,0,ROW()-3),_xlpm.x,IF(_xlfn.SINGLE(_xlpm.col)="","",_xlpm.col),IFERROR(ROWS(_xlfn.UNIQUE(_xlfn._xlws.FILTER(_xlpm.x,(_xlpm.x&lt;&gt;"")*Sample_Include()))),0)))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8" t="str">
        <f ca="1"/>
        <v>Country: Australia</v>
      </c>
      <c r="Q8" s="14">
        <f ca="1"/>
        <v>0.13263182432649773</v>
      </c>
      <c r="R8" s="14">
        <f ca="1"/>
        <v>0.14544167402339039</v>
      </c>
      <c r="S8" s="14">
        <f ca="1"/>
        <v>10.723966554314607</v>
      </c>
      <c r="T8" s="14">
        <f ca="1"/>
        <v>113.14068067179971</v>
      </c>
      <c r="U8" s="14" t="e">
        <f ca="1"/>
        <v>#REF!</v>
      </c>
      <c r="V8" s="14" t="e">
        <f ca="1"/>
        <v>#REF!</v>
      </c>
      <c r="X8" s="9" t="s">
        <v>6</v>
      </c>
      <c r="Y8" s="12" cm="1">
        <f t="array" aca="1" ref="Y8" ca="1">Observations(Response_Column(),Sample_Include())</f>
        <v>1649</v>
      </c>
      <c r="AA8" s="8" t="s">
        <v>62</v>
      </c>
      <c r="AB8" s="11" t="e" cm="1">
        <f t="array" aca="1" ref="AB8" ca="1">BIC(X_s(),Response_Column(),Allow_Intercept,Sample_Include())</f>
        <v>#REF!</v>
      </c>
      <c r="AG8" s="9" t="s">
        <v>708</v>
      </c>
      <c r="AH8" s="18"/>
      <c r="AK8" t="str">
        <f ca="1"/>
        <v>Obs. 6</v>
      </c>
      <c r="AL8" s="7">
        <f ca="1"/>
        <v>58.8</v>
      </c>
      <c r="AN8" s="7" t="e">
        <f ca="1"/>
        <v>#REF!</v>
      </c>
      <c r="AO8" s="7" t="e">
        <f ca="1"/>
        <v>#REF!</v>
      </c>
      <c r="AP8" s="7">
        <f ca="1"/>
        <v>6.4469389680657324E-2</v>
      </c>
      <c r="AQ8" s="7" t="e">
        <f ca="1"/>
        <v>#REF!</v>
      </c>
      <c r="AR8" s="7" t="e">
        <f ca="1"/>
        <v>#REF!</v>
      </c>
      <c r="AS8" s="7">
        <f ca="1"/>
        <v>-2.7786903070508315</v>
      </c>
      <c r="AT8" s="7" t="e">
        <f ca="1"/>
        <v>#REF!</v>
      </c>
      <c r="AU8" s="7" t="e">
        <f ca="1"/>
        <v>#REF!</v>
      </c>
      <c r="AV8" s="7" t="e">
        <f ca="1"/>
        <v>#REF!</v>
      </c>
    </row>
    <row r="9" spans="1:49" x14ac:dyDescent="0.25">
      <c r="A9" t="str">
        <v>infant deaths</v>
      </c>
      <c r="B9" s="16" t="s">
        <v>929</v>
      </c>
      <c r="C9" s="16" t="b">
        <v>1</v>
      </c>
      <c r="D9" s="16" t="s">
        <v>897</v>
      </c>
      <c r="E9" s="16"/>
      <c r="F9" s="16"/>
      <c r="G9" s="16" t="s">
        <v>898</v>
      </c>
      <c r="H9" s="16"/>
      <c r="I9" s="16"/>
      <c r="J9" t="str">
        <f>IF(SpecTable[[#This Row],[Sequence]]&lt;&gt;TRUE,"",IF(N(SpecTable[[#This Row],[Sequence Period]])&lt;&gt;0,SpecTable[[#This Row],[Sequence Period]],IFERROR(Base_Period_Delta_Candidate(),"")))</f>
        <v/>
      </c>
      <c r="K9" t="str" cm="1">
        <f t="array" ref="K9">IF(OR(SpecTable[[#This Row],[Role]]&lt;&gt;"Predictor (x)",SpecTable[[#This Row],[Type]]&lt;&gt;"Categorical"),"",_xlfn.LET(_xlpm.col,INDEX(Source_Data,0,ROW()-3),_xlpm.x,IF(_xlfn.SINGLE(_xlpm.col)="","",_xlpm.col),IFERROR(ROWS(_xlfn.UNIQUE(_xlfn._xlws.FILTER(_xlpm.x,(_xlpm.x&lt;&gt;"")*Sample_Include()))),0)))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9" t="str">
        <f ca="1"/>
        <v>Country: Austria</v>
      </c>
      <c r="Q9" s="14">
        <f ca="1"/>
        <v>0.13267528744419643</v>
      </c>
      <c r="R9" s="14">
        <f ca="1"/>
        <v>0.14253894629091549</v>
      </c>
      <c r="S9" s="14">
        <f ca="1"/>
        <v>10.350719164118882</v>
      </c>
      <c r="T9" s="14">
        <f ca="1"/>
        <v>105.26505722183977</v>
      </c>
      <c r="U9" s="14" t="e">
        <f ca="1"/>
        <v>#REF!</v>
      </c>
      <c r="V9" s="14" t="e">
        <f ca="1"/>
        <v>#REF!</v>
      </c>
      <c r="AA9" s="8" t="s">
        <v>66</v>
      </c>
      <c r="AB9" s="11" t="e" cm="1">
        <f t="array" aca="1" ref="AB9" ca="1">AICc(X_s(),Response_Column(),Allow_Intercept,Sample_Include())</f>
        <v>#REF!</v>
      </c>
      <c r="AK9" t="str">
        <f ca="1"/>
        <v>Obs. 7</v>
      </c>
      <c r="AL9" s="7">
        <f ca="1"/>
        <v>58.6</v>
      </c>
      <c r="AN9" s="7" t="e">
        <f ca="1"/>
        <v>#REF!</v>
      </c>
      <c r="AO9" s="7" t="e">
        <f ca="1"/>
        <v>#REF!</v>
      </c>
      <c r="AP9" s="7">
        <f ca="1"/>
        <v>6.4262506027977381E-2</v>
      </c>
      <c r="AQ9" s="7" t="e">
        <f ca="1"/>
        <v>#REF!</v>
      </c>
      <c r="AR9" s="7" t="e">
        <f ca="1"/>
        <v>#REF!</v>
      </c>
      <c r="AS9" s="7">
        <f ca="1"/>
        <v>-2.6570161854420777</v>
      </c>
      <c r="AT9" s="7" t="e">
        <f ca="1"/>
        <v>#REF!</v>
      </c>
      <c r="AU9" s="7" t="e">
        <f ca="1"/>
        <v>#REF!</v>
      </c>
      <c r="AV9" s="7" t="e">
        <f ca="1"/>
        <v>#REF!</v>
      </c>
    </row>
    <row r="10" spans="1:49" x14ac:dyDescent="0.25">
      <c r="A10" t="str">
        <v>Alcohol</v>
      </c>
      <c r="B10" s="16" t="s">
        <v>929</v>
      </c>
      <c r="C10" s="16" t="b">
        <v>1</v>
      </c>
      <c r="D10" s="16" t="s">
        <v>897</v>
      </c>
      <c r="E10" s="16"/>
      <c r="F10" s="16"/>
      <c r="G10" s="16" t="s">
        <v>898</v>
      </c>
      <c r="H10" s="16"/>
      <c r="I10" s="16"/>
      <c r="J10" t="str">
        <f>IF(SpecTable[[#This Row],[Sequence]]&lt;&gt;TRUE,"",IF(N(SpecTable[[#This Row],[Sequence Period]])&lt;&gt;0,SpecTable[[#This Row],[Sequence Period]],IFERROR(Base_Period_Delta_Candidate(),"")))</f>
        <v/>
      </c>
      <c r="K10" t="str" cm="1">
        <f t="array" ref="K10">IF(OR(SpecTable[[#This Row],[Role]]&lt;&gt;"Predictor (x)",SpecTable[[#This Row],[Type]]&lt;&gt;"Categorical"),"",_xlfn.LET(_xlpm.col,INDEX(Source_Data,0,ROW()-3),_xlpm.x,IF(_xlfn.SINGLE(_xlpm.col)="","",_xlpm.col),IFERROR(ROWS(_xlfn.UNIQUE(_xlfn._xlws.FILTER(_xlpm.x,(_xlpm.x&lt;&gt;"")*Sample_Include()))),0)))</f>
        <v/>
      </c>
      <c r="L10"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0" t="str">
        <f ca="1"/>
        <v>Country: Azerbaijan</v>
      </c>
      <c r="Q10" s="14">
        <f ca="1"/>
        <v>1.8690064410675517E-2</v>
      </c>
      <c r="R10" s="14">
        <f ca="1"/>
        <v>2.1103415936056347E-3</v>
      </c>
      <c r="S10" s="14">
        <f ca="1"/>
        <v>11.139110863412297</v>
      </c>
      <c r="T10" s="14">
        <f ca="1"/>
        <v>122.22803450341085</v>
      </c>
      <c r="U10" s="14" t="e">
        <f ca="1"/>
        <v>#REF!</v>
      </c>
      <c r="V10" s="14" t="e">
        <f ca="1"/>
        <v>#REF!</v>
      </c>
      <c r="AA10" s="8" t="s">
        <v>626</v>
      </c>
      <c r="AB10" s="11" t="e" cm="1">
        <f t="array" aca="1" ref="AB10" ca="1">QQ_Correlation(X_s(),Response_Column(),Allow_Intercept,Sample_Include())</f>
        <v>#REF!</v>
      </c>
      <c r="AG10" s="4" t="s">
        <v>709</v>
      </c>
      <c r="AK10" t="str">
        <f ca="1"/>
        <v>Obs. 8</v>
      </c>
      <c r="AL10" s="7">
        <f ca="1"/>
        <v>58.1</v>
      </c>
      <c r="AN10" s="7" t="e">
        <f ca="1"/>
        <v>#REF!</v>
      </c>
      <c r="AO10" s="7" t="e">
        <f ca="1"/>
        <v>#REF!</v>
      </c>
      <c r="AP10" s="7">
        <f ca="1"/>
        <v>6.4051468352435581E-2</v>
      </c>
      <c r="AQ10" s="7" t="e">
        <f ca="1"/>
        <v>#REF!</v>
      </c>
      <c r="AR10" s="7" t="e">
        <f ca="1"/>
        <v>#REF!</v>
      </c>
      <c r="AS10" s="7">
        <f ca="1"/>
        <v>-2.6570161854420777</v>
      </c>
      <c r="AT10" s="7" t="e">
        <f ca="1"/>
        <v>#REF!</v>
      </c>
      <c r="AU10" s="7" t="e">
        <f ca="1"/>
        <v>#REF!</v>
      </c>
      <c r="AV10" s="7" t="e">
        <f ca="1"/>
        <v>#REF!</v>
      </c>
    </row>
    <row r="11" spans="1:49" x14ac:dyDescent="0.25">
      <c r="A11" t="str">
        <v>percentage expenditure</v>
      </c>
      <c r="B11" s="16" t="s">
        <v>929</v>
      </c>
      <c r="C11" s="16" t="b">
        <v>1</v>
      </c>
      <c r="D11" s="16" t="s">
        <v>897</v>
      </c>
      <c r="E11" s="16"/>
      <c r="F11" s="16"/>
      <c r="G11" s="16" t="s">
        <v>898</v>
      </c>
      <c r="H11" s="16"/>
      <c r="I11" s="16"/>
      <c r="J11" t="str">
        <f>IF(SpecTable[[#This Row],[Sequence]]&lt;&gt;TRUE,"",IF(N(SpecTable[[#This Row],[Sequence Period]])&lt;&gt;0,SpecTable[[#This Row],[Sequence Period]],IFERROR(Base_Period_Delta_Candidate(),"")))</f>
        <v/>
      </c>
      <c r="K11" t="str" cm="1">
        <f t="array" ref="K11">IF(OR(SpecTable[[#This Row],[Role]]&lt;&gt;"Predictor (x)",SpecTable[[#This Row],[Type]]&lt;&gt;"Categorical"),"",_xlfn.LET(_xlpm.col,INDEX(Source_Data,0,ROW()-3),_xlpm.x,IF(_xlfn.SINGLE(_xlpm.col)="","",_xlpm.col),IFERROR(ROWS(_xlfn.UNIQUE(_xlfn._xlws.FILTER(_xlpm.x,(_xlpm.x&lt;&gt;"")*Sample_Include()))),0)))</f>
        <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1" t="str">
        <f ca="1"/>
        <v>Country: Bangladesh</v>
      </c>
      <c r="Q11" s="14">
        <f ca="1"/>
        <v>6.4680973030188035E-3</v>
      </c>
      <c r="R11" s="14">
        <f ca="1"/>
        <v>-1.1241512830782464E-2</v>
      </c>
      <c r="S11" s="14">
        <f ca="1"/>
        <v>11.604695115064013</v>
      </c>
      <c r="T11" s="14">
        <f ca="1"/>
        <v>132.83005112143931</v>
      </c>
      <c r="U11" s="14" t="e">
        <f ca="1"/>
        <v>#REF!</v>
      </c>
      <c r="V11" s="14" t="e">
        <f ca="1"/>
        <v>#REF!</v>
      </c>
      <c r="AA11" s="8" t="s">
        <v>1012</v>
      </c>
      <c r="AB11" s="34" t="str" cm="1">
        <f t="array" ref="AB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active",Durbin_Watson_By(X_s(),Response_Column(),Sequence_Column(),Allow_Intercept,Sample_Include())))))</f>
        <v>n/a — requires Sequence</v>
      </c>
      <c r="AG11" s="3" t="s">
        <v>710</v>
      </c>
      <c r="AH11" s="3" t="s">
        <v>711</v>
      </c>
      <c r="AI11" s="32" t="s">
        <v>934</v>
      </c>
      <c r="AK11" t="str">
        <f ca="1"/>
        <v>Obs. 9</v>
      </c>
      <c r="AL11" s="7">
        <f ca="1"/>
        <v>57.5</v>
      </c>
      <c r="AN11" s="7" t="e">
        <f ca="1"/>
        <v>#REF!</v>
      </c>
      <c r="AO11" s="7" t="e">
        <f ca="1"/>
        <v>#REF!</v>
      </c>
      <c r="AP11" s="7">
        <f ca="1"/>
        <v>6.4773465009613992E-2</v>
      </c>
      <c r="AQ11" s="7" t="e">
        <f ca="1"/>
        <v>#REF!</v>
      </c>
      <c r="AR11" s="7" t="e">
        <f ca="1"/>
        <v>#REF!</v>
      </c>
      <c r="AS11" s="7">
        <f ca="1"/>
        <v>-2.5652792972685243</v>
      </c>
      <c r="AT11" s="7" t="e">
        <f ca="1"/>
        <v>#REF!</v>
      </c>
      <c r="AU11" s="7" t="e">
        <f ca="1"/>
        <v>#REF!</v>
      </c>
      <c r="AV11" s="7" t="e">
        <f ca="1"/>
        <v>#REF!</v>
      </c>
    </row>
    <row r="12" spans="1:49" x14ac:dyDescent="0.25">
      <c r="A12" t="str">
        <v>Hepatitis B</v>
      </c>
      <c r="B12" s="16" t="s">
        <v>929</v>
      </c>
      <c r="C12" s="16" t="b">
        <v>1</v>
      </c>
      <c r="D12" s="16" t="s">
        <v>897</v>
      </c>
      <c r="E12" s="16"/>
      <c r="F12" s="16"/>
      <c r="G12" s="16" t="s">
        <v>898</v>
      </c>
      <c r="H12" s="16"/>
      <c r="I12" s="16"/>
      <c r="J12" t="str">
        <f>IF(SpecTable[[#This Row],[Sequence]]&lt;&gt;TRUE,"",IF(N(SpecTable[[#This Row],[Sequence Period]])&lt;&gt;0,SpecTable[[#This Row],[Sequence Period]],IFERROR(Base_Period_Delta_Candidate(),"")))</f>
        <v/>
      </c>
      <c r="K12" t="str" cm="1">
        <f t="array" ref="K12">IF(OR(SpecTable[[#This Row],[Role]]&lt;&gt;"Predictor (x)",SpecTable[[#This Row],[Type]]&lt;&gt;"Categorical"),"",_xlfn.LET(_xlpm.col,INDEX(Source_Data,0,ROW()-3),_xlpm.x,IF(_xlfn.SINGLE(_xlpm.col)="","",_xlpm.col),IFERROR(ROWS(_xlfn.UNIQUE(_xlfn._xlws.FILTER(_xlpm.x,(_xlpm.x&lt;&gt;"")*Sample_Include()))),0)))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2" t="str">
        <f ca="1"/>
        <v>Country: Belarus</v>
      </c>
      <c r="Q12" s="14">
        <f ca="1"/>
        <v>4.8413008465552788E-3</v>
      </c>
      <c r="R12" s="14">
        <f ca="1"/>
        <v>-1.8396883536346918E-2</v>
      </c>
      <c r="S12" s="14">
        <f ca="1"/>
        <v>10.350719164118892</v>
      </c>
      <c r="T12" s="14">
        <f ca="1"/>
        <v>105.26505722184046</v>
      </c>
      <c r="U12" s="14" t="e">
        <f ca="1"/>
        <v>#REF!</v>
      </c>
      <c r="V12" s="14" t="e">
        <f ca="1"/>
        <v>#REF!</v>
      </c>
      <c r="X12" s="3" t="s">
        <v>687</v>
      </c>
      <c r="Y12" s="16">
        <v>0.05</v>
      </c>
      <c r="AA12" s="8" t="s">
        <v>1013</v>
      </c>
      <c r="AB12" s="34" t="str" cm="1">
        <f t="array" ref="AB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variables",BFN_Panel_Durbin_Watson(X_s(),Response_Column(),Serial_Correlation_Group(),Sequence_Column(),Base_Period_Delta(),Allow_Intercept,Sample_Include()))))))</f>
        <v>n/a — requires Sequence</v>
      </c>
      <c r="AG12" t="s">
        <v>712</v>
      </c>
      <c r="AH12" s="16">
        <f>IF(Allow_Intercept,1,0)</f>
        <v>1</v>
      </c>
      <c r="AK12" t="str">
        <f ca="1"/>
        <v>Obs. 10</v>
      </c>
      <c r="AL12" s="7">
        <f ca="1"/>
        <v>57.3</v>
      </c>
      <c r="AN12" s="7" t="e">
        <f ca="1"/>
        <v>#REF!</v>
      </c>
      <c r="AO12" s="7" t="e">
        <f ca="1"/>
        <v>#REF!</v>
      </c>
      <c r="AP12" s="7">
        <f ca="1"/>
        <v>6.4078321271349242E-2</v>
      </c>
      <c r="AQ12" s="7" t="e">
        <f ca="1"/>
        <v>#REF!</v>
      </c>
      <c r="AR12" s="7" t="e">
        <f ca="1"/>
        <v>#REF!</v>
      </c>
      <c r="AS12" s="7">
        <f ca="1"/>
        <v>-2.5264513477970261</v>
      </c>
      <c r="AT12" s="7" t="e">
        <f ca="1"/>
        <v>#REF!</v>
      </c>
      <c r="AU12" s="7" t="e">
        <f ca="1"/>
        <v>#REF!</v>
      </c>
      <c r="AV12" s="7" t="e">
        <f ca="1"/>
        <v>#REF!</v>
      </c>
    </row>
    <row r="13" spans="1:49" x14ac:dyDescent="0.25">
      <c r="A13" t="str">
        <v>Measles</v>
      </c>
      <c r="B13" s="16" t="s">
        <v>929</v>
      </c>
      <c r="C13" s="16" t="b">
        <v>1</v>
      </c>
      <c r="D13" s="16" t="s">
        <v>897</v>
      </c>
      <c r="E13" s="16"/>
      <c r="F13" s="16"/>
      <c r="G13" s="16" t="s">
        <v>898</v>
      </c>
      <c r="H13" s="16"/>
      <c r="I13" s="16"/>
      <c r="J13" t="str">
        <f>IF(SpecTable[[#This Row],[Sequence]]&lt;&gt;TRUE,"",IF(N(SpecTable[[#This Row],[Sequence Period]])&lt;&gt;0,SpecTable[[#This Row],[Sequence Period]],IFERROR(Base_Period_Delta_Candidate(),"")))</f>
        <v/>
      </c>
      <c r="K13" t="str" cm="1">
        <f t="array" ref="K13">IF(OR(SpecTable[[#This Row],[Role]]&lt;&gt;"Predictor (x)",SpecTable[[#This Row],[Type]]&lt;&gt;"Categorical"),"",_xlfn.LET(_xlpm.col,INDEX(Source_Data,0,ROW()-3),_xlpm.x,IF(_xlfn.SINGLE(_xlpm.col)="","",_xlpm.col),IFERROR(ROWS(_xlfn.UNIQUE(_xlfn._xlws.FILTER(_xlpm.x,(_xlpm.x&lt;&gt;"")*Sample_Include()))),0)))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3" t="str">
        <f ca="1"/>
        <v>Country: Belgium</v>
      </c>
      <c r="Q13" s="14">
        <f ca="1"/>
        <v>0.12366880202481732</v>
      </c>
      <c r="R13" s="14">
        <f ca="1"/>
        <v>0.13713125550670849</v>
      </c>
      <c r="S13" s="14">
        <f ca="1"/>
        <v>10.350719164118901</v>
      </c>
      <c r="T13" s="14">
        <f ca="1"/>
        <v>105.26505722184078</v>
      </c>
      <c r="U13" s="14" t="e">
        <f ca="1"/>
        <v>#REF!</v>
      </c>
      <c r="V13" s="14" t="e">
        <f ca="1"/>
        <v>#REF!</v>
      </c>
      <c r="X13" s="39" t="s">
        <v>688</v>
      </c>
      <c r="Y13" s="40"/>
      <c r="Z13" s="40"/>
      <c r="AA13" s="40"/>
      <c r="AB13" s="40"/>
      <c r="AC13" s="41"/>
      <c r="AG13" t="str" cm="1">
        <f t="array" aca="1" ref="AG13:AG164" ca="1">TRANSPOSE(Constructed_Column_Names())</f>
        <v>Country: Albania</v>
      </c>
      <c r="AH13" s="17" cm="1">
        <f t="array" aca="1" ref="AH13" ca="1">IF(ROW()-12&lt;=IFERROR(ROWS(_xlfn.ANCHORARRAY($AI$13)),0),INDEX(_xlfn.ANCHORARRAY($AI$13),ROW()-12),"")</f>
        <v>9.7028502122498486E-3</v>
      </c>
      <c r="AI13" s="7" cm="1">
        <f t="array" aca="1" ref="AI13:AI164" ca="1">IFERROR(TRANSPOSE(_xlfn.BYCOL(_xlfn._xlws.FILTER(X_s(),Sample_Include()),_xlfn.LAMBDA(_xlpm.c,AVERAGE(_xlpm.c)))),"")</f>
        <v>9.7028502122498486E-3</v>
      </c>
      <c r="AK13" t="str">
        <f ca="1"/>
        <v>Obs. 11</v>
      </c>
      <c r="AL13" s="7">
        <f ca="1"/>
        <v>57.3</v>
      </c>
      <c r="AN13" s="7" t="e">
        <f ca="1"/>
        <v>#REF!</v>
      </c>
      <c r="AO13" s="7" t="e">
        <f ca="1"/>
        <v>#REF!</v>
      </c>
      <c r="AP13" s="7">
        <f ca="1"/>
        <v>6.4354396055408297E-2</v>
      </c>
      <c r="AQ13" s="7" t="e">
        <f ca="1"/>
        <v>#REF!</v>
      </c>
      <c r="AR13" s="7" t="e">
        <f ca="1"/>
        <v>#REF!</v>
      </c>
      <c r="AS13" s="7">
        <f ca="1"/>
        <v>-2.5264513477970261</v>
      </c>
      <c r="AT13" s="7" t="e">
        <f ca="1"/>
        <v>#REF!</v>
      </c>
      <c r="AU13" s="7" t="e">
        <f ca="1"/>
        <v>#REF!</v>
      </c>
      <c r="AV13" s="7" t="e">
        <f ca="1"/>
        <v>#REF!</v>
      </c>
    </row>
    <row r="14" spans="1:49" x14ac:dyDescent="0.25">
      <c r="A14" t="str">
        <v>BMI</v>
      </c>
      <c r="B14" s="16" t="s">
        <v>929</v>
      </c>
      <c r="C14" s="16" t="b">
        <v>1</v>
      </c>
      <c r="D14" s="16" t="s">
        <v>897</v>
      </c>
      <c r="E14" s="16"/>
      <c r="F14" s="16"/>
      <c r="G14" s="16" t="s">
        <v>898</v>
      </c>
      <c r="H14" s="16"/>
      <c r="I14" s="16"/>
      <c r="J14" t="str">
        <f>IF(SpecTable[[#This Row],[Sequence]]&lt;&gt;TRUE,"",IF(N(SpecTable[[#This Row],[Sequence Period]])&lt;&gt;0,SpecTable[[#This Row],[Sequence Period]],IFERROR(Base_Period_Delta_Candidate(),"")))</f>
        <v/>
      </c>
      <c r="K14" t="str" cm="1">
        <f t="array" ref="K14">IF(OR(SpecTable[[#This Row],[Role]]&lt;&gt;"Predictor (x)",SpecTable[[#This Row],[Type]]&lt;&gt;"Categorical"),"",_xlfn.LET(_xlpm.col,INDEX(Source_Data,0,ROW()-3),_xlpm.x,IF(_xlfn.SINGLE(_xlpm.col)="","",_xlpm.col),IFERROR(ROWS(_xlfn.UNIQUE(_xlfn._xlws.FILTER(_xlpm.x,(_xlpm.x&lt;&gt;"")*Sample_Include()))),0)))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4" t="str">
        <f ca="1"/>
        <v>Country: Belize</v>
      </c>
      <c r="Q14" s="14">
        <f ca="1"/>
        <v>-1.623031430257167E-3</v>
      </c>
      <c r="R14" s="14">
        <f ca="1"/>
        <v>-2.4381573585370062E-2</v>
      </c>
      <c r="S14" s="14">
        <f ca="1"/>
        <v>10.350719164118912</v>
      </c>
      <c r="T14" s="14">
        <f ca="1"/>
        <v>105.265057221841</v>
      </c>
      <c r="U14" s="14" t="e">
        <f ca="1"/>
        <v>#REF!</v>
      </c>
      <c r="V14" s="14" t="e">
        <f ca="1"/>
        <v>#REF!</v>
      </c>
      <c r="X14" s="21"/>
      <c r="Y14" s="3" t="s">
        <v>689</v>
      </c>
      <c r="Z14" s="3" t="s">
        <v>690</v>
      </c>
      <c r="AA14" s="3" t="s">
        <v>691</v>
      </c>
      <c r="AB14" s="3" t="s">
        <v>692</v>
      </c>
      <c r="AC14" s="23" t="s">
        <v>630</v>
      </c>
      <c r="AG14" t="str">
        <f ca="1"/>
        <v>Country: Algeria</v>
      </c>
      <c r="AH14" s="17" cm="1">
        <f t="array" aca="1" ref="AH14" ca="1">IF(ROW()-12&lt;=IFERROR(ROWS(_xlfn.ANCHORARRAY($AI$13)),0),INDEX(_xlfn.ANCHORARRAY($AI$13),ROW()-12),"")</f>
        <v>6.6707095209217705E-3</v>
      </c>
      <c r="AI14" s="7">
        <f ca="1"/>
        <v>6.6707095209217705E-3</v>
      </c>
      <c r="AK14" t="str">
        <f ca="1"/>
        <v>Obs. 12</v>
      </c>
      <c r="AL14" s="7">
        <f ca="1"/>
        <v>57</v>
      </c>
      <c r="AN14" s="7" t="e">
        <f ca="1"/>
        <v>#REF!</v>
      </c>
      <c r="AO14" s="7" t="e">
        <f ca="1"/>
        <v>#REF!</v>
      </c>
      <c r="AP14" s="7">
        <f ca="1"/>
        <v>7.51853075939906E-2</v>
      </c>
      <c r="AQ14" s="7" t="e">
        <f ca="1"/>
        <v>#REF!</v>
      </c>
      <c r="AR14" s="7" t="e">
        <f ca="1"/>
        <v>#REF!</v>
      </c>
      <c r="AS14" s="7">
        <f ca="1"/>
        <v>-2.5264513477970261</v>
      </c>
      <c r="AT14" s="7" t="e">
        <f ca="1"/>
        <v>#REF!</v>
      </c>
      <c r="AU14" s="7" t="e">
        <f ca="1"/>
        <v>#REF!</v>
      </c>
      <c r="AV14" s="7" t="e">
        <f ca="1"/>
        <v>#REF!</v>
      </c>
    </row>
    <row r="15" spans="1:49" x14ac:dyDescent="0.25">
      <c r="A15" t="str">
        <v>under-five deaths</v>
      </c>
      <c r="B15" s="16" t="s">
        <v>929</v>
      </c>
      <c r="C15" s="16" t="b">
        <v>1</v>
      </c>
      <c r="D15" s="16" t="s">
        <v>897</v>
      </c>
      <c r="E15" s="16"/>
      <c r="F15" s="16"/>
      <c r="G15" s="16" t="s">
        <v>898</v>
      </c>
      <c r="H15" s="16"/>
      <c r="I15" s="16"/>
      <c r="J15" t="str">
        <f>IF(SpecTable[[#This Row],[Sequence]]&lt;&gt;TRUE,"",IF(N(SpecTable[[#This Row],[Sequence Period]])&lt;&gt;0,SpecTable[[#This Row],[Sequence Period]],IFERROR(Base_Period_Delta_Candidate(),"")))</f>
        <v/>
      </c>
      <c r="K15" t="str" cm="1">
        <f t="array" ref="K15">IF(OR(SpecTable[[#This Row],[Role]]&lt;&gt;"Predictor (x)",SpecTable[[#This Row],[Type]]&lt;&gt;"Categorical"),"",_xlfn.LET(_xlpm.col,INDEX(Source_Data,0,ROW()-3),_xlpm.x,IF(_xlfn.SINGLE(_xlpm.col)="","",_xlpm.col),IFERROR(ROWS(_xlfn.UNIQUE(_xlfn._xlws.FILTER(_xlpm.x,(_xlpm.x&lt;&gt;"")*Sample_Include()))),0)))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5" t="str">
        <f ca="1"/>
        <v>Country: Benin</v>
      </c>
      <c r="Q15" s="14">
        <f ca="1"/>
        <v>-0.11752806116669649</v>
      </c>
      <c r="R15" s="14">
        <f ca="1"/>
        <v>-0.11547818010334178</v>
      </c>
      <c r="S15" s="14">
        <f ca="1"/>
        <v>11.139110863412325</v>
      </c>
      <c r="T15" s="14">
        <f ca="1"/>
        <v>122.2280345034106</v>
      </c>
      <c r="U15" s="14" t="e">
        <f ca="1"/>
        <v>#REF!</v>
      </c>
      <c r="V15" s="14" t="e">
        <f ca="1"/>
        <v>#REF!</v>
      </c>
      <c r="X15" s="8" t="s">
        <v>693</v>
      </c>
      <c r="Y15" s="37" cm="1">
        <f t="array" aca="1" ref="Y15" ca="1">Regression_Degrees_Of_Freedom(X_s())</f>
        <v>152</v>
      </c>
      <c r="Z15" s="38" t="e" cm="1">
        <f t="array" aca="1" ref="Z15" ca="1">SS_Regression(X_s(),Response_Column(),Allow_Intercept,Sample_Include())</f>
        <v>#REF!</v>
      </c>
      <c r="AA15" s="38" t="e" cm="1">
        <f t="array" aca="1" ref="AA15" ca="1">MS_Regression(X_s(),Response_Column(),Allow_Intercept,Sample_Include())</f>
        <v>#REF!</v>
      </c>
      <c r="AB15" s="38" t="e" cm="1">
        <f t="array" aca="1" ref="AB15" ca="1">F_Statistic(X_s(),Response_Column(),Allow_Intercept,Sample_Include())</f>
        <v>#REF!</v>
      </c>
      <c r="AC15" s="24" t="e" cm="1">
        <f t="array" aca="1" ref="AC15" ca="1">F_Statistic_P_Value(X_s(),Response_Column(),Allow_Intercept,Sample_Include())</f>
        <v>#REF!</v>
      </c>
      <c r="AG15" t="str">
        <f ca="1"/>
        <v>Country: Angola</v>
      </c>
      <c r="AH15" s="17" cm="1">
        <f t="array" aca="1" ref="AH15" ca="1">IF(ROW()-12&lt;=IFERROR(ROWS(_xlfn.ANCHORARRAY($AI$13)),0),INDEX(_xlfn.ANCHORARRAY($AI$13),ROW()-12),"")</f>
        <v>4.8514251061249243E-3</v>
      </c>
      <c r="AI15" s="7">
        <f ca="1"/>
        <v>4.8514251061249243E-3</v>
      </c>
      <c r="AK15" t="str">
        <f ca="1"/>
        <v>Obs. 13</v>
      </c>
      <c r="AL15" s="7">
        <f ca="1"/>
        <v>56.7</v>
      </c>
      <c r="AN15" s="7" t="e">
        <f ca="1"/>
        <v>#REF!</v>
      </c>
      <c r="AO15" s="7" t="e">
        <f ca="1"/>
        <v>#REF!</v>
      </c>
      <c r="AP15" s="7">
        <f ca="1"/>
        <v>6.8590915943170377E-2</v>
      </c>
      <c r="AQ15" s="7" t="e">
        <f ca="1"/>
        <v>#REF!</v>
      </c>
      <c r="AR15" s="7" t="e">
        <f ca="1"/>
        <v>#REF!</v>
      </c>
      <c r="AS15" s="7">
        <f ca="1"/>
        <v>-2.4285172603656537</v>
      </c>
      <c r="AT15" s="7" t="e">
        <f ca="1"/>
        <v>#REF!</v>
      </c>
      <c r="AU15" s="7" t="e">
        <f ca="1"/>
        <v>#REF!</v>
      </c>
      <c r="AV15" s="7" t="e">
        <f ca="1"/>
        <v>#REF!</v>
      </c>
    </row>
    <row r="16" spans="1:49" x14ac:dyDescent="0.25">
      <c r="A16" t="str">
        <v>Polio</v>
      </c>
      <c r="B16" s="16" t="s">
        <v>929</v>
      </c>
      <c r="C16" s="16" t="b">
        <v>1</v>
      </c>
      <c r="D16" s="16" t="s">
        <v>897</v>
      </c>
      <c r="E16" s="16"/>
      <c r="F16" s="16"/>
      <c r="G16" s="16" t="s">
        <v>898</v>
      </c>
      <c r="H16" s="16"/>
      <c r="I16" s="16"/>
      <c r="J16" t="str">
        <f>IF(SpecTable[[#This Row],[Sequence]]&lt;&gt;TRUE,"",IF(N(SpecTable[[#This Row],[Sequence Period]])&lt;&gt;0,SpecTable[[#This Row],[Sequence Period]],IFERROR(Base_Period_Delta_Candidate(),"")))</f>
        <v/>
      </c>
      <c r="K16" t="str" cm="1">
        <f t="array" ref="K16">IF(OR(SpecTable[[#This Row],[Role]]&lt;&gt;"Predictor (x)",SpecTable[[#This Row],[Type]]&lt;&gt;"Categorical"),"",_xlfn.LET(_xlpm.col,INDEX(Source_Data,0,ROW()-3),_xlpm.x,IF(_xlfn.SINGLE(_xlpm.col)="","",_xlpm.col),IFERROR(ROWS(_xlfn.UNIQUE(_xlfn._xlws.FILTER(_xlpm.x,(_xlpm.x&lt;&gt;"")*Sample_Include()))),0)))</f>
        <v/>
      </c>
      <c r="L1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6" t="str">
        <f ca="1"/>
        <v>Country: Bhutan</v>
      </c>
      <c r="Q16" s="14">
        <f ca="1"/>
        <v>-3.6850010691539703E-2</v>
      </c>
      <c r="R16" s="14">
        <f ca="1"/>
        <v>-6.239643212546548E-2</v>
      </c>
      <c r="S16" s="14">
        <f ca="1"/>
        <v>10.35071916411891</v>
      </c>
      <c r="T16" s="14">
        <f ca="1"/>
        <v>105.26505722184142</v>
      </c>
      <c r="U16" s="14" t="e">
        <f ca="1"/>
        <v>#REF!</v>
      </c>
      <c r="V16" s="14" t="e">
        <f ca="1"/>
        <v>#REF!</v>
      </c>
      <c r="X16" s="8" t="s">
        <v>694</v>
      </c>
      <c r="Y16" s="37" cm="1">
        <f t="array" aca="1" ref="Y16" ca="1">Residual_Degrees_Of_Freedom(X_s(),Response_Column(),Allow_Intercept,Sample_Include())</f>
        <v>1496</v>
      </c>
      <c r="Z16" s="38" t="e" cm="1">
        <f t="array" aca="1" ref="Z16" ca="1">SS_Residual(X_s(),Response_Column(),Allow_Intercept,Sample_Include())</f>
        <v>#REF!</v>
      </c>
      <c r="AA16" s="38" t="e" cm="1">
        <f t="array" aca="1" ref="AA16" ca="1">MS_Residual(X_s(),Response_Column(),Allow_Intercept,Sample_Include())</f>
        <v>#REF!</v>
      </c>
      <c r="AC16" s="25"/>
      <c r="AG16" t="str">
        <f ca="1"/>
        <v>Country: Argentina</v>
      </c>
      <c r="AH16" s="17" cm="1">
        <f t="array" aca="1" ref="AH16" ca="1">IF(ROW()-12&lt;=IFERROR(ROWS(_xlfn.ANCHORARRAY($AI$13)),0),INDEX(_xlfn.ANCHORARRAY($AI$13),ROW()-12),"")</f>
        <v>7.8835657974530016E-3</v>
      </c>
      <c r="AI16" s="7">
        <f ca="1"/>
        <v>7.8835657974530016E-3</v>
      </c>
      <c r="AK16" t="str">
        <f ca="1"/>
        <v>Obs. 14</v>
      </c>
      <c r="AL16" s="7">
        <f ca="1"/>
        <v>56.2</v>
      </c>
      <c r="AN16" s="7" t="e">
        <f ca="1"/>
        <v>#REF!</v>
      </c>
      <c r="AO16" s="7" t="e">
        <f ca="1"/>
        <v>#REF!</v>
      </c>
      <c r="AP16" s="7">
        <f ca="1"/>
        <v>0.15966152978137585</v>
      </c>
      <c r="AQ16" s="7" t="e">
        <f ca="1"/>
        <v>#REF!</v>
      </c>
      <c r="AR16" s="7" t="e">
        <f ca="1"/>
        <v>#REF!</v>
      </c>
      <c r="AS16" s="7">
        <f ca="1"/>
        <v>-2.4004805754973497</v>
      </c>
      <c r="AT16" s="7" t="e">
        <f ca="1"/>
        <v>#REF!</v>
      </c>
      <c r="AU16" s="7" t="e">
        <f ca="1"/>
        <v>#REF!</v>
      </c>
      <c r="AV16" s="7" t="e">
        <f ca="1"/>
        <v>#REF!</v>
      </c>
    </row>
    <row r="17" spans="1:48" x14ac:dyDescent="0.25">
      <c r="A17" t="str">
        <v>Total expenditure</v>
      </c>
      <c r="B17" s="16" t="s">
        <v>929</v>
      </c>
      <c r="C17" s="16" t="b">
        <v>1</v>
      </c>
      <c r="D17" s="16" t="s">
        <v>897</v>
      </c>
      <c r="E17" s="16"/>
      <c r="F17" s="16"/>
      <c r="G17" s="16" t="s">
        <v>898</v>
      </c>
      <c r="H17" s="16"/>
      <c r="I17" s="16"/>
      <c r="J17" t="str">
        <f>IF(SpecTable[[#This Row],[Sequence]]&lt;&gt;TRUE,"",IF(N(SpecTable[[#This Row],[Sequence Period]])&lt;&gt;0,SpecTable[[#This Row],[Sequence Period]],IFERROR(Base_Period_Delta_Candidate(),"")))</f>
        <v/>
      </c>
      <c r="K17" t="str" cm="1">
        <f t="array" ref="K17">IF(OR(SpecTable[[#This Row],[Role]]&lt;&gt;"Predictor (x)",SpecTable[[#This Row],[Type]]&lt;&gt;"Categorical"),"",_xlfn.LET(_xlpm.col,INDEX(Source_Data,0,ROW()-3),_xlpm.x,IF(_xlfn.SINGLE(_xlpm.col)="","",_xlpm.col),IFERROR(ROWS(_xlfn.UNIQUE(_xlfn._xlws.FILTER(_xlpm.x,(_xlpm.x&lt;&gt;"")*Sample_Include()))),0)))</f>
        <v/>
      </c>
      <c r="L1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7" t="str">
        <f ca="1"/>
        <v>Country: Bosnia and Herzegovina</v>
      </c>
      <c r="Q17" s="14">
        <f ca="1"/>
        <v>6.4106557777170975E-2</v>
      </c>
      <c r="R17" s="14">
        <f ca="1"/>
        <v>8.6820539351257012E-2</v>
      </c>
      <c r="S17" s="14">
        <f ca="1"/>
        <v>12.13192156837575</v>
      </c>
      <c r="T17" s="14">
        <f ca="1"/>
        <v>145.35982016929978</v>
      </c>
      <c r="U17" s="14" t="e">
        <f ca="1"/>
        <v>#REF!</v>
      </c>
      <c r="V17" s="14" t="e">
        <f ca="1"/>
        <v>#REF!</v>
      </c>
      <c r="X17" s="9" t="s">
        <v>695</v>
      </c>
      <c r="Y17" s="10" cm="1">
        <f t="array" aca="1" ref="Y17" ca="1">Total_Degrees_Of_Freedom(Response_Column(),Allow_Intercept,Sample_Include())</f>
        <v>1648</v>
      </c>
      <c r="Z17" s="22" cm="1">
        <f t="array" aca="1" ref="Z17" ca="1">SS_Total(Response_Column(),Allow_Intercept,Sample_Include())</f>
        <v>127529.31124317752</v>
      </c>
      <c r="AA17" s="15"/>
      <c r="AB17" s="15"/>
      <c r="AC17" s="26"/>
      <c r="AG17" t="str">
        <f ca="1"/>
        <v>Country: Armenia</v>
      </c>
      <c r="AH17" s="17" cm="1">
        <f t="array" aca="1" ref="AH17" ca="1">IF(ROW()-12&lt;=IFERROR(ROWS(_xlfn.ANCHORARRAY($AI$13)),0),INDEX(_xlfn.ANCHORARRAY($AI$13),ROW()-12),"")</f>
        <v>9.0964220739842335E-3</v>
      </c>
      <c r="AI17" s="7">
        <f ca="1"/>
        <v>9.0964220739842335E-3</v>
      </c>
      <c r="AK17" t="str">
        <f ca="1"/>
        <v>Obs. 15</v>
      </c>
      <c r="AL17" s="7">
        <f ca="1"/>
        <v>55.3</v>
      </c>
      <c r="AN17" s="7" t="e">
        <f ca="1"/>
        <v>#REF!</v>
      </c>
      <c r="AO17" s="7" t="e">
        <f ca="1"/>
        <v>#REF!</v>
      </c>
      <c r="AP17" s="7">
        <f ca="1"/>
        <v>0.13331362871295699</v>
      </c>
      <c r="AQ17" s="7" t="e">
        <f ca="1"/>
        <v>#REF!</v>
      </c>
      <c r="AR17" s="7" t="e">
        <f ca="1"/>
        <v>#REF!</v>
      </c>
      <c r="AS17" s="7">
        <f ca="1"/>
        <v>-2.3742127090260081</v>
      </c>
      <c r="AT17" s="7" t="e">
        <f ca="1"/>
        <v>#REF!</v>
      </c>
      <c r="AU17" s="7" t="e">
        <f ca="1"/>
        <v>#REF!</v>
      </c>
      <c r="AV17" s="7" t="e">
        <f ca="1"/>
        <v>#REF!</v>
      </c>
    </row>
    <row r="18" spans="1:48" x14ac:dyDescent="0.25">
      <c r="A18" t="str">
        <v>Diphtheria</v>
      </c>
      <c r="B18" s="16" t="s">
        <v>929</v>
      </c>
      <c r="C18" s="16" t="b">
        <v>1</v>
      </c>
      <c r="D18" s="16" t="s">
        <v>897</v>
      </c>
      <c r="E18" s="16"/>
      <c r="F18" s="16"/>
      <c r="G18" s="16" t="s">
        <v>898</v>
      </c>
      <c r="H18" s="16"/>
      <c r="I18" s="16"/>
      <c r="J18" t="str">
        <f>IF(SpecTable[[#This Row],[Sequence]]&lt;&gt;TRUE,"",IF(N(SpecTable[[#This Row],[Sequence Period]])&lt;&gt;0,SpecTable[[#This Row],[Sequence Period]],IFERROR(Base_Period_Delta_Candidate(),"")))</f>
        <v/>
      </c>
      <c r="K18" t="str" cm="1">
        <f t="array" ref="K18">IF(OR(SpecTable[[#This Row],[Role]]&lt;&gt;"Predictor (x)",SpecTable[[#This Row],[Type]]&lt;&gt;"Categorical"),"",_xlfn.LET(_xlpm.col,INDEX(Source_Data,0,ROW()-3),_xlpm.x,IF(_xlfn.SINGLE(_xlpm.col)="","",_xlpm.col),IFERROR(ROWS(_xlfn.UNIQUE(_xlfn._xlws.FILTER(_xlpm.x,(_xlpm.x&lt;&gt;"")*Sample_Include()))),0)))</f>
        <v/>
      </c>
      <c r="L1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8" t="str">
        <f ca="1"/>
        <v>Country: Botswana</v>
      </c>
      <c r="Q18" s="14">
        <f ca="1"/>
        <v>-0.15139216800090416</v>
      </c>
      <c r="R18" s="14">
        <f ca="1"/>
        <v>-0.12810725537673526</v>
      </c>
      <c r="S18" s="14">
        <f ca="1"/>
        <v>10.350719164118921</v>
      </c>
      <c r="T18" s="14">
        <f ca="1"/>
        <v>105.26505722184189</v>
      </c>
      <c r="U18" s="14" t="e">
        <f ca="1"/>
        <v>#REF!</v>
      </c>
      <c r="V18" s="14" t="e">
        <f ca="1"/>
        <v>#REF!</v>
      </c>
      <c r="AG18" t="str">
        <f ca="1"/>
        <v>Country: Australia</v>
      </c>
      <c r="AH18" s="17" cm="1">
        <f t="array" aca="1" ref="AH18" ca="1">IF(ROW()-12&lt;=IFERROR(ROWS(_xlfn.ANCHORARRAY($AI$13)),0),INDEX(_xlfn.ANCHORARRAY($AI$13),ROW()-12),"")</f>
        <v>8.4899939357186167E-3</v>
      </c>
      <c r="AI18" s="7">
        <f ca="1"/>
        <v>8.4899939357186167E-3</v>
      </c>
      <c r="AK18" t="str">
        <f ca="1"/>
        <v>Obs. 16</v>
      </c>
      <c r="AL18" s="7">
        <f ca="1"/>
        <v>54.8</v>
      </c>
      <c r="AN18" s="7" t="e">
        <f ca="1"/>
        <v>#REF!</v>
      </c>
      <c r="AO18" s="7" t="e">
        <f ca="1"/>
        <v>#REF!</v>
      </c>
      <c r="AP18" s="7">
        <f ca="1"/>
        <v>0.13572845799617711</v>
      </c>
      <c r="AQ18" s="7" t="e">
        <f ca="1"/>
        <v>#REF!</v>
      </c>
      <c r="AR18" s="7" t="e">
        <f ca="1"/>
        <v>#REF!</v>
      </c>
      <c r="AS18" s="7">
        <f ca="1"/>
        <v>-2.3494875599978426</v>
      </c>
      <c r="AT18" s="7" t="e">
        <f ca="1"/>
        <v>#REF!</v>
      </c>
      <c r="AU18" s="7" t="e">
        <f ca="1"/>
        <v>#REF!</v>
      </c>
      <c r="AV18" s="7" t="e">
        <f ca="1"/>
        <v>#REF!</v>
      </c>
    </row>
    <row r="19" spans="1:48" x14ac:dyDescent="0.25">
      <c r="A19" t="str">
        <v>HIV/AIDS</v>
      </c>
      <c r="B19" s="16" t="s">
        <v>929</v>
      </c>
      <c r="C19" s="16" t="b">
        <v>1</v>
      </c>
      <c r="D19" s="16" t="s">
        <v>897</v>
      </c>
      <c r="E19" s="16"/>
      <c r="F19" s="16"/>
      <c r="G19" s="16" t="s">
        <v>898</v>
      </c>
      <c r="H19" s="16"/>
      <c r="I19" s="16"/>
      <c r="J19" t="str">
        <f>IF(SpecTable[[#This Row],[Sequence]]&lt;&gt;TRUE,"",IF(N(SpecTable[[#This Row],[Sequence Period]])&lt;&gt;0,SpecTable[[#This Row],[Sequence Period]],IFERROR(Base_Period_Delta_Candidate(),"")))</f>
        <v/>
      </c>
      <c r="K19" t="str" cm="1">
        <f t="array" ref="K19">IF(OR(SpecTable[[#This Row],[Role]]&lt;&gt;"Predictor (x)",SpecTable[[#This Row],[Type]]&lt;&gt;"Categorical"),"",_xlfn.LET(_xlpm.col,INDEX(Source_Data,0,ROW()-3),_xlpm.x,IF(_xlfn.SINGLE(_xlpm.col)="","",_xlpm.col),IFERROR(ROWS(_xlfn.UNIQUE(_xlfn._xlws.FILTER(_xlpm.x,(_xlpm.x&lt;&gt;"")*Sample_Include()))),0)))</f>
        <v/>
      </c>
      <c r="L1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9" t="str">
        <f ca="1"/>
        <v>Country: Brazil</v>
      </c>
      <c r="Q19" s="14">
        <f ca="1"/>
        <v>4.3264129772777944E-2</v>
      </c>
      <c r="R19" s="14">
        <f ca="1"/>
        <v>4.1000494270830058E-2</v>
      </c>
      <c r="S19" s="14">
        <f ca="1"/>
        <v>10.350719164118928</v>
      </c>
      <c r="T19" s="14">
        <f ca="1"/>
        <v>105.26505722184211</v>
      </c>
      <c r="U19" s="14" t="e">
        <f ca="1"/>
        <v>#REF!</v>
      </c>
      <c r="V19" s="14" t="e">
        <f ca="1"/>
        <v>#REF!</v>
      </c>
      <c r="X19" s="4" t="s">
        <v>696</v>
      </c>
      <c r="AG19" t="str">
        <f ca="1"/>
        <v>Country: Austria</v>
      </c>
      <c r="AH19" s="17" cm="1">
        <f t="array" aca="1" ref="AH19" ca="1">IF(ROW()-12&lt;=IFERROR(ROWS(_xlfn.ANCHORARRAY($AI$13)),0),INDEX(_xlfn.ANCHORARRAY($AI$13),ROW()-12),"")</f>
        <v>9.0964220739842335E-3</v>
      </c>
      <c r="AI19" s="7">
        <f ca="1"/>
        <v>9.0964220739842335E-3</v>
      </c>
      <c r="AK19" t="str">
        <f ca="1"/>
        <v>Obs. 17</v>
      </c>
      <c r="AL19" s="7">
        <f ca="1"/>
        <v>77.8</v>
      </c>
      <c r="AN19" s="7" t="e">
        <f ca="1"/>
        <v>#REF!</v>
      </c>
      <c r="AO19" s="7" t="e">
        <f ca="1"/>
        <v>#REF!</v>
      </c>
      <c r="AP19" s="7">
        <f ca="1"/>
        <v>-0.59898145446319762</v>
      </c>
      <c r="AQ19" s="7" t="e">
        <f ca="1"/>
        <v>#REF!</v>
      </c>
      <c r="AR19" s="7" t="e">
        <f ca="1"/>
        <v>#REF!</v>
      </c>
      <c r="AS19" s="7">
        <f ca="1"/>
        <v>-2.3261203997549518</v>
      </c>
      <c r="AT19" s="7" t="e">
        <f ca="1"/>
        <v>#REF!</v>
      </c>
      <c r="AU19" s="7" t="e">
        <f ca="1"/>
        <v>#REF!</v>
      </c>
      <c r="AV19" s="7" t="e">
        <f ca="1"/>
        <v>#REF!</v>
      </c>
    </row>
    <row r="20" spans="1:48" x14ac:dyDescent="0.25">
      <c r="A20" t="str">
        <v>GDP</v>
      </c>
      <c r="B20" s="16" t="s">
        <v>929</v>
      </c>
      <c r="C20" s="16" t="b">
        <v>1</v>
      </c>
      <c r="D20" s="16" t="s">
        <v>897</v>
      </c>
      <c r="E20" s="16"/>
      <c r="F20" s="16"/>
      <c r="G20" s="16" t="s">
        <v>898</v>
      </c>
      <c r="H20" s="16"/>
      <c r="I20" s="16"/>
      <c r="J20" t="str">
        <f>IF(SpecTable[[#This Row],[Sequence]]&lt;&gt;TRUE,"",IF(N(SpecTable[[#This Row],[Sequence Period]])&lt;&gt;0,SpecTable[[#This Row],[Sequence Period]],IFERROR(Base_Period_Delta_Candidate(),"")))</f>
        <v/>
      </c>
      <c r="K20" t="str" cm="1">
        <f t="array" ref="K20">IF(OR(SpecTable[[#This Row],[Role]]&lt;&gt;"Predictor (x)",SpecTable[[#This Row],[Type]]&lt;&gt;"Categorical"),"",_xlfn.LET(_xlpm.col,INDEX(Source_Data,0,ROW()-3),_xlpm.x,IF(_xlfn.SINGLE(_xlpm.col)="","",_xlpm.col),IFERROR(ROWS(_xlfn.UNIQUE(_xlfn._xlws.FILTER(_xlpm.x,(_xlpm.x&lt;&gt;"")*Sample_Include()))),0)))</f>
        <v/>
      </c>
      <c r="L20"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20" t="str">
        <f ca="1"/>
        <v>Country: Bulgaria</v>
      </c>
      <c r="Q20" s="14">
        <f ca="1"/>
        <v>3.7453494018339695E-2</v>
      </c>
      <c r="R20" s="14">
        <f ca="1"/>
        <v>2.6870721576611748E-2</v>
      </c>
      <c r="S20" s="14">
        <f ca="1"/>
        <v>10.350719164118928</v>
      </c>
      <c r="T20" s="14">
        <f ca="1"/>
        <v>105.26505722184233</v>
      </c>
      <c r="U20" s="14" t="e">
        <f ca="1"/>
        <v>#REF!</v>
      </c>
      <c r="V20" s="14" t="e">
        <f ca="1"/>
        <v>#REF!</v>
      </c>
      <c r="X20" s="3"/>
      <c r="Y20" s="3" t="s">
        <v>80</v>
      </c>
      <c r="Z20" s="3" t="s">
        <v>697</v>
      </c>
      <c r="AA20" s="3" t="s">
        <v>698</v>
      </c>
      <c r="AB20" s="3" t="s">
        <v>699</v>
      </c>
      <c r="AC20" s="3" t="s">
        <v>700</v>
      </c>
      <c r="AD20" s="3" t="s">
        <v>701</v>
      </c>
      <c r="AE20" s="3" t="s">
        <v>702</v>
      </c>
      <c r="AG20" t="str">
        <f ca="1"/>
        <v>Country: Azerbaijan</v>
      </c>
      <c r="AH20" s="17" cm="1">
        <f t="array" aca="1" ref="AH20" ca="1">IF(ROW()-12&lt;=IFERROR(ROWS(_xlfn.ANCHORARRAY($AI$13)),0),INDEX(_xlfn.ANCHORARRAY($AI$13),ROW()-12),"")</f>
        <v>7.8835657974530016E-3</v>
      </c>
      <c r="AI20" s="7">
        <f ca="1"/>
        <v>7.8835657974530016E-3</v>
      </c>
      <c r="AK20" t="str">
        <f ca="1"/>
        <v>Obs. 18</v>
      </c>
      <c r="AL20" s="7">
        <f ca="1"/>
        <v>77.5</v>
      </c>
      <c r="AN20" s="7" t="e">
        <f ca="1"/>
        <v>#REF!</v>
      </c>
      <c r="AO20" s="7" t="e">
        <f ca="1"/>
        <v>#REF!</v>
      </c>
      <c r="AP20" s="7">
        <f ca="1"/>
        <v>-0.59911134427289647</v>
      </c>
      <c r="AQ20" s="7" t="e">
        <f ca="1"/>
        <v>#REF!</v>
      </c>
      <c r="AR20" s="7" t="e">
        <f ca="1"/>
        <v>#REF!</v>
      </c>
      <c r="AS20" s="7">
        <f ca="1"/>
        <v>-2.3261203997549518</v>
      </c>
      <c r="AT20" s="7" t="e">
        <f ca="1"/>
        <v>#REF!</v>
      </c>
      <c r="AU20" s="7" t="e">
        <f ca="1"/>
        <v>#REF!</v>
      </c>
      <c r="AV20" s="7" t="e">
        <f ca="1"/>
        <v>#REF!</v>
      </c>
    </row>
    <row r="21" spans="1:48" x14ac:dyDescent="0.25">
      <c r="A21" t="str">
        <v>Population</v>
      </c>
      <c r="B21" s="16" t="s">
        <v>929</v>
      </c>
      <c r="C21" s="16" t="b">
        <v>1</v>
      </c>
      <c r="D21" s="16" t="s">
        <v>897</v>
      </c>
      <c r="E21" s="16"/>
      <c r="F21" s="16"/>
      <c r="G21" s="16" t="s">
        <v>898</v>
      </c>
      <c r="H21" s="16"/>
      <c r="I21" s="16"/>
      <c r="J21" t="str">
        <f>IF(SpecTable[[#This Row],[Sequence]]&lt;&gt;TRUE,"",IF(N(SpecTable[[#This Row],[Sequence Period]])&lt;&gt;0,SpecTable[[#This Row],[Sequence Period]],IFERROR(Base_Period_Delta_Candidate(),"")))</f>
        <v/>
      </c>
      <c r="K21" t="str" cm="1">
        <f t="array" ref="K21">IF(OR(SpecTable[[#This Row],[Role]]&lt;&gt;"Predictor (x)",SpecTable[[#This Row],[Type]]&lt;&gt;"Categorical"),"",_xlfn.LET(_xlpm.col,INDEX(Source_Data,0,ROW()-3),_xlpm.x,IF(_xlfn.SINGLE(_xlpm.col)="","",_xlpm.col),IFERROR(ROWS(_xlfn.UNIQUE(_xlfn._xlws.FILTER(_xlpm.x,(_xlpm.x&lt;&gt;"")*Sample_Include()))),0)))</f>
        <v/>
      </c>
      <c r="L2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21" t="str">
        <f ca="1"/>
        <v>Country: Burkina Faso</v>
      </c>
      <c r="Q21" s="14">
        <f ca="1"/>
        <v>-0.10166580377323783</v>
      </c>
      <c r="R21" s="14">
        <f ca="1"/>
        <v>-9.7974228270755859E-2</v>
      </c>
      <c r="S21" s="14">
        <f ca="1"/>
        <v>13.4371174934746</v>
      </c>
      <c r="T21" s="14">
        <f ca="1"/>
        <v>178.77295111692698</v>
      </c>
      <c r="U21" s="14" t="e">
        <f ca="1"/>
        <v>#REF!</v>
      </c>
      <c r="V21" s="14" t="e">
        <f ca="1"/>
        <v>#REF!</v>
      </c>
      <c r="X21" t="str" cm="1">
        <f t="array" aca="1" ref="X21:X173" ca="1">IF(Zero_Predictors_Selected(),IF(AND(Allow_Intercept,Intercept_Only_N()&gt;=1),"Intercept",NA()),IF(Allow_Intercept,_xlfn.VSTACK("Intercept",TRANSPOSE(Constructed_Column_Names())),_xlfn.VSTACK("",TRANSPOSE(Constructed_Column_Names()))))</f>
        <v>Intercept</v>
      </c>
      <c r="Y21" s="7" t="e" cm="1">
        <f t="array" aca="1" ref="Y21" ca="1">IF(Zero_Predictors_Selected(),IF(AND(Allow_Intercept,Intercept_Only_N()&gt;=1),Intercept_Only_Point(),NA()),IF(Allow_Intercept,Coefficients(X_s(),Response_Column(),Allow_Intercept,Sample_Include()),_xlfn.VSTACK("",Coefficients(X_s(),Response_Column(),Allow_Intercept,Sample_Include()))))</f>
        <v>#REF!</v>
      </c>
      <c r="Z21" s="7" t="e" cm="1">
        <f t="array" aca="1" ref="Z21" ca="1">IF(Zero_Predictors_Selected(),IF(AND(Allow_Intercept,Intercept_Only_N()&gt;=2),Intercept_Only_SE(),NA()),IF(Allow_Intercept,SE_Coefficients(X_s(),Response_Column(),Allow_Intercept,Sample_Include()),_xlfn.VSTACK("",SE_Coefficients(X_s(),Response_Column(),Allow_Intercept,Sample_Include()))))</f>
        <v>#REF!</v>
      </c>
      <c r="AA21" s="7" t="e" cm="1">
        <f t="array" aca="1" ref="AA21" ca="1">IF(Zero_Predictors_Selected(),IF(AND(Allow_Intercept,Intercept_Only_N()&gt;=2),Intercept_Only_Point()/Intercept_Only_SE(),NA()),IF(Allow_Intercept,T_Statistics(X_s(),Response_Column(),Allow_Intercept,Sample_Include()),_xlfn.VSTACK("",T_Statistics(X_s(),Response_Column(),Allow_Intercept,Sample_Include()))))</f>
        <v>#REF!</v>
      </c>
      <c r="AB21" s="20" t="e" cm="1">
        <f t="array" aca="1" ref="AB21" ca="1">IF(Zero_Predictors_Selected(),IF(AND(Allow_Intercept,Intercept_Only_N()&gt;=2),_xlfn.T.DIST.2T(ABS(Intercept_Only_Point()/Intercept_Only_SE()),Intercept_Only_DF()),NA()),IF(Allow_Intercept,P_Values(X_s(),Response_Column(),Allow_Intercept,Sample_Include()),_xlfn.VSTACK("",P_Values(X_s(),Response_Column(),Allow_Intercept,Sample_Include()))))</f>
        <v>#REF!</v>
      </c>
      <c r="AC21" s="7" t="e" cm="1">
        <f t="array" aca="1" ref="AC21" ca="1">IF(Zero_Predictors_Selected(),IF(AND(Allow_Intercept,Intercept_Only_N()&gt;=2),Intercept_Only_Point()-_xlfn.T.INV.2T(alpha,Intercept_Only_DF())*Intercept_Only_SE(),NA()),IF(Allow_Intercept,Confidence_Interval_Lower(X_s(),Response_Column(),Allow_Intercept,Sample_Include()),_xlfn.VSTACK("",Confidence_Interval_Lower(X_s(),Response_Column(),Allow_Intercept,Sample_Include()))))</f>
        <v>#REF!</v>
      </c>
      <c r="AD21" s="7" t="e" cm="1">
        <f t="array" aca="1" ref="AD21" ca="1">IF(Zero_Predictors_Selected(),IF(AND(Allow_Intercept,Intercept_Only_N()&gt;=2),Intercept_Only_Point()+_xlfn.T.INV.2T(alpha,Intercept_Only_DF())*Intercept_Only_SE(),NA()),IF(Allow_Intercept,Confidence_Interval_Upper(X_s(),Response_Column(),Allow_Intercept,Sample_Include()),_xlfn.VSTACK("",Confidence_Interval_Upper(X_s(),Response_Column(),Allow_Intercept,Sample_Include()))))</f>
        <v>#REF!</v>
      </c>
      <c r="AE21" s="7" t="str" cm="1">
        <f t="array" aca="1" ref="AE21:AE173" ca="1">IF(Zero_Predictors_Selected(),IF(Allow_Intercept,"",NA()),_xlfn.VSTACK("",Beta_Weights(X_s(),Response_Column(),Allow_Intercept,Sample_Include())))</f>
        <v/>
      </c>
      <c r="AG21" t="str">
        <f ca="1"/>
        <v>Country: Bangladesh</v>
      </c>
      <c r="AH21" s="17" cm="1">
        <f t="array" aca="1" ref="AH21" ca="1">IF(ROW()-12&lt;=IFERROR(ROWS(_xlfn.ANCHORARRAY($AI$13)),0),INDEX(_xlfn.ANCHORARRAY($AI$13),ROW()-12),"")</f>
        <v>7.2771376591873865E-3</v>
      </c>
      <c r="AI21" s="7">
        <f ca="1"/>
        <v>7.2771376591873865E-3</v>
      </c>
      <c r="AK21" t="str">
        <f ca="1"/>
        <v>Obs. 19</v>
      </c>
      <c r="AL21" s="7">
        <f ca="1"/>
        <v>77.2</v>
      </c>
      <c r="AN21" s="7" t="e">
        <f ca="1"/>
        <v>#REF!</v>
      </c>
      <c r="AO21" s="7" t="e">
        <f ca="1"/>
        <v>#REF!</v>
      </c>
      <c r="AP21" s="7">
        <f ca="1"/>
        <v>-0.59879824056087028</v>
      </c>
      <c r="AQ21" s="7" t="e">
        <f ca="1"/>
        <v>#REF!</v>
      </c>
      <c r="AR21" s="7" t="e">
        <f ca="1"/>
        <v>#REF!</v>
      </c>
      <c r="AS21" s="7">
        <f ca="1"/>
        <v>-2.3261203997549518</v>
      </c>
      <c r="AT21" s="7" t="e">
        <f ca="1"/>
        <v>#REF!</v>
      </c>
      <c r="AU21" s="7" t="e">
        <f ca="1"/>
        <v>#REF!</v>
      </c>
      <c r="AV21" s="7" t="e">
        <f ca="1"/>
        <v>#REF!</v>
      </c>
    </row>
    <row r="22" spans="1:48" x14ac:dyDescent="0.25">
      <c r="A22" t="str">
        <v>thinness 1-19 years</v>
      </c>
      <c r="B22" s="16" t="s">
        <v>929</v>
      </c>
      <c r="C22" s="16" t="b">
        <v>1</v>
      </c>
      <c r="D22" s="16" t="s">
        <v>897</v>
      </c>
      <c r="E22" s="16"/>
      <c r="F22" s="16"/>
      <c r="G22" s="16" t="s">
        <v>898</v>
      </c>
      <c r="H22" s="16"/>
      <c r="I22" s="16"/>
      <c r="J22" t="str">
        <f>IF(SpecTable[[#This Row],[Sequence]]&lt;&gt;TRUE,"",IF(N(SpecTable[[#This Row],[Sequence Period]])&lt;&gt;0,SpecTable[[#This Row],[Sequence Period]],IFERROR(Base_Period_Delta_Candidate(),"")))</f>
        <v/>
      </c>
      <c r="K22" t="str" cm="1">
        <f t="array" ref="K22">IF(OR(SpecTable[[#This Row],[Role]]&lt;&gt;"Predictor (x)",SpecTable[[#This Row],[Type]]&lt;&gt;"Categorical"),"",_xlfn.LET(_xlpm.col,INDEX(Source_Data,0,ROW()-3),_xlpm.x,IF(_xlfn.SINGLE(_xlpm.col)="","",_xlpm.col),IFERROR(ROWS(_xlfn.UNIQUE(_xlfn._xlws.FILTER(_xlpm.x,(_xlpm.x&lt;&gt;"")*Sample_Include()))),0)))</f>
        <v/>
      </c>
      <c r="L2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22" t="str">
        <f ca="1"/>
        <v>Country: Burundi</v>
      </c>
      <c r="Q22" s="14">
        <f ca="1"/>
        <v>-0.12370301404547751</v>
      </c>
      <c r="R22" s="14">
        <f ca="1"/>
        <v>-0.11381746235818237</v>
      </c>
      <c r="S22" s="14">
        <f ca="1"/>
        <v>12.131921568375773</v>
      </c>
      <c r="T22" s="14">
        <f ca="1"/>
        <v>145.35982016930063</v>
      </c>
      <c r="U22" s="14" t="e">
        <f ca="1"/>
        <v>#REF!</v>
      </c>
      <c r="V22" s="14" t="e">
        <f ca="1"/>
        <v>#REF!</v>
      </c>
      <c r="X22" t="str">
        <f ca="1"/>
        <v>Country: Albania</v>
      </c>
      <c r="Y22" s="7"/>
      <c r="Z22" s="7"/>
      <c r="AA22" s="7"/>
      <c r="AB22" s="20"/>
      <c r="AC22" s="7"/>
      <c r="AD22" s="7"/>
      <c r="AE22" s="7" t="e">
        <f ca="1"/>
        <v>#REF!</v>
      </c>
      <c r="AG22" t="str">
        <f ca="1"/>
        <v>Country: Belarus</v>
      </c>
      <c r="AH22" s="17" cm="1">
        <f t="array" aca="1" ref="AH22" ca="1">IF(ROW()-12&lt;=IFERROR(ROWS(_xlfn.ANCHORARRAY($AI$13)),0),INDEX(_xlfn.ANCHORARRAY($AI$13),ROW()-12),"")</f>
        <v>9.0964220739842335E-3</v>
      </c>
      <c r="AI22" s="7">
        <f ca="1"/>
        <v>9.0964220739842335E-3</v>
      </c>
      <c r="AK22" t="str">
        <f ca="1"/>
        <v>Obs. 20</v>
      </c>
      <c r="AL22" s="7">
        <f ca="1"/>
        <v>76.900000000000006</v>
      </c>
      <c r="AN22" s="7" t="e">
        <f ca="1"/>
        <v>#REF!</v>
      </c>
      <c r="AO22" s="7" t="e">
        <f ca="1"/>
        <v>#REF!</v>
      </c>
      <c r="AP22" s="7">
        <f ca="1"/>
        <v>-0.59838321849112586</v>
      </c>
      <c r="AQ22" s="7" t="e">
        <f ca="1"/>
        <v>#REF!</v>
      </c>
      <c r="AR22" s="7" t="e">
        <f ca="1"/>
        <v>#REF!</v>
      </c>
      <c r="AS22" s="7">
        <f ca="1"/>
        <v>-2.3261203997549518</v>
      </c>
      <c r="AT22" s="7" t="e">
        <f ca="1"/>
        <v>#REF!</v>
      </c>
      <c r="AU22" s="7" t="e">
        <f ca="1"/>
        <v>#REF!</v>
      </c>
      <c r="AV22" s="7" t="e">
        <f ca="1"/>
        <v>#REF!</v>
      </c>
    </row>
    <row r="23" spans="1:48" x14ac:dyDescent="0.25">
      <c r="A23" t="str">
        <v>thinness 5-9 years</v>
      </c>
      <c r="B23" s="16" t="s">
        <v>929</v>
      </c>
      <c r="C23" s="16" t="b">
        <v>1</v>
      </c>
      <c r="D23" s="16" t="s">
        <v>897</v>
      </c>
      <c r="E23" s="16"/>
      <c r="F23" s="16"/>
      <c r="G23" s="16" t="s">
        <v>898</v>
      </c>
      <c r="H23" s="16"/>
      <c r="I23" s="16"/>
      <c r="J23" t="str">
        <f>IF(SpecTable[[#This Row],[Sequence]]&lt;&gt;TRUE,"",IF(N(SpecTable[[#This Row],[Sequence Period]])&lt;&gt;0,SpecTable[[#This Row],[Sequence Period]],IFERROR(Base_Period_Delta_Candidate(),"")))</f>
        <v/>
      </c>
      <c r="K23" t="str" cm="1">
        <f t="array" ref="K23">IF(OR(SpecTable[[#This Row],[Role]]&lt;&gt;"Predictor (x)",SpecTable[[#This Row],[Type]]&lt;&gt;"Categorical"),"",_xlfn.LET(_xlpm.col,INDEX(Source_Data,0,ROW()-3),_xlpm.x,IF(_xlfn.SINGLE(_xlpm.col)="","",_xlpm.col),IFERROR(ROWS(_xlfn.UNIQUE(_xlfn._xlws.FILTER(_xlpm.x,(_xlpm.x&lt;&gt;"")*Sample_Include()))),0)))</f>
        <v/>
      </c>
      <c r="L2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23" t="str">
        <f ca="1"/>
        <v>Country: Cabo Verde</v>
      </c>
      <c r="Q23" s="14">
        <f ca="1"/>
        <v>3.3660802882830645E-2</v>
      </c>
      <c r="R23" s="14">
        <f ca="1"/>
        <v>1.9626897073636022E-2</v>
      </c>
      <c r="S23" s="14">
        <f ca="1"/>
        <v>11.139110863412364</v>
      </c>
      <c r="T23" s="14">
        <f ca="1"/>
        <v>122.22803450341033</v>
      </c>
      <c r="U23" s="14" t="e">
        <f ca="1"/>
        <v>#REF!</v>
      </c>
      <c r="V23" s="14" t="e">
        <f ca="1"/>
        <v>#REF!</v>
      </c>
      <c r="X23" t="str">
        <f ca="1"/>
        <v>Country: Algeria</v>
      </c>
      <c r="Y23" s="7"/>
      <c r="Z23" s="7"/>
      <c r="AA23" s="7"/>
      <c r="AB23" s="20"/>
      <c r="AC23" s="7"/>
      <c r="AD23" s="7"/>
      <c r="AE23" s="7" t="e">
        <f ca="1"/>
        <v>#REF!</v>
      </c>
      <c r="AG23" t="str">
        <f ca="1"/>
        <v>Country: Belgium</v>
      </c>
      <c r="AH23" s="17" cm="1">
        <f t="array" aca="1" ref="AH23" ca="1">IF(ROW()-12&lt;=IFERROR(ROWS(_xlfn.ANCHORARRAY($AI$13)),0),INDEX(_xlfn.ANCHORARRAY($AI$13),ROW()-12),"")</f>
        <v>9.0964220739842335E-3</v>
      </c>
      <c r="AI23" s="7">
        <f ca="1"/>
        <v>9.0964220739842335E-3</v>
      </c>
      <c r="AK23" t="str">
        <f ca="1"/>
        <v>Obs. 21</v>
      </c>
      <c r="AL23" s="7">
        <f ca="1"/>
        <v>76.599999999999994</v>
      </c>
      <c r="AN23" s="7" t="e">
        <f ca="1"/>
        <v>#REF!</v>
      </c>
      <c r="AO23" s="7" t="e">
        <f ca="1"/>
        <v>#REF!</v>
      </c>
      <c r="AP23" s="7">
        <f ca="1"/>
        <v>-0.60226906055657625</v>
      </c>
      <c r="AQ23" s="7" t="e">
        <f ca="1"/>
        <v>#REF!</v>
      </c>
      <c r="AR23" s="7" t="e">
        <f ca="1"/>
        <v>#REF!</v>
      </c>
      <c r="AS23" s="7">
        <f ca="1"/>
        <v>-2.2435160869312201</v>
      </c>
      <c r="AT23" s="7" t="e">
        <f ca="1"/>
        <v>#REF!</v>
      </c>
      <c r="AU23" s="7" t="e">
        <f ca="1"/>
        <v>#REF!</v>
      </c>
      <c r="AV23" s="7" t="e">
        <f ca="1"/>
        <v>#REF!</v>
      </c>
    </row>
    <row r="24" spans="1:48" x14ac:dyDescent="0.25">
      <c r="A24" t="str">
        <v>Income composition of resources</v>
      </c>
      <c r="B24" s="16" t="s">
        <v>929</v>
      </c>
      <c r="C24" s="16" t="b">
        <v>1</v>
      </c>
      <c r="D24" s="16" t="s">
        <v>897</v>
      </c>
      <c r="E24" s="16"/>
      <c r="F24" s="16"/>
      <c r="G24" s="16" t="s">
        <v>898</v>
      </c>
      <c r="H24" s="16"/>
      <c r="I24" s="16"/>
      <c r="J24" t="str">
        <f>IF(SpecTable[[#This Row],[Sequence]]&lt;&gt;TRUE,"",IF(N(SpecTable[[#This Row],[Sequence Period]])&lt;&gt;0,SpecTable[[#This Row],[Sequence Period]],IFERROR(Base_Period_Delta_Candidate(),"")))</f>
        <v/>
      </c>
      <c r="K24" t="str" cm="1">
        <f t="array" ref="K24">IF(OR(SpecTable[[#This Row],[Role]]&lt;&gt;"Predictor (x)",SpecTable[[#This Row],[Type]]&lt;&gt;"Categorical"),"",_xlfn.LET(_xlpm.col,INDEX(Source_Data,0,ROW()-3),_xlpm.x,IF(_xlfn.SINGLE(_xlpm.col)="","",_xlpm.col),IFERROR(ROWS(_xlfn.UNIQUE(_xlfn._xlws.FILTER(_xlpm.x,(_xlpm.x&lt;&gt;"")*Sample_Include()))),0)))</f>
        <v/>
      </c>
      <c r="L2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24" t="str">
        <f ca="1"/>
        <v>Country: Cambodia</v>
      </c>
      <c r="Q24" s="14">
        <f ca="1"/>
        <v>-2.4167449732901462E-2</v>
      </c>
      <c r="R24" s="14">
        <f ca="1"/>
        <v>-4.5744938385154366E-2</v>
      </c>
      <c r="S24" s="14">
        <f ca="1"/>
        <v>13.437117493474544</v>
      </c>
      <c r="T24" s="14">
        <f ca="1"/>
        <v>178.77295111692564</v>
      </c>
      <c r="U24" s="14" t="e">
        <f ca="1"/>
        <v>#REF!</v>
      </c>
      <c r="V24" s="14" t="e">
        <f ca="1"/>
        <v>#REF!</v>
      </c>
      <c r="X24" t="str">
        <f ca="1"/>
        <v>Country: Angola</v>
      </c>
      <c r="Y24" s="7"/>
      <c r="Z24" s="7"/>
      <c r="AA24" s="7"/>
      <c r="AB24" s="20"/>
      <c r="AC24" s="7"/>
      <c r="AD24" s="7"/>
      <c r="AE24" s="7" t="e">
        <f ca="1"/>
        <v>#REF!</v>
      </c>
      <c r="AG24" t="str">
        <f ca="1"/>
        <v>Country: Belize</v>
      </c>
      <c r="AH24" s="17" cm="1">
        <f t="array" aca="1" ref="AH24" ca="1">IF(ROW()-12&lt;=IFERROR(ROWS(_xlfn.ANCHORARRAY($AI$13)),0),INDEX(_xlfn.ANCHORARRAY($AI$13),ROW()-12),"")</f>
        <v>9.0964220739842335E-3</v>
      </c>
      <c r="AI24" s="7">
        <f ca="1"/>
        <v>9.0964220739842335E-3</v>
      </c>
      <c r="AK24" t="str">
        <f ca="1"/>
        <v>Obs. 22</v>
      </c>
      <c r="AL24" s="7">
        <f ca="1"/>
        <v>76.2</v>
      </c>
      <c r="AN24" s="7" t="e">
        <f ca="1"/>
        <v>#REF!</v>
      </c>
      <c r="AO24" s="7" t="e">
        <f ca="1"/>
        <v>#REF!</v>
      </c>
      <c r="AP24" s="7">
        <f ca="1"/>
        <v>-0.60354438372245311</v>
      </c>
      <c r="AQ24" s="7" t="e">
        <f ca="1"/>
        <v>#REF!</v>
      </c>
      <c r="AR24" s="7" t="e">
        <f ca="1"/>
        <v>#REF!</v>
      </c>
      <c r="AS24" s="7">
        <f ca="1"/>
        <v>-2.2435160869312201</v>
      </c>
      <c r="AT24" s="7" t="e">
        <f ca="1"/>
        <v>#REF!</v>
      </c>
      <c r="AU24" s="7" t="e">
        <f ca="1"/>
        <v>#REF!</v>
      </c>
      <c r="AV24" s="7" t="e">
        <f ca="1"/>
        <v>#REF!</v>
      </c>
    </row>
    <row r="25" spans="1:48" x14ac:dyDescent="0.25">
      <c r="A25" t="str">
        <v>Schooling</v>
      </c>
      <c r="B25" s="16" t="s">
        <v>929</v>
      </c>
      <c r="C25" s="16" t="b">
        <v>1</v>
      </c>
      <c r="D25" s="16" t="s">
        <v>897</v>
      </c>
      <c r="E25" s="16"/>
      <c r="F25" s="16"/>
      <c r="G25" s="16" t="s">
        <v>898</v>
      </c>
      <c r="H25" s="16"/>
      <c r="I25" s="16"/>
      <c r="J25" t="str">
        <f>IF(SpecTable[[#This Row],[Sequence]]&lt;&gt;TRUE,"",IF(N(SpecTable[[#This Row],[Sequence Period]])&lt;&gt;0,SpecTable[[#This Row],[Sequence Period]],IFERROR(Base_Period_Delta_Candidate(),"")))</f>
        <v/>
      </c>
      <c r="K25" t="str" cm="1">
        <f t="array" ref="K25">IF(OR(SpecTable[[#This Row],[Role]]&lt;&gt;"Predictor (x)",SpecTable[[#This Row],[Type]]&lt;&gt;"Categorical"),"",_xlfn.LET(_xlpm.col,INDEX(Source_Data,0,ROW()-3),_xlpm.x,IF(_xlfn.SINGLE(_xlpm.col)="","",_xlpm.col),IFERROR(ROWS(_xlfn.UNIQUE(_xlfn._xlws.FILTER(_xlpm.x,(_xlpm.x&lt;&gt;"")*Sample_Include()))),0)))</f>
        <v/>
      </c>
      <c r="L2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25" t="str">
        <f ca="1"/>
        <v>Country: Cameroon</v>
      </c>
      <c r="Q25" s="14">
        <f ca="1"/>
        <v>-0.12827804695378922</v>
      </c>
      <c r="R25" s="14">
        <f ca="1"/>
        <v>-0.11383923776952877</v>
      </c>
      <c r="S25" s="14">
        <f ca="1"/>
        <v>12.735820805331864</v>
      </c>
      <c r="T25" s="14">
        <f ca="1"/>
        <v>160.39566714841823</v>
      </c>
      <c r="U25" s="14" t="e">
        <f ca="1"/>
        <v>#REF!</v>
      </c>
      <c r="V25" s="14" t="e">
        <f ca="1"/>
        <v>#REF!</v>
      </c>
      <c r="X25" t="str">
        <f ca="1"/>
        <v>Country: Argentina</v>
      </c>
      <c r="Y25" s="7"/>
      <c r="Z25" s="7"/>
      <c r="AA25" s="7"/>
      <c r="AB25" s="20"/>
      <c r="AC25" s="7"/>
      <c r="AD25" s="7"/>
      <c r="AE25" s="7" t="e">
        <f ca="1"/>
        <v>#REF!</v>
      </c>
      <c r="AG25" t="str">
        <f ca="1"/>
        <v>Country: Benin</v>
      </c>
      <c r="AH25" s="17" cm="1">
        <f t="array" aca="1" ref="AH25" ca="1">IF(ROW()-12&lt;=IFERROR(ROWS(_xlfn.ANCHORARRAY($AI$13)),0),INDEX(_xlfn.ANCHORARRAY($AI$13),ROW()-12),"")</f>
        <v>7.8835657974530016E-3</v>
      </c>
      <c r="AI25" s="7">
        <f ca="1"/>
        <v>7.8835657974530016E-3</v>
      </c>
      <c r="AK25" t="str">
        <f ca="1"/>
        <v>Obs. 23</v>
      </c>
      <c r="AL25" s="7">
        <f ca="1"/>
        <v>76.099999999999994</v>
      </c>
      <c r="AN25" s="7" t="e">
        <f ca="1"/>
        <v>#REF!</v>
      </c>
      <c r="AO25" s="7" t="e">
        <f ca="1"/>
        <v>#REF!</v>
      </c>
      <c r="AP25" s="7">
        <f ca="1"/>
        <v>-0.60368683960514824</v>
      </c>
      <c r="AQ25" s="7" t="e">
        <f ca="1"/>
        <v>#REF!</v>
      </c>
      <c r="AR25" s="7" t="e">
        <f ca="1"/>
        <v>#REF!</v>
      </c>
      <c r="AS25" s="7">
        <f ca="1"/>
        <v>-2.2073550198913567</v>
      </c>
      <c r="AT25" s="7" t="e">
        <f ca="1"/>
        <v>#REF!</v>
      </c>
      <c r="AU25" s="7" t="e">
        <f ca="1"/>
        <v>#REF!</v>
      </c>
      <c r="AV25" s="7" t="e">
        <f ca="1"/>
        <v>#REF!</v>
      </c>
    </row>
    <row r="26" spans="1:48" x14ac:dyDescent="0.25">
      <c r="A26" t="str">
        <v>Full_Data</v>
      </c>
      <c r="B26" s="16" t="s">
        <v>1026</v>
      </c>
      <c r="C26" s="16" t="b">
        <v>1</v>
      </c>
      <c r="D26" s="16" t="s">
        <v>897</v>
      </c>
      <c r="E26" s="16"/>
      <c r="F26" s="16"/>
      <c r="G26" s="16" t="s">
        <v>898</v>
      </c>
      <c r="H26" s="16"/>
      <c r="I26" s="16"/>
      <c r="J26" t="str">
        <f>IF(SpecTable[[#This Row],[Sequence]]&lt;&gt;TRUE,"",IF(N(SpecTable[[#This Row],[Sequence Period]])&lt;&gt;0,SpecTable[[#This Row],[Sequence Period]],IFERROR(Base_Period_Delta_Candidate(),"")))</f>
        <v/>
      </c>
      <c r="K26" t="str" cm="1">
        <f t="array" ref="K26">IF(OR(SpecTable[[#This Row],[Role]]&lt;&gt;"Predictor (x)",SpecTable[[#This Row],[Type]]&lt;&gt;"Categorical"),"",_xlfn.LET(_xlpm.col,INDEX(Source_Data,0,ROW()-3),_xlpm.x,IF(_xlfn.SINGLE(_xlpm.col)="","",_xlpm.col),IFERROR(ROWS(_xlfn.UNIQUE(_xlfn._xlws.FILTER(_xlpm.x,(_xlpm.x&lt;&gt;"")*Sample_Include()))),0)))</f>
        <v/>
      </c>
      <c r="L2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26" t="str">
        <f ca="1"/>
        <v>Country: Canada</v>
      </c>
      <c r="Q26" s="14">
        <f ca="1"/>
        <v>0.12589389973061421</v>
      </c>
      <c r="R26" s="14">
        <f ca="1"/>
        <v>0.13395386689160385</v>
      </c>
      <c r="S26" s="14">
        <f ca="1"/>
        <v>11.604695115063874</v>
      </c>
      <c r="T26" s="14">
        <f ca="1"/>
        <v>132.83005112143837</v>
      </c>
      <c r="U26" s="14" t="e">
        <f ca="1"/>
        <v>#REF!</v>
      </c>
      <c r="V26" s="14" t="e">
        <f ca="1"/>
        <v>#REF!</v>
      </c>
      <c r="X26" t="str">
        <f ca="1"/>
        <v>Country: Armenia</v>
      </c>
      <c r="Y26" s="7"/>
      <c r="Z26" s="7"/>
      <c r="AA26" s="7"/>
      <c r="AB26" s="20"/>
      <c r="AC26" s="7"/>
      <c r="AD26" s="7"/>
      <c r="AE26" s="7" t="e">
        <f ca="1"/>
        <v>#REF!</v>
      </c>
      <c r="AG26" t="str">
        <f ca="1"/>
        <v>Country: Bhutan</v>
      </c>
      <c r="AH26" s="17" cm="1">
        <f t="array" aca="1" ref="AH26" ca="1">IF(ROW()-12&lt;=IFERROR(ROWS(_xlfn.ANCHORARRAY($AI$13)),0),INDEX(_xlfn.ANCHORARRAY($AI$13),ROW()-12),"")</f>
        <v>9.0964220739842335E-3</v>
      </c>
      <c r="AI26" s="7">
        <f ca="1"/>
        <v>9.0964220739842335E-3</v>
      </c>
      <c r="AK26" t="str">
        <f ca="1"/>
        <v>Obs. 24</v>
      </c>
      <c r="AL26" s="7">
        <f ca="1"/>
        <v>75.3</v>
      </c>
      <c r="AN26" s="7" t="e">
        <f ca="1"/>
        <v>#REF!</v>
      </c>
      <c r="AO26" s="7" t="e">
        <f ca="1"/>
        <v>#REF!</v>
      </c>
      <c r="AP26" s="7">
        <f ca="1"/>
        <v>-0.60390769580931913</v>
      </c>
      <c r="AQ26" s="7" t="e">
        <f ca="1"/>
        <v>#REF!</v>
      </c>
      <c r="AR26" s="7" t="e">
        <f ca="1"/>
        <v>#REF!</v>
      </c>
      <c r="AS26" s="7">
        <f ca="1"/>
        <v>-2.2073550198913567</v>
      </c>
      <c r="AT26" s="7" t="e">
        <f ca="1"/>
        <v>#REF!</v>
      </c>
      <c r="AU26" s="7" t="e">
        <f ca="1"/>
        <v>#REF!</v>
      </c>
      <c r="AV26" s="7" t="e">
        <f ca="1"/>
        <v>#REF!</v>
      </c>
    </row>
    <row r="27" spans="1:48" x14ac:dyDescent="0.25">
      <c r="A27" t="str">
        <v>Column1</v>
      </c>
      <c r="B27" t="s">
        <v>929</v>
      </c>
      <c r="C27" t="b">
        <v>1</v>
      </c>
      <c r="D27" t="s">
        <v>897</v>
      </c>
      <c r="J27" s="42" t="str">
        <f>IF(SpecTable[[#This Row],[Sequence]]&lt;&gt;TRUE,"",IF(N(SpecTable[[#This Row],[Sequence Period]])&lt;&gt;0,SpecTable[[#This Row],[Sequence Period]],IFERROR(Base_Period_Delta_Candidate(),"")))</f>
        <v/>
      </c>
      <c r="K27" s="42" t="str" cm="1">
        <f t="array" ref="K27">IF(OR(SpecTable[[#This Row],[Role]]&lt;&gt;"Predictor (x)",SpecTable[[#This Row],[Type]]&lt;&gt;"Categorical"),"",_xlfn.LET(_xlpm.col,INDEX(Source_Data,0,ROW()-3),_xlpm.x,IF(_xlfn.SINGLE(_xlpm.col)="","",_xlpm.col),IFERROR(ROWS(_xlfn.UNIQUE(_xlfn._xlws.FILTER(_xlpm.x,(_xlpm.x&lt;&gt;"")*Sample_Include()))),0)))</f>
        <v/>
      </c>
      <c r="L27" s="4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27" t="str">
        <f ca="1"/>
        <v>Country: Central African Republic</v>
      </c>
      <c r="Q27" s="14">
        <f ca="1"/>
        <v>-0.1229041633910626</v>
      </c>
      <c r="R27" s="14">
        <f ca="1"/>
        <v>-9.4028195843173915E-2</v>
      </c>
      <c r="S27" s="14">
        <f ca="1"/>
        <v>16.50249480987603</v>
      </c>
      <c r="T27" s="14">
        <f ca="1"/>
        <v>270.66060613460115</v>
      </c>
      <c r="U27" s="14" t="e">
        <f ca="1"/>
        <v>#REF!</v>
      </c>
      <c r="V27" s="14" t="e">
        <f ca="1"/>
        <v>#REF!</v>
      </c>
      <c r="X27" t="str">
        <f ca="1"/>
        <v>Country: Australia</v>
      </c>
      <c r="Y27" s="7"/>
      <c r="Z27" s="7"/>
      <c r="AA27" s="7"/>
      <c r="AB27" s="20"/>
      <c r="AC27" s="7"/>
      <c r="AD27" s="7"/>
      <c r="AE27" s="7" t="e">
        <f ca="1"/>
        <v>#REF!</v>
      </c>
      <c r="AG27" t="str">
        <f ca="1"/>
        <v>Country: Bosnia and Herzegovina</v>
      </c>
      <c r="AH27" s="17" cm="1">
        <f t="array" aca="1" ref="AH27" ca="1">IF(ROW()-12&lt;=IFERROR(ROWS(_xlfn.ANCHORARRAY($AI$13)),0),INDEX(_xlfn.ANCHORARRAY($AI$13),ROW()-12),"")</f>
        <v>6.6707095209217705E-3</v>
      </c>
      <c r="AI27" s="7">
        <f ca="1"/>
        <v>6.6707095209217705E-3</v>
      </c>
      <c r="AK27" t="str">
        <f ca="1"/>
        <v>Obs. 25</v>
      </c>
      <c r="AL27" s="7">
        <f ca="1"/>
        <v>75.900000000000006</v>
      </c>
      <c r="AN27" s="7" t="e">
        <f ca="1"/>
        <v>#REF!</v>
      </c>
      <c r="AO27" s="7" t="e">
        <f ca="1"/>
        <v>#REF!</v>
      </c>
      <c r="AP27" s="7">
        <f ca="1"/>
        <v>-0.60364353834876139</v>
      </c>
      <c r="AQ27" s="7" t="e">
        <f ca="1"/>
        <v>#REF!</v>
      </c>
      <c r="AR27" s="7" t="e">
        <f ca="1"/>
        <v>#REF!</v>
      </c>
      <c r="AS27" s="7">
        <f ca="1"/>
        <v>-2.1738689464820578</v>
      </c>
      <c r="AT27" s="7" t="e">
        <f ca="1"/>
        <v>#REF!</v>
      </c>
      <c r="AU27" s="7" t="e">
        <f ca="1"/>
        <v>#REF!</v>
      </c>
      <c r="AV27" s="7" t="e">
        <f ca="1"/>
        <v>#REF!</v>
      </c>
    </row>
    <row r="28" spans="1:48" x14ac:dyDescent="0.25">
      <c r="P28" t="str">
        <f ca="1"/>
        <v>Country: Chad</v>
      </c>
      <c r="Q28" s="14">
        <f ca="1"/>
        <v>-0.12633983430840792</v>
      </c>
      <c r="R28" s="14">
        <f ca="1"/>
        <v>-0.10111943767500783</v>
      </c>
      <c r="S28" s="14">
        <f ca="1"/>
        <v>15.264321088155485</v>
      </c>
      <c r="T28" s="14">
        <f ca="1"/>
        <v>231.28000642430962</v>
      </c>
      <c r="U28" s="14" t="e">
        <f ca="1"/>
        <v>#REF!</v>
      </c>
      <c r="V28" s="14" t="e">
        <f ca="1"/>
        <v>#REF!</v>
      </c>
      <c r="X28" t="str">
        <f ca="1"/>
        <v>Country: Austria</v>
      </c>
      <c r="Y28" s="7"/>
      <c r="Z28" s="7"/>
      <c r="AA28" s="7"/>
      <c r="AB28" s="20"/>
      <c r="AC28" s="7"/>
      <c r="AD28" s="7"/>
      <c r="AE28" s="7" t="e">
        <f ca="1"/>
        <v>#REF!</v>
      </c>
      <c r="AG28" t="str">
        <f ca="1"/>
        <v>Country: Botswana</v>
      </c>
      <c r="AH28" s="17" cm="1">
        <f t="array" aca="1" ref="AH28" ca="1">IF(ROW()-12&lt;=IFERROR(ROWS(_xlfn.ANCHORARRAY($AI$13)),0),INDEX(_xlfn.ANCHORARRAY($AI$13),ROW()-12),"")</f>
        <v>9.0964220739842335E-3</v>
      </c>
      <c r="AI28" s="7">
        <f ca="1"/>
        <v>9.0964220739842335E-3</v>
      </c>
      <c r="AK28" t="str">
        <f ca="1"/>
        <v>Obs. 26</v>
      </c>
      <c r="AL28" s="7">
        <f ca="1"/>
        <v>74.2</v>
      </c>
      <c r="AN28" s="7" t="e">
        <f ca="1"/>
        <v>#REF!</v>
      </c>
      <c r="AO28" s="7" t="e">
        <f ca="1"/>
        <v>#REF!</v>
      </c>
      <c r="AP28" s="7">
        <f ca="1"/>
        <v>-0.5956941762126472</v>
      </c>
      <c r="AQ28" s="7" t="e">
        <f ca="1"/>
        <v>#REF!</v>
      </c>
      <c r="AR28" s="7" t="e">
        <f ca="1"/>
        <v>#REF!</v>
      </c>
      <c r="AS28" s="7">
        <f ca="1"/>
        <v>-2.1579999581558846</v>
      </c>
      <c r="AT28" s="7" t="e">
        <f ca="1"/>
        <v>#REF!</v>
      </c>
      <c r="AU28" s="7" t="e">
        <f ca="1"/>
        <v>#REF!</v>
      </c>
      <c r="AV28" s="7" t="e">
        <f ca="1"/>
        <v>#REF!</v>
      </c>
    </row>
    <row r="29" spans="1:48" x14ac:dyDescent="0.25">
      <c r="P29" t="str">
        <f ca="1"/>
        <v>Country: Chile</v>
      </c>
      <c r="Q29" s="14">
        <f ca="1"/>
        <v>8.9646558133099394E-2</v>
      </c>
      <c r="R29" s="14">
        <f ca="1"/>
        <v>0.10588513710130136</v>
      </c>
      <c r="S29" s="14">
        <f ca="1"/>
        <v>13.437117493474453</v>
      </c>
      <c r="T29" s="14">
        <f ca="1"/>
        <v>178.77295111692365</v>
      </c>
      <c r="U29" s="14" t="e">
        <f ca="1"/>
        <v>#REF!</v>
      </c>
      <c r="V29" s="14" t="e">
        <f ca="1"/>
        <v>#REF!</v>
      </c>
      <c r="X29" t="str">
        <f ca="1"/>
        <v>Country: Azerbaijan</v>
      </c>
      <c r="Y29" s="7"/>
      <c r="Z29" s="7"/>
      <c r="AA29" s="7"/>
      <c r="AB29" s="20"/>
      <c r="AC29" s="7"/>
      <c r="AD29" s="7"/>
      <c r="AE29" s="7" t="e">
        <f ca="1"/>
        <v>#REF!</v>
      </c>
      <c r="AG29" t="str">
        <f ca="1"/>
        <v>Country: Brazil</v>
      </c>
      <c r="AH29" s="17" cm="1">
        <f t="array" aca="1" ref="AH29" ca="1">IF(ROW()-12&lt;=IFERROR(ROWS(_xlfn.ANCHORARRAY($AI$13)),0),INDEX(_xlfn.ANCHORARRAY($AI$13),ROW()-12),"")</f>
        <v>9.0964220739842335E-3</v>
      </c>
      <c r="AI29" s="7">
        <f ca="1"/>
        <v>9.0964220739842335E-3</v>
      </c>
      <c r="AK29" t="str">
        <f ca="1"/>
        <v>Obs. 27</v>
      </c>
      <c r="AL29" s="7">
        <f ca="1"/>
        <v>73.5</v>
      </c>
      <c r="AN29" s="7" t="e">
        <f ca="1"/>
        <v>#REF!</v>
      </c>
      <c r="AO29" s="7" t="e">
        <f ca="1"/>
        <v>#REF!</v>
      </c>
      <c r="AP29" s="7">
        <f ca="1"/>
        <v>-0.60173457965234511</v>
      </c>
      <c r="AQ29" s="7" t="e">
        <f ca="1"/>
        <v>#REF!</v>
      </c>
      <c r="AR29" s="7" t="e">
        <f ca="1"/>
        <v>#REF!</v>
      </c>
      <c r="AS29" s="7">
        <f ca="1"/>
        <v>-2.1426564926871321</v>
      </c>
      <c r="AT29" s="7" t="e">
        <f ca="1"/>
        <v>#REF!</v>
      </c>
      <c r="AU29" s="7" t="e">
        <f ca="1"/>
        <v>#REF!</v>
      </c>
      <c r="AV29" s="7" t="e">
        <f ca="1"/>
        <v>#REF!</v>
      </c>
    </row>
    <row r="30" spans="1:48" x14ac:dyDescent="0.25">
      <c r="P30" t="str">
        <f ca="1"/>
        <v>Country: China</v>
      </c>
      <c r="Q30" s="14">
        <f ca="1"/>
        <v>5.2706412873740317E-2</v>
      </c>
      <c r="R30" s="14">
        <f ca="1"/>
        <v>6.1450421702918104E-2</v>
      </c>
      <c r="S30" s="14">
        <f ca="1"/>
        <v>10.350719164118965</v>
      </c>
      <c r="T30" s="14">
        <f ca="1"/>
        <v>105.2650572218441</v>
      </c>
      <c r="U30" s="14" t="e">
        <f ca="1"/>
        <v>#REF!</v>
      </c>
      <c r="V30" s="14" t="e">
        <f ca="1"/>
        <v>#REF!</v>
      </c>
      <c r="X30" t="str">
        <f ca="1"/>
        <v>Country: Bangladesh</v>
      </c>
      <c r="Y30" s="7"/>
      <c r="Z30" s="7"/>
      <c r="AA30" s="7"/>
      <c r="AB30" s="20"/>
      <c r="AC30" s="7"/>
      <c r="AD30" s="7"/>
      <c r="AE30" s="7" t="e">
        <f ca="1"/>
        <v>#REF!</v>
      </c>
      <c r="AG30" t="str">
        <f ca="1"/>
        <v>Country: Bulgaria</v>
      </c>
      <c r="AH30" s="17" cm="1">
        <f t="array" aca="1" ref="AH30" ca="1">IF(ROW()-12&lt;=IFERROR(ROWS(_xlfn.ANCHORARRAY($AI$13)),0),INDEX(_xlfn.ANCHORARRAY($AI$13),ROW()-12),"")</f>
        <v>9.0964220739842335E-3</v>
      </c>
      <c r="AI30" s="7">
        <f ca="1"/>
        <v>9.0964220739842335E-3</v>
      </c>
      <c r="AK30" t="str">
        <f ca="1"/>
        <v>Obs. 28</v>
      </c>
      <c r="AL30" s="7">
        <f ca="1"/>
        <v>73</v>
      </c>
      <c r="AN30" s="7" t="e">
        <f ca="1"/>
        <v>#REF!</v>
      </c>
      <c r="AO30" s="7" t="e">
        <f ca="1"/>
        <v>#REF!</v>
      </c>
      <c r="AP30" s="7">
        <f ca="1"/>
        <v>-0.6022660250924835</v>
      </c>
      <c r="AQ30" s="7" t="e">
        <f ca="1"/>
        <v>#REF!</v>
      </c>
      <c r="AR30" s="7" t="e">
        <f ca="1"/>
        <v>#REF!</v>
      </c>
      <c r="AS30" s="7">
        <f ca="1"/>
        <v>-2.1426564926871321</v>
      </c>
      <c r="AT30" s="7" t="e">
        <f ca="1"/>
        <v>#REF!</v>
      </c>
      <c r="AU30" s="7" t="e">
        <f ca="1"/>
        <v>#REF!</v>
      </c>
      <c r="AV30" s="7" t="e">
        <f ca="1"/>
        <v>#REF!</v>
      </c>
    </row>
    <row r="31" spans="1:48" x14ac:dyDescent="0.25">
      <c r="P31" t="str">
        <f ca="1"/>
        <v>Country: Colombia</v>
      </c>
      <c r="Q31" s="14">
        <f ca="1"/>
        <v>4.2319901462681844E-2</v>
      </c>
      <c r="R31" s="14">
        <f ca="1"/>
        <v>3.8712625092896323E-2</v>
      </c>
      <c r="S31" s="14">
        <f ca="1"/>
        <v>10.350719164118965</v>
      </c>
      <c r="T31" s="14">
        <f ca="1"/>
        <v>105.26505722184432</v>
      </c>
      <c r="U31" s="14" t="e">
        <f ca="1"/>
        <v>#REF!</v>
      </c>
      <c r="V31" s="14" t="e">
        <f ca="1"/>
        <v>#REF!</v>
      </c>
      <c r="X31" t="str">
        <f ca="1"/>
        <v>Country: Belarus</v>
      </c>
      <c r="Y31" s="7"/>
      <c r="Z31" s="7"/>
      <c r="AA31" s="7"/>
      <c r="AB31" s="20"/>
      <c r="AC31" s="7"/>
      <c r="AD31" s="7"/>
      <c r="AE31" s="7" t="e">
        <f ca="1"/>
        <v>#REF!</v>
      </c>
      <c r="AG31" t="str">
        <f ca="1"/>
        <v>Country: Burkina Faso</v>
      </c>
      <c r="AH31" s="17" cm="1">
        <f t="array" aca="1" ref="AH31" ca="1">IF(ROW()-12&lt;=IFERROR(ROWS(_xlfn.ANCHORARRAY($AI$13)),0),INDEX(_xlfn.ANCHORARRAY($AI$13),ROW()-12),"")</f>
        <v>5.4578532443905394E-3</v>
      </c>
      <c r="AI31" s="7">
        <f ca="1"/>
        <v>5.4578532443905394E-3</v>
      </c>
      <c r="AK31" t="str">
        <f ca="1"/>
        <v>Obs. 29</v>
      </c>
      <c r="AL31" s="7">
        <f ca="1"/>
        <v>72.8</v>
      </c>
      <c r="AN31" s="7" t="e">
        <f ca="1"/>
        <v>#REF!</v>
      </c>
      <c r="AO31" s="7" t="e">
        <f ca="1"/>
        <v>#REF!</v>
      </c>
      <c r="AP31" s="7">
        <f ca="1"/>
        <v>-0.60160699226461889</v>
      </c>
      <c r="AQ31" s="7" t="e">
        <f ca="1"/>
        <v>#REF!</v>
      </c>
      <c r="AR31" s="7" t="e">
        <f ca="1"/>
        <v>#REF!</v>
      </c>
      <c r="AS31" s="7">
        <f ca="1"/>
        <v>-2.1426564926871321</v>
      </c>
      <c r="AT31" s="7" t="e">
        <f ca="1"/>
        <v>#REF!</v>
      </c>
      <c r="AU31" s="7" t="e">
        <f ca="1"/>
        <v>#REF!</v>
      </c>
      <c r="AV31" s="7" t="e">
        <f ca="1"/>
        <v>#REF!</v>
      </c>
    </row>
    <row r="32" spans="1:48" x14ac:dyDescent="0.25">
      <c r="P32" t="str">
        <f ca="1"/>
        <v>Country: Comoros</v>
      </c>
      <c r="Q32" s="14">
        <f ca="1"/>
        <v>-7.1661690562321079E-2</v>
      </c>
      <c r="R32" s="14">
        <f ca="1"/>
        <v>-8.8066011516349824E-2</v>
      </c>
      <c r="S32" s="14">
        <f ca="1"/>
        <v>11.604695115063834</v>
      </c>
      <c r="T32" s="14">
        <f ca="1"/>
        <v>132.83005112143815</v>
      </c>
      <c r="U32" s="14" t="e">
        <f ca="1"/>
        <v>#REF!</v>
      </c>
      <c r="V32" s="14" t="e">
        <f ca="1"/>
        <v>#REF!</v>
      </c>
      <c r="X32" t="str">
        <f ca="1"/>
        <v>Country: Belgium</v>
      </c>
      <c r="Y32" s="7"/>
      <c r="Z32" s="7"/>
      <c r="AA32" s="7"/>
      <c r="AB32" s="20"/>
      <c r="AC32" s="7"/>
      <c r="AD32" s="7"/>
      <c r="AE32" s="7" t="e">
        <f ca="1"/>
        <v>#REF!</v>
      </c>
      <c r="AG32" t="str">
        <f ca="1"/>
        <v>Country: Burundi</v>
      </c>
      <c r="AH32" s="17" cm="1">
        <f t="array" aca="1" ref="AH32" ca="1">IF(ROW()-12&lt;=IFERROR(ROWS(_xlfn.ANCHORARRAY($AI$13)),0),INDEX(_xlfn.ANCHORARRAY($AI$13),ROW()-12),"")</f>
        <v>6.6707095209217705E-3</v>
      </c>
      <c r="AI32" s="7">
        <f ca="1"/>
        <v>6.6707095209217705E-3</v>
      </c>
      <c r="AK32" t="str">
        <f ca="1"/>
        <v>Obs. 30</v>
      </c>
      <c r="AL32" s="7">
        <f ca="1"/>
        <v>73.3</v>
      </c>
      <c r="AN32" s="7" t="e">
        <f ca="1"/>
        <v>#REF!</v>
      </c>
      <c r="AO32" s="7" t="e">
        <f ca="1"/>
        <v>#REF!</v>
      </c>
      <c r="AP32" s="7">
        <f ca="1"/>
        <v>-0.60106420388151138</v>
      </c>
      <c r="AQ32" s="7" t="e">
        <f ca="1"/>
        <v>#REF!</v>
      </c>
      <c r="AR32" s="7" t="e">
        <f ca="1"/>
        <v>#REF!</v>
      </c>
      <c r="AS32" s="7">
        <f ca="1"/>
        <v>-2.0994271873972417</v>
      </c>
      <c r="AT32" s="7" t="e">
        <f ca="1"/>
        <v>#REF!</v>
      </c>
      <c r="AU32" s="7" t="e">
        <f ca="1"/>
        <v>#REF!</v>
      </c>
      <c r="AV32" s="7" t="e">
        <f ca="1"/>
        <v>#REF!</v>
      </c>
    </row>
    <row r="33" spans="16:48" x14ac:dyDescent="0.25">
      <c r="P33" t="str">
        <f ca="1"/>
        <v>Country: Costa Rica</v>
      </c>
      <c r="Q33" s="14">
        <f ca="1"/>
        <v>0.10049889195399533</v>
      </c>
      <c r="R33" s="14">
        <f ca="1"/>
        <v>0.12436346944920733</v>
      </c>
      <c r="S33" s="14">
        <f ca="1"/>
        <v>10.350719164118983</v>
      </c>
      <c r="T33" s="14">
        <f ca="1"/>
        <v>105.26505722184481</v>
      </c>
      <c r="U33" s="14" t="e">
        <f ca="1"/>
        <v>#REF!</v>
      </c>
      <c r="V33" s="14" t="e">
        <f ca="1"/>
        <v>#REF!</v>
      </c>
      <c r="X33" t="str">
        <f ca="1"/>
        <v>Country: Belize</v>
      </c>
      <c r="Y33" s="7"/>
      <c r="Z33" s="7"/>
      <c r="AA33" s="7"/>
      <c r="AB33" s="20"/>
      <c r="AC33" s="7"/>
      <c r="AD33" s="7"/>
      <c r="AE33" s="7" t="e">
        <f ca="1"/>
        <v>#REF!</v>
      </c>
      <c r="AG33" t="str">
        <f ca="1"/>
        <v>Country: Cabo Verde</v>
      </c>
      <c r="AH33" s="17" cm="1">
        <f t="array" aca="1" ref="AH33" ca="1">IF(ROW()-12&lt;=IFERROR(ROWS(_xlfn.ANCHORARRAY($AI$13)),0),INDEX(_xlfn.ANCHORARRAY($AI$13),ROW()-12),"")</f>
        <v>7.8835657974530016E-3</v>
      </c>
      <c r="AI33" s="7">
        <f ca="1"/>
        <v>7.8835657974530016E-3</v>
      </c>
      <c r="AK33" t="str">
        <f ca="1"/>
        <v>Obs. 31</v>
      </c>
      <c r="AL33" s="7">
        <f ca="1"/>
        <v>73.599999999999994</v>
      </c>
      <c r="AN33" s="7" t="e">
        <f ca="1"/>
        <v>#REF!</v>
      </c>
      <c r="AO33" s="7" t="e">
        <f ca="1"/>
        <v>#REF!</v>
      </c>
      <c r="AP33" s="7">
        <f ca="1"/>
        <v>-0.60106800182733355</v>
      </c>
      <c r="AQ33" s="7" t="e">
        <f ca="1"/>
        <v>#REF!</v>
      </c>
      <c r="AR33" s="7" t="e">
        <f ca="1"/>
        <v>#REF!</v>
      </c>
      <c r="AS33" s="7">
        <f ca="1"/>
        <v>-2.0994271873972417</v>
      </c>
      <c r="AT33" s="7" t="e">
        <f ca="1"/>
        <v>#REF!</v>
      </c>
      <c r="AU33" s="7" t="e">
        <f ca="1"/>
        <v>#REF!</v>
      </c>
      <c r="AV33" s="7" t="e">
        <f ca="1"/>
        <v>#REF!</v>
      </c>
    </row>
    <row r="34" spans="16:48" x14ac:dyDescent="0.25">
      <c r="P34" t="str">
        <f ca="1"/>
        <v>Country: Croatia</v>
      </c>
      <c r="Q34" s="14">
        <f ca="1"/>
        <v>5.9429103074017268E-2</v>
      </c>
      <c r="R34" s="14">
        <f ca="1"/>
        <v>7.8840184403508359E-2</v>
      </c>
      <c r="S34" s="14">
        <f ca="1"/>
        <v>14.265343480469765</v>
      </c>
      <c r="T34" s="14">
        <f ca="1"/>
        <v>201.74471066252366</v>
      </c>
      <c r="U34" s="14" t="e">
        <f ca="1"/>
        <v>#REF!</v>
      </c>
      <c r="V34" s="14" t="e">
        <f ca="1"/>
        <v>#REF!</v>
      </c>
      <c r="X34" t="str">
        <f ca="1"/>
        <v>Country: Benin</v>
      </c>
      <c r="Y34" s="7"/>
      <c r="Z34" s="7"/>
      <c r="AA34" s="7"/>
      <c r="AB34" s="20"/>
      <c r="AC34" s="7"/>
      <c r="AD34" s="7"/>
      <c r="AE34" s="7" t="e">
        <f ca="1"/>
        <v>#REF!</v>
      </c>
      <c r="AG34" t="str">
        <f ca="1"/>
        <v>Country: Cambodia</v>
      </c>
      <c r="AH34" s="17" cm="1">
        <f t="array" aca="1" ref="AH34" ca="1">IF(ROW()-12&lt;=IFERROR(ROWS(_xlfn.ANCHORARRAY($AI$13)),0),INDEX(_xlfn.ANCHORARRAY($AI$13),ROW()-12),"")</f>
        <v>5.4578532443905394E-3</v>
      </c>
      <c r="AI34" s="7">
        <f ca="1"/>
        <v>5.4578532443905394E-3</v>
      </c>
      <c r="AK34" t="str">
        <f ca="1"/>
        <v>Obs. 32</v>
      </c>
      <c r="AL34" s="7">
        <f ca="1"/>
        <v>72.599999999999994</v>
      </c>
      <c r="AN34" s="7" t="e">
        <f ca="1"/>
        <v>#REF!</v>
      </c>
      <c r="AO34" s="7" t="e">
        <f ca="1"/>
        <v>#REF!</v>
      </c>
      <c r="AP34" s="7">
        <f ca="1"/>
        <v>-0.5998998864631927</v>
      </c>
      <c r="AQ34" s="7" t="e">
        <f ca="1"/>
        <v>#REF!</v>
      </c>
      <c r="AR34" s="7" t="e">
        <f ca="1"/>
        <v>#REF!</v>
      </c>
      <c r="AS34" s="7">
        <f ca="1"/>
        <v>-2.0994271873972417</v>
      </c>
      <c r="AT34" s="7" t="e">
        <f ca="1"/>
        <v>#REF!</v>
      </c>
      <c r="AU34" s="7" t="e">
        <f ca="1"/>
        <v>#REF!</v>
      </c>
      <c r="AV34" s="7" t="e">
        <f ca="1"/>
        <v>#REF!</v>
      </c>
    </row>
    <row r="35" spans="16:48" x14ac:dyDescent="0.25">
      <c r="P35" t="str">
        <f ca="1"/>
        <v>Country: Cyprus</v>
      </c>
      <c r="Q35" s="14">
        <f ca="1"/>
        <v>0.1091422126387223</v>
      </c>
      <c r="R35" s="14">
        <f ca="1"/>
        <v>0.13121365839545468</v>
      </c>
      <c r="S35" s="14">
        <f ca="1"/>
        <v>10.350719164118985</v>
      </c>
      <c r="T35" s="14">
        <f ca="1"/>
        <v>105.26505722184518</v>
      </c>
      <c r="U35" s="14" t="e">
        <f ca="1"/>
        <v>#REF!</v>
      </c>
      <c r="V35" s="14" t="e">
        <f ca="1"/>
        <v>#REF!</v>
      </c>
      <c r="X35" t="str">
        <f ca="1"/>
        <v>Country: Bhutan</v>
      </c>
      <c r="Y35" s="7"/>
      <c r="Z35" s="7"/>
      <c r="AA35" s="7"/>
      <c r="AB35" s="20"/>
      <c r="AC35" s="7"/>
      <c r="AD35" s="7"/>
      <c r="AE35" s="7" t="e">
        <f ca="1"/>
        <v>#REF!</v>
      </c>
      <c r="AG35" t="str">
        <f ca="1"/>
        <v>Country: Cameroon</v>
      </c>
      <c r="AH35" s="17" cm="1">
        <f t="array" aca="1" ref="AH35" ca="1">IF(ROW()-12&lt;=IFERROR(ROWS(_xlfn.ANCHORARRAY($AI$13)),0),INDEX(_xlfn.ANCHORARRAY($AI$13),ROW()-12),"")</f>
        <v>6.0642813826561554E-3</v>
      </c>
      <c r="AI35" s="7">
        <f ca="1"/>
        <v>6.0642813826561554E-3</v>
      </c>
      <c r="AK35" t="str">
        <f ca="1"/>
        <v>Obs. 34</v>
      </c>
      <c r="AL35" s="7">
        <f ca="1"/>
        <v>75.400000000000006</v>
      </c>
      <c r="AN35" s="7" t="e">
        <f ca="1"/>
        <v>#REF!</v>
      </c>
      <c r="AO35" s="7" t="e">
        <f ca="1"/>
        <v>#REF!</v>
      </c>
      <c r="AP35" s="7">
        <f ca="1"/>
        <v>-0.407130861404772</v>
      </c>
      <c r="AQ35" s="7" t="e">
        <f ca="1"/>
        <v>#REF!</v>
      </c>
      <c r="AR35" s="7" t="e">
        <f ca="1"/>
        <v>#REF!</v>
      </c>
      <c r="AS35" s="7">
        <f ca="1"/>
        <v>-2.0597982810364517</v>
      </c>
      <c r="AT35" s="7" t="e">
        <f ca="1"/>
        <v>#REF!</v>
      </c>
      <c r="AU35" s="7" t="e">
        <f ca="1"/>
        <v>#REF!</v>
      </c>
      <c r="AV35" s="7" t="e">
        <f ca="1"/>
        <v>#REF!</v>
      </c>
    </row>
    <row r="36" spans="16:48" x14ac:dyDescent="0.25">
      <c r="P36" t="str">
        <f ca="1"/>
        <v>Country: Djibouti</v>
      </c>
      <c r="Q36" s="14">
        <f ca="1"/>
        <v>-5.2220853673211262E-2</v>
      </c>
      <c r="R36" s="14">
        <f ca="1"/>
        <v>-6.6775802697111031E-2</v>
      </c>
      <c r="S36" s="14">
        <f ca="1"/>
        <v>14.265343480469774</v>
      </c>
      <c r="T36" s="14">
        <f ca="1"/>
        <v>201.74471066252397</v>
      </c>
      <c r="U36" s="14" t="e">
        <f ca="1"/>
        <v>#REF!</v>
      </c>
      <c r="V36" s="14" t="e">
        <f ca="1"/>
        <v>#REF!</v>
      </c>
      <c r="X36" t="str">
        <f ca="1"/>
        <v>Country: Bosnia and Herzegovina</v>
      </c>
      <c r="Y36" s="7"/>
      <c r="Z36" s="7"/>
      <c r="AA36" s="7"/>
      <c r="AB36" s="20"/>
      <c r="AC36" s="7"/>
      <c r="AD36" s="7"/>
      <c r="AE36" s="7" t="e">
        <f ca="1"/>
        <v>#REF!</v>
      </c>
      <c r="AG36" t="str">
        <f ca="1"/>
        <v>Country: Canada</v>
      </c>
      <c r="AH36" s="17" cm="1">
        <f t="array" aca="1" ref="AH36" ca="1">IF(ROW()-12&lt;=IFERROR(ROWS(_xlfn.ANCHORARRAY($AI$13)),0),INDEX(_xlfn.ANCHORARRAY($AI$13),ROW()-12),"")</f>
        <v>7.2771376591873865E-3</v>
      </c>
      <c r="AI36" s="7">
        <f ca="1"/>
        <v>7.2771376591873865E-3</v>
      </c>
      <c r="AK36" t="str">
        <f ca="1"/>
        <v>Obs. 35</v>
      </c>
      <c r="AL36" s="7">
        <f ca="1"/>
        <v>75.3</v>
      </c>
      <c r="AN36" s="7" t="e">
        <f ca="1"/>
        <v>#REF!</v>
      </c>
      <c r="AO36" s="7" t="e">
        <f ca="1"/>
        <v>#REF!</v>
      </c>
      <c r="AP36" s="7">
        <f ca="1"/>
        <v>-0.40832511625967416</v>
      </c>
      <c r="AQ36" s="7" t="e">
        <f ca="1"/>
        <v>#REF!</v>
      </c>
      <c r="AR36" s="7" t="e">
        <f ca="1"/>
        <v>#REF!</v>
      </c>
      <c r="AS36" s="7">
        <f ca="1"/>
        <v>-2.0597982810364517</v>
      </c>
      <c r="AT36" s="7" t="e">
        <f ca="1"/>
        <v>#REF!</v>
      </c>
      <c r="AU36" s="7" t="e">
        <f ca="1"/>
        <v>#REF!</v>
      </c>
      <c r="AV36" s="7" t="e">
        <f ca="1"/>
        <v>#REF!</v>
      </c>
    </row>
    <row r="37" spans="16:48" x14ac:dyDescent="0.25">
      <c r="P37" t="str">
        <f ca="1"/>
        <v>Country: Dominican Republic</v>
      </c>
      <c r="Q37" s="14">
        <f ca="1"/>
        <v>3.2006022998553957E-2</v>
      </c>
      <c r="R37" s="14">
        <f ca="1"/>
        <v>1.8947045626055325E-2</v>
      </c>
      <c r="S37" s="14">
        <f ca="1"/>
        <v>10.350719164118992</v>
      </c>
      <c r="T37" s="14">
        <f ca="1"/>
        <v>105.26505722184551</v>
      </c>
      <c r="U37" s="14" t="e">
        <f ca="1"/>
        <v>#REF!</v>
      </c>
      <c r="V37" s="14" t="e">
        <f ca="1"/>
        <v>#REF!</v>
      </c>
      <c r="X37" t="str">
        <f ca="1"/>
        <v>Country: Botswana</v>
      </c>
      <c r="Y37" s="7"/>
      <c r="Z37" s="7"/>
      <c r="AA37" s="7"/>
      <c r="AB37" s="20"/>
      <c r="AC37" s="7"/>
      <c r="AD37" s="7"/>
      <c r="AE37" s="7" t="e">
        <f ca="1"/>
        <v>#REF!</v>
      </c>
      <c r="AG37" t="str">
        <f ca="1"/>
        <v>Country: Central African Republic</v>
      </c>
      <c r="AH37" s="17" cm="1">
        <f t="array" aca="1" ref="AH37" ca="1">IF(ROW()-12&lt;=IFERROR(ROWS(_xlfn.ANCHORARRAY($AI$13)),0),INDEX(_xlfn.ANCHORARRAY($AI$13),ROW()-12),"")</f>
        <v>3.6385688295936932E-3</v>
      </c>
      <c r="AI37" s="7">
        <f ca="1"/>
        <v>3.6385688295936932E-3</v>
      </c>
      <c r="AK37" t="str">
        <f ca="1"/>
        <v>Obs. 36</v>
      </c>
      <c r="AL37" s="7">
        <f ca="1"/>
        <v>75.099999999999994</v>
      </c>
      <c r="AN37" s="7" t="e">
        <f ca="1"/>
        <v>#REF!</v>
      </c>
      <c r="AO37" s="7" t="e">
        <f ca="1"/>
        <v>#REF!</v>
      </c>
      <c r="AP37" s="7">
        <f ca="1"/>
        <v>-0.40883651635361207</v>
      </c>
      <c r="AQ37" s="7" t="e">
        <f ca="1"/>
        <v>#REF!</v>
      </c>
      <c r="AR37" s="7" t="e">
        <f ca="1"/>
        <v>#REF!</v>
      </c>
      <c r="AS37" s="7">
        <f ca="1"/>
        <v>-2.0597982810364517</v>
      </c>
      <c r="AT37" s="7" t="e">
        <f ca="1"/>
        <v>#REF!</v>
      </c>
      <c r="AU37" s="7" t="e">
        <f ca="1"/>
        <v>#REF!</v>
      </c>
      <c r="AV37" s="7" t="e">
        <f ca="1"/>
        <v>#REF!</v>
      </c>
    </row>
    <row r="38" spans="16:48" x14ac:dyDescent="0.25">
      <c r="P38" t="str">
        <f ca="1"/>
        <v>Country: Ecuador</v>
      </c>
      <c r="Q38" s="14">
        <f ca="1"/>
        <v>5.8008617999665356E-2</v>
      </c>
      <c r="R38" s="14">
        <f ca="1"/>
        <v>7.3473476151179842E-2</v>
      </c>
      <c r="S38" s="14">
        <f ca="1"/>
        <v>10.350719164118999</v>
      </c>
      <c r="T38" s="14">
        <f ca="1"/>
        <v>105.26505722184581</v>
      </c>
      <c r="U38" s="14" t="e">
        <f ca="1"/>
        <v>#REF!</v>
      </c>
      <c r="V38" s="14" t="e">
        <f ca="1"/>
        <v>#REF!</v>
      </c>
      <c r="X38" t="str">
        <f ca="1"/>
        <v>Country: Brazil</v>
      </c>
      <c r="Y38" s="7"/>
      <c r="Z38" s="7"/>
      <c r="AA38" s="7"/>
      <c r="AB38" s="20"/>
      <c r="AC38" s="7"/>
      <c r="AD38" s="7"/>
      <c r="AE38" s="7" t="e">
        <f ca="1"/>
        <v>#REF!</v>
      </c>
      <c r="AG38" t="str">
        <f ca="1"/>
        <v>Country: Chad</v>
      </c>
      <c r="AH38" s="17" cm="1">
        <f t="array" aca="1" ref="AH38" ca="1">IF(ROW()-12&lt;=IFERROR(ROWS(_xlfn.ANCHORARRAY($AI$13)),0),INDEX(_xlfn.ANCHORARRAY($AI$13),ROW()-12),"")</f>
        <v>4.2449969678593083E-3</v>
      </c>
      <c r="AI38" s="7">
        <f ca="1"/>
        <v>4.2449969678593083E-3</v>
      </c>
      <c r="AK38" t="str">
        <f ca="1"/>
        <v>Obs. 37</v>
      </c>
      <c r="AL38" s="7">
        <f ca="1"/>
        <v>74.900000000000006</v>
      </c>
      <c r="AN38" s="7" t="e">
        <f ca="1"/>
        <v>#REF!</v>
      </c>
      <c r="AO38" s="7" t="e">
        <f ca="1"/>
        <v>#REF!</v>
      </c>
      <c r="AP38" s="7">
        <f ca="1"/>
        <v>-0.41025929465849675</v>
      </c>
      <c r="AQ38" s="7" t="e">
        <f ca="1"/>
        <v>#REF!</v>
      </c>
      <c r="AR38" s="7" t="e">
        <f ca="1"/>
        <v>#REF!</v>
      </c>
      <c r="AS38" s="7">
        <f ca="1"/>
        <v>-2.0231624874260845</v>
      </c>
      <c r="AT38" s="7" t="e">
        <f ca="1"/>
        <v>#REF!</v>
      </c>
      <c r="AU38" s="7" t="e">
        <f ca="1"/>
        <v>#REF!</v>
      </c>
      <c r="AV38" s="7" t="e">
        <f ca="1"/>
        <v>#REF!</v>
      </c>
    </row>
    <row r="39" spans="16:48" x14ac:dyDescent="0.25">
      <c r="P39" t="str">
        <f ca="1"/>
        <v>Country: El Salvador</v>
      </c>
      <c r="Q39" s="14">
        <f ca="1"/>
        <v>2.5323791880950169E-2</v>
      </c>
      <c r="R39" s="14">
        <f ca="1"/>
        <v>8.6415703846881228E-3</v>
      </c>
      <c r="S39" s="14">
        <f ca="1"/>
        <v>10.350719164119001</v>
      </c>
      <c r="T39" s="14">
        <f ca="1"/>
        <v>105.26505722184604</v>
      </c>
      <c r="U39" s="14" t="e">
        <f ca="1"/>
        <v>#REF!</v>
      </c>
      <c r="V39" s="14" t="e">
        <f ca="1"/>
        <v>#REF!</v>
      </c>
      <c r="X39" t="str">
        <f ca="1"/>
        <v>Country: Bulgaria</v>
      </c>
      <c r="Y39" s="7"/>
      <c r="Z39" s="7"/>
      <c r="AA39" s="7"/>
      <c r="AB39" s="20"/>
      <c r="AC39" s="7"/>
      <c r="AD39" s="7"/>
      <c r="AE39" s="7" t="e">
        <f ca="1"/>
        <v>#REF!</v>
      </c>
      <c r="AG39" t="str">
        <f ca="1"/>
        <v>Country: Chile</v>
      </c>
      <c r="AH39" s="17" cm="1">
        <f t="array" aca="1" ref="AH39" ca="1">IF(ROW()-12&lt;=IFERROR(ROWS(_xlfn.ANCHORARRAY($AI$13)),0),INDEX(_xlfn.ANCHORARRAY($AI$13),ROW()-12),"")</f>
        <v>5.4578532443905394E-3</v>
      </c>
      <c r="AI39" s="7">
        <f ca="1"/>
        <v>5.4578532443905394E-3</v>
      </c>
      <c r="AK39" t="str">
        <f ca="1"/>
        <v>Obs. 38</v>
      </c>
      <c r="AL39" s="7">
        <f ca="1"/>
        <v>74.7</v>
      </c>
      <c r="AN39" s="7" t="e">
        <f ca="1"/>
        <v>#REF!</v>
      </c>
      <c r="AO39" s="7" t="e">
        <f ca="1"/>
        <v>#REF!</v>
      </c>
      <c r="AP39" s="7">
        <f ca="1"/>
        <v>-0.41080013764943307</v>
      </c>
      <c r="AQ39" s="7" t="e">
        <f ca="1"/>
        <v>#REF!</v>
      </c>
      <c r="AR39" s="7" t="e">
        <f ca="1"/>
        <v>#REF!</v>
      </c>
      <c r="AS39" s="7">
        <f ca="1"/>
        <v>-2.0231624874260845</v>
      </c>
      <c r="AT39" s="7" t="e">
        <f ca="1"/>
        <v>#REF!</v>
      </c>
      <c r="AU39" s="7" t="e">
        <f ca="1"/>
        <v>#REF!</v>
      </c>
      <c r="AV39" s="7" t="e">
        <f ca="1"/>
        <v>#REF!</v>
      </c>
    </row>
    <row r="40" spans="16:48" x14ac:dyDescent="0.25">
      <c r="P40" t="str">
        <f ca="1"/>
        <v>Country: Equatorial Guinea</v>
      </c>
      <c r="Q40" s="14">
        <f ca="1"/>
        <v>-3.1938855460002573E-2</v>
      </c>
      <c r="R40" s="14">
        <f ca="1"/>
        <v>-3.1877229439818223E-2</v>
      </c>
      <c r="S40" s="14">
        <f ca="1"/>
        <v>40.607881008495767</v>
      </c>
      <c r="T40" s="14">
        <f ca="1"/>
        <v>1649.0000000002874</v>
      </c>
      <c r="U40" s="14" t="e">
        <f ca="1"/>
        <v>#REF!</v>
      </c>
      <c r="V40" s="14" t="e">
        <f ca="1"/>
        <v>#REF!</v>
      </c>
      <c r="X40" t="str">
        <f ca="1"/>
        <v>Country: Burkina Faso</v>
      </c>
      <c r="Y40" s="7"/>
      <c r="Z40" s="7"/>
      <c r="AA40" s="7"/>
      <c r="AB40" s="20"/>
      <c r="AC40" s="7"/>
      <c r="AD40" s="7"/>
      <c r="AE40" s="7" t="e">
        <f ca="1"/>
        <v>#REF!</v>
      </c>
      <c r="AG40" t="str">
        <f ca="1"/>
        <v>Country: China</v>
      </c>
      <c r="AH40" s="17" cm="1">
        <f t="array" aca="1" ref="AH40" ca="1">IF(ROW()-12&lt;=IFERROR(ROWS(_xlfn.ANCHORARRAY($AI$13)),0),INDEX(_xlfn.ANCHORARRAY($AI$13),ROW()-12),"")</f>
        <v>9.0964220739842335E-3</v>
      </c>
      <c r="AI40" s="7">
        <f ca="1"/>
        <v>9.0964220739842335E-3</v>
      </c>
      <c r="AK40" t="str">
        <f ca="1"/>
        <v>Obs. 39</v>
      </c>
      <c r="AL40" s="7">
        <f ca="1"/>
        <v>74.400000000000006</v>
      </c>
      <c r="AN40" s="7" t="e">
        <f ca="1"/>
        <v>#REF!</v>
      </c>
      <c r="AO40" s="7" t="e">
        <f ca="1"/>
        <v>#REF!</v>
      </c>
      <c r="AP40" s="7">
        <f ca="1"/>
        <v>-0.41097581799709909</v>
      </c>
      <c r="AQ40" s="7" t="e">
        <f ca="1"/>
        <v>#REF!</v>
      </c>
      <c r="AR40" s="7" t="e">
        <f ca="1"/>
        <v>#REF!</v>
      </c>
      <c r="AS40" s="7">
        <f ca="1"/>
        <v>-2.0001681446016244</v>
      </c>
      <c r="AT40" s="7" t="e">
        <f ca="1"/>
        <v>#REF!</v>
      </c>
      <c r="AU40" s="7" t="e">
        <f ca="1"/>
        <v>#REF!</v>
      </c>
      <c r="AV40" s="7" t="e">
        <f ca="1"/>
        <v>#REF!</v>
      </c>
    </row>
    <row r="41" spans="16:48" x14ac:dyDescent="0.25">
      <c r="P41" t="str">
        <f ca="1"/>
        <v>Country: Eritrea</v>
      </c>
      <c r="Q41" s="14">
        <f ca="1"/>
        <v>-7.29425403131609E-2</v>
      </c>
      <c r="R41" s="14">
        <f ca="1"/>
        <v>-8.3802088257871485E-2</v>
      </c>
      <c r="S41" s="14">
        <f ca="1"/>
        <v>12.735820805331931</v>
      </c>
      <c r="T41" s="14">
        <f ca="1"/>
        <v>160.39566714841905</v>
      </c>
      <c r="U41" s="14" t="e">
        <f ca="1"/>
        <v>#REF!</v>
      </c>
      <c r="V41" s="14" t="e">
        <f ca="1"/>
        <v>#REF!</v>
      </c>
      <c r="X41" t="str">
        <f ca="1"/>
        <v>Country: Burundi</v>
      </c>
      <c r="Y41" s="7"/>
      <c r="Z41" s="7"/>
      <c r="AA41" s="7"/>
      <c r="AB41" s="20"/>
      <c r="AC41" s="7"/>
      <c r="AD41" s="7"/>
      <c r="AE41" s="7" t="e">
        <f ca="1"/>
        <v>#REF!</v>
      </c>
      <c r="AG41" t="str">
        <f ca="1"/>
        <v>Country: Colombia</v>
      </c>
      <c r="AH41" s="17" cm="1">
        <f t="array" aca="1" ref="AH41" ca="1">IF(ROW()-12&lt;=IFERROR(ROWS(_xlfn.ANCHORARRAY($AI$13)),0),INDEX(_xlfn.ANCHORARRAY($AI$13),ROW()-12),"")</f>
        <v>9.0964220739842335E-3</v>
      </c>
      <c r="AI41" s="7">
        <f ca="1"/>
        <v>9.0964220739842335E-3</v>
      </c>
      <c r="AK41" t="str">
        <f ca="1"/>
        <v>Obs. 40</v>
      </c>
      <c r="AL41" s="7">
        <f ca="1"/>
        <v>74.099999999999994</v>
      </c>
      <c r="AN41" s="7" t="e">
        <f ca="1"/>
        <v>#REF!</v>
      </c>
      <c r="AO41" s="7" t="e">
        <f ca="1"/>
        <v>#REF!</v>
      </c>
      <c r="AP41" s="7">
        <f ca="1"/>
        <v>-0.41045350850746937</v>
      </c>
      <c r="AQ41" s="7" t="e">
        <f ca="1"/>
        <v>#REF!</v>
      </c>
      <c r="AR41" s="7" t="e">
        <f ca="1"/>
        <v>#REF!</v>
      </c>
      <c r="AS41" s="7">
        <f ca="1"/>
        <v>-1.9890565032593337</v>
      </c>
      <c r="AT41" s="7" t="e">
        <f ca="1"/>
        <v>#REF!</v>
      </c>
      <c r="AU41" s="7" t="e">
        <f ca="1"/>
        <v>#REF!</v>
      </c>
      <c r="AV41" s="7" t="e">
        <f ca="1"/>
        <v>#REF!</v>
      </c>
    </row>
    <row r="42" spans="16:48" x14ac:dyDescent="0.25">
      <c r="P42" t="str">
        <f ca="1"/>
        <v>Country: Estonia</v>
      </c>
      <c r="Q42" s="14">
        <f ca="1"/>
        <v>5.0891269908730566E-2</v>
      </c>
      <c r="R42" s="14">
        <f ca="1"/>
        <v>6.0426156365065944E-2</v>
      </c>
      <c r="S42" s="14">
        <f ca="1"/>
        <v>12.13192156837588</v>
      </c>
      <c r="T42" s="14">
        <f ca="1"/>
        <v>145.3598201693039</v>
      </c>
      <c r="U42" s="14" t="e">
        <f ca="1"/>
        <v>#REF!</v>
      </c>
      <c r="V42" s="14" t="e">
        <f ca="1"/>
        <v>#REF!</v>
      </c>
      <c r="X42" t="str">
        <f ca="1"/>
        <v>Country: Cabo Verde</v>
      </c>
      <c r="Y42" s="7"/>
      <c r="Z42" s="7"/>
      <c r="AA42" s="7"/>
      <c r="AB42" s="20"/>
      <c r="AC42" s="7"/>
      <c r="AD42" s="7"/>
      <c r="AE42" s="7" t="e">
        <f ca="1"/>
        <v>#REF!</v>
      </c>
      <c r="AG42" t="str">
        <f ca="1"/>
        <v>Country: Comoros</v>
      </c>
      <c r="AH42" s="17" cm="1">
        <f t="array" aca="1" ref="AH42" ca="1">IF(ROW()-12&lt;=IFERROR(ROWS(_xlfn.ANCHORARRAY($AI$13)),0),INDEX(_xlfn.ANCHORARRAY($AI$13),ROW()-12),"")</f>
        <v>7.2771376591873865E-3</v>
      </c>
      <c r="AI42" s="7">
        <f ca="1"/>
        <v>7.2771376591873865E-3</v>
      </c>
      <c r="AK42" t="str">
        <f ca="1"/>
        <v>Obs. 41</v>
      </c>
      <c r="AL42" s="7">
        <f ca="1"/>
        <v>73.8</v>
      </c>
      <c r="AN42" s="7" t="e">
        <f ca="1"/>
        <v>#REF!</v>
      </c>
      <c r="AO42" s="7" t="e">
        <f ca="1"/>
        <v>#REF!</v>
      </c>
      <c r="AP42" s="7">
        <f ca="1"/>
        <v>-0.39444741830705582</v>
      </c>
      <c r="AQ42" s="7" t="e">
        <f ca="1"/>
        <v>#REF!</v>
      </c>
      <c r="AR42" s="7" t="e">
        <f ca="1"/>
        <v>#REF!</v>
      </c>
      <c r="AS42" s="7">
        <f ca="1"/>
        <v>-1.9781851538562727</v>
      </c>
      <c r="AT42" s="7" t="e">
        <f ca="1"/>
        <v>#REF!</v>
      </c>
      <c r="AU42" s="7" t="e">
        <f ca="1"/>
        <v>#REF!</v>
      </c>
      <c r="AV42" s="7" t="e">
        <f ca="1"/>
        <v>#REF!</v>
      </c>
    </row>
    <row r="43" spans="16:48" x14ac:dyDescent="0.25">
      <c r="P43" t="str">
        <f ca="1"/>
        <v>Country: Ethiopia</v>
      </c>
      <c r="Q43" s="14">
        <f ca="1"/>
        <v>-5.2121609267213959E-2</v>
      </c>
      <c r="R43" s="14">
        <f ca="1"/>
        <v>-6.6629123284267303E-2</v>
      </c>
      <c r="S43" s="14">
        <f ca="1"/>
        <v>14.265343480469788</v>
      </c>
      <c r="T43" s="14">
        <f ca="1"/>
        <v>201.7447106625248</v>
      </c>
      <c r="U43" s="14" t="e">
        <f ca="1"/>
        <v>#REF!</v>
      </c>
      <c r="V43" s="14" t="e">
        <f ca="1"/>
        <v>#REF!</v>
      </c>
      <c r="X43" t="str">
        <f ca="1"/>
        <v>Country: Cambodia</v>
      </c>
      <c r="Y43" s="7"/>
      <c r="Z43" s="7"/>
      <c r="AA43" s="7"/>
      <c r="AB43" s="20"/>
      <c r="AC43" s="7"/>
      <c r="AD43" s="7"/>
      <c r="AE43" s="7" t="e">
        <f ca="1"/>
        <v>#REF!</v>
      </c>
      <c r="AG43" t="str">
        <f ca="1"/>
        <v>Country: Costa Rica</v>
      </c>
      <c r="AH43" s="17" cm="1">
        <f t="array" aca="1" ref="AH43" ca="1">IF(ROW()-12&lt;=IFERROR(ROWS(_xlfn.ANCHORARRAY($AI$13)),0),INDEX(_xlfn.ANCHORARRAY($AI$13),ROW()-12),"")</f>
        <v>9.0964220739842335E-3</v>
      </c>
      <c r="AI43" s="7">
        <f ca="1"/>
        <v>9.0964220739842335E-3</v>
      </c>
      <c r="AK43" t="str">
        <f ca="1"/>
        <v>Obs. 42</v>
      </c>
      <c r="AL43" s="7">
        <f ca="1"/>
        <v>73.400000000000006</v>
      </c>
      <c r="AN43" s="7" t="e">
        <f ca="1"/>
        <v>#REF!</v>
      </c>
      <c r="AO43" s="7" t="e">
        <f ca="1"/>
        <v>#REF!</v>
      </c>
      <c r="AP43" s="7">
        <f ca="1"/>
        <v>-0.40066142532189192</v>
      </c>
      <c r="AQ43" s="7" t="e">
        <f ca="1"/>
        <v>#REF!</v>
      </c>
      <c r="AR43" s="7" t="e">
        <f ca="1"/>
        <v>#REF!</v>
      </c>
      <c r="AS43" s="7">
        <f ca="1"/>
        <v>-1.9675426916276542</v>
      </c>
      <c r="AT43" s="7" t="e">
        <f ca="1"/>
        <v>#REF!</v>
      </c>
      <c r="AU43" s="7" t="e">
        <f ca="1"/>
        <v>#REF!</v>
      </c>
      <c r="AV43" s="7" t="e">
        <f ca="1"/>
        <v>#REF!</v>
      </c>
    </row>
    <row r="44" spans="16:48" x14ac:dyDescent="0.25">
      <c r="P44" t="str">
        <f ca="1"/>
        <v>Country: Fiji</v>
      </c>
      <c r="Q44" s="14">
        <f ca="1"/>
        <v>-7.288401290834543E-3</v>
      </c>
      <c r="R44" s="14">
        <f ca="1"/>
        <v>-3.142633205114842E-2</v>
      </c>
      <c r="S44" s="14">
        <f ca="1"/>
        <v>10.350719164119019</v>
      </c>
      <c r="T44" s="14">
        <f ca="1"/>
        <v>105.26505722184683</v>
      </c>
      <c r="U44" s="14" t="e">
        <f ca="1"/>
        <v>#REF!</v>
      </c>
      <c r="V44" s="14" t="e">
        <f ca="1"/>
        <v>#REF!</v>
      </c>
      <c r="X44" t="str">
        <f ca="1"/>
        <v>Country: Cameroon</v>
      </c>
      <c r="Y44" s="7"/>
      <c r="Z44" s="7"/>
      <c r="AA44" s="7"/>
      <c r="AB44" s="20"/>
      <c r="AC44" s="7"/>
      <c r="AD44" s="7"/>
      <c r="AE44" s="7" t="e">
        <f ca="1"/>
        <v>#REF!</v>
      </c>
      <c r="AG44" t="str">
        <f ca="1"/>
        <v>Country: Croatia</v>
      </c>
      <c r="AH44" s="17" cm="1">
        <f t="array" aca="1" ref="AH44" ca="1">IF(ROW()-12&lt;=IFERROR(ROWS(_xlfn.ANCHORARRAY($AI$13)),0),INDEX(_xlfn.ANCHORARRAY($AI$13),ROW()-12),"")</f>
        <v>4.8514251061249243E-3</v>
      </c>
      <c r="AI44" s="7">
        <f ca="1"/>
        <v>4.8514251061249243E-3</v>
      </c>
      <c r="AK44" t="str">
        <f ca="1"/>
        <v>Obs. 43</v>
      </c>
      <c r="AL44" s="7">
        <f ca="1"/>
        <v>72.900000000000006</v>
      </c>
      <c r="AN44" s="7" t="e">
        <f ca="1"/>
        <v>#REF!</v>
      </c>
      <c r="AO44" s="7" t="e">
        <f ca="1"/>
        <v>#REF!</v>
      </c>
      <c r="AP44" s="7">
        <f ca="1"/>
        <v>-0.40893376980460749</v>
      </c>
      <c r="AQ44" s="7" t="e">
        <f ca="1"/>
        <v>#REF!</v>
      </c>
      <c r="AR44" s="7" t="e">
        <f ca="1"/>
        <v>#REF!</v>
      </c>
      <c r="AS44" s="7">
        <f ca="1"/>
        <v>-1.957118520190694</v>
      </c>
      <c r="AT44" s="7" t="e">
        <f ca="1"/>
        <v>#REF!</v>
      </c>
      <c r="AU44" s="7" t="e">
        <f ca="1"/>
        <v>#REF!</v>
      </c>
      <c r="AV44" s="7" t="e">
        <f ca="1"/>
        <v>#REF!</v>
      </c>
    </row>
    <row r="45" spans="16:48" x14ac:dyDescent="0.25">
      <c r="P45" t="str">
        <f ca="1"/>
        <v>Country: France</v>
      </c>
      <c r="Q45" s="14">
        <f ca="1"/>
        <v>0.14059227865961996</v>
      </c>
      <c r="R45" s="14">
        <f ca="1"/>
        <v>0.14723545193476775</v>
      </c>
      <c r="S45" s="14">
        <f ca="1"/>
        <v>10.350719164119019</v>
      </c>
      <c r="T45" s="14">
        <f ca="1"/>
        <v>105.26505722184704</v>
      </c>
      <c r="U45" s="14" t="e">
        <f ca="1"/>
        <v>#REF!</v>
      </c>
      <c r="V45" s="14" t="e">
        <f ca="1"/>
        <v>#REF!</v>
      </c>
      <c r="X45" t="str">
        <f ca="1"/>
        <v>Country: Canada</v>
      </c>
      <c r="Y45" s="7"/>
      <c r="Z45" s="7"/>
      <c r="AA45" s="7"/>
      <c r="AB45" s="20"/>
      <c r="AC45" s="7"/>
      <c r="AD45" s="7"/>
      <c r="AE45" s="7" t="e">
        <f ca="1"/>
        <v>#REF!</v>
      </c>
      <c r="AG45" t="str">
        <f ca="1"/>
        <v>Country: Cyprus</v>
      </c>
      <c r="AH45" s="17" cm="1">
        <f t="array" aca="1" ref="AH45" ca="1">IF(ROW()-12&lt;=IFERROR(ROWS(_xlfn.ANCHORARRAY($AI$13)),0),INDEX(_xlfn.ANCHORARRAY($AI$13),ROW()-12),"")</f>
        <v>9.0964220739842335E-3</v>
      </c>
      <c r="AI45" s="7">
        <f ca="1"/>
        <v>9.0964220739842335E-3</v>
      </c>
      <c r="AK45" t="str">
        <f ca="1"/>
        <v>Obs. 44</v>
      </c>
      <c r="AL45" s="7">
        <f ca="1"/>
        <v>72.3</v>
      </c>
      <c r="AN45" s="7" t="e">
        <f ca="1"/>
        <v>#REF!</v>
      </c>
      <c r="AO45" s="7" t="e">
        <f ca="1"/>
        <v>#REF!</v>
      </c>
      <c r="AP45" s="7">
        <f ca="1"/>
        <v>-0.40723452692730294</v>
      </c>
      <c r="AQ45" s="7" t="e">
        <f ca="1"/>
        <v>#REF!</v>
      </c>
      <c r="AR45" s="7" t="e">
        <f ca="1"/>
        <v>#REF!</v>
      </c>
      <c r="AS45" s="7">
        <f ca="1"/>
        <v>-1.94690277624242</v>
      </c>
      <c r="AT45" s="7" t="e">
        <f ca="1"/>
        <v>#REF!</v>
      </c>
      <c r="AU45" s="7" t="e">
        <f ca="1"/>
        <v>#REF!</v>
      </c>
      <c r="AV45" s="7" t="e">
        <f ca="1"/>
        <v>#REF!</v>
      </c>
    </row>
    <row r="46" spans="16:48" x14ac:dyDescent="0.25">
      <c r="P46" t="str">
        <f ca="1"/>
        <v>Country: Gabon</v>
      </c>
      <c r="Q46" s="14">
        <f ca="1"/>
        <v>-5.5977722065392053E-2</v>
      </c>
      <c r="R46" s="14">
        <f ca="1"/>
        <v>-7.5408752024485687E-2</v>
      </c>
      <c r="S46" s="14">
        <f ca="1"/>
        <v>12.735820805331965</v>
      </c>
      <c r="T46" s="14">
        <f ca="1"/>
        <v>160.39566714841939</v>
      </c>
      <c r="U46" s="14" t="e">
        <f ca="1"/>
        <v>#REF!</v>
      </c>
      <c r="V46" s="14" t="e">
        <f ca="1"/>
        <v>#REF!</v>
      </c>
      <c r="X46" t="str">
        <f ca="1"/>
        <v>Country: Central African Republic</v>
      </c>
      <c r="Y46" s="7"/>
      <c r="Z46" s="7"/>
      <c r="AA46" s="7"/>
      <c r="AB46" s="20"/>
      <c r="AC46" s="7"/>
      <c r="AD46" s="7"/>
      <c r="AE46" s="7" t="e">
        <f ca="1"/>
        <v>#REF!</v>
      </c>
      <c r="AG46" t="str">
        <f ca="1"/>
        <v>Country: Djibouti</v>
      </c>
      <c r="AH46" s="17" cm="1">
        <f t="array" aca="1" ref="AH46" ca="1">IF(ROW()-12&lt;=IFERROR(ROWS(_xlfn.ANCHORARRAY($AI$13)),0),INDEX(_xlfn.ANCHORARRAY($AI$13),ROW()-12),"")</f>
        <v>4.8514251061249243E-3</v>
      </c>
      <c r="AI46" s="7">
        <f ca="1"/>
        <v>4.8514251061249243E-3</v>
      </c>
      <c r="AK46" t="str">
        <f ca="1"/>
        <v>Obs. 50</v>
      </c>
      <c r="AL46" s="7">
        <f ca="1"/>
        <v>51.7</v>
      </c>
      <c r="AN46" s="7" t="e">
        <f ca="1"/>
        <v>#REF!</v>
      </c>
      <c r="AO46" s="7" t="e">
        <f ca="1"/>
        <v>#REF!</v>
      </c>
      <c r="AP46" s="7">
        <f ca="1"/>
        <v>0.96518146507091729</v>
      </c>
      <c r="AQ46" s="7" t="e">
        <f ca="1"/>
        <v>#REF!</v>
      </c>
      <c r="AR46" s="7" t="e">
        <f ca="1"/>
        <v>#REF!</v>
      </c>
      <c r="AS46" s="7">
        <f ca="1"/>
        <v>-1.9368862628682149</v>
      </c>
      <c r="AT46" s="7" t="e">
        <f ca="1"/>
        <v>#REF!</v>
      </c>
      <c r="AU46" s="7" t="e">
        <f ca="1"/>
        <v>#REF!</v>
      </c>
      <c r="AV46" s="7" t="e">
        <f ca="1"/>
        <v>#REF!</v>
      </c>
    </row>
    <row r="47" spans="16:48" x14ac:dyDescent="0.25">
      <c r="P47" t="str">
        <f ca="1"/>
        <v>Country: Georgia</v>
      </c>
      <c r="Q47" s="14">
        <f ca="1"/>
        <v>4.5152586392970782E-2</v>
      </c>
      <c r="R47" s="14">
        <f ca="1"/>
        <v>4.5113291356089234E-2</v>
      </c>
      <c r="S47" s="14">
        <f ca="1"/>
        <v>10.350719164119038</v>
      </c>
      <c r="T47" s="14">
        <f ca="1"/>
        <v>105.26505722184754</v>
      </c>
      <c r="U47" s="14" t="e">
        <f ca="1"/>
        <v>#REF!</v>
      </c>
      <c r="V47" s="14" t="e">
        <f ca="1"/>
        <v>#REF!</v>
      </c>
      <c r="X47" t="str">
        <f ca="1"/>
        <v>Country: Chad</v>
      </c>
      <c r="Y47" s="7"/>
      <c r="Z47" s="7"/>
      <c r="AA47" s="7"/>
      <c r="AB47" s="20"/>
      <c r="AC47" s="7"/>
      <c r="AD47" s="7"/>
      <c r="AE47" s="7" t="e">
        <f ca="1"/>
        <v>#REF!</v>
      </c>
      <c r="AG47" t="str">
        <f ca="1"/>
        <v>Country: Dominican Republic</v>
      </c>
      <c r="AH47" s="17" cm="1">
        <f t="array" aca="1" ref="AH47" ca="1">IF(ROW()-12&lt;=IFERROR(ROWS(_xlfn.ANCHORARRAY($AI$13)),0),INDEX(_xlfn.ANCHORARRAY($AI$13),ROW()-12),"")</f>
        <v>9.0964220739842335E-3</v>
      </c>
      <c r="AI47" s="7">
        <f ca="1"/>
        <v>9.0964220739842335E-3</v>
      </c>
      <c r="AK47" t="str">
        <f ca="1"/>
        <v>Obs. 51</v>
      </c>
      <c r="AL47" s="7">
        <f ca="1"/>
        <v>51.1</v>
      </c>
      <c r="AN47" s="7" t="e">
        <f ca="1"/>
        <v>#REF!</v>
      </c>
      <c r="AO47" s="7" t="e">
        <f ca="1"/>
        <v>#REF!</v>
      </c>
      <c r="AP47" s="7">
        <f ca="1"/>
        <v>0.96514088931925113</v>
      </c>
      <c r="AQ47" s="7" t="e">
        <f ca="1"/>
        <v>#REF!</v>
      </c>
      <c r="AR47" s="7" t="e">
        <f ca="1"/>
        <v>#REF!</v>
      </c>
      <c r="AS47" s="7">
        <f ca="1"/>
        <v>-1.9270603903023944</v>
      </c>
      <c r="AT47" s="7" t="e">
        <f ca="1"/>
        <v>#REF!</v>
      </c>
      <c r="AU47" s="7" t="e">
        <f ca="1"/>
        <v>#REF!</v>
      </c>
      <c r="AV47" s="7" t="e">
        <f ca="1"/>
        <v>#REF!</v>
      </c>
    </row>
    <row r="48" spans="16:48" x14ac:dyDescent="0.25">
      <c r="P48" t="str">
        <f ca="1"/>
        <v>Country: Germany</v>
      </c>
      <c r="Q48" s="14">
        <f ca="1"/>
        <v>0.12947943777925677</v>
      </c>
      <c r="R48" s="14">
        <f ca="1"/>
        <v>0.13971433361082722</v>
      </c>
      <c r="S48" s="14">
        <f ca="1"/>
        <v>10.35071916411904</v>
      </c>
      <c r="T48" s="14">
        <f ca="1"/>
        <v>105.26505722184784</v>
      </c>
      <c r="U48" s="14" t="e">
        <f ca="1"/>
        <v>#REF!</v>
      </c>
      <c r="V48" s="14" t="e">
        <f ca="1"/>
        <v>#REF!</v>
      </c>
      <c r="X48" t="str">
        <f ca="1"/>
        <v>Country: Chile</v>
      </c>
      <c r="Y48" s="7"/>
      <c r="Z48" s="7"/>
      <c r="AA48" s="7"/>
      <c r="AB48" s="20"/>
      <c r="AC48" s="7"/>
      <c r="AD48" s="7"/>
      <c r="AE48" s="7" t="e">
        <f ca="1"/>
        <v>#REF!</v>
      </c>
      <c r="AG48" t="str">
        <f ca="1"/>
        <v>Country: Ecuador</v>
      </c>
      <c r="AH48" s="17" cm="1">
        <f t="array" aca="1" ref="AH48" ca="1">IF(ROW()-12&lt;=IFERROR(ROWS(_xlfn.ANCHORARRAY($AI$13)),0),INDEX(_xlfn.ANCHORARRAY($AI$13),ROW()-12),"")</f>
        <v>9.0964220739842335E-3</v>
      </c>
      <c r="AI48" s="7">
        <f ca="1"/>
        <v>9.0964220739842335E-3</v>
      </c>
      <c r="AK48" t="str">
        <f ca="1"/>
        <v>Obs. 52</v>
      </c>
      <c r="AL48" s="7">
        <f ca="1"/>
        <v>56</v>
      </c>
      <c r="AN48" s="7" t="e">
        <f ca="1"/>
        <v>#REF!</v>
      </c>
      <c r="AO48" s="7" t="e">
        <f ca="1"/>
        <v>#REF!</v>
      </c>
      <c r="AP48" s="7">
        <f ca="1"/>
        <v>0.95891645386611735</v>
      </c>
      <c r="AQ48" s="7" t="e">
        <f ca="1"/>
        <v>#REF!</v>
      </c>
      <c r="AR48" s="7" t="e">
        <f ca="1"/>
        <v>#REF!</v>
      </c>
      <c r="AS48" s="7">
        <f ca="1"/>
        <v>-1.9270603903023944</v>
      </c>
      <c r="AT48" s="7" t="e">
        <f ca="1"/>
        <v>#REF!</v>
      </c>
      <c r="AU48" s="7" t="e">
        <f ca="1"/>
        <v>#REF!</v>
      </c>
      <c r="AV48" s="7" t="e">
        <f ca="1"/>
        <v>#REF!</v>
      </c>
    </row>
    <row r="49" spans="16:48" x14ac:dyDescent="0.25">
      <c r="P49" t="str">
        <f ca="1"/>
        <v>Country: Ghana</v>
      </c>
      <c r="Q49" s="14">
        <f ca="1"/>
        <v>-8.1192831333236376E-2</v>
      </c>
      <c r="R49" s="14">
        <f ca="1"/>
        <v>-9.3207954139421567E-2</v>
      </c>
      <c r="S49" s="14">
        <f ca="1"/>
        <v>11.139110863412489</v>
      </c>
      <c r="T49" s="14">
        <f ca="1"/>
        <v>122.22803450340962</v>
      </c>
      <c r="U49" s="14" t="e">
        <f ca="1"/>
        <v>#REF!</v>
      </c>
      <c r="V49" s="14" t="e">
        <f ca="1"/>
        <v>#REF!</v>
      </c>
      <c r="X49" t="str">
        <f ca="1"/>
        <v>Country: China</v>
      </c>
      <c r="Y49" s="7"/>
      <c r="Z49" s="7"/>
      <c r="AA49" s="7"/>
      <c r="AB49" s="20"/>
      <c r="AC49" s="7"/>
      <c r="AD49" s="7"/>
      <c r="AE49" s="7" t="e">
        <f ca="1"/>
        <v>#REF!</v>
      </c>
      <c r="AG49" t="str">
        <f ca="1"/>
        <v>Country: El Salvador</v>
      </c>
      <c r="AH49" s="17" cm="1">
        <f t="array" aca="1" ref="AH49" ca="1">IF(ROW()-12&lt;=IFERROR(ROWS(_xlfn.ANCHORARRAY($AI$13)),0),INDEX(_xlfn.ANCHORARRAY($AI$13),ROW()-12),"")</f>
        <v>9.0964220739842335E-3</v>
      </c>
      <c r="AI49" s="7">
        <f ca="1"/>
        <v>9.0964220739842335E-3</v>
      </c>
      <c r="AK49" t="str">
        <f ca="1"/>
        <v>Obs. 53</v>
      </c>
      <c r="AL49" s="7">
        <f ca="1"/>
        <v>51</v>
      </c>
      <c r="AN49" s="7" t="e">
        <f ca="1"/>
        <v>#REF!</v>
      </c>
      <c r="AO49" s="7" t="e">
        <f ca="1"/>
        <v>#REF!</v>
      </c>
      <c r="AP49" s="7">
        <f ca="1"/>
        <v>0.95786368543784051</v>
      </c>
      <c r="AQ49" s="7" t="e">
        <f ca="1"/>
        <v>#REF!</v>
      </c>
      <c r="AR49" s="7" t="e">
        <f ca="1"/>
        <v>#REF!</v>
      </c>
      <c r="AS49" s="7">
        <f ca="1"/>
        <v>-1.907948933309944</v>
      </c>
      <c r="AT49" s="7" t="e">
        <f ca="1"/>
        <v>#REF!</v>
      </c>
      <c r="AU49" s="7" t="e">
        <f ca="1"/>
        <v>#REF!</v>
      </c>
      <c r="AV49" s="7" t="e">
        <f ca="1"/>
        <v>#REF!</v>
      </c>
    </row>
    <row r="50" spans="16:48" x14ac:dyDescent="0.25">
      <c r="P50" t="str">
        <f ca="1"/>
        <v>Country: Greece</v>
      </c>
      <c r="Q50" s="14">
        <f ca="1"/>
        <v>0.12998786840777021</v>
      </c>
      <c r="R50" s="14">
        <f ca="1"/>
        <v>0.14163319163102972</v>
      </c>
      <c r="S50" s="14">
        <f ca="1"/>
        <v>10.350719164119047</v>
      </c>
      <c r="T50" s="14">
        <f ca="1"/>
        <v>105.26505722184822</v>
      </c>
      <c r="U50" s="14" t="e">
        <f ca="1"/>
        <v>#REF!</v>
      </c>
      <c r="V50" s="14" t="e">
        <f ca="1"/>
        <v>#REF!</v>
      </c>
      <c r="X50" t="str">
        <f ca="1"/>
        <v>Country: Colombia</v>
      </c>
      <c r="Y50" s="7"/>
      <c r="Z50" s="7"/>
      <c r="AA50" s="7"/>
      <c r="AB50" s="20"/>
      <c r="AC50" s="7"/>
      <c r="AD50" s="7"/>
      <c r="AE50" s="7" t="e">
        <f ca="1"/>
        <v>#REF!</v>
      </c>
      <c r="AG50" t="str">
        <f ca="1"/>
        <v>Country: Equatorial Guinea</v>
      </c>
      <c r="AH50" s="17" cm="1">
        <f t="array" aca="1" ref="AH50" ca="1">IF(ROW()-12&lt;=IFERROR(ROWS(_xlfn.ANCHORARRAY($AI$13)),0),INDEX(_xlfn.ANCHORARRAY($AI$13),ROW()-12),"")</f>
        <v>6.0642813826561554E-4</v>
      </c>
      <c r="AI50" s="7">
        <f ca="1"/>
        <v>6.0642813826561554E-4</v>
      </c>
      <c r="AK50" t="str">
        <f ca="1"/>
        <v>Obs. 54</v>
      </c>
      <c r="AL50" s="7">
        <f ca="1"/>
        <v>49.6</v>
      </c>
      <c r="AN50" s="7" t="e">
        <f ca="1"/>
        <v>#REF!</v>
      </c>
      <c r="AO50" s="7" t="e">
        <f ca="1"/>
        <v>#REF!</v>
      </c>
      <c r="AP50" s="7">
        <f ca="1"/>
        <v>0.95950025339908829</v>
      </c>
      <c r="AQ50" s="7" t="e">
        <f ca="1"/>
        <v>#REF!</v>
      </c>
      <c r="AR50" s="7" t="e">
        <f ca="1"/>
        <v>#REF!</v>
      </c>
      <c r="AS50" s="7">
        <f ca="1"/>
        <v>-1.8986487576703672</v>
      </c>
      <c r="AT50" s="7" t="e">
        <f ca="1"/>
        <v>#REF!</v>
      </c>
      <c r="AU50" s="7" t="e">
        <f ca="1"/>
        <v>#REF!</v>
      </c>
      <c r="AV50" s="7" t="e">
        <f ca="1"/>
        <v>#REF!</v>
      </c>
    </row>
    <row r="51" spans="16:48" x14ac:dyDescent="0.25">
      <c r="P51" t="str">
        <f ca="1"/>
        <v>Country: Guatemala</v>
      </c>
      <c r="Q51" s="14">
        <f ca="1"/>
        <v>3.4086810412291495E-2</v>
      </c>
      <c r="R51" s="14">
        <f ca="1"/>
        <v>2.9602304134952056E-2</v>
      </c>
      <c r="S51" s="14">
        <f ca="1"/>
        <v>12.735820805331986</v>
      </c>
      <c r="T51" s="14">
        <f ca="1"/>
        <v>160.39566714841956</v>
      </c>
      <c r="U51" s="14" t="e">
        <f ca="1"/>
        <v>#REF!</v>
      </c>
      <c r="V51" s="14" t="e">
        <f ca="1"/>
        <v>#REF!</v>
      </c>
      <c r="X51" t="str">
        <f ca="1"/>
        <v>Country: Comoros</v>
      </c>
      <c r="Y51" s="7"/>
      <c r="Z51" s="7"/>
      <c r="AA51" s="7"/>
      <c r="AB51" s="20"/>
      <c r="AC51" s="7"/>
      <c r="AD51" s="7"/>
      <c r="AE51" s="7" t="e">
        <f ca="1"/>
        <v>#REF!</v>
      </c>
      <c r="AG51" t="str">
        <f ca="1"/>
        <v>Country: Eritrea</v>
      </c>
      <c r="AH51" s="17" cm="1">
        <f t="array" aca="1" ref="AH51" ca="1">IF(ROW()-12&lt;=IFERROR(ROWS(_xlfn.ANCHORARRAY($AI$13)),0),INDEX(_xlfn.ANCHORARRAY($AI$13),ROW()-12),"")</f>
        <v>6.0642813826561554E-3</v>
      </c>
      <c r="AI51" s="7">
        <f ca="1"/>
        <v>6.0642813826561554E-3</v>
      </c>
      <c r="AK51" t="str">
        <f ca="1"/>
        <v>Obs. 55</v>
      </c>
      <c r="AL51" s="7">
        <f ca="1"/>
        <v>49.1</v>
      </c>
      <c r="AN51" s="7" t="e">
        <f ca="1"/>
        <v>#REF!</v>
      </c>
      <c r="AO51" s="7" t="e">
        <f ca="1"/>
        <v>#REF!</v>
      </c>
      <c r="AP51" s="7">
        <f ca="1"/>
        <v>0.96806392971645949</v>
      </c>
      <c r="AQ51" s="7" t="e">
        <f ca="1"/>
        <v>#REF!</v>
      </c>
      <c r="AR51" s="7" t="e">
        <f ca="1"/>
        <v>#REF!</v>
      </c>
      <c r="AS51" s="7">
        <f ca="1"/>
        <v>-1.8895099603334302</v>
      </c>
      <c r="AT51" s="7" t="e">
        <f ca="1"/>
        <v>#REF!</v>
      </c>
      <c r="AU51" s="7" t="e">
        <f ca="1"/>
        <v>#REF!</v>
      </c>
      <c r="AV51" s="7" t="e">
        <f ca="1"/>
        <v>#REF!</v>
      </c>
    </row>
    <row r="52" spans="16:48" x14ac:dyDescent="0.25">
      <c r="P52" t="str">
        <f ca="1"/>
        <v>Country: Guinea</v>
      </c>
      <c r="Q52" s="14">
        <f ca="1"/>
        <v>-9.2017860478231267E-2</v>
      </c>
      <c r="R52" s="14">
        <f ca="1"/>
        <v>-9.0831226403483817E-2</v>
      </c>
      <c r="S52" s="14">
        <f ca="1"/>
        <v>14.265343480469802</v>
      </c>
      <c r="T52" s="14">
        <f ca="1"/>
        <v>201.74471066252593</v>
      </c>
      <c r="U52" s="14" t="e">
        <f ca="1"/>
        <v>#REF!</v>
      </c>
      <c r="V52" s="14" t="e">
        <f ca="1"/>
        <v>#REF!</v>
      </c>
      <c r="X52" t="str">
        <f ca="1"/>
        <v>Country: Costa Rica</v>
      </c>
      <c r="Y52" s="7"/>
      <c r="Z52" s="7"/>
      <c r="AA52" s="7"/>
      <c r="AB52" s="20"/>
      <c r="AC52" s="7"/>
      <c r="AD52" s="7"/>
      <c r="AE52" s="7" t="e">
        <f ca="1"/>
        <v>#REF!</v>
      </c>
      <c r="AG52" t="str">
        <f ca="1"/>
        <v>Country: Estonia</v>
      </c>
      <c r="AH52" s="17" cm="1">
        <f t="array" aca="1" ref="AH52" ca="1">IF(ROW()-12&lt;=IFERROR(ROWS(_xlfn.ANCHORARRAY($AI$13)),0),INDEX(_xlfn.ANCHORARRAY($AI$13),ROW()-12),"")</f>
        <v>6.6707095209217705E-3</v>
      </c>
      <c r="AI52" s="7">
        <f ca="1"/>
        <v>6.6707095209217705E-3</v>
      </c>
      <c r="AK52" t="str">
        <f ca="1"/>
        <v>Obs. 56</v>
      </c>
      <c r="AL52" s="7">
        <f ca="1"/>
        <v>48.7</v>
      </c>
      <c r="AN52" s="7" t="e">
        <f ca="1"/>
        <v>#REF!</v>
      </c>
      <c r="AO52" s="7" t="e">
        <f ca="1"/>
        <v>#REF!</v>
      </c>
      <c r="AP52" s="7">
        <f ca="1"/>
        <v>0.96113420118161041</v>
      </c>
      <c r="AQ52" s="7" t="e">
        <f ca="1"/>
        <v>#REF!</v>
      </c>
      <c r="AR52" s="7" t="e">
        <f ca="1"/>
        <v>#REF!</v>
      </c>
      <c r="AS52" s="7">
        <f ca="1"/>
        <v>-1.8805262984826756</v>
      </c>
      <c r="AT52" s="7" t="e">
        <f ca="1"/>
        <v>#REF!</v>
      </c>
      <c r="AU52" s="7" t="e">
        <f ca="1"/>
        <v>#REF!</v>
      </c>
      <c r="AV52" s="7" t="e">
        <f ca="1"/>
        <v>#REF!</v>
      </c>
    </row>
    <row r="53" spans="16:48" x14ac:dyDescent="0.25">
      <c r="P53" t="str">
        <f ca="1"/>
        <v>Country: Guinea-Bissau</v>
      </c>
      <c r="Q53" s="14">
        <f ca="1"/>
        <v>-8.2017739212121493E-2</v>
      </c>
      <c r="R53" s="14">
        <f ca="1"/>
        <v>-8.0021295382287069E-2</v>
      </c>
      <c r="S53" s="14">
        <f ca="1"/>
        <v>16.502494809875714</v>
      </c>
      <c r="T53" s="14">
        <f ca="1"/>
        <v>270.66060613459632</v>
      </c>
      <c r="U53" s="14" t="e">
        <f ca="1"/>
        <v>#REF!</v>
      </c>
      <c r="V53" s="14" t="e">
        <f ca="1"/>
        <v>#REF!</v>
      </c>
      <c r="X53" t="str">
        <f ca="1"/>
        <v>Country: Croatia</v>
      </c>
      <c r="Y53" s="7"/>
      <c r="Z53" s="7"/>
      <c r="AA53" s="7"/>
      <c r="AB53" s="20"/>
      <c r="AC53" s="7"/>
      <c r="AD53" s="7"/>
      <c r="AE53" s="7" t="e">
        <f ca="1"/>
        <v>#REF!</v>
      </c>
      <c r="AG53" t="str">
        <f ca="1"/>
        <v>Country: Ethiopia</v>
      </c>
      <c r="AH53" s="17" cm="1">
        <f t="array" aca="1" ref="AH53" ca="1">IF(ROW()-12&lt;=IFERROR(ROWS(_xlfn.ANCHORARRAY($AI$13)),0),INDEX(_xlfn.ANCHORARRAY($AI$13),ROW()-12),"")</f>
        <v>4.8514251061249243E-3</v>
      </c>
      <c r="AI53" s="7">
        <f ca="1"/>
        <v>4.8514251061249243E-3</v>
      </c>
      <c r="AK53" t="str">
        <f ca="1"/>
        <v>Obs. 57</v>
      </c>
      <c r="AL53" s="7">
        <f ca="1"/>
        <v>48.2</v>
      </c>
      <c r="AN53" s="7" t="e">
        <f ca="1"/>
        <v>#REF!</v>
      </c>
      <c r="AO53" s="7" t="e">
        <f ca="1"/>
        <v>#REF!</v>
      </c>
      <c r="AP53" s="7">
        <f ca="1"/>
        <v>0.96342950266046867</v>
      </c>
      <c r="AQ53" s="7" t="e">
        <f ca="1"/>
        <v>#REF!</v>
      </c>
      <c r="AR53" s="7" t="e">
        <f ca="1"/>
        <v>#REF!</v>
      </c>
      <c r="AS53" s="7">
        <f ca="1"/>
        <v>-1.8805262984826756</v>
      </c>
      <c r="AT53" s="7" t="e">
        <f ca="1"/>
        <v>#REF!</v>
      </c>
      <c r="AU53" s="7" t="e">
        <f ca="1"/>
        <v>#REF!</v>
      </c>
      <c r="AV53" s="7" t="e">
        <f ca="1"/>
        <v>#REF!</v>
      </c>
    </row>
    <row r="54" spans="16:48" x14ac:dyDescent="0.25">
      <c r="P54" t="str">
        <f ca="1"/>
        <v>Country: Guyana</v>
      </c>
      <c r="Q54" s="14">
        <f ca="1"/>
        <v>-3.880641967095922E-2</v>
      </c>
      <c r="R54" s="14">
        <f ca="1"/>
        <v>-6.6288467400607731E-2</v>
      </c>
      <c r="S54" s="14">
        <f ca="1"/>
        <v>10.723966554314634</v>
      </c>
      <c r="T54" s="14">
        <f ca="1"/>
        <v>113.14068067180703</v>
      </c>
      <c r="U54" s="14" t="e">
        <f ca="1"/>
        <v>#REF!</v>
      </c>
      <c r="V54" s="14" t="e">
        <f ca="1"/>
        <v>#REF!</v>
      </c>
      <c r="X54" t="str">
        <f ca="1"/>
        <v>Country: Cyprus</v>
      </c>
      <c r="Y54" s="7"/>
      <c r="Z54" s="7"/>
      <c r="AA54" s="7"/>
      <c r="AB54" s="20"/>
      <c r="AC54" s="7"/>
      <c r="AD54" s="7"/>
      <c r="AE54" s="7" t="e">
        <f ca="1"/>
        <v>#REF!</v>
      </c>
      <c r="AG54" t="str">
        <f ca="1"/>
        <v>Country: Fiji</v>
      </c>
      <c r="AH54" s="17" cm="1">
        <f t="array" aca="1" ref="AH54" ca="1">IF(ROW()-12&lt;=IFERROR(ROWS(_xlfn.ANCHORARRAY($AI$13)),0),INDEX(_xlfn.ANCHORARRAY($AI$13),ROW()-12),"")</f>
        <v>9.0964220739842335E-3</v>
      </c>
      <c r="AI54" s="7">
        <f ca="1"/>
        <v>9.0964220739842335E-3</v>
      </c>
      <c r="AK54" t="str">
        <f ca="1"/>
        <v>Obs. 82</v>
      </c>
      <c r="AL54" s="7">
        <f ca="1"/>
        <v>76.2</v>
      </c>
      <c r="AN54" s="7" t="e">
        <f ca="1"/>
        <v>#REF!</v>
      </c>
      <c r="AO54" s="7" t="e">
        <f ca="1"/>
        <v>#REF!</v>
      </c>
      <c r="AP54" s="7">
        <f ca="1"/>
        <v>-0.15793612405255963</v>
      </c>
      <c r="AQ54" s="7" t="e">
        <f ca="1"/>
        <v>#REF!</v>
      </c>
      <c r="AR54" s="7" t="e">
        <f ca="1"/>
        <v>#REF!</v>
      </c>
      <c r="AS54" s="7">
        <f ca="1"/>
        <v>-1.8630011940066851</v>
      </c>
      <c r="AT54" s="7" t="e">
        <f ca="1"/>
        <v>#REF!</v>
      </c>
      <c r="AU54" s="7" t="e">
        <f ca="1"/>
        <v>#REF!</v>
      </c>
      <c r="AV54" s="7" t="e">
        <f ca="1"/>
        <v>#REF!</v>
      </c>
    </row>
    <row r="55" spans="16:48" x14ac:dyDescent="0.25">
      <c r="P55" t="str">
        <f ca="1"/>
        <v>Country: Haiti</v>
      </c>
      <c r="Q55" s="14">
        <f ca="1"/>
        <v>-2.5369379190368722E-2</v>
      </c>
      <c r="R55" s="14">
        <f ca="1"/>
        <v>-3.4242104969237054E-2</v>
      </c>
      <c r="S55" s="14">
        <f ca="1"/>
        <v>28.687944841772108</v>
      </c>
      <c r="T55" s="14">
        <f ca="1"/>
        <v>821.99514047181378</v>
      </c>
      <c r="U55" s="14" t="e">
        <f ca="1"/>
        <v>#REF!</v>
      </c>
      <c r="V55" s="14" t="e">
        <f ca="1"/>
        <v>#REF!</v>
      </c>
      <c r="X55" t="str">
        <f ca="1"/>
        <v>Country: Djibouti</v>
      </c>
      <c r="Y55" s="7"/>
      <c r="Z55" s="7"/>
      <c r="AA55" s="7"/>
      <c r="AB55" s="20"/>
      <c r="AC55" s="7"/>
      <c r="AD55" s="7"/>
      <c r="AE55" s="7" t="e">
        <f ca="1"/>
        <v>#REF!</v>
      </c>
      <c r="AG55" t="str">
        <f ca="1"/>
        <v>Country: France</v>
      </c>
      <c r="AH55" s="17" cm="1">
        <f t="array" aca="1" ref="AH55" ca="1">IF(ROW()-12&lt;=IFERROR(ROWS(_xlfn.ANCHORARRAY($AI$13)),0),INDEX(_xlfn.ANCHORARRAY($AI$13),ROW()-12),"")</f>
        <v>9.0964220739842335E-3</v>
      </c>
      <c r="AI55" s="7">
        <f ca="1"/>
        <v>9.0964220739842335E-3</v>
      </c>
      <c r="AK55" t="str">
        <f ca="1"/>
        <v>Obs. 83</v>
      </c>
      <c r="AL55" s="7">
        <f ca="1"/>
        <v>76</v>
      </c>
      <c r="AN55" s="7" t="e">
        <f ca="1"/>
        <v>#REF!</v>
      </c>
      <c r="AO55" s="7" t="e">
        <f ca="1"/>
        <v>#REF!</v>
      </c>
      <c r="AP55" s="7">
        <f ca="1"/>
        <v>-0.15890999389136767</v>
      </c>
      <c r="AQ55" s="7" t="e">
        <f ca="1"/>
        <v>#REF!</v>
      </c>
      <c r="AR55" s="7" t="e">
        <f ca="1"/>
        <v>#REF!</v>
      </c>
      <c r="AS55" s="7">
        <f ca="1"/>
        <v>-1.8544489690938102</v>
      </c>
      <c r="AT55" s="7" t="e">
        <f ca="1"/>
        <v>#REF!</v>
      </c>
      <c r="AU55" s="7" t="e">
        <f ca="1"/>
        <v>#REF!</v>
      </c>
      <c r="AV55" s="7" t="e">
        <f ca="1"/>
        <v>#REF!</v>
      </c>
    </row>
    <row r="56" spans="16:48" x14ac:dyDescent="0.25">
      <c r="P56" t="str">
        <f ca="1"/>
        <v>Country: Honduras</v>
      </c>
      <c r="Q56" s="14">
        <f ca="1"/>
        <v>3.9051418850810649E-2</v>
      </c>
      <c r="R56" s="14">
        <f ca="1"/>
        <v>3.1090867362301832E-2</v>
      </c>
      <c r="S56" s="14">
        <f ca="1"/>
        <v>10.350719164119063</v>
      </c>
      <c r="T56" s="14">
        <f ca="1"/>
        <v>105.26505722184916</v>
      </c>
      <c r="U56" s="14" t="e">
        <f ca="1"/>
        <v>#REF!</v>
      </c>
      <c r="V56" s="14" t="e">
        <f ca="1"/>
        <v>#REF!</v>
      </c>
      <c r="X56" t="str">
        <f ca="1"/>
        <v>Country: Dominican Republic</v>
      </c>
      <c r="Y56" s="7"/>
      <c r="Z56" s="7"/>
      <c r="AA56" s="7"/>
      <c r="AB56" s="20"/>
      <c r="AC56" s="7"/>
      <c r="AD56" s="7"/>
      <c r="AE56" s="7" t="e">
        <f ca="1"/>
        <v>#REF!</v>
      </c>
      <c r="AG56" t="str">
        <f ca="1"/>
        <v>Country: Gabon</v>
      </c>
      <c r="AH56" s="17" cm="1">
        <f t="array" aca="1" ref="AH56" ca="1">IF(ROW()-12&lt;=IFERROR(ROWS(_xlfn.ANCHORARRAY($AI$13)),0),INDEX(_xlfn.ANCHORARRAY($AI$13),ROW()-12),"")</f>
        <v>6.0642813826561554E-3</v>
      </c>
      <c r="AI56" s="7">
        <f ca="1"/>
        <v>6.0642813826561554E-3</v>
      </c>
      <c r="AK56" t="str">
        <f ca="1"/>
        <v>Obs. 84</v>
      </c>
      <c r="AL56" s="7">
        <f ca="1"/>
        <v>75.900000000000006</v>
      </c>
      <c r="AN56" s="7" t="e">
        <f ca="1"/>
        <v>#REF!</v>
      </c>
      <c r="AO56" s="7" t="e">
        <f ca="1"/>
        <v>#REF!</v>
      </c>
      <c r="AP56" s="7">
        <f ca="1"/>
        <v>-0.15947856927049034</v>
      </c>
      <c r="AQ56" s="7" t="e">
        <f ca="1"/>
        <v>#REF!</v>
      </c>
      <c r="AR56" s="7" t="e">
        <f ca="1"/>
        <v>#REF!</v>
      </c>
      <c r="AS56" s="7">
        <f ca="1"/>
        <v>-1.8544489690938102</v>
      </c>
      <c r="AT56" s="7" t="e">
        <f ca="1"/>
        <v>#REF!</v>
      </c>
      <c r="AU56" s="7" t="e">
        <f ca="1"/>
        <v>#REF!</v>
      </c>
      <c r="AV56" s="7" t="e">
        <f ca="1"/>
        <v>#REF!</v>
      </c>
    </row>
    <row r="57" spans="16:48" x14ac:dyDescent="0.25">
      <c r="P57" t="str">
        <f ca="1"/>
        <v>Country: India</v>
      </c>
      <c r="Q57" s="14">
        <f ca="1"/>
        <v>-3.0772432047532591E-2</v>
      </c>
      <c r="R57" s="14">
        <f ca="1"/>
        <v>-5.4979820593234051E-2</v>
      </c>
      <c r="S57" s="14">
        <f ca="1"/>
        <v>12.131921568375962</v>
      </c>
      <c r="T57" s="14">
        <f ca="1"/>
        <v>145.35982016930635</v>
      </c>
      <c r="U57" s="14" t="e">
        <f ca="1"/>
        <v>#REF!</v>
      </c>
      <c r="V57" s="14" t="e">
        <f ca="1"/>
        <v>#REF!</v>
      </c>
      <c r="X57" t="str">
        <f ca="1"/>
        <v>Country: Ecuador</v>
      </c>
      <c r="Y57" s="7"/>
      <c r="Z57" s="7"/>
      <c r="AA57" s="7"/>
      <c r="AB57" s="20"/>
      <c r="AC57" s="7"/>
      <c r="AD57" s="7"/>
      <c r="AE57" s="7" t="e">
        <f ca="1"/>
        <v>#REF!</v>
      </c>
      <c r="AG57" t="str">
        <f ca="1"/>
        <v>Country: Georgia</v>
      </c>
      <c r="AH57" s="17" cm="1">
        <f t="array" aca="1" ref="AH57" ca="1">IF(ROW()-12&lt;=IFERROR(ROWS(_xlfn.ANCHORARRAY($AI$13)),0),INDEX(_xlfn.ANCHORARRAY($AI$13),ROW()-12),"")</f>
        <v>9.0964220739842335E-3</v>
      </c>
      <c r="AI57" s="7">
        <f ca="1"/>
        <v>9.0964220739842335E-3</v>
      </c>
      <c r="AK57" t="str">
        <f ca="1"/>
        <v>Obs. 85</v>
      </c>
      <c r="AL57" s="7">
        <f ca="1"/>
        <v>75.7</v>
      </c>
      <c r="AN57" s="7" t="e">
        <f ca="1"/>
        <v>#REF!</v>
      </c>
      <c r="AO57" s="7" t="e">
        <f ca="1"/>
        <v>#REF!</v>
      </c>
      <c r="AP57" s="7">
        <f ca="1"/>
        <v>-0.15120378176122551</v>
      </c>
      <c r="AQ57" s="7" t="e">
        <f ca="1"/>
        <v>#REF!</v>
      </c>
      <c r="AR57" s="7" t="e">
        <f ca="1"/>
        <v>#REF!</v>
      </c>
      <c r="AS57" s="7">
        <f ca="1"/>
        <v>-1.8544489690938102</v>
      </c>
      <c r="AT57" s="7" t="e">
        <f ca="1"/>
        <v>#REF!</v>
      </c>
      <c r="AU57" s="7" t="e">
        <f ca="1"/>
        <v>#REF!</v>
      </c>
      <c r="AV57" s="7" t="e">
        <f ca="1"/>
        <v>#REF!</v>
      </c>
    </row>
    <row r="58" spans="16:48" x14ac:dyDescent="0.25">
      <c r="P58" t="str">
        <f ca="1"/>
        <v>Country: Indonesia</v>
      </c>
      <c r="Q58" s="14">
        <f ca="1"/>
        <v>-2.0144432897529721E-2</v>
      </c>
      <c r="R58" s="14">
        <f ca="1"/>
        <v>-4.6998602907407067E-2</v>
      </c>
      <c r="S58" s="14">
        <f ca="1"/>
        <v>10.350719164119072</v>
      </c>
      <c r="T58" s="14">
        <f ca="1"/>
        <v>105.26505722184959</v>
      </c>
      <c r="U58" s="14" t="e">
        <f ca="1"/>
        <v>#REF!</v>
      </c>
      <c r="V58" s="14" t="e">
        <f ca="1"/>
        <v>#REF!</v>
      </c>
      <c r="X58" t="str">
        <f ca="1"/>
        <v>Country: El Salvador</v>
      </c>
      <c r="Y58" s="7"/>
      <c r="Z58" s="7"/>
      <c r="AA58" s="7"/>
      <c r="AB58" s="20"/>
      <c r="AC58" s="7"/>
      <c r="AD58" s="7"/>
      <c r="AE58" s="7" t="e">
        <f ca="1"/>
        <v>#REF!</v>
      </c>
      <c r="AG58" t="str">
        <f ca="1"/>
        <v>Country: Germany</v>
      </c>
      <c r="AH58" s="17" cm="1">
        <f t="array" aca="1" ref="AH58" ca="1">IF(ROW()-12&lt;=IFERROR(ROWS(_xlfn.ANCHORARRAY($AI$13)),0),INDEX(_xlfn.ANCHORARRAY($AI$13),ROW()-12),"")</f>
        <v>9.0964220739842335E-3</v>
      </c>
      <c r="AI58" s="7">
        <f ca="1"/>
        <v>9.0964220739842335E-3</v>
      </c>
      <c r="AK58" t="str">
        <f ca="1"/>
        <v>Obs. 86</v>
      </c>
      <c r="AL58" s="7">
        <f ca="1"/>
        <v>75.5</v>
      </c>
      <c r="AN58" s="7" t="e">
        <f ca="1"/>
        <v>#REF!</v>
      </c>
      <c r="AO58" s="7" t="e">
        <f ca="1"/>
        <v>#REF!</v>
      </c>
      <c r="AP58" s="7">
        <f ca="1"/>
        <v>-0.16240953510169051</v>
      </c>
      <c r="AQ58" s="7" t="e">
        <f ca="1"/>
        <v>#REF!</v>
      </c>
      <c r="AR58" s="7" t="e">
        <f ca="1"/>
        <v>#REF!</v>
      </c>
      <c r="AS58" s="7">
        <f ca="1"/>
        <v>-1.8295749434197282</v>
      </c>
      <c r="AT58" s="7" t="e">
        <f ca="1"/>
        <v>#REF!</v>
      </c>
      <c r="AU58" s="7" t="e">
        <f ca="1"/>
        <v>#REF!</v>
      </c>
      <c r="AV58" s="7" t="e">
        <f ca="1"/>
        <v>#REF!</v>
      </c>
    </row>
    <row r="59" spans="16:48" x14ac:dyDescent="0.25">
      <c r="P59" t="str">
        <f ca="1"/>
        <v>Country: Iraq</v>
      </c>
      <c r="Q59" s="14">
        <f ca="1"/>
        <v>1.0144132314371185E-2</v>
      </c>
      <c r="R59" s="14">
        <f ca="1"/>
        <v>2.7388182760648902E-3</v>
      </c>
      <c r="S59" s="14">
        <f ca="1"/>
        <v>12.131921568375969</v>
      </c>
      <c r="T59" s="14">
        <f ca="1"/>
        <v>145.35982016930663</v>
      </c>
      <c r="U59" s="14" t="e">
        <f ca="1"/>
        <v>#REF!</v>
      </c>
      <c r="V59" s="14" t="e">
        <f ca="1"/>
        <v>#REF!</v>
      </c>
      <c r="X59" t="str">
        <f ca="1"/>
        <v>Country: Equatorial Guinea</v>
      </c>
      <c r="Y59" s="7"/>
      <c r="Z59" s="7"/>
      <c r="AA59" s="7"/>
      <c r="AB59" s="20"/>
      <c r="AC59" s="7"/>
      <c r="AD59" s="7"/>
      <c r="AE59" s="7" t="e">
        <f ca="1"/>
        <v>#REF!</v>
      </c>
      <c r="AG59" t="str">
        <f ca="1"/>
        <v>Country: Ghana</v>
      </c>
      <c r="AH59" s="17" cm="1">
        <f t="array" aca="1" ref="AH59" ca="1">IF(ROW()-12&lt;=IFERROR(ROWS(_xlfn.ANCHORARRAY($AI$13)),0),INDEX(_xlfn.ANCHORARRAY($AI$13),ROW()-12),"")</f>
        <v>7.8835657974530016E-3</v>
      </c>
      <c r="AI59" s="7">
        <f ca="1"/>
        <v>7.8835657974530016E-3</v>
      </c>
      <c r="AK59" t="str">
        <f ca="1"/>
        <v>Obs. 87</v>
      </c>
      <c r="AL59" s="7">
        <f ca="1"/>
        <v>75.599999999999994</v>
      </c>
      <c r="AN59" s="7" t="e">
        <f ca="1"/>
        <v>#REF!</v>
      </c>
      <c r="AO59" s="7" t="e">
        <f ca="1"/>
        <v>#REF!</v>
      </c>
      <c r="AP59" s="7">
        <f ca="1"/>
        <v>-0.1619513652803177</v>
      </c>
      <c r="AQ59" s="7" t="e">
        <f ca="1"/>
        <v>#REF!</v>
      </c>
      <c r="AR59" s="7" t="e">
        <f ca="1"/>
        <v>#REF!</v>
      </c>
      <c r="AS59" s="7">
        <f ca="1"/>
        <v>-1.8215296776288319</v>
      </c>
      <c r="AT59" s="7" t="e">
        <f ca="1"/>
        <v>#REF!</v>
      </c>
      <c r="AU59" s="7" t="e">
        <f ca="1"/>
        <v>#REF!</v>
      </c>
      <c r="AV59" s="7" t="e">
        <f ca="1"/>
        <v>#REF!</v>
      </c>
    </row>
    <row r="60" spans="16:48" x14ac:dyDescent="0.25">
      <c r="P60" t="str">
        <f ca="1"/>
        <v>Country: Ireland</v>
      </c>
      <c r="Q60" s="14">
        <f ca="1"/>
        <v>8.8658022878194229E-2</v>
      </c>
      <c r="R60" s="14">
        <f ca="1"/>
        <v>8.881398774990118E-2</v>
      </c>
      <c r="S60" s="14">
        <f ca="1"/>
        <v>18.094157951396873</v>
      </c>
      <c r="T60" s="14">
        <f ca="1"/>
        <v>325.79369171283662</v>
      </c>
      <c r="U60" s="14" t="e">
        <f ca="1"/>
        <v>#REF!</v>
      </c>
      <c r="V60" s="14" t="e">
        <f ca="1"/>
        <v>#REF!</v>
      </c>
      <c r="X60" t="str">
        <f ca="1"/>
        <v>Country: Eritrea</v>
      </c>
      <c r="Y60" s="7"/>
      <c r="Z60" s="7"/>
      <c r="AA60" s="7"/>
      <c r="AB60" s="20"/>
      <c r="AC60" s="7"/>
      <c r="AD60" s="7"/>
      <c r="AE60" s="7" t="e">
        <f ca="1"/>
        <v>#REF!</v>
      </c>
      <c r="AG60" t="str">
        <f ca="1"/>
        <v>Country: Greece</v>
      </c>
      <c r="AH60" s="17" cm="1">
        <f t="array" aca="1" ref="AH60" ca="1">IF(ROW()-12&lt;=IFERROR(ROWS(_xlfn.ANCHORARRAY($AI$13)),0),INDEX(_xlfn.ANCHORARRAY($AI$13),ROW()-12),"")</f>
        <v>9.0964220739842335E-3</v>
      </c>
      <c r="AI60" s="7">
        <f ca="1"/>
        <v>9.0964220739842335E-3</v>
      </c>
      <c r="AK60" t="str">
        <f ca="1"/>
        <v>Obs. 88</v>
      </c>
      <c r="AL60" s="7">
        <f ca="1"/>
        <v>75.400000000000006</v>
      </c>
      <c r="AN60" s="7" t="e">
        <f ca="1"/>
        <v>#REF!</v>
      </c>
      <c r="AO60" s="7" t="e">
        <f ca="1"/>
        <v>#REF!</v>
      </c>
      <c r="AP60" s="7">
        <f ca="1"/>
        <v>-0.15233989788674024</v>
      </c>
      <c r="AQ60" s="7" t="e">
        <f ca="1"/>
        <v>#REF!</v>
      </c>
      <c r="AR60" s="7" t="e">
        <f ca="1"/>
        <v>#REF!</v>
      </c>
      <c r="AS60" s="7">
        <f ca="1"/>
        <v>-1.8215296776288319</v>
      </c>
      <c r="AT60" s="7" t="e">
        <f ca="1"/>
        <v>#REF!</v>
      </c>
      <c r="AU60" s="7" t="e">
        <f ca="1"/>
        <v>#REF!</v>
      </c>
      <c r="AV60" s="7" t="e">
        <f ca="1"/>
        <v>#REF!</v>
      </c>
    </row>
    <row r="61" spans="16:48" x14ac:dyDescent="0.25">
      <c r="P61" t="str">
        <f ca="1"/>
        <v>Country: Israel</v>
      </c>
      <c r="Q61" s="14">
        <f ca="1"/>
        <v>0.12984260251390956</v>
      </c>
      <c r="R61" s="14">
        <f ca="1"/>
        <v>0.14592043035448912</v>
      </c>
      <c r="S61" s="14">
        <f ca="1"/>
        <v>10.350719164119081</v>
      </c>
      <c r="T61" s="14">
        <f ca="1"/>
        <v>105.26505722185004</v>
      </c>
      <c r="U61" s="14" t="e">
        <f ca="1"/>
        <v>#REF!</v>
      </c>
      <c r="V61" s="14" t="e">
        <f ca="1"/>
        <v>#REF!</v>
      </c>
      <c r="X61" t="str">
        <f ca="1"/>
        <v>Country: Estonia</v>
      </c>
      <c r="Y61" s="7"/>
      <c r="Z61" s="7"/>
      <c r="AA61" s="7"/>
      <c r="AB61" s="20"/>
      <c r="AC61" s="7"/>
      <c r="AD61" s="7"/>
      <c r="AE61" s="7" t="e">
        <f ca="1"/>
        <v>#REF!</v>
      </c>
      <c r="AG61" t="str">
        <f ca="1"/>
        <v>Country: Guatemala</v>
      </c>
      <c r="AH61" s="17" cm="1">
        <f t="array" aca="1" ref="AH61" ca="1">IF(ROW()-12&lt;=IFERROR(ROWS(_xlfn.ANCHORARRAY($AI$13)),0),INDEX(_xlfn.ANCHORARRAY($AI$13),ROW()-12),"")</f>
        <v>6.0642813826561554E-3</v>
      </c>
      <c r="AI61" s="7">
        <f ca="1"/>
        <v>6.0642813826561554E-3</v>
      </c>
      <c r="AK61" t="str">
        <f ca="1"/>
        <v>Obs. 89</v>
      </c>
      <c r="AL61" s="7">
        <f ca="1"/>
        <v>74.8</v>
      </c>
      <c r="AN61" s="7" t="e">
        <f ca="1"/>
        <v>#REF!</v>
      </c>
      <c r="AO61" s="7" t="e">
        <f ca="1"/>
        <v>#REF!</v>
      </c>
      <c r="AP61" s="7">
        <f ca="1"/>
        <v>-0.16314597735930567</v>
      </c>
      <c r="AQ61" s="7" t="e">
        <f ca="1"/>
        <v>#REF!</v>
      </c>
      <c r="AR61" s="7" t="e">
        <f ca="1"/>
        <v>#REF!</v>
      </c>
      <c r="AS61" s="7">
        <f ca="1"/>
        <v>-1.8215296776288319</v>
      </c>
      <c r="AT61" s="7" t="e">
        <f ca="1"/>
        <v>#REF!</v>
      </c>
      <c r="AU61" s="7" t="e">
        <f ca="1"/>
        <v>#REF!</v>
      </c>
      <c r="AV61" s="7" t="e">
        <f ca="1"/>
        <v>#REF!</v>
      </c>
    </row>
    <row r="62" spans="16:48" x14ac:dyDescent="0.25">
      <c r="P62" t="str">
        <f ca="1"/>
        <v>Country: Italy</v>
      </c>
      <c r="Q62" s="14">
        <f ca="1"/>
        <v>0.14001121508417674</v>
      </c>
      <c r="R62" s="14">
        <f ca="1"/>
        <v>0.14966421628201704</v>
      </c>
      <c r="S62" s="14">
        <f ca="1"/>
        <v>10.350719164119083</v>
      </c>
      <c r="T62" s="14">
        <f ca="1"/>
        <v>105.26505722185034</v>
      </c>
      <c r="U62" s="14" t="e">
        <f ca="1"/>
        <v>#REF!</v>
      </c>
      <c r="V62" s="14" t="e">
        <f ca="1"/>
        <v>#REF!</v>
      </c>
      <c r="X62" t="str">
        <f ca="1"/>
        <v>Country: Ethiopia</v>
      </c>
      <c r="Y62" s="7"/>
      <c r="Z62" s="7"/>
      <c r="AA62" s="7"/>
      <c r="AB62" s="20"/>
      <c r="AC62" s="7"/>
      <c r="AD62" s="7"/>
      <c r="AE62" s="7" t="e">
        <f ca="1"/>
        <v>#REF!</v>
      </c>
      <c r="AG62" t="str">
        <f ca="1"/>
        <v>Country: Guinea</v>
      </c>
      <c r="AH62" s="17" cm="1">
        <f t="array" aca="1" ref="AH62" ca="1">IF(ROW()-12&lt;=IFERROR(ROWS(_xlfn.ANCHORARRAY($AI$13)),0),INDEX(_xlfn.ANCHORARRAY($AI$13),ROW()-12),"")</f>
        <v>4.8514251061249243E-3</v>
      </c>
      <c r="AI62" s="7">
        <f ca="1"/>
        <v>4.8514251061249243E-3</v>
      </c>
      <c r="AK62" t="str">
        <f ca="1"/>
        <v>Obs. 90</v>
      </c>
      <c r="AL62" s="7">
        <f ca="1"/>
        <v>75.2</v>
      </c>
      <c r="AN62" s="7" t="e">
        <f ca="1"/>
        <v>#REF!</v>
      </c>
      <c r="AO62" s="7" t="e">
        <f ca="1"/>
        <v>#REF!</v>
      </c>
      <c r="AP62" s="7">
        <f ca="1"/>
        <v>-0.16282947371532161</v>
      </c>
      <c r="AQ62" s="7" t="e">
        <f ca="1"/>
        <v>#REF!</v>
      </c>
      <c r="AR62" s="7" t="e">
        <f ca="1"/>
        <v>#REF!</v>
      </c>
      <c r="AS62" s="7">
        <f ca="1"/>
        <v>-1.7980761038936304</v>
      </c>
      <c r="AT62" s="7" t="e">
        <f ca="1"/>
        <v>#REF!</v>
      </c>
      <c r="AU62" s="7" t="e">
        <f ca="1"/>
        <v>#REF!</v>
      </c>
      <c r="AV62" s="7" t="e">
        <f ca="1"/>
        <v>#REF!</v>
      </c>
    </row>
    <row r="63" spans="16:48" x14ac:dyDescent="0.25">
      <c r="P63" t="str">
        <f ca="1"/>
        <v>Country: Jamaica</v>
      </c>
      <c r="Q63">
        <f ca="1"/>
        <v>5.0765983257820585E-2</v>
      </c>
      <c r="R63">
        <f ca="1"/>
        <v>6.3761860776198137E-2</v>
      </c>
      <c r="S63">
        <f ca="1"/>
        <v>11.604695115063588</v>
      </c>
      <c r="T63">
        <f ca="1"/>
        <v>132.83005112143638</v>
      </c>
      <c r="U63" t="e">
        <f ca="1"/>
        <v>#REF!</v>
      </c>
      <c r="V63" t="e">
        <f ca="1"/>
        <v>#REF!</v>
      </c>
      <c r="X63" t="str">
        <f ca="1"/>
        <v>Country: Fiji</v>
      </c>
      <c r="AE63" t="e">
        <f ca="1"/>
        <v>#REF!</v>
      </c>
      <c r="AG63" t="str">
        <f ca="1"/>
        <v>Country: Guinea-Bissau</v>
      </c>
      <c r="AI63" s="7">
        <f ca="1"/>
        <v>3.6385688295936932E-3</v>
      </c>
      <c r="AK63" t="str">
        <f ca="1"/>
        <v>Obs. 91</v>
      </c>
      <c r="AL63" s="7">
        <f ca="1"/>
        <v>74.900000000000006</v>
      </c>
      <c r="AN63" s="7" t="e">
        <f ca="1"/>
        <v>#REF!</v>
      </c>
      <c r="AO63" s="7" t="e">
        <f ca="1"/>
        <v>#REF!</v>
      </c>
      <c r="AP63" s="7">
        <f ca="1"/>
        <v>-0.16231336115537717</v>
      </c>
      <c r="AQ63" s="7" t="e">
        <f ca="1"/>
        <v>#REF!</v>
      </c>
      <c r="AR63" s="7" t="e">
        <f ca="1"/>
        <v>#REF!</v>
      </c>
      <c r="AS63" s="7">
        <f ca="1"/>
        <v>-1.7980761038936304</v>
      </c>
      <c r="AT63" s="7" t="e">
        <f ca="1"/>
        <v>#REF!</v>
      </c>
      <c r="AU63" s="7" t="e">
        <f ca="1"/>
        <v>#REF!</v>
      </c>
      <c r="AV63" s="7" t="e">
        <f ca="1"/>
        <v>#REF!</v>
      </c>
    </row>
    <row r="64" spans="16:48" x14ac:dyDescent="0.25">
      <c r="P64" t="str">
        <f ca="1"/>
        <v>Country: Jordan</v>
      </c>
      <c r="Q64">
        <f ca="1"/>
        <v>3.9341950638532658E-2</v>
      </c>
      <c r="R64">
        <f ca="1"/>
        <v>3.0949972192986265E-2</v>
      </c>
      <c r="S64">
        <f ca="1"/>
        <v>10.350719164119091</v>
      </c>
      <c r="T64">
        <f ca="1"/>
        <v>105.26505722185082</v>
      </c>
      <c r="U64" t="e">
        <f ca="1"/>
        <v>#REF!</v>
      </c>
      <c r="V64" t="e">
        <f ca="1"/>
        <v>#REF!</v>
      </c>
      <c r="X64" t="str">
        <f ca="1"/>
        <v>Country: France</v>
      </c>
      <c r="AE64" t="e">
        <f ca="1"/>
        <v>#REF!</v>
      </c>
      <c r="AG64" t="str">
        <f ca="1"/>
        <v>Country: Guyana</v>
      </c>
      <c r="AI64" s="7">
        <f ca="1"/>
        <v>8.4899939357186167E-3</v>
      </c>
      <c r="AK64" t="str">
        <f ca="1"/>
        <v>Obs. 92</v>
      </c>
      <c r="AL64" s="7">
        <f ca="1"/>
        <v>74.7</v>
      </c>
      <c r="AN64" s="7" t="e">
        <f ca="1"/>
        <v>#REF!</v>
      </c>
      <c r="AO64" s="7" t="e">
        <f ca="1"/>
        <v>#REF!</v>
      </c>
      <c r="AP64" s="7">
        <f ca="1"/>
        <v>-0.16131283196247084</v>
      </c>
      <c r="AQ64" s="7" t="e">
        <f ca="1"/>
        <v>#REF!</v>
      </c>
      <c r="AR64" s="7" t="e">
        <f ca="1"/>
        <v>#REF!</v>
      </c>
      <c r="AS64" s="7">
        <f ca="1"/>
        <v>-1.7980761038936304</v>
      </c>
      <c r="AT64" s="7" t="e">
        <f ca="1"/>
        <v>#REF!</v>
      </c>
      <c r="AU64" s="7" t="e">
        <f ca="1"/>
        <v>#REF!</v>
      </c>
      <c r="AV64" s="7" t="e">
        <f ca="1"/>
        <v>#REF!</v>
      </c>
    </row>
    <row r="65" spans="16:48" x14ac:dyDescent="0.25">
      <c r="P65" t="str">
        <f ca="1"/>
        <v>Country: Kazakhstan</v>
      </c>
      <c r="Q65">
        <f ca="1"/>
        <v>-3.147517261868446E-2</v>
      </c>
      <c r="R65">
        <f ca="1"/>
        <v>-5.8558716085060504E-2</v>
      </c>
      <c r="S65">
        <f ca="1"/>
        <v>10.3507191641191</v>
      </c>
      <c r="T65">
        <f ca="1"/>
        <v>105.26505722185107</v>
      </c>
      <c r="U65" t="e">
        <f ca="1"/>
        <v>#REF!</v>
      </c>
      <c r="V65" t="e">
        <f ca="1"/>
        <v>#REF!</v>
      </c>
      <c r="X65" t="str">
        <f ca="1"/>
        <v>Country: Gabon</v>
      </c>
      <c r="AE65" t="e">
        <f ca="1"/>
        <v>#REF!</v>
      </c>
      <c r="AG65" t="str">
        <f ca="1"/>
        <v>Country: Haiti</v>
      </c>
      <c r="AI65" s="7">
        <f ca="1"/>
        <v>1.2128562765312311E-3</v>
      </c>
      <c r="AK65" t="str">
        <f ca="1"/>
        <v>Obs. 93</v>
      </c>
      <c r="AL65" s="7">
        <f ca="1"/>
        <v>74.099999999999994</v>
      </c>
      <c r="AN65" s="7" t="e">
        <f ca="1"/>
        <v>#REF!</v>
      </c>
      <c r="AO65" s="7" t="e">
        <f ca="1"/>
        <v>#REF!</v>
      </c>
      <c r="AP65" s="7">
        <f ca="1"/>
        <v>-0.16045779965408694</v>
      </c>
      <c r="AQ65" s="7" t="e">
        <f ca="1"/>
        <v>#REF!</v>
      </c>
      <c r="AR65" s="7" t="e">
        <f ca="1"/>
        <v>#REF!</v>
      </c>
      <c r="AS65" s="7">
        <f ca="1"/>
        <v>-1.7755718253255368</v>
      </c>
      <c r="AT65" s="7" t="e">
        <f ca="1"/>
        <v>#REF!</v>
      </c>
      <c r="AU65" s="7" t="e">
        <f ca="1"/>
        <v>#REF!</v>
      </c>
      <c r="AV65" s="7" t="e">
        <f ca="1"/>
        <v>#REF!</v>
      </c>
    </row>
    <row r="66" spans="16:48" x14ac:dyDescent="0.25">
      <c r="P66" t="str">
        <f ca="1"/>
        <v>Country: Kenya</v>
      </c>
      <c r="Q66">
        <f ca="1"/>
        <v>-0.11573469145388621</v>
      </c>
      <c r="R66">
        <f ca="1"/>
        <v>-0.11350468659942388</v>
      </c>
      <c r="S66">
        <f ca="1"/>
        <v>11.139110863412563</v>
      </c>
      <c r="T66">
        <f ca="1"/>
        <v>122.22803450340902</v>
      </c>
      <c r="U66" t="e">
        <f ca="1"/>
        <v>#REF!</v>
      </c>
      <c r="V66" t="e">
        <f ca="1"/>
        <v>#REF!</v>
      </c>
      <c r="X66" t="str">
        <f ca="1"/>
        <v>Country: Georgia</v>
      </c>
      <c r="AE66" t="e">
        <f ca="1"/>
        <v>#REF!</v>
      </c>
      <c r="AG66" t="str">
        <f ca="1"/>
        <v>Country: Honduras</v>
      </c>
      <c r="AI66" s="7">
        <f ca="1"/>
        <v>9.0964220739842335E-3</v>
      </c>
      <c r="AK66" t="str">
        <f ca="1"/>
        <v>Obs. 94</v>
      </c>
      <c r="AL66" s="7">
        <f ca="1"/>
        <v>74.099999999999994</v>
      </c>
      <c r="AN66" s="7" t="e">
        <f ca="1"/>
        <v>#REF!</v>
      </c>
      <c r="AO66" s="7" t="e">
        <f ca="1"/>
        <v>#REF!</v>
      </c>
      <c r="AP66" s="7">
        <f ca="1"/>
        <v>-0.15965076506124584</v>
      </c>
      <c r="AQ66" s="7" t="e">
        <f ca="1"/>
        <v>#REF!</v>
      </c>
      <c r="AR66" s="7" t="e">
        <f ca="1"/>
        <v>#REF!</v>
      </c>
      <c r="AS66" s="7">
        <f ca="1"/>
        <v>-1.7755718253255368</v>
      </c>
      <c r="AT66" s="7" t="e">
        <f ca="1"/>
        <v>#REF!</v>
      </c>
      <c r="AU66" s="7" t="e">
        <f ca="1"/>
        <v>#REF!</v>
      </c>
      <c r="AV66" s="7" t="e">
        <f ca="1"/>
        <v>#REF!</v>
      </c>
    </row>
    <row r="67" spans="16:48" x14ac:dyDescent="0.25">
      <c r="P67" t="str">
        <f ca="1"/>
        <v>Country: Kiribati</v>
      </c>
      <c r="Q67">
        <f ca="1"/>
        <v>-4.6074394951710874E-2</v>
      </c>
      <c r="R67">
        <f ca="1"/>
        <v>-7.5144090301635852E-2</v>
      </c>
      <c r="S67">
        <f ca="1"/>
        <v>10.350719164119111</v>
      </c>
      <c r="T67">
        <f ca="1"/>
        <v>105.26505722185152</v>
      </c>
      <c r="U67" t="e">
        <f ca="1"/>
        <v>#REF!</v>
      </c>
      <c r="V67" t="e">
        <f ca="1"/>
        <v>#REF!</v>
      </c>
      <c r="X67" t="str">
        <f ca="1"/>
        <v>Country: Germany</v>
      </c>
      <c r="AE67" t="e">
        <f ca="1"/>
        <v>#REF!</v>
      </c>
      <c r="AG67" t="str">
        <f ca="1"/>
        <v>Country: India</v>
      </c>
      <c r="AI67" s="7">
        <f ca="1"/>
        <v>6.6707095209217705E-3</v>
      </c>
      <c r="AK67" t="str">
        <f ca="1"/>
        <v>Obs. 98</v>
      </c>
      <c r="AL67" s="7">
        <f ca="1"/>
        <v>74.599999999999994</v>
      </c>
      <c r="AN67" s="7" t="e">
        <f ca="1"/>
        <v>#REF!</v>
      </c>
      <c r="AO67" s="7" t="e">
        <f ca="1"/>
        <v>#REF!</v>
      </c>
      <c r="AP67" s="7">
        <f ca="1"/>
        <v>0.50802145184575598</v>
      </c>
      <c r="AQ67" s="7" t="e">
        <f ca="1"/>
        <v>#REF!</v>
      </c>
      <c r="AR67" s="7" t="e">
        <f ca="1"/>
        <v>#REF!</v>
      </c>
      <c r="AS67" s="7">
        <f ca="1"/>
        <v>-1.7610542000458449</v>
      </c>
      <c r="AT67" s="7" t="e">
        <f ca="1"/>
        <v>#REF!</v>
      </c>
      <c r="AU67" s="7" t="e">
        <f ca="1"/>
        <v>#REF!</v>
      </c>
      <c r="AV67" s="7" t="e">
        <f ca="1"/>
        <v>#REF!</v>
      </c>
    </row>
    <row r="68" spans="16:48" x14ac:dyDescent="0.25">
      <c r="P68" t="str">
        <f ca="1"/>
        <v>Country: Latvia</v>
      </c>
      <c r="Q68">
        <f ca="1"/>
        <v>4.7622106588607348E-2</v>
      </c>
      <c r="R68">
        <f ca="1"/>
        <v>4.6931509969637748E-2</v>
      </c>
      <c r="S68">
        <f ca="1"/>
        <v>10.350719164119109</v>
      </c>
      <c r="T68">
        <f ca="1"/>
        <v>105.26505722185178</v>
      </c>
      <c r="U68" t="e">
        <f ca="1"/>
        <v>#REF!</v>
      </c>
      <c r="V68" t="e">
        <f ca="1"/>
        <v>#REF!</v>
      </c>
      <c r="X68" t="str">
        <f ca="1"/>
        <v>Country: Ghana</v>
      </c>
      <c r="AE68" t="e">
        <f ca="1"/>
        <v>#REF!</v>
      </c>
      <c r="AG68" t="str">
        <f ca="1"/>
        <v>Country: Indonesia</v>
      </c>
      <c r="AI68" s="7">
        <f ca="1"/>
        <v>9.0964220739842335E-3</v>
      </c>
      <c r="AK68" t="str">
        <f ca="1"/>
        <v>Obs. 99</v>
      </c>
      <c r="AL68" s="7">
        <f ca="1"/>
        <v>74.400000000000006</v>
      </c>
      <c r="AN68" s="7" t="e">
        <f ca="1"/>
        <v>#REF!</v>
      </c>
      <c r="AO68" s="7" t="e">
        <f ca="1"/>
        <v>#REF!</v>
      </c>
      <c r="AP68" s="7">
        <f ca="1"/>
        <v>0.50675889366345439</v>
      </c>
      <c r="AQ68" s="7" t="e">
        <f ca="1"/>
        <v>#REF!</v>
      </c>
      <c r="AR68" s="7" t="e">
        <f ca="1"/>
        <v>#REF!</v>
      </c>
      <c r="AS68" s="7">
        <f ca="1"/>
        <v>-1.7610542000458449</v>
      </c>
      <c r="AT68" s="7" t="e">
        <f ca="1"/>
        <v>#REF!</v>
      </c>
      <c r="AU68" s="7" t="e">
        <f ca="1"/>
        <v>#REF!</v>
      </c>
      <c r="AV68" s="7" t="e">
        <f ca="1"/>
        <v>#REF!</v>
      </c>
    </row>
    <row r="69" spans="16:48" x14ac:dyDescent="0.25">
      <c r="P69" t="str">
        <f ca="1"/>
        <v>Country: Lebanon</v>
      </c>
      <c r="Q69">
        <f ca="1"/>
        <v>5.2851678767601842E-2</v>
      </c>
      <c r="R69">
        <f ca="1"/>
        <v>6.2973431390281609E-2</v>
      </c>
      <c r="S69">
        <f ca="1"/>
        <v>10.350719164119118</v>
      </c>
      <c r="T69">
        <f ca="1"/>
        <v>105.26505722185203</v>
      </c>
      <c r="U69" t="e">
        <f ca="1"/>
        <v>#REF!</v>
      </c>
      <c r="V69" t="e">
        <f ca="1"/>
        <v>#REF!</v>
      </c>
      <c r="X69" t="str">
        <f ca="1"/>
        <v>Country: Greece</v>
      </c>
      <c r="AE69" t="e">
        <f ca="1"/>
        <v>#REF!</v>
      </c>
      <c r="AG69" t="str">
        <f ca="1"/>
        <v>Country: Iraq</v>
      </c>
      <c r="AI69" s="7">
        <f ca="1"/>
        <v>6.6707095209217705E-3</v>
      </c>
      <c r="AK69" t="str">
        <f ca="1"/>
        <v>Obs. 100</v>
      </c>
      <c r="AL69" s="7">
        <f ca="1"/>
        <v>74.400000000000006</v>
      </c>
      <c r="AN69" s="7" t="e">
        <f ca="1"/>
        <v>#REF!</v>
      </c>
      <c r="AO69" s="7" t="e">
        <f ca="1"/>
        <v>#REF!</v>
      </c>
      <c r="AP69" s="7">
        <f ca="1"/>
        <v>0.50618258975820041</v>
      </c>
      <c r="AQ69" s="7" t="e">
        <f ca="1"/>
        <v>#REF!</v>
      </c>
      <c r="AR69" s="7" t="e">
        <f ca="1"/>
        <v>#REF!</v>
      </c>
      <c r="AS69" s="7">
        <f ca="1"/>
        <v>-1.7468985212689381</v>
      </c>
      <c r="AT69" s="7" t="e">
        <f ca="1"/>
        <v>#REF!</v>
      </c>
      <c r="AU69" s="7" t="e">
        <f ca="1"/>
        <v>#REF!</v>
      </c>
      <c r="AV69" s="7" t="e">
        <f ca="1"/>
        <v>#REF!</v>
      </c>
    </row>
    <row r="70" spans="16:48" x14ac:dyDescent="0.25">
      <c r="P70" t="str">
        <f ca="1"/>
        <v>Country: Lesotho</v>
      </c>
      <c r="Q70">
        <f ca="1"/>
        <v>-0.20147234537492575</v>
      </c>
      <c r="R70">
        <f ca="1"/>
        <v>-0.14050392170100642</v>
      </c>
      <c r="S70">
        <f ca="1"/>
        <v>11.604695115063514</v>
      </c>
      <c r="T70">
        <f ca="1"/>
        <v>132.83005112143587</v>
      </c>
      <c r="U70" t="e">
        <f ca="1"/>
        <v>#REF!</v>
      </c>
      <c r="V70" t="e">
        <f ca="1"/>
        <v>#REF!</v>
      </c>
      <c r="X70" t="str">
        <f ca="1"/>
        <v>Country: Guatemala</v>
      </c>
      <c r="AE70" t="e">
        <f ca="1"/>
        <v>#REF!</v>
      </c>
      <c r="AG70" t="str">
        <f ca="1"/>
        <v>Country: Ireland</v>
      </c>
      <c r="AI70" s="7">
        <f ca="1"/>
        <v>3.0321406913280777E-3</v>
      </c>
      <c r="AK70" t="str">
        <f ca="1"/>
        <v>Obs. 101</v>
      </c>
      <c r="AL70" s="7">
        <f ca="1"/>
        <v>73.900000000000006</v>
      </c>
      <c r="AN70" s="7" t="e">
        <f ca="1"/>
        <v>#REF!</v>
      </c>
      <c r="AO70" s="7" t="e">
        <f ca="1"/>
        <v>#REF!</v>
      </c>
      <c r="AP70" s="7">
        <f ca="1"/>
        <v>0.50634516423699105</v>
      </c>
      <c r="AQ70" s="7" t="e">
        <f ca="1"/>
        <v>#REF!</v>
      </c>
      <c r="AR70" s="7" t="e">
        <f ca="1"/>
        <v>#REF!</v>
      </c>
      <c r="AS70" s="7">
        <f ca="1"/>
        <v>-1.739949995904148</v>
      </c>
      <c r="AT70" s="7" t="e">
        <f ca="1"/>
        <v>#REF!</v>
      </c>
      <c r="AU70" s="7" t="e">
        <f ca="1"/>
        <v>#REF!</v>
      </c>
      <c r="AV70" s="7" t="e">
        <f ca="1"/>
        <v>#REF!</v>
      </c>
    </row>
    <row r="71" spans="16:48" x14ac:dyDescent="0.25">
      <c r="P71" t="str">
        <f ca="1"/>
        <v>Country: Liberia</v>
      </c>
      <c r="Q71">
        <f ca="1"/>
        <v>-6.3019375142877282E-2</v>
      </c>
      <c r="R71">
        <f ca="1"/>
        <v>-7.0717963485922533E-2</v>
      </c>
      <c r="S71">
        <f ca="1"/>
        <v>15.264321088156056</v>
      </c>
      <c r="T71">
        <f ca="1"/>
        <v>231.28000642430942</v>
      </c>
      <c r="U71" t="e">
        <f ca="1"/>
        <v>#REF!</v>
      </c>
      <c r="V71" t="e">
        <f ca="1"/>
        <v>#REF!</v>
      </c>
      <c r="X71" t="str">
        <f ca="1"/>
        <v>Country: Guinea</v>
      </c>
      <c r="AE71" t="e">
        <f ca="1"/>
        <v>#REF!</v>
      </c>
      <c r="AG71" t="str">
        <f ca="1"/>
        <v>Country: Israel</v>
      </c>
      <c r="AI71" s="7">
        <f ca="1"/>
        <v>9.0964220739842335E-3</v>
      </c>
      <c r="AK71" t="str">
        <f ca="1"/>
        <v>Obs. 102</v>
      </c>
      <c r="AL71" s="7">
        <f ca="1"/>
        <v>73.5</v>
      </c>
      <c r="AN71" s="7" t="e">
        <f ca="1"/>
        <v>#REF!</v>
      </c>
      <c r="AO71" s="7" t="e">
        <f ca="1"/>
        <v>#REF!</v>
      </c>
      <c r="AP71" s="7">
        <f ca="1"/>
        <v>0.5052495134784083</v>
      </c>
      <c r="AQ71" s="7" t="e">
        <f ca="1"/>
        <v>#REF!</v>
      </c>
      <c r="AR71" s="7" t="e">
        <f ca="1"/>
        <v>#REF!</v>
      </c>
      <c r="AS71" s="7">
        <f ca="1"/>
        <v>-1.7330844772440359</v>
      </c>
      <c r="AT71" s="7" t="e">
        <f ca="1"/>
        <v>#REF!</v>
      </c>
      <c r="AU71" s="7" t="e">
        <f ca="1"/>
        <v>#REF!</v>
      </c>
      <c r="AV71" s="7" t="e">
        <f ca="1"/>
        <v>#REF!</v>
      </c>
    </row>
    <row r="72" spans="16:48" x14ac:dyDescent="0.25">
      <c r="P72" t="str">
        <f ca="1"/>
        <v>Country: Lithuania</v>
      </c>
      <c r="Q72">
        <f ca="1"/>
        <v>3.7598759912201275E-2</v>
      </c>
      <c r="R72">
        <f ca="1"/>
        <v>2.4126620421846653E-2</v>
      </c>
      <c r="S72">
        <f ca="1"/>
        <v>10.350719164119127</v>
      </c>
      <c r="T72">
        <f ca="1"/>
        <v>105.26505722185256</v>
      </c>
      <c r="U72" t="e">
        <f ca="1"/>
        <v>#REF!</v>
      </c>
      <c r="V72" t="e">
        <f ca="1"/>
        <v>#REF!</v>
      </c>
      <c r="X72" t="str">
        <f ca="1"/>
        <v>Country: Guinea-Bissau</v>
      </c>
      <c r="AE72" t="e">
        <f ca="1"/>
        <v>#REF!</v>
      </c>
      <c r="AG72" t="str">
        <f ca="1"/>
        <v>Country: Italy</v>
      </c>
      <c r="AI72" s="7">
        <f ca="1"/>
        <v>9.0964220739842335E-3</v>
      </c>
      <c r="AK72" t="str">
        <f ca="1"/>
        <v>Obs. 103</v>
      </c>
      <c r="AL72" s="7">
        <f ca="1"/>
        <v>73.3</v>
      </c>
      <c r="AN72" s="7" t="e">
        <f ca="1"/>
        <v>#REF!</v>
      </c>
      <c r="AO72" s="7" t="e">
        <f ca="1"/>
        <v>#REF!</v>
      </c>
      <c r="AP72" s="7">
        <f ca="1"/>
        <v>0.51136525854988857</v>
      </c>
      <c r="AQ72" s="7" t="e">
        <f ca="1"/>
        <v>#REF!</v>
      </c>
      <c r="AR72" s="7" t="e">
        <f ca="1"/>
        <v>#REF!</v>
      </c>
      <c r="AS72" s="7">
        <f ca="1"/>
        <v>-1.7262996894247766</v>
      </c>
      <c r="AT72" s="7" t="e">
        <f ca="1"/>
        <v>#REF!</v>
      </c>
      <c r="AU72" s="7" t="e">
        <f ca="1"/>
        <v>#REF!</v>
      </c>
      <c r="AV72" s="7" t="e">
        <f ca="1"/>
        <v>#REF!</v>
      </c>
    </row>
    <row r="73" spans="16:48" x14ac:dyDescent="0.25">
      <c r="P73" t="str">
        <f ca="1"/>
        <v>Country: Luxembourg</v>
      </c>
      <c r="Q73">
        <f ca="1"/>
        <v>0.12417723265333271</v>
      </c>
      <c r="R73">
        <f ca="1"/>
        <v>0.13818461462968679</v>
      </c>
      <c r="S73">
        <f ca="1"/>
        <v>10.350719164119129</v>
      </c>
      <c r="T73">
        <f ca="1"/>
        <v>105.26505722185279</v>
      </c>
      <c r="U73" t="e">
        <f ca="1"/>
        <v>#REF!</v>
      </c>
      <c r="V73" t="e">
        <f ca="1"/>
        <v>#REF!</v>
      </c>
      <c r="X73" t="str">
        <f ca="1"/>
        <v>Country: Guyana</v>
      </c>
      <c r="AE73" t="e">
        <f ca="1"/>
        <v>#REF!</v>
      </c>
      <c r="AG73" t="str">
        <f ca="1"/>
        <v>Country: Jamaica</v>
      </c>
      <c r="AI73" s="7">
        <f ca="1"/>
        <v>7.2771376591873865E-3</v>
      </c>
      <c r="AK73" t="str">
        <f ca="1"/>
        <v>Obs. 104</v>
      </c>
      <c r="AL73" s="7">
        <f ca="1"/>
        <v>73.2</v>
      </c>
      <c r="AN73" s="7" t="e">
        <f ca="1"/>
        <v>#REF!</v>
      </c>
      <c r="AO73" s="7" t="e">
        <f ca="1"/>
        <v>#REF!</v>
      </c>
      <c r="AP73" s="7">
        <f ca="1"/>
        <v>0.51319214172331251</v>
      </c>
      <c r="AQ73" s="7" t="e">
        <f ca="1"/>
        <v>#REF!</v>
      </c>
      <c r="AR73" s="7" t="e">
        <f ca="1"/>
        <v>#REF!</v>
      </c>
      <c r="AS73" s="7">
        <f ca="1"/>
        <v>-1.7262996894247766</v>
      </c>
      <c r="AT73" s="7" t="e">
        <f ca="1"/>
        <v>#REF!</v>
      </c>
      <c r="AU73" s="7" t="e">
        <f ca="1"/>
        <v>#REF!</v>
      </c>
      <c r="AV73" s="7" t="e">
        <f ca="1"/>
        <v>#REF!</v>
      </c>
    </row>
    <row r="74" spans="16:48" x14ac:dyDescent="0.25">
      <c r="P74" t="str">
        <f ca="1"/>
        <v>Country: Madagascar</v>
      </c>
      <c r="Q74">
        <f ca="1"/>
        <v>-6.1699682280950879E-2</v>
      </c>
      <c r="R74">
        <f ca="1"/>
        <v>-8.2447372771343688E-2</v>
      </c>
      <c r="S74">
        <f ca="1"/>
        <v>11.139110863412604</v>
      </c>
      <c r="T74">
        <f ca="1"/>
        <v>122.22803450340875</v>
      </c>
      <c r="U74" t="e">
        <f ca="1"/>
        <v>#REF!</v>
      </c>
      <c r="V74" t="e">
        <f ca="1"/>
        <v>#REF!</v>
      </c>
      <c r="X74" t="str">
        <f ca="1"/>
        <v>Country: Haiti</v>
      </c>
      <c r="AE74" t="e">
        <f ca="1"/>
        <v>#REF!</v>
      </c>
      <c r="AG74" t="str">
        <f ca="1"/>
        <v>Country: Jordan</v>
      </c>
      <c r="AI74" s="7">
        <f ca="1"/>
        <v>9.0964220739842335E-3</v>
      </c>
      <c r="AK74" t="str">
        <f ca="1"/>
        <v>Obs. 105</v>
      </c>
      <c r="AL74" s="7">
        <f ca="1"/>
        <v>73.5</v>
      </c>
      <c r="AN74" s="7" t="e">
        <f ca="1"/>
        <v>#REF!</v>
      </c>
      <c r="AO74" s="7" t="e">
        <f ca="1"/>
        <v>#REF!</v>
      </c>
      <c r="AP74" s="7">
        <f ca="1"/>
        <v>0.52036667410945825</v>
      </c>
      <c r="AQ74" s="7" t="e">
        <f ca="1"/>
        <v>#REF!</v>
      </c>
      <c r="AR74" s="7" t="e">
        <f ca="1"/>
        <v>#REF!</v>
      </c>
      <c r="AS74" s="7">
        <f ca="1"/>
        <v>-1.7129636683890181</v>
      </c>
      <c r="AT74" s="7" t="e">
        <f ca="1"/>
        <v>#REF!</v>
      </c>
      <c r="AU74" s="7" t="e">
        <f ca="1"/>
        <v>#REF!</v>
      </c>
      <c r="AV74" s="7" t="e">
        <f ca="1"/>
        <v>#REF!</v>
      </c>
    </row>
    <row r="75" spans="16:48" x14ac:dyDescent="0.25">
      <c r="P75" t="str">
        <f ca="1"/>
        <v>Country: Malawi</v>
      </c>
      <c r="Q75">
        <f ca="1"/>
        <v>-0.19300553429714645</v>
      </c>
      <c r="R75">
        <f ca="1"/>
        <v>-0.1407806716335008</v>
      </c>
      <c r="S75">
        <f ca="1"/>
        <v>11.139110863412609</v>
      </c>
      <c r="T75">
        <f ca="1"/>
        <v>122.22803450340874</v>
      </c>
      <c r="U75" t="e">
        <f ca="1"/>
        <v>#REF!</v>
      </c>
      <c r="V75" t="e">
        <f ca="1"/>
        <v>#REF!</v>
      </c>
      <c r="X75" t="str">
        <f ca="1"/>
        <v>Country: Honduras</v>
      </c>
      <c r="AE75" t="e">
        <f ca="1"/>
        <v>#REF!</v>
      </c>
      <c r="AG75" t="str">
        <f ca="1"/>
        <v>Country: Kazakhstan</v>
      </c>
      <c r="AI75" s="7">
        <f ca="1"/>
        <v>9.0964220739842335E-3</v>
      </c>
      <c r="AK75" t="str">
        <f ca="1"/>
        <v>Obs. 106</v>
      </c>
      <c r="AL75" s="7">
        <f ca="1"/>
        <v>72.900000000000006</v>
      </c>
      <c r="AN75" s="7" t="e">
        <f ca="1"/>
        <v>#REF!</v>
      </c>
      <c r="AO75" s="7" t="e">
        <f ca="1"/>
        <v>#REF!</v>
      </c>
      <c r="AP75" s="7">
        <f ca="1"/>
        <v>0.50501344452889918</v>
      </c>
      <c r="AQ75" s="7" t="e">
        <f ca="1"/>
        <v>#REF!</v>
      </c>
      <c r="AR75" s="7" t="e">
        <f ca="1"/>
        <v>#REF!</v>
      </c>
      <c r="AS75" s="7">
        <f ca="1"/>
        <v>-1.7129636683890181</v>
      </c>
      <c r="AT75" s="7" t="e">
        <f ca="1"/>
        <v>#REF!</v>
      </c>
      <c r="AU75" s="7" t="e">
        <f ca="1"/>
        <v>#REF!</v>
      </c>
      <c r="AV75" s="7" t="e">
        <f ca="1"/>
        <v>#REF!</v>
      </c>
    </row>
    <row r="76" spans="16:48" x14ac:dyDescent="0.25">
      <c r="P76" t="str">
        <f ca="1"/>
        <v>Country: Malaysia</v>
      </c>
      <c r="Q76">
        <f ca="1"/>
        <v>4.7622106588607493E-2</v>
      </c>
      <c r="R76">
        <f ca="1"/>
        <v>5.0809481772704314E-2</v>
      </c>
      <c r="S76">
        <f ca="1"/>
        <v>10.350719164119145</v>
      </c>
      <c r="T76">
        <f ca="1"/>
        <v>105.26505722185357</v>
      </c>
      <c r="U76" t="e">
        <f ca="1"/>
        <v>#REF!</v>
      </c>
      <c r="V76" t="e">
        <f ca="1"/>
        <v>#REF!</v>
      </c>
      <c r="X76" t="str">
        <f ca="1"/>
        <v>Country: India</v>
      </c>
      <c r="AE76" t="e">
        <f ca="1"/>
        <v>#REF!</v>
      </c>
      <c r="AG76" t="str">
        <f ca="1"/>
        <v>Country: Kenya</v>
      </c>
      <c r="AI76" s="7">
        <f ca="1"/>
        <v>7.8835657974530016E-3</v>
      </c>
      <c r="AK76" t="str">
        <f ca="1"/>
        <v>Obs. 107</v>
      </c>
      <c r="AL76" s="7">
        <f ca="1"/>
        <v>73</v>
      </c>
      <c r="AN76" s="7" t="e">
        <f ca="1"/>
        <v>#REF!</v>
      </c>
      <c r="AO76" s="7" t="e">
        <f ca="1"/>
        <v>#REF!</v>
      </c>
      <c r="AP76" s="7">
        <f ca="1"/>
        <v>0.52625003298023632</v>
      </c>
      <c r="AQ76" s="7" t="e">
        <f ca="1"/>
        <v>#REF!</v>
      </c>
      <c r="AR76" s="7" t="e">
        <f ca="1"/>
        <v>#REF!</v>
      </c>
      <c r="AS76" s="7">
        <f ca="1"/>
        <v>-1.6999255180307868</v>
      </c>
      <c r="AT76" s="7" t="e">
        <f ca="1"/>
        <v>#REF!</v>
      </c>
      <c r="AU76" s="7" t="e">
        <f ca="1"/>
        <v>#REF!</v>
      </c>
      <c r="AV76" s="7" t="e">
        <f ca="1"/>
        <v>#REF!</v>
      </c>
    </row>
    <row r="77" spans="16:48" x14ac:dyDescent="0.25">
      <c r="P77" t="str">
        <f ca="1"/>
        <v>Country: Maldives</v>
      </c>
      <c r="Q77">
        <f ca="1"/>
        <v>6.57803433212273E-2</v>
      </c>
      <c r="R77">
        <f ca="1"/>
        <v>7.9471584787756844E-2</v>
      </c>
      <c r="S77">
        <f ca="1"/>
        <v>10.350719164119145</v>
      </c>
      <c r="T77">
        <f ca="1"/>
        <v>105.26505722185375</v>
      </c>
      <c r="U77" t="e">
        <f ca="1"/>
        <v>#REF!</v>
      </c>
      <c r="V77" t="e">
        <f ca="1"/>
        <v>#REF!</v>
      </c>
      <c r="X77" t="str">
        <f ca="1"/>
        <v>Country: Indonesia</v>
      </c>
      <c r="AE77" t="e">
        <f ca="1"/>
        <v>#REF!</v>
      </c>
      <c r="AG77" t="str">
        <f ca="1"/>
        <v>Country: Kiribati</v>
      </c>
      <c r="AI77" s="7">
        <f ca="1"/>
        <v>9.0964220739842335E-3</v>
      </c>
      <c r="AK77" t="str">
        <f ca="1"/>
        <v>Obs. 108</v>
      </c>
      <c r="AL77" s="7">
        <f ca="1"/>
        <v>73</v>
      </c>
      <c r="AN77" s="7" t="e">
        <f ca="1"/>
        <v>#REF!</v>
      </c>
      <c r="AO77" s="7" t="e">
        <f ca="1"/>
        <v>#REF!</v>
      </c>
      <c r="AP77" s="7">
        <f ca="1"/>
        <v>0.50551298771754716</v>
      </c>
      <c r="AQ77" s="7" t="e">
        <f ca="1"/>
        <v>#REF!</v>
      </c>
      <c r="AR77" s="7" t="e">
        <f ca="1"/>
        <v>#REF!</v>
      </c>
      <c r="AS77" s="7">
        <f ca="1"/>
        <v>-1.6935133675401242</v>
      </c>
      <c r="AT77" s="7" t="e">
        <f ca="1"/>
        <v>#REF!</v>
      </c>
      <c r="AU77" s="7" t="e">
        <f ca="1"/>
        <v>#REF!</v>
      </c>
      <c r="AV77" s="7" t="e">
        <f ca="1"/>
        <v>#REF!</v>
      </c>
    </row>
    <row r="78" spans="16:48" x14ac:dyDescent="0.25">
      <c r="P78" t="str">
        <f ca="1"/>
        <v>Country: Mali</v>
      </c>
      <c r="Q78">
        <f ca="1"/>
        <v>-0.13535004307975421</v>
      </c>
      <c r="R78">
        <f ca="1"/>
        <v>-0.12216526710305663</v>
      </c>
      <c r="S78">
        <f ca="1"/>
        <v>11.604695115063441</v>
      </c>
      <c r="T78">
        <f ca="1"/>
        <v>132.83005112143536</v>
      </c>
      <c r="U78" t="e">
        <f ca="1"/>
        <v>#REF!</v>
      </c>
      <c r="V78" t="e">
        <f ca="1"/>
        <v>#REF!</v>
      </c>
      <c r="X78" t="str">
        <f ca="1"/>
        <v>Country: Iraq</v>
      </c>
      <c r="AE78" t="e">
        <f ca="1"/>
        <v>#REF!</v>
      </c>
      <c r="AG78" t="str">
        <f ca="1"/>
        <v>Country: Latvia</v>
      </c>
      <c r="AI78" s="7">
        <f ca="1"/>
        <v>9.0964220739842335E-3</v>
      </c>
      <c r="AK78" t="str">
        <f ca="1"/>
        <v>Obs. 109</v>
      </c>
      <c r="AL78" s="7">
        <f ca="1"/>
        <v>72.7</v>
      </c>
      <c r="AN78" s="7" t="e">
        <f ca="1"/>
        <v>#REF!</v>
      </c>
      <c r="AO78" s="7" t="e">
        <f ca="1"/>
        <v>#REF!</v>
      </c>
      <c r="AP78" s="7">
        <f ca="1"/>
        <v>0.50626051193682753</v>
      </c>
      <c r="AQ78" s="7" t="e">
        <f ca="1"/>
        <v>#REF!</v>
      </c>
      <c r="AR78" s="7" t="e">
        <f ca="1"/>
        <v>#REF!</v>
      </c>
      <c r="AS78" s="7">
        <f ca="1"/>
        <v>-1.6935133675401242</v>
      </c>
      <c r="AT78" s="7" t="e">
        <f ca="1"/>
        <v>#REF!</v>
      </c>
      <c r="AU78" s="7" t="e">
        <f ca="1"/>
        <v>#REF!</v>
      </c>
      <c r="AV78" s="7" t="e">
        <f ca="1"/>
        <v>#REF!</v>
      </c>
    </row>
    <row r="79" spans="16:48" x14ac:dyDescent="0.25">
      <c r="P79" t="str">
        <f ca="1"/>
        <v>Country: Malta</v>
      </c>
      <c r="Q79">
        <f ca="1"/>
        <v>0.11275057093083775</v>
      </c>
      <c r="R79">
        <f ca="1"/>
        <v>0.12645203066252836</v>
      </c>
      <c r="S79">
        <f ca="1"/>
        <v>11.604695115063437</v>
      </c>
      <c r="T79">
        <f ca="1"/>
        <v>132.83005112143528</v>
      </c>
      <c r="U79" t="e">
        <f ca="1"/>
        <v>#REF!</v>
      </c>
      <c r="V79" t="e">
        <f ca="1"/>
        <v>#REF!</v>
      </c>
      <c r="X79" t="str">
        <f ca="1"/>
        <v>Country: Ireland</v>
      </c>
      <c r="AE79" t="e">
        <f ca="1"/>
        <v>#REF!</v>
      </c>
      <c r="AG79" t="str">
        <f ca="1"/>
        <v>Country: Lebanon</v>
      </c>
      <c r="AI79" s="7">
        <f ca="1"/>
        <v>9.0964220739842335E-3</v>
      </c>
      <c r="AK79" t="str">
        <f ca="1"/>
        <v>Obs. 110</v>
      </c>
      <c r="AL79" s="7">
        <f ca="1"/>
        <v>72.599999999999994</v>
      </c>
      <c r="AN79" s="7" t="e">
        <f ca="1"/>
        <v>#REF!</v>
      </c>
      <c r="AO79" s="7" t="e">
        <f ca="1"/>
        <v>#REF!</v>
      </c>
      <c r="AP79" s="7">
        <f ca="1"/>
        <v>0.50651127022998776</v>
      </c>
      <c r="AQ79" s="7" t="e">
        <f ca="1"/>
        <v>#REF!</v>
      </c>
      <c r="AR79" s="7" t="e">
        <f ca="1"/>
        <v>#REF!</v>
      </c>
      <c r="AS79" s="7">
        <f ca="1"/>
        <v>-1.6935133675401242</v>
      </c>
      <c r="AT79" s="7" t="e">
        <f ca="1"/>
        <v>#REF!</v>
      </c>
      <c r="AU79" s="7" t="e">
        <f ca="1"/>
        <v>#REF!</v>
      </c>
      <c r="AV79" s="7" t="e">
        <f ca="1"/>
        <v>#REF!</v>
      </c>
    </row>
    <row r="80" spans="16:48" x14ac:dyDescent="0.25">
      <c r="P80" t="str">
        <f ca="1"/>
        <v>Country: Mauritania</v>
      </c>
      <c r="Q80">
        <f ca="1"/>
        <v>-5.4467764420302829E-2</v>
      </c>
      <c r="R80">
        <f ca="1"/>
        <v>-7.2594564020525443E-2</v>
      </c>
      <c r="S80">
        <f ca="1"/>
        <v>12.735820805332146</v>
      </c>
      <c r="T80">
        <f ca="1"/>
        <v>160.39566714842135</v>
      </c>
      <c r="U80" t="e">
        <f ca="1"/>
        <v>#REF!</v>
      </c>
      <c r="V80" t="e">
        <f ca="1"/>
        <v>#REF!</v>
      </c>
      <c r="X80" t="str">
        <f ca="1"/>
        <v>Country: Israel</v>
      </c>
      <c r="AE80" t="e">
        <f ca="1"/>
        <v>#REF!</v>
      </c>
      <c r="AG80" t="str">
        <f ca="1"/>
        <v>Country: Lesotho</v>
      </c>
      <c r="AI80" s="7">
        <f ca="1"/>
        <v>7.2771376591873865E-3</v>
      </c>
      <c r="AK80" t="str">
        <f ca="1"/>
        <v>Obs. 111</v>
      </c>
      <c r="AL80" s="7">
        <f ca="1"/>
        <v>72.599999999999994</v>
      </c>
      <c r="AN80" s="7" t="e">
        <f ca="1"/>
        <v>#REF!</v>
      </c>
      <c r="AO80" s="7" t="e">
        <f ca="1"/>
        <v>#REF!</v>
      </c>
      <c r="AP80" s="7">
        <f ca="1"/>
        <v>0.50817877981469495</v>
      </c>
      <c r="AQ80" s="7" t="e">
        <f ca="1"/>
        <v>#REF!</v>
      </c>
      <c r="AR80" s="7" t="e">
        <f ca="1"/>
        <v>#REF!</v>
      </c>
      <c r="AS80" s="7">
        <f ca="1"/>
        <v>-1.6746834237964712</v>
      </c>
      <c r="AT80" s="7" t="e">
        <f ca="1"/>
        <v>#REF!</v>
      </c>
      <c r="AU80" s="7" t="e">
        <f ca="1"/>
        <v>#REF!</v>
      </c>
      <c r="AV80" s="7" t="e">
        <f ca="1"/>
        <v>#REF!</v>
      </c>
    </row>
    <row r="81" spans="16:48" x14ac:dyDescent="0.25">
      <c r="P81" t="str">
        <f ca="1"/>
        <v>Country: Mauritius</v>
      </c>
      <c r="Q81">
        <f ca="1"/>
        <v>3.5782936238939425E-2</v>
      </c>
      <c r="R81">
        <f ca="1"/>
        <v>2.3214156468183932E-2</v>
      </c>
      <c r="S81">
        <f ca="1"/>
        <v>10.350719164119164</v>
      </c>
      <c r="T81">
        <f ca="1"/>
        <v>105.26505722185465</v>
      </c>
      <c r="U81" t="e">
        <f ca="1"/>
        <v>#REF!</v>
      </c>
      <c r="V81" t="e">
        <f ca="1"/>
        <v>#REF!</v>
      </c>
      <c r="X81" t="str">
        <f ca="1"/>
        <v>Country: Italy</v>
      </c>
      <c r="AE81" t="e">
        <f ca="1"/>
        <v>#REF!</v>
      </c>
      <c r="AG81" t="str">
        <f ca="1"/>
        <v>Country: Liberia</v>
      </c>
      <c r="AI81" s="7">
        <f ca="1"/>
        <v>4.2449969678593083E-3</v>
      </c>
      <c r="AK81" t="str">
        <f ca="1"/>
        <v>Obs. 112</v>
      </c>
      <c r="AL81" s="7">
        <f ca="1"/>
        <v>72</v>
      </c>
      <c r="AN81" s="7" t="e">
        <f ca="1"/>
        <v>#REF!</v>
      </c>
      <c r="AO81" s="7" t="e">
        <f ca="1"/>
        <v>#REF!</v>
      </c>
      <c r="AP81" s="7">
        <f ca="1"/>
        <v>0.51104502193082879</v>
      </c>
      <c r="AQ81" s="7" t="e">
        <f ca="1"/>
        <v>#REF!</v>
      </c>
      <c r="AR81" s="7" t="e">
        <f ca="1"/>
        <v>#REF!</v>
      </c>
      <c r="AS81" s="7">
        <f ca="1"/>
        <v>-1.6746834237964712</v>
      </c>
      <c r="AT81" s="7" t="e">
        <f ca="1"/>
        <v>#REF!</v>
      </c>
      <c r="AU81" s="7" t="e">
        <f ca="1"/>
        <v>#REF!</v>
      </c>
      <c r="AV81" s="7" t="e">
        <f ca="1"/>
        <v>#REF!</v>
      </c>
    </row>
    <row r="82" spans="16:48" x14ac:dyDescent="0.25">
      <c r="P82" t="str">
        <f ca="1"/>
        <v>Country: Mexico</v>
      </c>
      <c r="Q82">
        <f ca="1"/>
        <v>6.919409182695993E-2</v>
      </c>
      <c r="R82">
        <f ca="1"/>
        <v>9.4648007311176507E-2</v>
      </c>
      <c r="S82">
        <f ca="1"/>
        <v>10.350719164119175</v>
      </c>
      <c r="T82">
        <f ca="1"/>
        <v>105.2650572218549</v>
      </c>
      <c r="U82" t="e">
        <f ca="1"/>
        <v>#REF!</v>
      </c>
      <c r="V82" t="e">
        <f ca="1"/>
        <v>#REF!</v>
      </c>
      <c r="X82" t="str">
        <f ca="1"/>
        <v>Country: Jamaica</v>
      </c>
      <c r="AE82" t="e">
        <f ca="1"/>
        <v>#REF!</v>
      </c>
      <c r="AG82" t="str">
        <f ca="1"/>
        <v>Country: Lithuania</v>
      </c>
      <c r="AI82" s="7">
        <f ca="1"/>
        <v>9.0964220739842335E-3</v>
      </c>
      <c r="AK82" t="str">
        <f ca="1"/>
        <v>Obs. 114</v>
      </c>
      <c r="AL82" s="7">
        <f ca="1"/>
        <v>82.7</v>
      </c>
      <c r="AN82" s="7" t="e">
        <f ca="1"/>
        <v>#REF!</v>
      </c>
      <c r="AO82" s="7" t="e">
        <f ca="1"/>
        <v>#REF!</v>
      </c>
      <c r="AP82" s="7">
        <f ca="1"/>
        <v>0.14547925788045127</v>
      </c>
      <c r="AQ82" s="7" t="e">
        <f ca="1"/>
        <v>#REF!</v>
      </c>
      <c r="AR82" s="7" t="e">
        <f ca="1"/>
        <v>#REF!</v>
      </c>
      <c r="AS82" s="7">
        <f ca="1"/>
        <v>-1.6746834237964712</v>
      </c>
      <c r="AT82" s="7" t="e">
        <f ca="1"/>
        <v>#REF!</v>
      </c>
      <c r="AU82" s="7" t="e">
        <f ca="1"/>
        <v>#REF!</v>
      </c>
      <c r="AV82" s="7" t="e">
        <f ca="1"/>
        <v>#REF!</v>
      </c>
    </row>
    <row r="83" spans="16:48" x14ac:dyDescent="0.25">
      <c r="P83" t="str">
        <f ca="1"/>
        <v>Country: Mongolia</v>
      </c>
      <c r="Q83">
        <f ca="1"/>
        <v>-3.9319530887176289E-2</v>
      </c>
      <c r="R83">
        <f ca="1"/>
        <v>-6.6723926611586479E-2</v>
      </c>
      <c r="S83">
        <f ca="1"/>
        <v>10.350719164119184</v>
      </c>
      <c r="T83">
        <f ca="1"/>
        <v>105.26505722185519</v>
      </c>
      <c r="U83" t="e">
        <f ca="1"/>
        <v>#REF!</v>
      </c>
      <c r="V83" t="e">
        <f ca="1"/>
        <v>#REF!</v>
      </c>
      <c r="X83" t="str">
        <f ca="1"/>
        <v>Country: Jordan</v>
      </c>
      <c r="AE83" t="e">
        <f ca="1"/>
        <v>#REF!</v>
      </c>
      <c r="AG83" t="str">
        <f ca="1"/>
        <v>Country: Luxembourg</v>
      </c>
      <c r="AI83" s="7">
        <f ca="1"/>
        <v>9.0964220739842335E-3</v>
      </c>
      <c r="AK83" t="str">
        <f ca="1"/>
        <v>Obs. 115</v>
      </c>
      <c r="AL83" s="7">
        <f ca="1"/>
        <v>82.5</v>
      </c>
      <c r="AN83" s="7" t="e">
        <f ca="1"/>
        <v>#REF!</v>
      </c>
      <c r="AO83" s="7" t="e">
        <f ca="1"/>
        <v>#REF!</v>
      </c>
      <c r="AP83" s="7">
        <f ca="1"/>
        <v>0.14999733141564942</v>
      </c>
      <c r="AQ83" s="7" t="e">
        <f ca="1"/>
        <v>#REF!</v>
      </c>
      <c r="AR83" s="7" t="e">
        <f ca="1"/>
        <v>#REF!</v>
      </c>
      <c r="AS83" s="7">
        <f ca="1"/>
        <v>-1.6746834237964712</v>
      </c>
      <c r="AT83" s="7" t="e">
        <f ca="1"/>
        <v>#REF!</v>
      </c>
      <c r="AU83" s="7" t="e">
        <f ca="1"/>
        <v>#REF!</v>
      </c>
      <c r="AV83" s="7" t="e">
        <f ca="1"/>
        <v>#REF!</v>
      </c>
    </row>
    <row r="84" spans="16:48" x14ac:dyDescent="0.25">
      <c r="P84" t="str">
        <f ca="1"/>
        <v>Country: Montenegro</v>
      </c>
      <c r="Q84">
        <f ca="1"/>
        <v>4.8557454964369272E-2</v>
      </c>
      <c r="R84">
        <f ca="1"/>
        <v>6.4610078350455222E-2</v>
      </c>
      <c r="S84">
        <f ca="1"/>
        <v>13.437117493473201</v>
      </c>
      <c r="T84">
        <f ca="1"/>
        <v>178.77295111689523</v>
      </c>
      <c r="U84" t="e">
        <f ca="1"/>
        <v>#REF!</v>
      </c>
      <c r="V84" t="e">
        <f ca="1"/>
        <v>#REF!</v>
      </c>
      <c r="X84" t="str">
        <f ca="1"/>
        <v>Country: Kazakhstan</v>
      </c>
      <c r="AE84" t="e">
        <f ca="1"/>
        <v>#REF!</v>
      </c>
      <c r="AG84" t="str">
        <f ca="1"/>
        <v>Country: Madagascar</v>
      </c>
      <c r="AI84" s="7">
        <f ca="1"/>
        <v>7.8835657974530016E-3</v>
      </c>
      <c r="AK84" t="str">
        <f ca="1"/>
        <v>Obs. 116</v>
      </c>
      <c r="AL84" s="7">
        <f ca="1"/>
        <v>82.3</v>
      </c>
      <c r="AN84" s="7" t="e">
        <f ca="1"/>
        <v>#REF!</v>
      </c>
      <c r="AO84" s="7" t="e">
        <f ca="1"/>
        <v>#REF!</v>
      </c>
      <c r="AP84" s="7">
        <f ca="1"/>
        <v>0.14960352986986161</v>
      </c>
      <c r="AQ84" s="7" t="e">
        <f ca="1"/>
        <v>#REF!</v>
      </c>
      <c r="AR84" s="7" t="e">
        <f ca="1"/>
        <v>#REF!</v>
      </c>
      <c r="AS84" s="7">
        <f ca="1"/>
        <v>-1.6504653896281696</v>
      </c>
      <c r="AT84" s="7" t="e">
        <f ca="1"/>
        <v>#REF!</v>
      </c>
      <c r="AU84" s="7" t="e">
        <f ca="1"/>
        <v>#REF!</v>
      </c>
      <c r="AV84" s="7" t="e">
        <f ca="1"/>
        <v>#REF!</v>
      </c>
    </row>
    <row r="85" spans="16:48" x14ac:dyDescent="0.25">
      <c r="P85" t="str">
        <f ca="1"/>
        <v>Country: Morocco</v>
      </c>
      <c r="Q85">
        <f ca="1"/>
        <v>2.9536502802918245E-2</v>
      </c>
      <c r="R85">
        <f ca="1"/>
        <v>1.7430745232468743E-2</v>
      </c>
      <c r="S85">
        <f ca="1"/>
        <v>10.350719164119182</v>
      </c>
      <c r="T85">
        <f ca="1"/>
        <v>105.2650572218555</v>
      </c>
      <c r="U85" t="e">
        <f ca="1"/>
        <v>#REF!</v>
      </c>
      <c r="V85" t="e">
        <f ca="1"/>
        <v>#REF!</v>
      </c>
      <c r="X85" t="str">
        <f ca="1"/>
        <v>Country: Kenya</v>
      </c>
      <c r="AE85" t="e">
        <f ca="1"/>
        <v>#REF!</v>
      </c>
      <c r="AG85" t="str">
        <f ca="1"/>
        <v>Country: Malawi</v>
      </c>
      <c r="AI85" s="7">
        <f ca="1"/>
        <v>7.8835657974530016E-3</v>
      </c>
      <c r="AK85" t="str">
        <f ca="1"/>
        <v>Obs. 117</v>
      </c>
      <c r="AL85" s="7">
        <f ca="1"/>
        <v>82</v>
      </c>
      <c r="AN85" s="7" t="e">
        <f ca="1"/>
        <v>#REF!</v>
      </c>
      <c r="AO85" s="7" t="e">
        <f ca="1"/>
        <v>#REF!</v>
      </c>
      <c r="AP85" s="7">
        <f ca="1"/>
        <v>0.14675979136018844</v>
      </c>
      <c r="AQ85" s="7" t="e">
        <f ca="1"/>
        <v>#REF!</v>
      </c>
      <c r="AR85" s="7" t="e">
        <f ca="1"/>
        <v>#REF!</v>
      </c>
      <c r="AS85" s="7">
        <f ca="1"/>
        <v>-1.6504653896281696</v>
      </c>
      <c r="AT85" s="7" t="e">
        <f ca="1"/>
        <v>#REF!</v>
      </c>
      <c r="AU85" s="7" t="e">
        <f ca="1"/>
        <v>#REF!</v>
      </c>
      <c r="AV85" s="7" t="e">
        <f ca="1"/>
        <v>#REF!</v>
      </c>
    </row>
    <row r="86" spans="16:48" x14ac:dyDescent="0.25">
      <c r="P86" t="str">
        <f ca="1"/>
        <v>Country: Mozambique</v>
      </c>
      <c r="Q86">
        <f ca="1"/>
        <v>-0.16725357398558341</v>
      </c>
      <c r="R86">
        <f ca="1"/>
        <v>-0.13935296582163786</v>
      </c>
      <c r="S86">
        <f ca="1"/>
        <v>10.72396655431465</v>
      </c>
      <c r="T86">
        <f ca="1"/>
        <v>113.14068067181239</v>
      </c>
      <c r="U86" t="e">
        <f ca="1"/>
        <v>#REF!</v>
      </c>
      <c r="V86" t="e">
        <f ca="1"/>
        <v>#REF!</v>
      </c>
      <c r="X86" t="str">
        <f ca="1"/>
        <v>Country: Kiribati</v>
      </c>
      <c r="AE86" t="e">
        <f ca="1"/>
        <v>#REF!</v>
      </c>
      <c r="AG86" t="str">
        <f ca="1"/>
        <v>Country: Malaysia</v>
      </c>
      <c r="AI86" s="7">
        <f ca="1"/>
        <v>9.0964220739842335E-3</v>
      </c>
      <c r="AK86" t="str">
        <f ca="1"/>
        <v>Obs. 118</v>
      </c>
      <c r="AL86" s="7">
        <f ca="1"/>
        <v>81.900000000000006</v>
      </c>
      <c r="AN86" s="7" t="e">
        <f ca="1"/>
        <v>#REF!</v>
      </c>
      <c r="AO86" s="7" t="e">
        <f ca="1"/>
        <v>#REF!</v>
      </c>
      <c r="AP86" s="7">
        <f ca="1"/>
        <v>0.13740347052959906</v>
      </c>
      <c r="AQ86" s="7" t="e">
        <f ca="1"/>
        <v>#REF!</v>
      </c>
      <c r="AR86" s="7" t="e">
        <f ca="1"/>
        <v>#REF!</v>
      </c>
      <c r="AS86" s="7">
        <f ca="1"/>
        <v>-1.6387108222805178</v>
      </c>
      <c r="AT86" s="7" t="e">
        <f ca="1"/>
        <v>#REF!</v>
      </c>
      <c r="AU86" s="7" t="e">
        <f ca="1"/>
        <v>#REF!</v>
      </c>
      <c r="AV86" s="7" t="e">
        <f ca="1"/>
        <v>#REF!</v>
      </c>
    </row>
    <row r="87" spans="16:48" x14ac:dyDescent="0.25">
      <c r="P87" t="str">
        <f ca="1"/>
        <v>Country: Myanmar</v>
      </c>
      <c r="Q87">
        <f ca="1"/>
        <v>-4.740332444421233E-2</v>
      </c>
      <c r="R87">
        <f ca="1"/>
        <v>-7.0694127021847325E-2</v>
      </c>
      <c r="S87">
        <f ca="1"/>
        <v>11.604695115063361</v>
      </c>
      <c r="T87">
        <f ca="1"/>
        <v>132.83005112143482</v>
      </c>
      <c r="U87" t="e">
        <f ca="1"/>
        <v>#REF!</v>
      </c>
      <c r="V87" t="e">
        <f ca="1"/>
        <v>#REF!</v>
      </c>
      <c r="X87" t="str">
        <f ca="1"/>
        <v>Country: Latvia</v>
      </c>
      <c r="AE87" t="e">
        <f ca="1"/>
        <v>#REF!</v>
      </c>
      <c r="AG87" t="str">
        <f ca="1"/>
        <v>Country: Maldives</v>
      </c>
      <c r="AI87" s="7">
        <f ca="1"/>
        <v>9.0964220739842335E-3</v>
      </c>
      <c r="AK87" t="str">
        <f ca="1"/>
        <v>Obs. 119</v>
      </c>
      <c r="AL87" s="7">
        <f ca="1"/>
        <v>81.7</v>
      </c>
      <c r="AN87" s="7" t="e">
        <f ca="1"/>
        <v>#REF!</v>
      </c>
      <c r="AO87" s="7" t="e">
        <f ca="1"/>
        <v>#REF!</v>
      </c>
      <c r="AP87" s="7">
        <f ca="1"/>
        <v>0.13544376184376739</v>
      </c>
      <c r="AQ87" s="7" t="e">
        <f ca="1"/>
        <v>#REF!</v>
      </c>
      <c r="AR87" s="7" t="e">
        <f ca="1"/>
        <v>#REF!</v>
      </c>
      <c r="AS87" s="7">
        <f ca="1"/>
        <v>-1.6387108222805178</v>
      </c>
      <c r="AT87" s="7" t="e">
        <f ca="1"/>
        <v>#REF!</v>
      </c>
      <c r="AU87" s="7" t="e">
        <f ca="1"/>
        <v>#REF!</v>
      </c>
      <c r="AV87" s="7" t="e">
        <f ca="1"/>
        <v>#REF!</v>
      </c>
    </row>
    <row r="88" spans="16:48" x14ac:dyDescent="0.25">
      <c r="P88" t="str">
        <f ca="1"/>
        <v>Country: Namibia</v>
      </c>
      <c r="Q88">
        <f ca="1"/>
        <v>-2.6854492791371979E-2</v>
      </c>
      <c r="R88">
        <f ca="1"/>
        <v>-4.2727104985864274E-2</v>
      </c>
      <c r="S88">
        <f ca="1"/>
        <v>18.09415795139595</v>
      </c>
      <c r="T88">
        <f ca="1"/>
        <v>325.79369171280445</v>
      </c>
      <c r="U88" t="e">
        <f ca="1"/>
        <v>#REF!</v>
      </c>
      <c r="V88" t="e">
        <f ca="1"/>
        <v>#REF!</v>
      </c>
      <c r="X88" t="str">
        <f ca="1"/>
        <v>Country: Lebanon</v>
      </c>
      <c r="AE88" t="e">
        <f ca="1"/>
        <v>#REF!</v>
      </c>
      <c r="AG88" t="str">
        <f ca="1"/>
        <v>Country: Mali</v>
      </c>
      <c r="AI88" s="7">
        <f ca="1"/>
        <v>7.2771376591873865E-3</v>
      </c>
      <c r="AK88" t="str">
        <f ca="1"/>
        <v>Obs. 120</v>
      </c>
      <c r="AL88" s="7">
        <f ca="1"/>
        <v>81.3</v>
      </c>
      <c r="AN88" s="7" t="e">
        <f ca="1"/>
        <v>#REF!</v>
      </c>
      <c r="AO88" s="7" t="e">
        <f ca="1"/>
        <v>#REF!</v>
      </c>
      <c r="AP88" s="7">
        <f ca="1"/>
        <v>0.13726407883857342</v>
      </c>
      <c r="AQ88" s="7" t="e">
        <f ca="1"/>
        <v>#REF!</v>
      </c>
      <c r="AR88" s="7" t="e">
        <f ca="1"/>
        <v>#REF!</v>
      </c>
      <c r="AS88" s="7">
        <f ca="1"/>
        <v>-1.6271784104016083</v>
      </c>
      <c r="AT88" s="7" t="e">
        <f ca="1"/>
        <v>#REF!</v>
      </c>
      <c r="AU88" s="7" t="e">
        <f ca="1"/>
        <v>#REF!</v>
      </c>
      <c r="AV88" s="7" t="e">
        <f ca="1"/>
        <v>#REF!</v>
      </c>
    </row>
    <row r="89" spans="16:48" x14ac:dyDescent="0.25">
      <c r="P89" t="str">
        <f ca="1"/>
        <v>Country: Nepal</v>
      </c>
      <c r="Q89">
        <f ca="1"/>
        <v>-2.1035535185401934E-2</v>
      </c>
      <c r="R89">
        <f ca="1"/>
        <v>-4.4763704092175775E-2</v>
      </c>
      <c r="S89">
        <f ca="1"/>
        <v>11.604695115063345</v>
      </c>
      <c r="T89">
        <f ca="1"/>
        <v>132.83005112143471</v>
      </c>
      <c r="U89" t="e">
        <f ca="1"/>
        <v>#REF!</v>
      </c>
      <c r="V89" t="e">
        <f ca="1"/>
        <v>#REF!</v>
      </c>
      <c r="X89" t="str">
        <f ca="1"/>
        <v>Country: Lesotho</v>
      </c>
      <c r="AE89" t="e">
        <f ca="1"/>
        <v>#REF!</v>
      </c>
      <c r="AG89" t="str">
        <f ca="1"/>
        <v>Country: Malta</v>
      </c>
      <c r="AI89" s="7">
        <f ca="1"/>
        <v>7.2771376591873865E-3</v>
      </c>
      <c r="AK89" t="str">
        <f ca="1"/>
        <v>Obs. 121</v>
      </c>
      <c r="AL89" s="7">
        <f ca="1"/>
        <v>81.3</v>
      </c>
      <c r="AN89" s="7" t="e">
        <f ca="1"/>
        <v>#REF!</v>
      </c>
      <c r="AO89" s="7" t="e">
        <f ca="1"/>
        <v>#REF!</v>
      </c>
      <c r="AP89" s="7">
        <f ca="1"/>
        <v>0.1495622129828077</v>
      </c>
      <c r="AQ89" s="7" t="e">
        <f ca="1"/>
        <v>#REF!</v>
      </c>
      <c r="AR89" s="7" t="e">
        <f ca="1"/>
        <v>#REF!</v>
      </c>
      <c r="AS89" s="7">
        <f ca="1"/>
        <v>-1.6271784104016083</v>
      </c>
      <c r="AT89" s="7" t="e">
        <f ca="1"/>
        <v>#REF!</v>
      </c>
      <c r="AU89" s="7" t="e">
        <f ca="1"/>
        <v>#REF!</v>
      </c>
      <c r="AV89" s="7" t="e">
        <f ca="1"/>
        <v>#REF!</v>
      </c>
    </row>
    <row r="90" spans="16:48" x14ac:dyDescent="0.25">
      <c r="P90" t="str">
        <f ca="1"/>
        <v>Country: Netherlands</v>
      </c>
      <c r="Q90">
        <f ca="1"/>
        <v>6.741463938445405E-2</v>
      </c>
      <c r="R90">
        <f ca="1"/>
        <v>7.5790372485384616E-2</v>
      </c>
      <c r="S90">
        <f ca="1"/>
        <v>20.248411889500325</v>
      </c>
      <c r="T90">
        <f ca="1"/>
        <v>408.49362699898336</v>
      </c>
      <c r="U90" t="e">
        <f ca="1"/>
        <v>#REF!</v>
      </c>
      <c r="V90" t="e">
        <f ca="1"/>
        <v>#REF!</v>
      </c>
      <c r="X90" t="str">
        <f ca="1"/>
        <v>Country: Liberia</v>
      </c>
      <c r="AE90" t="e">
        <f ca="1"/>
        <v>#REF!</v>
      </c>
      <c r="AG90" t="str">
        <f ca="1"/>
        <v>Country: Mauritania</v>
      </c>
      <c r="AI90" s="7">
        <f ca="1"/>
        <v>6.0642813826561554E-3</v>
      </c>
      <c r="AK90" t="str">
        <f ca="1"/>
        <v>Obs. 122</v>
      </c>
      <c r="AL90" s="7">
        <f ca="1"/>
        <v>81.2</v>
      </c>
      <c r="AN90" s="7" t="e">
        <f ca="1"/>
        <v>#REF!</v>
      </c>
      <c r="AO90" s="7" t="e">
        <f ca="1"/>
        <v>#REF!</v>
      </c>
      <c r="AP90" s="7">
        <f ca="1"/>
        <v>0.13257074682243553</v>
      </c>
      <c r="AQ90" s="7" t="e">
        <f ca="1"/>
        <v>#REF!</v>
      </c>
      <c r="AR90" s="7" t="e">
        <f ca="1"/>
        <v>#REF!</v>
      </c>
      <c r="AS90" s="7">
        <f ca="1"/>
        <v>-1.6158584342289828</v>
      </c>
      <c r="AT90" s="7" t="e">
        <f ca="1"/>
        <v>#REF!</v>
      </c>
      <c r="AU90" s="7" t="e">
        <f ca="1"/>
        <v>#REF!</v>
      </c>
      <c r="AV90" s="7" t="e">
        <f ca="1"/>
        <v>#REF!</v>
      </c>
    </row>
    <row r="91" spans="16:48" x14ac:dyDescent="0.25">
      <c r="P91" t="str">
        <f ca="1"/>
        <v>Country: Nicaragua</v>
      </c>
      <c r="Q91">
        <f ca="1"/>
        <v>4.420835808287521E-2</v>
      </c>
      <c r="R91">
        <f ca="1"/>
        <v>4.2664399127509141E-2</v>
      </c>
      <c r="S91">
        <f ca="1"/>
        <v>10.3507191641192</v>
      </c>
      <c r="T91">
        <f ca="1"/>
        <v>105.26505722185657</v>
      </c>
      <c r="U91" t="e">
        <f ca="1"/>
        <v>#REF!</v>
      </c>
      <c r="V91" t="e">
        <f ca="1"/>
        <v>#REF!</v>
      </c>
      <c r="X91" t="str">
        <f ca="1"/>
        <v>Country: Lithuania</v>
      </c>
      <c r="AE91" t="e">
        <f ca="1"/>
        <v>#REF!</v>
      </c>
      <c r="AG91" t="str">
        <f ca="1"/>
        <v>Country: Mauritius</v>
      </c>
      <c r="AI91" s="7">
        <f ca="1"/>
        <v>9.0964220739842335E-3</v>
      </c>
      <c r="AK91" t="str">
        <f ca="1"/>
        <v>Obs. 123</v>
      </c>
      <c r="AL91" s="7">
        <f ca="1"/>
        <v>81</v>
      </c>
      <c r="AN91" s="7" t="e">
        <f ca="1"/>
        <v>#REF!</v>
      </c>
      <c r="AO91" s="7" t="e">
        <f ca="1"/>
        <v>#REF!</v>
      </c>
      <c r="AP91" s="7">
        <f ca="1"/>
        <v>0.14861535347424051</v>
      </c>
      <c r="AQ91" s="7" t="e">
        <f ca="1"/>
        <v>#REF!</v>
      </c>
      <c r="AR91" s="7" t="e">
        <f ca="1"/>
        <v>#REF!</v>
      </c>
      <c r="AS91" s="7">
        <f ca="1"/>
        <v>-1.6158584342289828</v>
      </c>
      <c r="AT91" s="7" t="e">
        <f ca="1"/>
        <v>#REF!</v>
      </c>
      <c r="AU91" s="7" t="e">
        <f ca="1"/>
        <v>#REF!</v>
      </c>
      <c r="AV91" s="7" t="e">
        <f ca="1"/>
        <v>#REF!</v>
      </c>
    </row>
    <row r="92" spans="16:48" x14ac:dyDescent="0.25">
      <c r="P92" t="str">
        <f ca="1"/>
        <v>Country: Niger</v>
      </c>
      <c r="Q92">
        <f ca="1"/>
        <v>-5.4645595294006297E-2</v>
      </c>
      <c r="R92">
        <f ca="1"/>
        <v>-6.1708648329571722E-2</v>
      </c>
      <c r="S92">
        <f ca="1"/>
        <v>16.50249480987522</v>
      </c>
      <c r="T92">
        <f ca="1"/>
        <v>270.66060613458893</v>
      </c>
      <c r="U92" t="e">
        <f ca="1"/>
        <v>#REF!</v>
      </c>
      <c r="V92" t="e">
        <f ca="1"/>
        <v>#REF!</v>
      </c>
      <c r="X92" t="str">
        <f ca="1"/>
        <v>Country: Luxembourg</v>
      </c>
      <c r="AE92" t="e">
        <f ca="1"/>
        <v>#REF!</v>
      </c>
      <c r="AG92" t="str">
        <f ca="1"/>
        <v>Country: Mexico</v>
      </c>
      <c r="AI92" s="7">
        <f ca="1"/>
        <v>9.0964220739842335E-3</v>
      </c>
      <c r="AK92" t="str">
        <f ca="1"/>
        <v>Obs. 124</v>
      </c>
      <c r="AL92" s="7">
        <f ca="1"/>
        <v>86</v>
      </c>
      <c r="AN92" s="7" t="e">
        <f ca="1"/>
        <v>#REF!</v>
      </c>
      <c r="AO92" s="7" t="e">
        <f ca="1"/>
        <v>#REF!</v>
      </c>
      <c r="AP92" s="7">
        <f ca="1"/>
        <v>0.15816073683704193</v>
      </c>
      <c r="AQ92" s="7" t="e">
        <f ca="1"/>
        <v>#REF!</v>
      </c>
      <c r="AR92" s="7" t="e">
        <f ca="1"/>
        <v>#REF!</v>
      </c>
      <c r="AS92" s="7">
        <f ca="1"/>
        <v>-1.6158584342289828</v>
      </c>
      <c r="AT92" s="7" t="e">
        <f ca="1"/>
        <v>#REF!</v>
      </c>
      <c r="AU92" s="7" t="e">
        <f ca="1"/>
        <v>#REF!</v>
      </c>
      <c r="AV92" s="7" t="e">
        <f ca="1"/>
        <v>#REF!</v>
      </c>
    </row>
    <row r="93" spans="16:48" x14ac:dyDescent="0.25">
      <c r="P93" t="str">
        <f ca="1"/>
        <v>Country: Nigeria</v>
      </c>
      <c r="Q93">
        <f ca="1"/>
        <v>-0.14621989661896911</v>
      </c>
      <c r="R93">
        <f ca="1"/>
        <v>-0.11884406191651346</v>
      </c>
      <c r="S93">
        <f ca="1"/>
        <v>12.735820805332194</v>
      </c>
      <c r="T93">
        <f ca="1"/>
        <v>160.39566714842184</v>
      </c>
      <c r="U93" t="e">
        <f ca="1"/>
        <v>#REF!</v>
      </c>
      <c r="V93" t="e">
        <f ca="1"/>
        <v>#REF!</v>
      </c>
      <c r="X93" t="str">
        <f ca="1"/>
        <v>Country: Madagascar</v>
      </c>
      <c r="AE93" t="e">
        <f ca="1"/>
        <v>#REF!</v>
      </c>
      <c r="AG93" t="str">
        <f ca="1"/>
        <v>Country: Mongolia</v>
      </c>
      <c r="AI93" s="7">
        <f ca="1"/>
        <v>9.0964220739842335E-3</v>
      </c>
      <c r="AK93" t="str">
        <f ca="1"/>
        <v>Obs. 125</v>
      </c>
      <c r="AL93" s="7">
        <f ca="1"/>
        <v>83</v>
      </c>
      <c r="AN93" s="7" t="e">
        <f ca="1"/>
        <v>#REF!</v>
      </c>
      <c r="AO93" s="7" t="e">
        <f ca="1"/>
        <v>#REF!</v>
      </c>
      <c r="AP93" s="7">
        <f ca="1"/>
        <v>0.14725872634063686</v>
      </c>
      <c r="AQ93" s="7" t="e">
        <f ca="1"/>
        <v>#REF!</v>
      </c>
      <c r="AR93" s="7" t="e">
        <f ca="1"/>
        <v>#REF!</v>
      </c>
      <c r="AS93" s="7">
        <f ca="1"/>
        <v>-1.6158584342289828</v>
      </c>
      <c r="AT93" s="7" t="e">
        <f ca="1"/>
        <v>#REF!</v>
      </c>
      <c r="AU93" s="7" t="e">
        <f ca="1"/>
        <v>#REF!</v>
      </c>
      <c r="AV93" s="7" t="e">
        <f ca="1"/>
        <v>#REF!</v>
      </c>
    </row>
    <row r="94" spans="16:48" x14ac:dyDescent="0.25">
      <c r="P94" t="str">
        <f ca="1"/>
        <v>Country: Pakistan</v>
      </c>
      <c r="Q94">
        <f ca="1"/>
        <v>-4.4644848029444413E-2</v>
      </c>
      <c r="R94">
        <f ca="1"/>
        <v>-6.9779817311610343E-2</v>
      </c>
      <c r="S94">
        <f ca="1"/>
        <v>11.604695115063315</v>
      </c>
      <c r="T94">
        <f ca="1"/>
        <v>132.83005112143451</v>
      </c>
      <c r="U94" t="e">
        <f ca="1"/>
        <v>#REF!</v>
      </c>
      <c r="V94" t="e">
        <f ca="1"/>
        <v>#REF!</v>
      </c>
      <c r="X94" t="str">
        <f ca="1"/>
        <v>Country: Malawi</v>
      </c>
      <c r="AE94" t="e">
        <f ca="1"/>
        <v>#REF!</v>
      </c>
      <c r="AG94" t="str">
        <f ca="1"/>
        <v>Country: Montenegro</v>
      </c>
      <c r="AI94" s="7">
        <f ca="1"/>
        <v>5.4578532443905394E-3</v>
      </c>
      <c r="AK94" t="str">
        <f ca="1"/>
        <v>Obs. 126</v>
      </c>
      <c r="AL94" s="7">
        <f ca="1"/>
        <v>79.900000000000006</v>
      </c>
      <c r="AN94" s="7" t="e">
        <f ca="1"/>
        <v>#REF!</v>
      </c>
      <c r="AO94" s="7" t="e">
        <f ca="1"/>
        <v>#REF!</v>
      </c>
      <c r="AP94" s="7">
        <f ca="1"/>
        <v>0.15272573101019671</v>
      </c>
      <c r="AQ94" s="7" t="e">
        <f ca="1"/>
        <v>#REF!</v>
      </c>
      <c r="AR94" s="7" t="e">
        <f ca="1"/>
        <v>#REF!</v>
      </c>
      <c r="AS94" s="7">
        <f ca="1"/>
        <v>-1.5938200328066188</v>
      </c>
      <c r="AT94" s="7" t="e">
        <f ca="1"/>
        <v>#REF!</v>
      </c>
      <c r="AU94" s="7" t="e">
        <f ca="1"/>
        <v>#REF!</v>
      </c>
      <c r="AV94" s="7" t="e">
        <f ca="1"/>
        <v>#REF!</v>
      </c>
    </row>
    <row r="95" spans="16:48" x14ac:dyDescent="0.25">
      <c r="P95" t="str">
        <f ca="1"/>
        <v>Country: Panama</v>
      </c>
      <c r="Q95">
        <f ca="1"/>
        <v>7.5210159085788958E-2</v>
      </c>
      <c r="R95">
        <f ca="1"/>
        <v>0.10104339699920874</v>
      </c>
      <c r="S95">
        <f ca="1"/>
        <v>10.72396655431465</v>
      </c>
      <c r="T95">
        <f ca="1"/>
        <v>113.14068067181351</v>
      </c>
      <c r="U95" t="e">
        <f ca="1"/>
        <v>#REF!</v>
      </c>
      <c r="V95" t="e">
        <f ca="1"/>
        <v>#REF!</v>
      </c>
      <c r="X95" t="str">
        <f ca="1"/>
        <v>Country: Malaysia</v>
      </c>
      <c r="AE95" t="e">
        <f ca="1"/>
        <v>#REF!</v>
      </c>
      <c r="AG95" t="str">
        <f ca="1"/>
        <v>Country: Morocco</v>
      </c>
      <c r="AI95" s="7">
        <f ca="1"/>
        <v>9.0964220739842335E-3</v>
      </c>
      <c r="AK95" t="str">
        <f ca="1"/>
        <v>Obs. 127</v>
      </c>
      <c r="AL95" s="7">
        <f ca="1"/>
        <v>79.900000000000006</v>
      </c>
      <c r="AN95" s="7" t="e">
        <f ca="1"/>
        <v>#REF!</v>
      </c>
      <c r="AO95" s="7" t="e">
        <f ca="1"/>
        <v>#REF!</v>
      </c>
      <c r="AP95" s="7">
        <f ca="1"/>
        <v>0.14375044322800673</v>
      </c>
      <c r="AQ95" s="7" t="e">
        <f ca="1"/>
        <v>#REF!</v>
      </c>
      <c r="AR95" s="7" t="e">
        <f ca="1"/>
        <v>#REF!</v>
      </c>
      <c r="AS95" s="7">
        <f ca="1"/>
        <v>-1.5884297017318656</v>
      </c>
      <c r="AT95" s="7" t="e">
        <f ca="1"/>
        <v>#REF!</v>
      </c>
      <c r="AU95" s="7" t="e">
        <f ca="1"/>
        <v>#REF!</v>
      </c>
      <c r="AV95" s="7" t="e">
        <f ca="1"/>
        <v>#REF!</v>
      </c>
    </row>
    <row r="96" spans="16:48" x14ac:dyDescent="0.25">
      <c r="P96" t="str">
        <f ca="1"/>
        <v>Country: Papua New Guinea</v>
      </c>
      <c r="Q96">
        <f ca="1"/>
        <v>-8.3916160302490925E-2</v>
      </c>
      <c r="R96">
        <f ca="1"/>
        <v>-0.10012279103315283</v>
      </c>
      <c r="S96">
        <f ca="1"/>
        <v>10.350719164119218</v>
      </c>
      <c r="T96">
        <f ca="1"/>
        <v>105.2650572218575</v>
      </c>
      <c r="U96" t="e">
        <f ca="1"/>
        <v>#REF!</v>
      </c>
      <c r="V96" t="e">
        <f ca="1"/>
        <v>#REF!</v>
      </c>
      <c r="X96" t="str">
        <f ca="1"/>
        <v>Country: Maldives</v>
      </c>
      <c r="AE96" t="e">
        <f ca="1"/>
        <v>#REF!</v>
      </c>
      <c r="AG96" t="str">
        <f ca="1"/>
        <v>Country: Mozambique</v>
      </c>
      <c r="AI96" s="7">
        <f ca="1"/>
        <v>8.4899939357186167E-3</v>
      </c>
      <c r="AK96" t="str">
        <f ca="1"/>
        <v>Obs. 130</v>
      </c>
      <c r="AL96" s="7">
        <f ca="1"/>
        <v>81.400000000000006</v>
      </c>
      <c r="AN96" s="7" t="e">
        <f ca="1"/>
        <v>#REF!</v>
      </c>
      <c r="AO96" s="7" t="e">
        <f ca="1"/>
        <v>#REF!</v>
      </c>
      <c r="AP96" s="7">
        <f ca="1"/>
        <v>2.7226159395556407E-2</v>
      </c>
      <c r="AQ96" s="7" t="e">
        <f ca="1"/>
        <v>#REF!</v>
      </c>
      <c r="AR96" s="7" t="e">
        <f ca="1"/>
        <v>#REF!</v>
      </c>
      <c r="AS96" s="7">
        <f ca="1"/>
        <v>-1.5884297017318656</v>
      </c>
      <c r="AT96" s="7" t="e">
        <f ca="1"/>
        <v>#REF!</v>
      </c>
      <c r="AU96" s="7" t="e">
        <f ca="1"/>
        <v>#REF!</v>
      </c>
      <c r="AV96" s="7" t="e">
        <f ca="1"/>
        <v>#REF!</v>
      </c>
    </row>
    <row r="97" spans="16:48" x14ac:dyDescent="0.25">
      <c r="P97" t="str">
        <f ca="1"/>
        <v>Country: Paraguay</v>
      </c>
      <c r="Q97">
        <f ca="1"/>
        <v>3.4458519746986625E-2</v>
      </c>
      <c r="R97">
        <f ca="1"/>
        <v>2.5870468194574045E-2</v>
      </c>
      <c r="S97">
        <f ca="1"/>
        <v>11.604695115063288</v>
      </c>
      <c r="T97">
        <f ca="1"/>
        <v>132.83005112143428</v>
      </c>
      <c r="U97" t="e">
        <f ca="1"/>
        <v>#REF!</v>
      </c>
      <c r="V97" t="e">
        <f ca="1"/>
        <v>#REF!</v>
      </c>
      <c r="X97" t="str">
        <f ca="1"/>
        <v>Country: Mali</v>
      </c>
      <c r="AE97" t="e">
        <f ca="1"/>
        <v>#REF!</v>
      </c>
      <c r="AG97" t="str">
        <f ca="1"/>
        <v>Country: Myanmar</v>
      </c>
      <c r="AI97" s="7">
        <f ca="1"/>
        <v>7.2771376591873865E-3</v>
      </c>
      <c r="AK97" t="str">
        <f ca="1"/>
        <v>Obs. 131</v>
      </c>
      <c r="AL97" s="7">
        <f ca="1"/>
        <v>81.099999999999994</v>
      </c>
      <c r="AN97" s="7" t="e">
        <f ca="1"/>
        <v>#REF!</v>
      </c>
      <c r="AO97" s="7" t="e">
        <f ca="1"/>
        <v>#REF!</v>
      </c>
      <c r="AP97" s="7">
        <f ca="1"/>
        <v>3.8765040347105428E-2</v>
      </c>
      <c r="AQ97" s="7" t="e">
        <f ca="1"/>
        <v>#REF!</v>
      </c>
      <c r="AR97" s="7" t="e">
        <f ca="1"/>
        <v>#REF!</v>
      </c>
      <c r="AS97" s="7">
        <f ca="1"/>
        <v>-1.5777854040319945</v>
      </c>
      <c r="AT97" s="7" t="e">
        <f ca="1"/>
        <v>#REF!</v>
      </c>
      <c r="AU97" s="7" t="e">
        <f ca="1"/>
        <v>#REF!</v>
      </c>
      <c r="AV97" s="7" t="e">
        <f ca="1"/>
        <v>#REF!</v>
      </c>
    </row>
    <row r="98" spans="16:48" x14ac:dyDescent="0.25">
      <c r="P98" t="str">
        <f ca="1"/>
        <v>Country: Peru</v>
      </c>
      <c r="Q98">
        <f ca="1"/>
        <v>4.4681108813479239E-2</v>
      </c>
      <c r="R98">
        <f ca="1"/>
        <v>4.9852362233576634E-2</v>
      </c>
      <c r="S98">
        <f ca="1"/>
        <v>11.604695115063281</v>
      </c>
      <c r="T98">
        <f ca="1"/>
        <v>132.83005112143422</v>
      </c>
      <c r="U98" t="e">
        <f ca="1"/>
        <v>#REF!</v>
      </c>
      <c r="V98" t="e">
        <f ca="1"/>
        <v>#REF!</v>
      </c>
      <c r="X98" t="str">
        <f ca="1"/>
        <v>Country: Malta</v>
      </c>
      <c r="AE98" t="e">
        <f ca="1"/>
        <v>#REF!</v>
      </c>
      <c r="AG98" t="str">
        <f ca="1"/>
        <v>Country: Namibia</v>
      </c>
      <c r="AI98" s="7">
        <f ca="1"/>
        <v>3.0321406913280777E-3</v>
      </c>
      <c r="AK98" t="str">
        <f ca="1"/>
        <v>Obs. 132</v>
      </c>
      <c r="AL98" s="7">
        <f ca="1"/>
        <v>88</v>
      </c>
      <c r="AN98" s="7" t="e">
        <f ca="1"/>
        <v>#REF!</v>
      </c>
      <c r="AO98" s="7" t="e">
        <f ca="1"/>
        <v>#REF!</v>
      </c>
      <c r="AP98" s="7">
        <f ca="1"/>
        <v>2.5067242076239605E-2</v>
      </c>
      <c r="AQ98" s="7" t="e">
        <f ca="1"/>
        <v>#REF!</v>
      </c>
      <c r="AR98" s="7" t="e">
        <f ca="1"/>
        <v>#REF!</v>
      </c>
      <c r="AS98" s="7">
        <f ca="1"/>
        <v>-1.5725296242490356</v>
      </c>
      <c r="AT98" s="7" t="e">
        <f ca="1"/>
        <v>#REF!</v>
      </c>
      <c r="AU98" s="7" t="e">
        <f ca="1"/>
        <v>#REF!</v>
      </c>
      <c r="AV98" s="7" t="e">
        <f ca="1"/>
        <v>#REF!</v>
      </c>
    </row>
    <row r="99" spans="16:48" x14ac:dyDescent="0.25">
      <c r="P99" t="str">
        <f ca="1"/>
        <v>Country: Philippines</v>
      </c>
      <c r="Q99">
        <f ca="1"/>
        <v>-1.9490736375155408E-2</v>
      </c>
      <c r="R99">
        <f ca="1"/>
        <v>-4.6689975393668204E-2</v>
      </c>
      <c r="S99">
        <f ca="1"/>
        <v>10.350719164119235</v>
      </c>
      <c r="T99">
        <f ca="1"/>
        <v>105.26505722185813</v>
      </c>
      <c r="U99" t="e">
        <f ca="1"/>
        <v>#REF!</v>
      </c>
      <c r="V99" t="e">
        <f ca="1"/>
        <v>#REF!</v>
      </c>
      <c r="X99" t="str">
        <f ca="1"/>
        <v>Country: Mauritania</v>
      </c>
      <c r="AE99" t="e">
        <f ca="1"/>
        <v>#REF!</v>
      </c>
      <c r="AG99" t="str">
        <f ca="1"/>
        <v>Country: Nepal</v>
      </c>
      <c r="AI99" s="7">
        <f ca="1"/>
        <v>7.2771376591873865E-3</v>
      </c>
      <c r="AK99" t="str">
        <f ca="1"/>
        <v>Obs. 133</v>
      </c>
      <c r="AL99" s="7">
        <f ca="1"/>
        <v>88</v>
      </c>
      <c r="AN99" s="7" t="e">
        <f ca="1"/>
        <v>#REF!</v>
      </c>
      <c r="AO99" s="7" t="e">
        <f ca="1"/>
        <v>#REF!</v>
      </c>
      <c r="AP99" s="7">
        <f ca="1"/>
        <v>1.7888017809742689E-2</v>
      </c>
      <c r="AQ99" s="7" t="e">
        <f ca="1"/>
        <v>#REF!</v>
      </c>
      <c r="AR99" s="7" t="e">
        <f ca="1"/>
        <v>#REF!</v>
      </c>
      <c r="AS99" s="7">
        <f ca="1"/>
        <v>-1.5725296242490356</v>
      </c>
      <c r="AT99" s="7" t="e">
        <f ca="1"/>
        <v>#REF!</v>
      </c>
      <c r="AU99" s="7" t="e">
        <f ca="1"/>
        <v>#REF!</v>
      </c>
      <c r="AV99" s="7" t="e">
        <f ca="1"/>
        <v>#REF!</v>
      </c>
    </row>
    <row r="100" spans="16:48" x14ac:dyDescent="0.25">
      <c r="P100" t="str">
        <f ca="1"/>
        <v>Country: Poland</v>
      </c>
      <c r="Q100">
        <f ca="1"/>
        <v>6.7814065835281198E-2</v>
      </c>
      <c r="R100">
        <f ca="1"/>
        <v>8.9824025085562559E-2</v>
      </c>
      <c r="S100">
        <f ca="1"/>
        <v>10.350719164119237</v>
      </c>
      <c r="T100">
        <f ca="1"/>
        <v>105.26505722185848</v>
      </c>
      <c r="U100" t="e">
        <f ca="1"/>
        <v>#REF!</v>
      </c>
      <c r="V100" t="e">
        <f ca="1"/>
        <v>#REF!</v>
      </c>
      <c r="X100" t="str">
        <f ca="1"/>
        <v>Country: Mauritius</v>
      </c>
      <c r="AE100" t="e">
        <f ca="1"/>
        <v>#REF!</v>
      </c>
      <c r="AG100" t="str">
        <f ca="1"/>
        <v>Country: Netherlands</v>
      </c>
      <c r="AI100" s="7">
        <f ca="1"/>
        <v>2.4257125530624622E-3</v>
      </c>
      <c r="AK100" t="str">
        <f ca="1"/>
        <v>Obs. 134</v>
      </c>
      <c r="AL100" s="7">
        <f ca="1"/>
        <v>84</v>
      </c>
      <c r="AN100" s="7" t="e">
        <f ca="1"/>
        <v>#REF!</v>
      </c>
      <c r="AO100" s="7" t="e">
        <f ca="1"/>
        <v>#REF!</v>
      </c>
      <c r="AP100" s="7">
        <f ca="1"/>
        <v>2.3237087286639396E-2</v>
      </c>
      <c r="AQ100" s="7" t="e">
        <f ca="1"/>
        <v>#REF!</v>
      </c>
      <c r="AR100" s="7" t="e">
        <f ca="1"/>
        <v>#REF!</v>
      </c>
      <c r="AS100" s="7">
        <f ca="1"/>
        <v>-1.5621464731395975</v>
      </c>
      <c r="AT100" s="7" t="e">
        <f ca="1"/>
        <v>#REF!</v>
      </c>
      <c r="AU100" s="7" t="e">
        <f ca="1"/>
        <v>#REF!</v>
      </c>
      <c r="AV100" s="7" t="e">
        <f ca="1"/>
        <v>#REF!</v>
      </c>
    </row>
    <row r="101" spans="16:48" x14ac:dyDescent="0.25">
      <c r="P101" t="str">
        <f ca="1"/>
        <v>Country: Portugal</v>
      </c>
      <c r="Q101">
        <f ca="1"/>
        <v>0.11567917786246724</v>
      </c>
      <c r="R101">
        <f ca="1"/>
        <v>0.13083122865016955</v>
      </c>
      <c r="S101">
        <f ca="1"/>
        <v>10.350719164119246</v>
      </c>
      <c r="T101">
        <f ca="1"/>
        <v>105.26505722185871</v>
      </c>
      <c r="U101" t="e">
        <f ca="1"/>
        <v>#REF!</v>
      </c>
      <c r="V101" t="e">
        <f ca="1"/>
        <v>#REF!</v>
      </c>
      <c r="X101" t="str">
        <f ca="1"/>
        <v>Country: Mexico</v>
      </c>
      <c r="AE101" t="e">
        <f ca="1"/>
        <v>#REF!</v>
      </c>
      <c r="AG101" t="str">
        <f ca="1"/>
        <v>Country: Nicaragua</v>
      </c>
      <c r="AI101" s="7">
        <f ca="1"/>
        <v>9.0964220739842335E-3</v>
      </c>
      <c r="AK101" t="str">
        <f ca="1"/>
        <v>Obs. 135</v>
      </c>
      <c r="AL101" s="7">
        <f ca="1"/>
        <v>82</v>
      </c>
      <c r="AN101" s="7" t="e">
        <f ca="1"/>
        <v>#REF!</v>
      </c>
      <c r="AO101" s="7" t="e">
        <f ca="1"/>
        <v>#REF!</v>
      </c>
      <c r="AP101" s="7">
        <f ca="1"/>
        <v>2.593814231154427E-2</v>
      </c>
      <c r="AQ101" s="7" t="e">
        <f ca="1"/>
        <v>#REF!</v>
      </c>
      <c r="AR101" s="7" t="e">
        <f ca="1"/>
        <v>#REF!</v>
      </c>
      <c r="AS101" s="7">
        <f ca="1"/>
        <v>-1.5621464731395975</v>
      </c>
      <c r="AT101" s="7" t="e">
        <f ca="1"/>
        <v>#REF!</v>
      </c>
      <c r="AU101" s="7" t="e">
        <f ca="1"/>
        <v>#REF!</v>
      </c>
      <c r="AV101" s="7" t="e">
        <f ca="1"/>
        <v>#REF!</v>
      </c>
    </row>
    <row r="102" spans="16:48" x14ac:dyDescent="0.25">
      <c r="P102" t="str">
        <f ca="1"/>
        <v>Country: Romania</v>
      </c>
      <c r="Q102">
        <f ca="1"/>
        <v>5.1035855094340464E-2</v>
      </c>
      <c r="R102">
        <f ca="1"/>
        <v>5.2849107080891571E-2</v>
      </c>
      <c r="S102">
        <f ca="1"/>
        <v>10.350719164119246</v>
      </c>
      <c r="T102">
        <f ca="1"/>
        <v>105.26505722185887</v>
      </c>
      <c r="U102" t="e">
        <f ca="1"/>
        <v>#REF!</v>
      </c>
      <c r="V102" t="e">
        <f ca="1"/>
        <v>#REF!</v>
      </c>
      <c r="X102" t="str">
        <f ca="1"/>
        <v>Country: Mongolia</v>
      </c>
      <c r="AE102" t="e">
        <f ca="1"/>
        <v>#REF!</v>
      </c>
      <c r="AG102" t="str">
        <f ca="1"/>
        <v>Country: Niger</v>
      </c>
      <c r="AI102" s="7">
        <f ca="1"/>
        <v>3.6385688295936932E-3</v>
      </c>
      <c r="AK102" t="str">
        <f ca="1"/>
        <v>Obs. 136</v>
      </c>
      <c r="AL102" s="7">
        <f ca="1"/>
        <v>84</v>
      </c>
      <c r="AN102" s="7" t="e">
        <f ca="1"/>
        <v>#REF!</v>
      </c>
      <c r="AO102" s="7" t="e">
        <f ca="1"/>
        <v>#REF!</v>
      </c>
      <c r="AP102" s="7">
        <f ca="1"/>
        <v>1.8291078158224013E-2</v>
      </c>
      <c r="AQ102" s="7" t="e">
        <f ca="1"/>
        <v>#REF!</v>
      </c>
      <c r="AR102" s="7" t="e">
        <f ca="1"/>
        <v>#REF!</v>
      </c>
      <c r="AS102" s="7">
        <f ca="1"/>
        <v>-1.5621464731395975</v>
      </c>
      <c r="AT102" s="7" t="e">
        <f ca="1"/>
        <v>#REF!</v>
      </c>
      <c r="AU102" s="7" t="e">
        <f ca="1"/>
        <v>#REF!</v>
      </c>
      <c r="AV102" s="7" t="e">
        <f ca="1"/>
        <v>#REF!</v>
      </c>
    </row>
    <row r="103" spans="16:48" x14ac:dyDescent="0.25">
      <c r="P103" t="str">
        <f ca="1"/>
        <v>Country: Russian Federation</v>
      </c>
      <c r="Q103">
        <f ca="1"/>
        <v>-1.9565652260461024E-2</v>
      </c>
      <c r="R103">
        <f ca="1"/>
        <v>-4.3926176502266982E-2</v>
      </c>
      <c r="S103">
        <f ca="1"/>
        <v>10.723966554314655</v>
      </c>
      <c r="T103">
        <f ca="1"/>
        <v>113.14068067181498</v>
      </c>
      <c r="U103" t="e">
        <f ca="1"/>
        <v>#REF!</v>
      </c>
      <c r="V103" t="e">
        <f ca="1"/>
        <v>#REF!</v>
      </c>
      <c r="X103" t="str">
        <f ca="1"/>
        <v>Country: Montenegro</v>
      </c>
      <c r="AE103" t="e">
        <f ca="1"/>
        <v>#REF!</v>
      </c>
      <c r="AG103" t="str">
        <f ca="1"/>
        <v>Country: Nigeria</v>
      </c>
      <c r="AI103" s="7">
        <f ca="1"/>
        <v>6.0642813826561554E-3</v>
      </c>
      <c r="AK103" t="str">
        <f ca="1"/>
        <v>Obs. 137</v>
      </c>
      <c r="AL103" s="7">
        <f ca="1"/>
        <v>81</v>
      </c>
      <c r="AN103" s="7" t="e">
        <f ca="1"/>
        <v>#REF!</v>
      </c>
      <c r="AO103" s="7" t="e">
        <f ca="1"/>
        <v>#REF!</v>
      </c>
      <c r="AP103" s="7">
        <f ca="1"/>
        <v>1.6353371057903285E-2</v>
      </c>
      <c r="AQ103" s="7" t="e">
        <f ca="1"/>
        <v>#REF!</v>
      </c>
      <c r="AR103" s="7" t="e">
        <f ca="1"/>
        <v>#REF!</v>
      </c>
      <c r="AS103" s="7">
        <f ca="1"/>
        <v>-1.5468805340999257</v>
      </c>
      <c r="AT103" s="7" t="e">
        <f ca="1"/>
        <v>#REF!</v>
      </c>
      <c r="AU103" s="7" t="e">
        <f ca="1"/>
        <v>#REF!</v>
      </c>
      <c r="AV103" s="7" t="e">
        <f ca="1"/>
        <v>#REF!</v>
      </c>
    </row>
    <row r="104" spans="16:48" x14ac:dyDescent="0.25">
      <c r="P104" t="str">
        <f ca="1"/>
        <v>Country: Rwanda</v>
      </c>
      <c r="Q104">
        <f ca="1"/>
        <v>-8.9613871723823874E-2</v>
      </c>
      <c r="R104">
        <f ca="1"/>
        <v>-9.6802017126483716E-2</v>
      </c>
      <c r="S104">
        <f ca="1"/>
        <v>11.139110863412753</v>
      </c>
      <c r="T104">
        <f ca="1"/>
        <v>122.22803450340777</v>
      </c>
      <c r="U104" t="e">
        <f ca="1"/>
        <v>#REF!</v>
      </c>
      <c r="V104" t="e">
        <f ca="1"/>
        <v>#REF!</v>
      </c>
      <c r="X104" t="str">
        <f ca="1"/>
        <v>Country: Morocco</v>
      </c>
      <c r="AE104" t="e">
        <f ca="1"/>
        <v>#REF!</v>
      </c>
      <c r="AG104" t="str">
        <f ca="1"/>
        <v>Country: Pakistan</v>
      </c>
      <c r="AI104" s="7">
        <f ca="1"/>
        <v>7.2771376591873865E-3</v>
      </c>
      <c r="AK104" t="str">
        <f ca="1"/>
        <v>Obs. 138</v>
      </c>
      <c r="AL104" s="7">
        <f ca="1"/>
        <v>79.8</v>
      </c>
      <c r="AN104" s="7" t="e">
        <f ca="1"/>
        <v>#REF!</v>
      </c>
      <c r="AO104" s="7" t="e">
        <f ca="1"/>
        <v>#REF!</v>
      </c>
      <c r="AP104" s="7">
        <f ca="1"/>
        <v>2.6930422399935809E-2</v>
      </c>
      <c r="AQ104" s="7" t="e">
        <f ca="1"/>
        <v>#REF!</v>
      </c>
      <c r="AR104" s="7" t="e">
        <f ca="1"/>
        <v>#REF!</v>
      </c>
      <c r="AS104" s="7">
        <f ca="1"/>
        <v>-1.5418711328403236</v>
      </c>
      <c r="AT104" s="7" t="e">
        <f ca="1"/>
        <v>#REF!</v>
      </c>
      <c r="AU104" s="7" t="e">
        <f ca="1"/>
        <v>#REF!</v>
      </c>
      <c r="AV104" s="7" t="e">
        <f ca="1"/>
        <v>#REF!</v>
      </c>
    </row>
    <row r="105" spans="16:48" x14ac:dyDescent="0.25">
      <c r="P105" t="str">
        <f ca="1"/>
        <v>Country: Samoa</v>
      </c>
      <c r="Q105">
        <f ca="1"/>
        <v>4.6750511225442187E-2</v>
      </c>
      <c r="R105">
        <f ca="1"/>
        <v>4.3214561217217541E-2</v>
      </c>
      <c r="S105">
        <f ca="1"/>
        <v>10.350719164119262</v>
      </c>
      <c r="T105">
        <f ca="1"/>
        <v>105.26505722185965</v>
      </c>
      <c r="U105" t="e">
        <f ca="1"/>
        <v>#REF!</v>
      </c>
      <c r="V105" t="e">
        <f ca="1"/>
        <v>#REF!</v>
      </c>
      <c r="X105" t="str">
        <f ca="1"/>
        <v>Country: Mozambique</v>
      </c>
      <c r="AE105" t="e">
        <f ca="1"/>
        <v>#REF!</v>
      </c>
      <c r="AG105" t="str">
        <f ca="1"/>
        <v>Country: Panama</v>
      </c>
      <c r="AI105" s="7">
        <f ca="1"/>
        <v>8.4899939357186167E-3</v>
      </c>
      <c r="AK105" t="str">
        <f ca="1"/>
        <v>Obs. 139</v>
      </c>
      <c r="AL105" s="7">
        <f ca="1"/>
        <v>79.400000000000006</v>
      </c>
      <c r="AN105" s="7" t="e">
        <f ca="1"/>
        <v>#REF!</v>
      </c>
      <c r="AO105" s="7" t="e">
        <f ca="1"/>
        <v>#REF!</v>
      </c>
      <c r="AP105" s="7">
        <f ca="1"/>
        <v>1.3759027446217783E-2</v>
      </c>
      <c r="AQ105" s="7" t="e">
        <f ca="1"/>
        <v>#REF!</v>
      </c>
      <c r="AR105" s="7" t="e">
        <f ca="1"/>
        <v>#REF!</v>
      </c>
      <c r="AS105" s="7">
        <f ca="1"/>
        <v>-1.5418711328403236</v>
      </c>
      <c r="AT105" s="7" t="e">
        <f ca="1"/>
        <v>#REF!</v>
      </c>
      <c r="AU105" s="7" t="e">
        <f ca="1"/>
        <v>#REF!</v>
      </c>
      <c r="AV105" s="7" t="e">
        <f ca="1"/>
        <v>#REF!</v>
      </c>
    </row>
    <row r="106" spans="16:48" x14ac:dyDescent="0.25">
      <c r="P106" t="str">
        <f ca="1"/>
        <v>Country: Sao Tome and Principe</v>
      </c>
      <c r="Q106">
        <f ca="1"/>
        <v>-3.6531682103656545E-2</v>
      </c>
      <c r="R106">
        <f ca="1"/>
        <v>-6.1955724381385753E-2</v>
      </c>
      <c r="S106">
        <f ca="1"/>
        <v>11.604695115063205</v>
      </c>
      <c r="T106">
        <f ca="1"/>
        <v>132.83005112143371</v>
      </c>
      <c r="U106" t="e">
        <f ca="1"/>
        <v>#REF!</v>
      </c>
      <c r="V106" t="e">
        <f ca="1"/>
        <v>#REF!</v>
      </c>
      <c r="X106" t="str">
        <f ca="1"/>
        <v>Country: Myanmar</v>
      </c>
      <c r="AE106" t="e">
        <f ca="1"/>
        <v>#REF!</v>
      </c>
      <c r="AG106" t="str">
        <f ca="1"/>
        <v>Country: Papua New Guinea</v>
      </c>
      <c r="AI106" s="7">
        <f ca="1"/>
        <v>9.0964220739842335E-3</v>
      </c>
      <c r="AK106" t="str">
        <f ca="1"/>
        <v>Obs. 140</v>
      </c>
      <c r="AL106" s="7">
        <f ca="1"/>
        <v>79.3</v>
      </c>
      <c r="AN106" s="7" t="e">
        <f ca="1"/>
        <v>#REF!</v>
      </c>
      <c r="AO106" s="7" t="e">
        <f ca="1"/>
        <v>#REF!</v>
      </c>
      <c r="AP106" s="7">
        <f ca="1"/>
        <v>1.5162563503540281E-2</v>
      </c>
      <c r="AQ106" s="7" t="e">
        <f ca="1"/>
        <v>#REF!</v>
      </c>
      <c r="AR106" s="7" t="e">
        <f ca="1"/>
        <v>#REF!</v>
      </c>
      <c r="AS106" s="7">
        <f ca="1"/>
        <v>-1.5319668124298669</v>
      </c>
      <c r="AT106" s="7" t="e">
        <f ca="1"/>
        <v>#REF!</v>
      </c>
      <c r="AU106" s="7" t="e">
        <f ca="1"/>
        <v>#REF!</v>
      </c>
      <c r="AV106" s="7" t="e">
        <f ca="1"/>
        <v>#REF!</v>
      </c>
    </row>
    <row r="107" spans="16:48" x14ac:dyDescent="0.25">
      <c r="P107" t="str">
        <f ca="1"/>
        <v>Country: Senegal</v>
      </c>
      <c r="Q107">
        <f ca="1"/>
        <v>-5.1442497687915756E-2</v>
      </c>
      <c r="R107">
        <f ca="1"/>
        <v>-7.234392846348546E-2</v>
      </c>
      <c r="S107">
        <f ca="1"/>
        <v>12.13192156837626</v>
      </c>
      <c r="T107">
        <f ca="1"/>
        <v>145.3598201693155</v>
      </c>
      <c r="U107" t="e">
        <f ca="1"/>
        <v>#REF!</v>
      </c>
      <c r="V107" t="e">
        <f ca="1"/>
        <v>#REF!</v>
      </c>
      <c r="X107" t="str">
        <f ca="1"/>
        <v>Country: Namibia</v>
      </c>
      <c r="AE107" t="e">
        <f ca="1"/>
        <v>#REF!</v>
      </c>
      <c r="AG107" t="str">
        <f ca="1"/>
        <v>Country: Paraguay</v>
      </c>
      <c r="AI107" s="7">
        <f ca="1"/>
        <v>7.2771376591873865E-3</v>
      </c>
      <c r="AK107" t="str">
        <f ca="1"/>
        <v>Obs. 141</v>
      </c>
      <c r="AL107" s="7">
        <f ca="1"/>
        <v>78.8</v>
      </c>
      <c r="AN107" s="7" t="e">
        <f ca="1"/>
        <v>#REF!</v>
      </c>
      <c r="AO107" s="7" t="e">
        <f ca="1"/>
        <v>#REF!</v>
      </c>
      <c r="AP107" s="7">
        <f ca="1"/>
        <v>2.4229509435044472E-2</v>
      </c>
      <c r="AQ107" s="7" t="e">
        <f ca="1"/>
        <v>#REF!</v>
      </c>
      <c r="AR107" s="7" t="e">
        <f ca="1"/>
        <v>#REF!</v>
      </c>
      <c r="AS107" s="7">
        <f ca="1"/>
        <v>-1.5319668124298669</v>
      </c>
      <c r="AT107" s="7" t="e">
        <f ca="1"/>
        <v>#REF!</v>
      </c>
      <c r="AU107" s="7" t="e">
        <f ca="1"/>
        <v>#REF!</v>
      </c>
      <c r="AV107" s="7" t="e">
        <f ca="1"/>
        <v>#REF!</v>
      </c>
    </row>
    <row r="108" spans="16:48" x14ac:dyDescent="0.25">
      <c r="P108" t="str">
        <f ca="1"/>
        <v>Country: Serbia</v>
      </c>
      <c r="Q108">
        <f ca="1"/>
        <v>4.5554326731092137E-2</v>
      </c>
      <c r="R108">
        <f ca="1"/>
        <v>5.441640654787213E-2</v>
      </c>
      <c r="S108">
        <f ca="1"/>
        <v>12.131921568376267</v>
      </c>
      <c r="T108">
        <f ca="1"/>
        <v>145.35982016931567</v>
      </c>
      <c r="U108" t="e">
        <f ca="1"/>
        <v>#REF!</v>
      </c>
      <c r="V108" t="e">
        <f ca="1"/>
        <v>#REF!</v>
      </c>
      <c r="X108" t="str">
        <f ca="1"/>
        <v>Country: Nepal</v>
      </c>
      <c r="AE108" t="e">
        <f ca="1"/>
        <v>#REF!</v>
      </c>
      <c r="AG108" t="str">
        <f ca="1"/>
        <v>Country: Peru</v>
      </c>
      <c r="AI108" s="7">
        <f ca="1"/>
        <v>7.2771376591873865E-3</v>
      </c>
      <c r="AK108" t="str">
        <f ca="1"/>
        <v>Obs. 142</v>
      </c>
      <c r="AL108" s="7">
        <f ca="1"/>
        <v>78.7</v>
      </c>
      <c r="AN108" s="7" t="e">
        <f ca="1"/>
        <v>#REF!</v>
      </c>
      <c r="AO108" s="7" t="e">
        <f ca="1"/>
        <v>#REF!</v>
      </c>
      <c r="AP108" s="7">
        <f ca="1"/>
        <v>2.0204680326024502E-2</v>
      </c>
      <c r="AQ108" s="7" t="e">
        <f ca="1"/>
        <v>#REF!</v>
      </c>
      <c r="AR108" s="7" t="e">
        <f ca="1"/>
        <v>#REF!</v>
      </c>
      <c r="AS108" s="7">
        <f ca="1"/>
        <v>-1.5319668124298669</v>
      </c>
      <c r="AT108" s="7" t="e">
        <f ca="1"/>
        <v>#REF!</v>
      </c>
      <c r="AU108" s="7" t="e">
        <f ca="1"/>
        <v>#REF!</v>
      </c>
      <c r="AV108" s="7" t="e">
        <f ca="1"/>
        <v>#REF!</v>
      </c>
    </row>
    <row r="109" spans="16:48" x14ac:dyDescent="0.25">
      <c r="P109" t="str">
        <f ca="1"/>
        <v>Country: Seychelles</v>
      </c>
      <c r="Q109">
        <f ca="1"/>
        <v>3.2877618361720595E-2</v>
      </c>
      <c r="R109">
        <f ca="1"/>
        <v>1.4545748908388082E-2</v>
      </c>
      <c r="S109">
        <f ca="1"/>
        <v>10.350719164119274</v>
      </c>
      <c r="T109">
        <f ca="1"/>
        <v>105.26505722186045</v>
      </c>
      <c r="U109" t="e">
        <f ca="1"/>
        <v>#REF!</v>
      </c>
      <c r="V109" t="e">
        <f ca="1"/>
        <v>#REF!</v>
      </c>
      <c r="X109" t="str">
        <f ca="1"/>
        <v>Country: Netherlands</v>
      </c>
      <c r="AE109" t="e">
        <f ca="1"/>
        <v>#REF!</v>
      </c>
      <c r="AG109" t="str">
        <f ca="1"/>
        <v>Country: Philippines</v>
      </c>
      <c r="AI109" s="7">
        <f ca="1"/>
        <v>9.0964220739842335E-3</v>
      </c>
      <c r="AK109" t="str">
        <f ca="1"/>
        <v>Obs. 143</v>
      </c>
      <c r="AL109" s="7">
        <f ca="1"/>
        <v>78.599999999999994</v>
      </c>
      <c r="AN109" s="7" t="e">
        <f ca="1"/>
        <v>#REF!</v>
      </c>
      <c r="AO109" s="7" t="e">
        <f ca="1"/>
        <v>#REF!</v>
      </c>
      <c r="AP109" s="7">
        <f ca="1"/>
        <v>2.6479843118981654E-2</v>
      </c>
      <c r="AQ109" s="7" t="e">
        <f ca="1"/>
        <v>#REF!</v>
      </c>
      <c r="AR109" s="7" t="e">
        <f ca="1"/>
        <v>#REF!</v>
      </c>
      <c r="AS109" s="7">
        <f ca="1"/>
        <v>-1.5319668124298669</v>
      </c>
      <c r="AT109" s="7" t="e">
        <f ca="1"/>
        <v>#REF!</v>
      </c>
      <c r="AU109" s="7" t="e">
        <f ca="1"/>
        <v>#REF!</v>
      </c>
      <c r="AV109" s="7" t="e">
        <f ca="1"/>
        <v>#REF!</v>
      </c>
    </row>
    <row r="110" spans="16:48" x14ac:dyDescent="0.25">
      <c r="P110" t="str">
        <f ca="1"/>
        <v>Country: Sierra Leone</v>
      </c>
      <c r="Q110">
        <f ca="1"/>
        <v>-0.16575645413439657</v>
      </c>
      <c r="R110">
        <f ca="1"/>
        <v>-0.11484081279334293</v>
      </c>
      <c r="S110">
        <f ca="1"/>
        <v>14.265343480469902</v>
      </c>
      <c r="T110">
        <f ca="1"/>
        <v>201.74471066253284</v>
      </c>
      <c r="U110" t="e">
        <f ca="1"/>
        <v>#REF!</v>
      </c>
      <c r="V110" t="e">
        <f ca="1"/>
        <v>#REF!</v>
      </c>
      <c r="X110" t="str">
        <f ca="1"/>
        <v>Country: Nicaragua</v>
      </c>
      <c r="AE110" t="e">
        <f ca="1"/>
        <v>#REF!</v>
      </c>
      <c r="AG110" t="str">
        <f ca="1"/>
        <v>Country: Poland</v>
      </c>
      <c r="AI110" s="7">
        <f ca="1"/>
        <v>9.0964220739842335E-3</v>
      </c>
      <c r="AK110" t="str">
        <f ca="1"/>
        <v>Obs. 144</v>
      </c>
      <c r="AL110" s="7">
        <f ca="1"/>
        <v>78.099999999999994</v>
      </c>
      <c r="AN110" s="7" t="e">
        <f ca="1"/>
        <v>#REF!</v>
      </c>
      <c r="AO110" s="7" t="e">
        <f ca="1"/>
        <v>#REF!</v>
      </c>
      <c r="AP110" s="7">
        <f ca="1"/>
        <v>2.7238508336082538E-2</v>
      </c>
      <c r="AQ110" s="7" t="e">
        <f ca="1"/>
        <v>#REF!</v>
      </c>
      <c r="AR110" s="7" t="e">
        <f ca="1"/>
        <v>#REF!</v>
      </c>
      <c r="AS110" s="7">
        <f ca="1"/>
        <v>-1.5125970273974985</v>
      </c>
      <c r="AT110" s="7" t="e">
        <f ca="1"/>
        <v>#REF!</v>
      </c>
      <c r="AU110" s="7" t="e">
        <f ca="1"/>
        <v>#REF!</v>
      </c>
      <c r="AV110" s="7" t="e">
        <f ca="1"/>
        <v>#REF!</v>
      </c>
    </row>
    <row r="111" spans="16:48" x14ac:dyDescent="0.25">
      <c r="P111" t="str">
        <f ca="1"/>
        <v>Country: Solomon Islands</v>
      </c>
      <c r="Q111">
        <f ca="1"/>
        <v>-1.8401242171198214E-2</v>
      </c>
      <c r="R111">
        <f ca="1"/>
        <v>-4.4844919605011968E-2</v>
      </c>
      <c r="S111">
        <f ca="1"/>
        <v>10.350719164119282</v>
      </c>
      <c r="T111">
        <f ca="1"/>
        <v>105.26505722186081</v>
      </c>
      <c r="U111" t="e">
        <f ca="1"/>
        <v>#REF!</v>
      </c>
      <c r="V111" t="e">
        <f ca="1"/>
        <v>#REF!</v>
      </c>
      <c r="X111" t="str">
        <f ca="1"/>
        <v>Country: Niger</v>
      </c>
      <c r="AE111" t="e">
        <f ca="1"/>
        <v>#REF!</v>
      </c>
      <c r="AG111" t="str">
        <f ca="1"/>
        <v>Country: Portugal</v>
      </c>
      <c r="AI111" s="7">
        <f ca="1"/>
        <v>9.0964220739842335E-3</v>
      </c>
      <c r="AK111" t="str">
        <f ca="1"/>
        <v>Obs. 146</v>
      </c>
      <c r="AL111" s="7">
        <f ca="1"/>
        <v>72.5</v>
      </c>
      <c r="AN111" s="7" t="e">
        <f ca="1"/>
        <v>#REF!</v>
      </c>
      <c r="AO111" s="7" t="e">
        <f ca="1"/>
        <v>#REF!</v>
      </c>
      <c r="AP111" s="7">
        <f ca="1"/>
        <v>0.2536098625788652</v>
      </c>
      <c r="AQ111" s="7" t="e">
        <f ca="1"/>
        <v>#REF!</v>
      </c>
      <c r="AR111" s="7" t="e">
        <f ca="1"/>
        <v>#REF!</v>
      </c>
      <c r="AS111" s="7">
        <f ca="1"/>
        <v>-1.5078422496152202</v>
      </c>
      <c r="AT111" s="7" t="e">
        <f ca="1"/>
        <v>#REF!</v>
      </c>
      <c r="AU111" s="7" t="e">
        <f ca="1"/>
        <v>#REF!</v>
      </c>
      <c r="AV111" s="7" t="e">
        <f ca="1"/>
        <v>#REF!</v>
      </c>
    </row>
    <row r="112" spans="16:48" x14ac:dyDescent="0.25">
      <c r="P112" t="str">
        <f ca="1"/>
        <v>Country: South Africa</v>
      </c>
      <c r="Q112">
        <f ca="1"/>
        <v>-0.1325076017989823</v>
      </c>
      <c r="R112">
        <f ca="1"/>
        <v>-0.12483312001359255</v>
      </c>
      <c r="S112">
        <f ca="1"/>
        <v>10.350719164119289</v>
      </c>
      <c r="T112">
        <f ca="1"/>
        <v>105.26505722186103</v>
      </c>
      <c r="U112" t="e">
        <f ca="1"/>
        <v>#REF!</v>
      </c>
      <c r="V112" t="e">
        <f ca="1"/>
        <v>#REF!</v>
      </c>
      <c r="X112" t="str">
        <f ca="1"/>
        <v>Country: Nigeria</v>
      </c>
      <c r="AE112" t="e">
        <f ca="1"/>
        <v>#REF!</v>
      </c>
      <c r="AG112" t="str">
        <f ca="1"/>
        <v>Country: Romania</v>
      </c>
      <c r="AI112" s="7">
        <f ca="1"/>
        <v>9.0964220739842335E-3</v>
      </c>
      <c r="AK112" t="str">
        <f ca="1"/>
        <v>Obs. 147</v>
      </c>
      <c r="AL112" s="7">
        <f ca="1"/>
        <v>72.2</v>
      </c>
      <c r="AN112" s="7" t="e">
        <f ca="1"/>
        <v>#REF!</v>
      </c>
      <c r="AO112" s="7" t="e">
        <f ca="1"/>
        <v>#REF!</v>
      </c>
      <c r="AP112" s="7">
        <f ca="1"/>
        <v>0.26031781101316526</v>
      </c>
      <c r="AQ112" s="7" t="e">
        <f ca="1"/>
        <v>#REF!</v>
      </c>
      <c r="AR112" s="7" t="e">
        <f ca="1"/>
        <v>#REF!</v>
      </c>
      <c r="AS112" s="7">
        <f ca="1"/>
        <v>-1.5078422496152202</v>
      </c>
      <c r="AT112" s="7" t="e">
        <f ca="1"/>
        <v>#REF!</v>
      </c>
      <c r="AU112" s="7" t="e">
        <f ca="1"/>
        <v>#REF!</v>
      </c>
      <c r="AV112" s="7" t="e">
        <f ca="1"/>
        <v>#REF!</v>
      </c>
    </row>
    <row r="113" spans="16:48" x14ac:dyDescent="0.25">
      <c r="P113" t="str">
        <f ca="1"/>
        <v>Country: Spain</v>
      </c>
      <c r="Q113">
        <f ca="1"/>
        <v>0.13855855614556892</v>
      </c>
      <c r="R113">
        <f ca="1"/>
        <v>0.14800031142533795</v>
      </c>
      <c r="S113">
        <f ca="1"/>
        <v>10.35071916411929</v>
      </c>
      <c r="T113">
        <f ca="1"/>
        <v>105.26505722186133</v>
      </c>
      <c r="U113" t="e">
        <f ca="1"/>
        <v>#REF!</v>
      </c>
      <c r="V113" t="e">
        <f ca="1"/>
        <v>#REF!</v>
      </c>
      <c r="X113" t="str">
        <f ca="1"/>
        <v>Country: Pakistan</v>
      </c>
      <c r="AE113" t="e">
        <f ca="1"/>
        <v>#REF!</v>
      </c>
      <c r="AG113" t="str">
        <f ca="1"/>
        <v>Country: Russian Federation</v>
      </c>
      <c r="AI113" s="7">
        <f ca="1"/>
        <v>8.4899939357186167E-3</v>
      </c>
      <c r="AK113" t="str">
        <f ca="1"/>
        <v>Obs. 148</v>
      </c>
      <c r="AL113" s="7">
        <f ca="1"/>
        <v>71.900000000000006</v>
      </c>
      <c r="AN113" s="7" t="e">
        <f ca="1"/>
        <v>#REF!</v>
      </c>
      <c r="AO113" s="7" t="e">
        <f ca="1"/>
        <v>#REF!</v>
      </c>
      <c r="AP113" s="7">
        <f ca="1"/>
        <v>0.25237955463618034</v>
      </c>
      <c r="AQ113" s="7" t="e">
        <f ca="1"/>
        <v>#REF!</v>
      </c>
      <c r="AR113" s="7" t="e">
        <f ca="1"/>
        <v>#REF!</v>
      </c>
      <c r="AS113" s="7">
        <f ca="1"/>
        <v>-1.4984336523422108</v>
      </c>
      <c r="AT113" s="7" t="e">
        <f ca="1"/>
        <v>#REF!</v>
      </c>
      <c r="AU113" s="7" t="e">
        <f ca="1"/>
        <v>#REF!</v>
      </c>
      <c r="AV113" s="7" t="e">
        <f ca="1"/>
        <v>#REF!</v>
      </c>
    </row>
    <row r="114" spans="16:48" x14ac:dyDescent="0.25">
      <c r="P114" t="str">
        <f ca="1"/>
        <v>Country: Sri Lanka</v>
      </c>
      <c r="Q114">
        <f ca="1"/>
        <v>4.0543394191327228E-2</v>
      </c>
      <c r="R114">
        <f ca="1"/>
        <v>4.4029258587231321E-2</v>
      </c>
      <c r="S114">
        <f ca="1"/>
        <v>11.604695115063121</v>
      </c>
      <c r="T114">
        <f ca="1"/>
        <v>132.83005112143306</v>
      </c>
      <c r="U114" t="e">
        <f ca="1"/>
        <v>#REF!</v>
      </c>
      <c r="V114" t="e">
        <f ca="1"/>
        <v>#REF!</v>
      </c>
      <c r="X114" t="str">
        <f ca="1"/>
        <v>Country: Panama</v>
      </c>
      <c r="AE114" t="e">
        <f ca="1"/>
        <v>#REF!</v>
      </c>
      <c r="AG114" t="str">
        <f ca="1"/>
        <v>Country: Rwanda</v>
      </c>
      <c r="AI114" s="7">
        <f ca="1"/>
        <v>7.8835657974530016E-3</v>
      </c>
      <c r="AK114" t="str">
        <f ca="1"/>
        <v>Obs. 149</v>
      </c>
      <c r="AL114" s="7">
        <f ca="1"/>
        <v>71.599999999999994</v>
      </c>
      <c r="AN114" s="7" t="e">
        <f ca="1"/>
        <v>#REF!</v>
      </c>
      <c r="AO114" s="7" t="e">
        <f ca="1"/>
        <v>#REF!</v>
      </c>
      <c r="AP114" s="7">
        <f ca="1"/>
        <v>0.25203783004389613</v>
      </c>
      <c r="AQ114" s="7" t="e">
        <f ca="1"/>
        <v>#REF!</v>
      </c>
      <c r="AR114" s="7" t="e">
        <f ca="1"/>
        <v>#REF!</v>
      </c>
      <c r="AS114" s="7">
        <f ca="1"/>
        <v>-1.4984336523422108</v>
      </c>
      <c r="AT114" s="7" t="e">
        <f ca="1"/>
        <v>#REF!</v>
      </c>
      <c r="AU114" s="7" t="e">
        <f ca="1"/>
        <v>#REF!</v>
      </c>
      <c r="AV114" s="7" t="e">
        <f ca="1"/>
        <v>#REF!</v>
      </c>
    </row>
    <row r="115" spans="16:48" x14ac:dyDescent="0.25">
      <c r="P115" t="str">
        <f ca="1"/>
        <v>Country: Suriname</v>
      </c>
      <c r="Q115">
        <f ca="1"/>
        <v>1.5434392443540791E-2</v>
      </c>
      <c r="R115">
        <f ca="1"/>
        <v>1.0419879781427138E-3</v>
      </c>
      <c r="S115">
        <f ca="1"/>
        <v>12.735820805332331</v>
      </c>
      <c r="T115">
        <f ca="1"/>
        <v>160.39566714842337</v>
      </c>
      <c r="U115" t="e">
        <f ca="1"/>
        <v>#REF!</v>
      </c>
      <c r="V115" t="e">
        <f ca="1"/>
        <v>#REF!</v>
      </c>
      <c r="X115" t="str">
        <f ca="1"/>
        <v>Country: Papua New Guinea</v>
      </c>
      <c r="AE115" t="e">
        <f ca="1"/>
        <v>#REF!</v>
      </c>
      <c r="AG115" t="str">
        <f ca="1"/>
        <v>Country: Samoa</v>
      </c>
      <c r="AI115" s="7">
        <f ca="1"/>
        <v>9.0964220739842335E-3</v>
      </c>
      <c r="AK115" t="str">
        <f ca="1"/>
        <v>Obs. 150</v>
      </c>
      <c r="AL115" s="7">
        <f ca="1"/>
        <v>71.099999999999994</v>
      </c>
      <c r="AN115" s="7" t="e">
        <f ca="1"/>
        <v>#REF!</v>
      </c>
      <c r="AO115" s="7" t="e">
        <f ca="1"/>
        <v>#REF!</v>
      </c>
      <c r="AP115" s="7">
        <f ca="1"/>
        <v>0.2566668757377305</v>
      </c>
      <c r="AQ115" s="7" t="e">
        <f ca="1"/>
        <v>#REF!</v>
      </c>
      <c r="AR115" s="7" t="e">
        <f ca="1"/>
        <v>#REF!</v>
      </c>
      <c r="AS115" s="7">
        <f ca="1"/>
        <v>-1.4984336523422108</v>
      </c>
      <c r="AT115" s="7" t="e">
        <f ca="1"/>
        <v>#REF!</v>
      </c>
      <c r="AU115" s="7" t="e">
        <f ca="1"/>
        <v>#REF!</v>
      </c>
      <c r="AV115" s="7" t="e">
        <f ca="1"/>
        <v>#REF!</v>
      </c>
    </row>
    <row r="116" spans="16:48" x14ac:dyDescent="0.25">
      <c r="P116" t="str">
        <f ca="1"/>
        <v>Country: Swaziland</v>
      </c>
      <c r="Q116">
        <f ca="1"/>
        <v>-0.20136363548907743</v>
      </c>
      <c r="R116">
        <f ca="1"/>
        <v>-0.14967092557579398</v>
      </c>
      <c r="S116">
        <f ca="1"/>
        <v>10.350719164119308</v>
      </c>
      <c r="T116">
        <f ca="1"/>
        <v>105.26505722186194</v>
      </c>
      <c r="U116" t="e">
        <f ca="1"/>
        <v>#REF!</v>
      </c>
      <c r="V116" t="e">
        <f ca="1"/>
        <v>#REF!</v>
      </c>
      <c r="X116" t="str">
        <f ca="1"/>
        <v>Country: Paraguay</v>
      </c>
      <c r="AE116" t="e">
        <f ca="1"/>
        <v>#REF!</v>
      </c>
      <c r="AG116" t="str">
        <f ca="1"/>
        <v>Country: Sao Tome and Principe</v>
      </c>
      <c r="AI116" s="7">
        <f ca="1"/>
        <v>7.2771376591873865E-3</v>
      </c>
      <c r="AK116" t="str">
        <f ca="1"/>
        <v>Obs. 151</v>
      </c>
      <c r="AL116" s="7">
        <f ca="1"/>
        <v>78</v>
      </c>
      <c r="AN116" s="7" t="e">
        <f ca="1"/>
        <v>#REF!</v>
      </c>
      <c r="AO116" s="7" t="e">
        <f ca="1"/>
        <v>#REF!</v>
      </c>
      <c r="AP116" s="7">
        <f ca="1"/>
        <v>0.25140315627709253</v>
      </c>
      <c r="AQ116" s="7" t="e">
        <f ca="1"/>
        <v>#REF!</v>
      </c>
      <c r="AR116" s="7" t="e">
        <f ca="1"/>
        <v>#REF!</v>
      </c>
      <c r="AS116" s="7">
        <f ca="1"/>
        <v>-1.4984336523422108</v>
      </c>
      <c r="AT116" s="7" t="e">
        <f ca="1"/>
        <v>#REF!</v>
      </c>
      <c r="AU116" s="7" t="e">
        <f ca="1"/>
        <v>#REF!</v>
      </c>
      <c r="AV116" s="7" t="e">
        <f ca="1"/>
        <v>#REF!</v>
      </c>
    </row>
    <row r="117" spans="16:48" x14ac:dyDescent="0.25">
      <c r="P117" t="str">
        <f ca="1"/>
        <v>Country: Sweden</v>
      </c>
      <c r="Q117">
        <f ca="1"/>
        <v>7.0638826290832138E-2</v>
      </c>
      <c r="R117">
        <f ca="1"/>
        <v>7.8393117209382968E-2</v>
      </c>
      <c r="S117">
        <f ca="1"/>
        <v>20.248411889500407</v>
      </c>
      <c r="T117">
        <f ca="1"/>
        <v>408.49362699899575</v>
      </c>
      <c r="U117" t="e">
        <f ca="1"/>
        <v>#REF!</v>
      </c>
      <c r="V117" t="e">
        <f ca="1"/>
        <v>#REF!</v>
      </c>
      <c r="X117" t="str">
        <f ca="1"/>
        <v>Country: Peru</v>
      </c>
      <c r="AE117" t="e">
        <f ca="1"/>
        <v>#REF!</v>
      </c>
      <c r="AG117" t="str">
        <f ca="1"/>
        <v>Country: Senegal</v>
      </c>
      <c r="AI117" s="7">
        <f ca="1"/>
        <v>6.6707095209217705E-3</v>
      </c>
      <c r="AK117" t="str">
        <f ca="1"/>
        <v>Obs. 152</v>
      </c>
      <c r="AL117" s="7">
        <f ca="1"/>
        <v>73</v>
      </c>
      <c r="AN117" s="7" t="e">
        <f ca="1"/>
        <v>#REF!</v>
      </c>
      <c r="AO117" s="7" t="e">
        <f ca="1"/>
        <v>#REF!</v>
      </c>
      <c r="AP117" s="7">
        <f ca="1"/>
        <v>0.25044542628542976</v>
      </c>
      <c r="AQ117" s="7" t="e">
        <f ca="1"/>
        <v>#REF!</v>
      </c>
      <c r="AR117" s="7" t="e">
        <f ca="1"/>
        <v>#REF!</v>
      </c>
      <c r="AS117" s="7">
        <f ca="1"/>
        <v>-1.4984336523422108</v>
      </c>
      <c r="AT117" s="7" t="e">
        <f ca="1"/>
        <v>#REF!</v>
      </c>
      <c r="AU117" s="7" t="e">
        <f ca="1"/>
        <v>#REF!</v>
      </c>
      <c r="AV117" s="7" t="e">
        <f ca="1"/>
        <v>#REF!</v>
      </c>
    </row>
    <row r="118" spans="16:48" x14ac:dyDescent="0.25">
      <c r="P118" t="str">
        <f ca="1"/>
        <v>Country: Syrian Arab Republic</v>
      </c>
      <c r="Q118">
        <f ca="1"/>
        <v>3.0648225334728683E-2</v>
      </c>
      <c r="R118">
        <f ca="1"/>
        <v>2.682399762379831E-2</v>
      </c>
      <c r="S118">
        <f ca="1"/>
        <v>14.265343480469912</v>
      </c>
      <c r="T118">
        <f ca="1"/>
        <v>201.74471066253372</v>
      </c>
      <c r="U118" t="e">
        <f ca="1"/>
        <v>#REF!</v>
      </c>
      <c r="V118" t="e">
        <f ca="1"/>
        <v>#REF!</v>
      </c>
      <c r="X118" t="str">
        <f ca="1"/>
        <v>Country: Philippines</v>
      </c>
      <c r="AE118" t="e">
        <f ca="1"/>
        <v>#REF!</v>
      </c>
      <c r="AG118" t="str">
        <f ca="1"/>
        <v>Country: Serbia</v>
      </c>
      <c r="AI118" s="7">
        <f ca="1"/>
        <v>6.6707095209217705E-3</v>
      </c>
      <c r="AK118" t="str">
        <f ca="1"/>
        <v>Obs. 153</v>
      </c>
      <c r="AL118" s="7">
        <f ca="1"/>
        <v>73</v>
      </c>
      <c r="AN118" s="7" t="e">
        <f ca="1"/>
        <v>#REF!</v>
      </c>
      <c r="AO118" s="7" t="e">
        <f ca="1"/>
        <v>#REF!</v>
      </c>
      <c r="AP118" s="7">
        <f ca="1"/>
        <v>0.25095659383103908</v>
      </c>
      <c r="AQ118" s="7" t="e">
        <f ca="1"/>
        <v>#REF!</v>
      </c>
      <c r="AR118" s="7" t="e">
        <f ca="1"/>
        <v>#REF!</v>
      </c>
      <c r="AS118" s="7">
        <f ca="1"/>
        <v>-1.4754749432056431</v>
      </c>
      <c r="AT118" s="7" t="e">
        <f ca="1"/>
        <v>#REF!</v>
      </c>
      <c r="AU118" s="7" t="e">
        <f ca="1"/>
        <v>#REF!</v>
      </c>
      <c r="AV118" s="7" t="e">
        <f ca="1"/>
        <v>#REF!</v>
      </c>
    </row>
    <row r="119" spans="16:48" x14ac:dyDescent="0.25">
      <c r="P119" t="str">
        <f ca="1"/>
        <v>Country: Tajikistan</v>
      </c>
      <c r="Q119">
        <f ca="1"/>
        <v>-2.4818644274026577E-2</v>
      </c>
      <c r="R119">
        <f ca="1"/>
        <v>-4.9805502115300215E-2</v>
      </c>
      <c r="S119">
        <f ca="1"/>
        <v>11.139110863412821</v>
      </c>
      <c r="T119">
        <f ca="1"/>
        <v>122.22803450340726</v>
      </c>
      <c r="U119" t="e">
        <f ca="1"/>
        <v>#REF!</v>
      </c>
      <c r="V119" t="e">
        <f ca="1"/>
        <v>#REF!</v>
      </c>
      <c r="X119" t="str">
        <f ca="1"/>
        <v>Country: Poland</v>
      </c>
      <c r="AE119" t="e">
        <f ca="1"/>
        <v>#REF!</v>
      </c>
      <c r="AG119" t="str">
        <f ca="1"/>
        <v>Country: Seychelles</v>
      </c>
      <c r="AI119" s="7">
        <f ca="1"/>
        <v>9.0964220739842335E-3</v>
      </c>
      <c r="AK119" t="str">
        <f ca="1"/>
        <v>Obs. 154</v>
      </c>
      <c r="AL119" s="7">
        <f ca="1"/>
        <v>69.2</v>
      </c>
      <c r="AN119" s="7" t="e">
        <f ca="1"/>
        <v>#REF!</v>
      </c>
      <c r="AO119" s="7" t="e">
        <f ca="1"/>
        <v>#REF!</v>
      </c>
      <c r="AP119" s="7">
        <f ca="1"/>
        <v>0.25979238348309946</v>
      </c>
      <c r="AQ119" s="7" t="e">
        <f ca="1"/>
        <v>#REF!</v>
      </c>
      <c r="AR119" s="7" t="e">
        <f ca="1"/>
        <v>#REF!</v>
      </c>
      <c r="AS119" s="7">
        <f ca="1"/>
        <v>-1.4754749432056431</v>
      </c>
      <c r="AT119" s="7" t="e">
        <f ca="1"/>
        <v>#REF!</v>
      </c>
      <c r="AU119" s="7" t="e">
        <f ca="1"/>
        <v>#REF!</v>
      </c>
      <c r="AV119" s="7" t="e">
        <f ca="1"/>
        <v>#REF!</v>
      </c>
    </row>
    <row r="120" spans="16:48" x14ac:dyDescent="0.25">
      <c r="P120" t="str">
        <f ca="1"/>
        <v>Country: Thailand</v>
      </c>
      <c r="Q120">
        <f ca="1"/>
        <v>3.9850381267046771E-2</v>
      </c>
      <c r="R120">
        <f ca="1"/>
        <v>3.3600143234874313E-2</v>
      </c>
      <c r="S120">
        <f ca="1"/>
        <v>10.350719164119319</v>
      </c>
      <c r="T120">
        <f ca="1"/>
        <v>105.2650572218627</v>
      </c>
      <c r="U120" t="e">
        <f ca="1"/>
        <v>#REF!</v>
      </c>
      <c r="V120" t="e">
        <f ca="1"/>
        <v>#REF!</v>
      </c>
      <c r="X120" t="str">
        <f ca="1"/>
        <v>Country: Portugal</v>
      </c>
      <c r="AE120" t="e">
        <f ca="1"/>
        <v>#REF!</v>
      </c>
      <c r="AG120" t="str">
        <f ca="1"/>
        <v>Country: Sierra Leone</v>
      </c>
      <c r="AI120" s="7">
        <f ca="1"/>
        <v>4.8514251061249243E-3</v>
      </c>
      <c r="AK120" t="str">
        <f ca="1"/>
        <v>Obs. 155</v>
      </c>
      <c r="AL120" s="7">
        <f ca="1"/>
        <v>68.400000000000006</v>
      </c>
      <c r="AN120" s="7" t="e">
        <f ca="1"/>
        <v>#REF!</v>
      </c>
      <c r="AO120" s="7" t="e">
        <f ca="1"/>
        <v>#REF!</v>
      </c>
      <c r="AP120" s="7">
        <f ca="1"/>
        <v>0.25131213914523615</v>
      </c>
      <c r="AQ120" s="7" t="e">
        <f ca="1"/>
        <v>#REF!</v>
      </c>
      <c r="AR120" s="7" t="e">
        <f ca="1"/>
        <v>#REF!</v>
      </c>
      <c r="AS120" s="7">
        <f ca="1"/>
        <v>-1.4754749432056431</v>
      </c>
      <c r="AT120" s="7" t="e">
        <f ca="1"/>
        <v>#REF!</v>
      </c>
      <c r="AU120" s="7" t="e">
        <f ca="1"/>
        <v>#REF!</v>
      </c>
      <c r="AV120" s="7" t="e">
        <f ca="1"/>
        <v>#REF!</v>
      </c>
    </row>
    <row r="121" spans="16:48" x14ac:dyDescent="0.25">
      <c r="P121" t="str">
        <f ca="1"/>
        <v>Country: Timor-Leste</v>
      </c>
      <c r="Q121">
        <f ca="1"/>
        <v>-1.603283676711446E-2</v>
      </c>
      <c r="R121">
        <f ca="1"/>
        <v>-3.5006273695649938E-2</v>
      </c>
      <c r="S121">
        <f ca="1"/>
        <v>15.264321088156732</v>
      </c>
      <c r="T121">
        <f ca="1"/>
        <v>231.28000642430899</v>
      </c>
      <c r="U121" t="e">
        <f ca="1"/>
        <v>#REF!</v>
      </c>
      <c r="V121" t="e">
        <f ca="1"/>
        <v>#REF!</v>
      </c>
      <c r="X121" t="str">
        <f ca="1"/>
        <v>Country: Romania</v>
      </c>
      <c r="AE121" t="e">
        <f ca="1"/>
        <v>#REF!</v>
      </c>
      <c r="AG121" t="str">
        <f ca="1"/>
        <v>Country: Solomon Islands</v>
      </c>
      <c r="AI121" s="7">
        <f ca="1"/>
        <v>9.0964220739842335E-3</v>
      </c>
      <c r="AK121" t="str">
        <f ca="1"/>
        <v>Obs. 156</v>
      </c>
      <c r="AL121" s="7">
        <f ca="1"/>
        <v>68.400000000000006</v>
      </c>
      <c r="AN121" s="7" t="e">
        <f ca="1"/>
        <v>#REF!</v>
      </c>
      <c r="AO121" s="7" t="e">
        <f ca="1"/>
        <v>#REF!</v>
      </c>
      <c r="AP121" s="7">
        <f ca="1"/>
        <v>0.25666056864116893</v>
      </c>
      <c r="AQ121" s="7" t="e">
        <f ca="1"/>
        <v>#REF!</v>
      </c>
      <c r="AR121" s="7" t="e">
        <f ca="1"/>
        <v>#REF!</v>
      </c>
      <c r="AS121" s="7">
        <f ca="1"/>
        <v>-1.462064744247453</v>
      </c>
      <c r="AT121" s="7" t="e">
        <f ca="1"/>
        <v>#REF!</v>
      </c>
      <c r="AU121" s="7" t="e">
        <f ca="1"/>
        <v>#REF!</v>
      </c>
      <c r="AV121" s="7" t="e">
        <f ca="1"/>
        <v>#REF!</v>
      </c>
    </row>
    <row r="122" spans="16:48" x14ac:dyDescent="0.25">
      <c r="P122" t="str">
        <f ca="1"/>
        <v>Country: Togo</v>
      </c>
      <c r="Q122">
        <f ca="1"/>
        <v>-8.3277679499019208E-2</v>
      </c>
      <c r="R122">
        <f ca="1"/>
        <v>-8.3043150250301942E-2</v>
      </c>
      <c r="S122">
        <f ca="1"/>
        <v>15.264321088156738</v>
      </c>
      <c r="T122">
        <f ca="1"/>
        <v>231.28000642430891</v>
      </c>
      <c r="U122" t="e">
        <f ca="1"/>
        <v>#REF!</v>
      </c>
      <c r="V122" t="e">
        <f ca="1"/>
        <v>#REF!</v>
      </c>
      <c r="X122" t="str">
        <f ca="1"/>
        <v>Country: Russian Federation</v>
      </c>
      <c r="AE122" t="e">
        <f ca="1"/>
        <v>#REF!</v>
      </c>
      <c r="AG122" t="str">
        <f ca="1"/>
        <v>Country: South Africa</v>
      </c>
      <c r="AI122" s="7">
        <f ca="1"/>
        <v>9.0964220739842335E-3</v>
      </c>
      <c r="AK122" t="str">
        <f ca="1"/>
        <v>Obs. 157</v>
      </c>
      <c r="AL122" s="7">
        <f ca="1"/>
        <v>67.8</v>
      </c>
      <c r="AN122" s="7" t="e">
        <f ca="1"/>
        <v>#REF!</v>
      </c>
      <c r="AO122" s="7" t="e">
        <f ca="1"/>
        <v>#REF!</v>
      </c>
      <c r="AP122" s="7">
        <f ca="1"/>
        <v>0.25132897362626239</v>
      </c>
      <c r="AQ122" s="7" t="e">
        <f ca="1"/>
        <v>#REF!</v>
      </c>
      <c r="AR122" s="7" t="e">
        <f ca="1"/>
        <v>#REF!</v>
      </c>
      <c r="AS122" s="7">
        <f ca="1"/>
        <v>-1.4576525936309461</v>
      </c>
      <c r="AT122" s="7" t="e">
        <f ca="1"/>
        <v>#REF!</v>
      </c>
      <c r="AU122" s="7" t="e">
        <f ca="1"/>
        <v>#REF!</v>
      </c>
      <c r="AV122" s="7" t="e">
        <f ca="1"/>
        <v>#REF!</v>
      </c>
    </row>
    <row r="123" spans="16:48" x14ac:dyDescent="0.25">
      <c r="P123" t="str">
        <f ca="1"/>
        <v>Country: Tonga</v>
      </c>
      <c r="Q123">
        <f ca="1"/>
        <v>3.4475543194191265E-2</v>
      </c>
      <c r="R123">
        <f ca="1"/>
        <v>1.8571325174547144E-2</v>
      </c>
      <c r="S123">
        <f ca="1"/>
        <v>10.350719164119326</v>
      </c>
      <c r="T123">
        <f ca="1"/>
        <v>105.26505722186307</v>
      </c>
      <c r="U123" t="e">
        <f ca="1"/>
        <v>#REF!</v>
      </c>
      <c r="V123" t="e">
        <f ca="1"/>
        <v>#REF!</v>
      </c>
      <c r="X123" t="str">
        <f ca="1"/>
        <v>Country: Rwanda</v>
      </c>
      <c r="AE123" t="e">
        <f ca="1"/>
        <v>#REF!</v>
      </c>
      <c r="AG123" t="str">
        <f ca="1"/>
        <v>Country: Spain</v>
      </c>
      <c r="AI123" s="7">
        <f ca="1"/>
        <v>9.0964220739842335E-3</v>
      </c>
      <c r="AK123" t="str">
        <f ca="1"/>
        <v>Obs. 158</v>
      </c>
      <c r="AL123" s="7">
        <f ca="1"/>
        <v>67.8</v>
      </c>
      <c r="AN123" s="7" t="e">
        <f ca="1"/>
        <v>#REF!</v>
      </c>
      <c r="AO123" s="7" t="e">
        <f ca="1"/>
        <v>#REF!</v>
      </c>
      <c r="AP123" s="7">
        <f ca="1"/>
        <v>0.26364994995826729</v>
      </c>
      <c r="AQ123" s="7" t="e">
        <f ca="1"/>
        <v>#REF!</v>
      </c>
      <c r="AR123" s="7" t="e">
        <f ca="1"/>
        <v>#REF!</v>
      </c>
      <c r="AS123" s="7">
        <f ca="1"/>
        <v>-1.4576525936309461</v>
      </c>
      <c r="AT123" s="7" t="e">
        <f ca="1"/>
        <v>#REF!</v>
      </c>
      <c r="AU123" s="7" t="e">
        <f ca="1"/>
        <v>#REF!</v>
      </c>
      <c r="AV123" s="7" t="e">
        <f ca="1"/>
        <v>#REF!</v>
      </c>
    </row>
    <row r="124" spans="16:48" x14ac:dyDescent="0.25">
      <c r="P124" t="str">
        <f ca="1"/>
        <v>Country: Trinidad and Tobago</v>
      </c>
      <c r="Q124">
        <f ca="1"/>
        <v>2.0873297104530879E-2</v>
      </c>
      <c r="R124">
        <f ca="1"/>
        <v>7.8075436432372284E-3</v>
      </c>
      <c r="S124">
        <f ca="1"/>
        <v>11.139110863412846</v>
      </c>
      <c r="T124">
        <f ca="1"/>
        <v>122.22803450340716</v>
      </c>
      <c r="U124" t="e">
        <f ca="1"/>
        <v>#REF!</v>
      </c>
      <c r="V124" t="e">
        <f ca="1"/>
        <v>#REF!</v>
      </c>
      <c r="X124" t="str">
        <f ca="1"/>
        <v>Country: Samoa</v>
      </c>
      <c r="AE124" t="e">
        <f ca="1"/>
        <v>#REF!</v>
      </c>
      <c r="AG124" t="str">
        <f ca="1"/>
        <v>Country: Sri Lanka</v>
      </c>
      <c r="AI124" s="7">
        <f ca="1"/>
        <v>7.2771376591873865E-3</v>
      </c>
      <c r="AK124" t="str">
        <f ca="1"/>
        <v>Obs. 194</v>
      </c>
      <c r="AL124" s="7">
        <f ca="1"/>
        <v>71.400000000000006</v>
      </c>
      <c r="AN124" s="7" t="e">
        <f ca="1"/>
        <v>#REF!</v>
      </c>
      <c r="AO124" s="7" t="e">
        <f ca="1"/>
        <v>#REF!</v>
      </c>
      <c r="AP124" s="7">
        <f ca="1"/>
        <v>0.11145098683394702</v>
      </c>
      <c r="AQ124" s="7" t="e">
        <f ca="1"/>
        <v>#REF!</v>
      </c>
      <c r="AR124" s="7" t="e">
        <f ca="1"/>
        <v>#REF!</v>
      </c>
      <c r="AS124" s="7">
        <f ca="1"/>
        <v>-1.4576525936309461</v>
      </c>
      <c r="AT124" s="7" t="e">
        <f ca="1"/>
        <v>#REF!</v>
      </c>
      <c r="AU124" s="7" t="e">
        <f ca="1"/>
        <v>#REF!</v>
      </c>
      <c r="AV124" s="7" t="e">
        <f ca="1"/>
        <v>#REF!</v>
      </c>
    </row>
    <row r="125" spans="16:48" x14ac:dyDescent="0.25">
      <c r="P125" t="str">
        <f ca="1"/>
        <v>Country: Tunisia</v>
      </c>
      <c r="Q125">
        <f ca="1"/>
        <v>5.4376970653142863E-2</v>
      </c>
      <c r="R125">
        <f ca="1"/>
        <v>6.6676961555147948E-2</v>
      </c>
      <c r="S125">
        <f ca="1"/>
        <v>10.350719164119337</v>
      </c>
      <c r="T125">
        <f ca="1"/>
        <v>105.26505722186357</v>
      </c>
      <c r="U125" t="e">
        <f ca="1"/>
        <v>#REF!</v>
      </c>
      <c r="V125" t="e">
        <f ca="1"/>
        <v>#REF!</v>
      </c>
      <c r="X125" t="str">
        <f ca="1"/>
        <v>Country: Sao Tome and Principe</v>
      </c>
      <c r="AE125" t="e">
        <f ca="1"/>
        <v>#REF!</v>
      </c>
      <c r="AG125" t="str">
        <f ca="1"/>
        <v>Country: Suriname</v>
      </c>
      <c r="AI125" s="7">
        <f ca="1"/>
        <v>6.0642813826561554E-3</v>
      </c>
      <c r="AK125" t="str">
        <f ca="1"/>
        <v>Obs. 195</v>
      </c>
      <c r="AL125" s="7">
        <f ca="1"/>
        <v>71</v>
      </c>
      <c r="AN125" s="7" t="e">
        <f ca="1"/>
        <v>#REF!</v>
      </c>
      <c r="AO125" s="7" t="e">
        <f ca="1"/>
        <v>#REF!</v>
      </c>
      <c r="AP125" s="7">
        <f ca="1"/>
        <v>0.11757609265066028</v>
      </c>
      <c r="AQ125" s="7" t="e">
        <f ca="1"/>
        <v>#REF!</v>
      </c>
      <c r="AR125" s="7" t="e">
        <f ca="1"/>
        <v>#REF!</v>
      </c>
      <c r="AS125" s="7">
        <f ca="1"/>
        <v>-1.4445835579455348</v>
      </c>
      <c r="AT125" s="7" t="e">
        <f ca="1"/>
        <v>#REF!</v>
      </c>
      <c r="AU125" s="7" t="e">
        <f ca="1"/>
        <v>#REF!</v>
      </c>
      <c r="AV125" s="7" t="e">
        <f ca="1"/>
        <v>#REF!</v>
      </c>
    </row>
    <row r="126" spans="16:48" x14ac:dyDescent="0.25">
      <c r="P126" t="str">
        <f ca="1"/>
        <v>Country: Turkey</v>
      </c>
      <c r="Q126">
        <f ca="1"/>
        <v>4.8856866686426366E-2</v>
      </c>
      <c r="R126">
        <f ca="1"/>
        <v>5.0715551659827267E-2</v>
      </c>
      <c r="S126">
        <f ca="1"/>
        <v>10.350719164119337</v>
      </c>
      <c r="T126">
        <f ca="1"/>
        <v>105.26505722186378</v>
      </c>
      <c r="U126" t="e">
        <f ca="1"/>
        <v>#REF!</v>
      </c>
      <c r="V126" t="e">
        <f ca="1"/>
        <v>#REF!</v>
      </c>
      <c r="X126" t="str">
        <f ca="1"/>
        <v>Country: Senegal</v>
      </c>
      <c r="AE126" t="e">
        <f ca="1"/>
        <v>#REF!</v>
      </c>
      <c r="AG126" t="str">
        <f ca="1"/>
        <v>Country: Swaziland</v>
      </c>
      <c r="AI126" s="7">
        <f ca="1"/>
        <v>9.0964220739842335E-3</v>
      </c>
      <c r="AK126" t="str">
        <f ca="1"/>
        <v>Obs. 196</v>
      </c>
      <c r="AL126" s="7">
        <f ca="1"/>
        <v>77</v>
      </c>
      <c r="AN126" s="7" t="e">
        <f ca="1"/>
        <v>#REF!</v>
      </c>
      <c r="AO126" s="7" t="e">
        <f ca="1"/>
        <v>#REF!</v>
      </c>
      <c r="AP126" s="7">
        <f ca="1"/>
        <v>0.11075055241766049</v>
      </c>
      <c r="AQ126" s="7" t="e">
        <f ca="1"/>
        <v>#REF!</v>
      </c>
      <c r="AR126" s="7" t="e">
        <f ca="1"/>
        <v>#REF!</v>
      </c>
      <c r="AS126" s="7">
        <f ca="1"/>
        <v>-1.4402815816722083</v>
      </c>
      <c r="AT126" s="7" t="e">
        <f ca="1"/>
        <v>#REF!</v>
      </c>
      <c r="AU126" s="7" t="e">
        <f ca="1"/>
        <v>#REF!</v>
      </c>
      <c r="AV126" s="7" t="e">
        <f ca="1"/>
        <v>#REF!</v>
      </c>
    </row>
    <row r="127" spans="16:48" x14ac:dyDescent="0.25">
      <c r="P127" t="str">
        <f ca="1"/>
        <v>Country: Turkmenistan</v>
      </c>
      <c r="Q127">
        <f ca="1"/>
        <v>-4.7664614963305339E-2</v>
      </c>
      <c r="R127">
        <f ca="1"/>
        <v>-7.3465816569206394E-2</v>
      </c>
      <c r="S127">
        <f ca="1"/>
        <v>11.139110863412863</v>
      </c>
      <c r="T127">
        <f ca="1"/>
        <v>122.22803450340709</v>
      </c>
      <c r="U127" t="e">
        <f ca="1"/>
        <v>#REF!</v>
      </c>
      <c r="V127" t="e">
        <f ca="1"/>
        <v>#REF!</v>
      </c>
      <c r="X127" t="str">
        <f ca="1"/>
        <v>Country: Serbia</v>
      </c>
      <c r="AE127" t="e">
        <f ca="1"/>
        <v>#REF!</v>
      </c>
      <c r="AG127" t="str">
        <f ca="1"/>
        <v>Country: Sweden</v>
      </c>
      <c r="AI127" s="7">
        <f ca="1"/>
        <v>2.4257125530624622E-3</v>
      </c>
      <c r="AK127" t="str">
        <f ca="1"/>
        <v>Obs. 197</v>
      </c>
      <c r="AL127" s="7">
        <f ca="1"/>
        <v>73</v>
      </c>
      <c r="AN127" s="7" t="e">
        <f ca="1"/>
        <v>#REF!</v>
      </c>
      <c r="AO127" s="7" t="e">
        <f ca="1"/>
        <v>#REF!</v>
      </c>
      <c r="AP127" s="7">
        <f ca="1"/>
        <v>0.11710362187512643</v>
      </c>
      <c r="AQ127" s="7" t="e">
        <f ca="1"/>
        <v>#REF!</v>
      </c>
      <c r="AR127" s="7" t="e">
        <f ca="1"/>
        <v>#REF!</v>
      </c>
      <c r="AS127" s="7">
        <f ca="1"/>
        <v>-1.4402815816722083</v>
      </c>
      <c r="AT127" s="7" t="e">
        <f ca="1"/>
        <v>#REF!</v>
      </c>
      <c r="AU127" s="7" t="e">
        <f ca="1"/>
        <v>#REF!</v>
      </c>
      <c r="AV127" s="7" t="e">
        <f ca="1"/>
        <v>#REF!</v>
      </c>
    </row>
    <row r="128" spans="16:48" x14ac:dyDescent="0.25">
      <c r="P128" t="str">
        <f ca="1"/>
        <v>Country: Uganda</v>
      </c>
      <c r="Q128">
        <f ca="1"/>
        <v>-0.12961381357911386</v>
      </c>
      <c r="R128">
        <f ca="1"/>
        <v>-0.1178118001590695</v>
      </c>
      <c r="S128">
        <f ca="1"/>
        <v>11.139110863412867</v>
      </c>
      <c r="T128">
        <f ca="1"/>
        <v>122.228034503407</v>
      </c>
      <c r="U128" t="e">
        <f ca="1"/>
        <v>#REF!</v>
      </c>
      <c r="V128" t="e">
        <f ca="1"/>
        <v>#REF!</v>
      </c>
      <c r="X128" t="str">
        <f ca="1"/>
        <v>Country: Seychelles</v>
      </c>
      <c r="AE128" t="e">
        <f ca="1"/>
        <v>#REF!</v>
      </c>
      <c r="AG128" t="str">
        <f ca="1"/>
        <v>Country: Syrian Arab Republic</v>
      </c>
      <c r="AI128" s="7">
        <f ca="1"/>
        <v>4.8514251061249243E-3</v>
      </c>
      <c r="AK128" t="str">
        <f ca="1"/>
        <v>Obs. 198</v>
      </c>
      <c r="AL128" s="7">
        <f ca="1"/>
        <v>69.900000000000006</v>
      </c>
      <c r="AN128" s="7" t="e">
        <f ca="1"/>
        <v>#REF!</v>
      </c>
      <c r="AO128" s="7" t="e">
        <f ca="1"/>
        <v>#REF!</v>
      </c>
      <c r="AP128" s="7">
        <f ca="1"/>
        <v>0.1101178183906639</v>
      </c>
      <c r="AQ128" s="7" t="e">
        <f ca="1"/>
        <v>#REF!</v>
      </c>
      <c r="AR128" s="7" t="e">
        <f ca="1"/>
        <v>#REF!</v>
      </c>
      <c r="AS128" s="7">
        <f ca="1"/>
        <v>-1.4402815816722083</v>
      </c>
      <c r="AT128" s="7" t="e">
        <f ca="1"/>
        <v>#REF!</v>
      </c>
      <c r="AU128" s="7" t="e">
        <f ca="1"/>
        <v>#REF!</v>
      </c>
      <c r="AV128" s="7" t="e">
        <f ca="1"/>
        <v>#REF!</v>
      </c>
    </row>
    <row r="129" spans="16:48" x14ac:dyDescent="0.25">
      <c r="P129" t="str">
        <f ca="1"/>
        <v>Country: Ukraine</v>
      </c>
      <c r="Q129">
        <f ca="1"/>
        <v>5.9307950505126288E-3</v>
      </c>
      <c r="R129">
        <f ca="1"/>
        <v>-1.0822090862190948E-2</v>
      </c>
      <c r="S129">
        <f ca="1"/>
        <v>10.350719164119354</v>
      </c>
      <c r="T129">
        <f ca="1"/>
        <v>105.26505722186455</v>
      </c>
      <c r="U129" t="e">
        <f ca="1"/>
        <v>#REF!</v>
      </c>
      <c r="V129" t="e">
        <f ca="1"/>
        <v>#REF!</v>
      </c>
      <c r="X129" t="str">
        <f ca="1"/>
        <v>Country: Sierra Leone</v>
      </c>
      <c r="AE129" t="e">
        <f ca="1"/>
        <v>#REF!</v>
      </c>
      <c r="AG129" t="str">
        <f ca="1"/>
        <v>Country: Tajikistan</v>
      </c>
      <c r="AI129" s="7">
        <f ca="1"/>
        <v>7.8835657974530016E-3</v>
      </c>
      <c r="AK129" t="str">
        <f ca="1"/>
        <v>Obs. 199</v>
      </c>
      <c r="AL129" s="7">
        <f ca="1"/>
        <v>69.5</v>
      </c>
      <c r="AN129" s="7" t="e">
        <f ca="1"/>
        <v>#REF!</v>
      </c>
      <c r="AO129" s="7" t="e">
        <f ca="1"/>
        <v>#REF!</v>
      </c>
      <c r="AP129" s="7">
        <f ca="1"/>
        <v>0.1118128903473036</v>
      </c>
      <c r="AQ129" s="7" t="e">
        <f ca="1"/>
        <v>#REF!</v>
      </c>
      <c r="AR129" s="7" t="e">
        <f ca="1"/>
        <v>#REF!</v>
      </c>
      <c r="AS129" s="7">
        <f ca="1"/>
        <v>-1.4402815816722083</v>
      </c>
      <c r="AT129" s="7" t="e">
        <f ca="1"/>
        <v>#REF!</v>
      </c>
      <c r="AU129" s="7" t="e">
        <f ca="1"/>
        <v>#REF!</v>
      </c>
      <c r="AV129" s="7" t="e">
        <f ca="1"/>
        <v>#REF!</v>
      </c>
    </row>
    <row r="130" spans="16:48" x14ac:dyDescent="0.25">
      <c r="P130" t="str">
        <f ca="1"/>
        <v>Country: Uruguay</v>
      </c>
      <c r="Q130">
        <f ca="1"/>
        <v>7.3116270961206875E-2</v>
      </c>
      <c r="R130">
        <f ca="1"/>
        <v>9.9485408124344324E-2</v>
      </c>
      <c r="S130">
        <f ca="1"/>
        <v>10.350719164119353</v>
      </c>
      <c r="T130">
        <f ca="1"/>
        <v>105.26505722186472</v>
      </c>
      <c r="U130" t="e">
        <f ca="1"/>
        <v>#REF!</v>
      </c>
      <c r="V130" t="e">
        <f ca="1"/>
        <v>#REF!</v>
      </c>
      <c r="X130" t="str">
        <f ca="1"/>
        <v>Country: Solomon Islands</v>
      </c>
      <c r="AE130" t="e">
        <f ca="1"/>
        <v>#REF!</v>
      </c>
      <c r="AG130" t="str">
        <f ca="1"/>
        <v>Country: Thailand</v>
      </c>
      <c r="AI130" s="7">
        <f ca="1"/>
        <v>9.0964220739842335E-3</v>
      </c>
      <c r="AK130" t="str">
        <f ca="1"/>
        <v>Obs. 200</v>
      </c>
      <c r="AL130" s="7">
        <f ca="1"/>
        <v>69.099999999999994</v>
      </c>
      <c r="AN130" s="7" t="e">
        <f ca="1"/>
        <v>#REF!</v>
      </c>
      <c r="AO130" s="7" t="e">
        <f ca="1"/>
        <v>#REF!</v>
      </c>
      <c r="AP130" s="7">
        <f ca="1"/>
        <v>0.11123912066072118</v>
      </c>
      <c r="AQ130" s="7" t="e">
        <f ca="1"/>
        <v>#REF!</v>
      </c>
      <c r="AR130" s="7" t="e">
        <f ca="1"/>
        <v>#REF!</v>
      </c>
      <c r="AS130" s="7">
        <f ca="1"/>
        <v>-1.4402815816722083</v>
      </c>
      <c r="AT130" s="7" t="e">
        <f ca="1"/>
        <v>#REF!</v>
      </c>
      <c r="AU130" s="7" t="e">
        <f ca="1"/>
        <v>#REF!</v>
      </c>
      <c r="AV130" s="7" t="e">
        <f ca="1"/>
        <v>#REF!</v>
      </c>
    </row>
    <row r="131" spans="16:48" x14ac:dyDescent="0.25">
      <c r="P131" t="str">
        <f ca="1"/>
        <v>Country: Uzbekistan</v>
      </c>
      <c r="Q131">
        <f ca="1"/>
        <v>-1.2732891861609558E-2</v>
      </c>
      <c r="R131">
        <f ca="1"/>
        <v>-3.6920174091544307E-2</v>
      </c>
      <c r="S131">
        <f ca="1"/>
        <v>11.139110863412887</v>
      </c>
      <c r="T131">
        <f ca="1"/>
        <v>122.22803450340693</v>
      </c>
      <c r="U131" t="e">
        <f ca="1"/>
        <v>#REF!</v>
      </c>
      <c r="V131" t="e">
        <f ca="1"/>
        <v>#REF!</v>
      </c>
      <c r="X131" t="str">
        <f ca="1"/>
        <v>Country: South Africa</v>
      </c>
      <c r="AE131" t="e">
        <f ca="1"/>
        <v>#REF!</v>
      </c>
      <c r="AG131" t="str">
        <f ca="1"/>
        <v>Country: Timor-Leste</v>
      </c>
      <c r="AI131" s="7">
        <f ca="1"/>
        <v>4.2449969678593083E-3</v>
      </c>
      <c r="AK131" t="str">
        <f ca="1"/>
        <v>Obs. 201</v>
      </c>
      <c r="AL131" s="7">
        <f ca="1"/>
        <v>68.599999999999994</v>
      </c>
      <c r="AN131" s="7" t="e">
        <f ca="1"/>
        <v>#REF!</v>
      </c>
      <c r="AO131" s="7" t="e">
        <f ca="1"/>
        <v>#REF!</v>
      </c>
      <c r="AP131" s="7">
        <f ca="1"/>
        <v>0.15331479665997561</v>
      </c>
      <c r="AQ131" s="7" t="e">
        <f ca="1"/>
        <v>#REF!</v>
      </c>
      <c r="AR131" s="7" t="e">
        <f ca="1"/>
        <v>#REF!</v>
      </c>
      <c r="AS131" s="7">
        <f ca="1"/>
        <v>-1.4191611772342045</v>
      </c>
      <c r="AT131" s="7" t="e">
        <f ca="1"/>
        <v>#REF!</v>
      </c>
      <c r="AU131" s="7" t="e">
        <f ca="1"/>
        <v>#REF!</v>
      </c>
      <c r="AV131" s="7" t="e">
        <f ca="1"/>
        <v>#REF!</v>
      </c>
    </row>
    <row r="132" spans="16:48" x14ac:dyDescent="0.25">
      <c r="P132" t="str">
        <f ca="1"/>
        <v>Country: Vanuatu</v>
      </c>
      <c r="Q132">
        <f ca="1"/>
        <v>2.2273208109870695E-2</v>
      </c>
      <c r="R132">
        <f ca="1"/>
        <v>4.5489011807597415E-3</v>
      </c>
      <c r="S132">
        <f ca="1"/>
        <v>10.350719164119365</v>
      </c>
      <c r="T132">
        <f ca="1"/>
        <v>105.26505722186523</v>
      </c>
      <c r="U132" t="e">
        <f ca="1"/>
        <v>#REF!</v>
      </c>
      <c r="V132" t="e">
        <f ca="1"/>
        <v>#REF!</v>
      </c>
      <c r="X132" t="str">
        <f ca="1"/>
        <v>Country: Spain</v>
      </c>
      <c r="AE132" t="e">
        <f ca="1"/>
        <v>#REF!</v>
      </c>
      <c r="AG132" t="str">
        <f ca="1"/>
        <v>Country: Togo</v>
      </c>
      <c r="AI132" s="7">
        <f ca="1"/>
        <v>4.2449969678593083E-3</v>
      </c>
      <c r="AK132" t="str">
        <f ca="1"/>
        <v>Obs. 202</v>
      </c>
      <c r="AL132" s="7">
        <f ca="1"/>
        <v>68.2</v>
      </c>
      <c r="AN132" s="7" t="e">
        <f ca="1"/>
        <v>#REF!</v>
      </c>
      <c r="AO132" s="7" t="e">
        <f ca="1"/>
        <v>#REF!</v>
      </c>
      <c r="AP132" s="7">
        <f ca="1"/>
        <v>0.15351321419913444</v>
      </c>
      <c r="AQ132" s="7" t="e">
        <f ca="1"/>
        <v>#REF!</v>
      </c>
      <c r="AR132" s="7" t="e">
        <f ca="1"/>
        <v>#REF!</v>
      </c>
      <c r="AS132" s="7">
        <f ca="1"/>
        <v>-1.4191611772342045</v>
      </c>
      <c r="AT132" s="7" t="e">
        <f ca="1"/>
        <v>#REF!</v>
      </c>
      <c r="AU132" s="7" t="e">
        <f ca="1"/>
        <v>#REF!</v>
      </c>
      <c r="AV132" s="7" t="e">
        <f ca="1"/>
        <v>#REF!</v>
      </c>
    </row>
    <row r="133" spans="16:48" x14ac:dyDescent="0.25">
      <c r="P133" t="str">
        <f ca="1"/>
        <v>Country: Zambia</v>
      </c>
      <c r="Q133">
        <f ca="1"/>
        <v>-0.10704981888459182</v>
      </c>
      <c r="R133">
        <f ca="1"/>
        <v>-0.10183586444651467</v>
      </c>
      <c r="S133">
        <f ca="1"/>
        <v>12.735820805332411</v>
      </c>
      <c r="T133">
        <f ca="1"/>
        <v>160.3956671484242</v>
      </c>
      <c r="U133" t="e">
        <f ca="1"/>
        <v>#REF!</v>
      </c>
      <c r="V133" t="e">
        <f ca="1"/>
        <v>#REF!</v>
      </c>
      <c r="X133" t="str">
        <f ca="1"/>
        <v>Country: Sri Lanka</v>
      </c>
      <c r="AE133" t="e">
        <f ca="1"/>
        <v>#REF!</v>
      </c>
      <c r="AG133" t="str">
        <f ca="1"/>
        <v>Country: Tonga</v>
      </c>
      <c r="AI133" s="7">
        <f ca="1"/>
        <v>9.0964220739842335E-3</v>
      </c>
      <c r="AK133" t="str">
        <f ca="1"/>
        <v>Obs. 203</v>
      </c>
      <c r="AL133" s="7">
        <f ca="1"/>
        <v>67.8</v>
      </c>
      <c r="AN133" s="7" t="e">
        <f ca="1"/>
        <v>#REF!</v>
      </c>
      <c r="AO133" s="7" t="e">
        <f ca="1"/>
        <v>#REF!</v>
      </c>
      <c r="AP133" s="7">
        <f ca="1"/>
        <v>0.15878801188495473</v>
      </c>
      <c r="AQ133" s="7" t="e">
        <f ca="1"/>
        <v>#REF!</v>
      </c>
      <c r="AR133" s="7" t="e">
        <f ca="1"/>
        <v>#REF!</v>
      </c>
      <c r="AS133" s="7">
        <f ca="1"/>
        <v>-1.4191611772342045</v>
      </c>
      <c r="AT133" s="7" t="e">
        <f ca="1"/>
        <v>#REF!</v>
      </c>
      <c r="AU133" s="7" t="e">
        <f ca="1"/>
        <v>#REF!</v>
      </c>
      <c r="AV133" s="7" t="e">
        <f ca="1"/>
        <v>#REF!</v>
      </c>
    </row>
    <row r="134" spans="16:48" x14ac:dyDescent="0.25">
      <c r="P134" t="str">
        <f ca="1"/>
        <v>Country: Zimbabwe</v>
      </c>
      <c r="Q134">
        <f ca="1"/>
        <v>-0.21697971907913141</v>
      </c>
      <c r="R134">
        <f ca="1"/>
        <v>-0.15216678286081259</v>
      </c>
      <c r="S134">
        <f ca="1"/>
        <v>10.35071916411937</v>
      </c>
      <c r="T134">
        <f ca="1"/>
        <v>105.26505722186567</v>
      </c>
      <c r="U134" t="e">
        <f ca="1"/>
        <v>#REF!</v>
      </c>
      <c r="V134" t="e">
        <f ca="1"/>
        <v>#REF!</v>
      </c>
      <c r="X134" t="str">
        <f ca="1"/>
        <v>Country: Suriname</v>
      </c>
      <c r="AE134" t="e">
        <f ca="1"/>
        <v>#REF!</v>
      </c>
      <c r="AG134" t="str">
        <f ca="1"/>
        <v>Country: Trinidad and Tobago</v>
      </c>
      <c r="AI134" s="7">
        <f ca="1"/>
        <v>7.8835657974530016E-3</v>
      </c>
      <c r="AK134" t="str">
        <f ca="1"/>
        <v>Obs. 204</v>
      </c>
      <c r="AL134" s="7">
        <f ca="1"/>
        <v>67.3</v>
      </c>
      <c r="AN134" s="7" t="e">
        <f ca="1"/>
        <v>#REF!</v>
      </c>
      <c r="AO134" s="7" t="e">
        <f ca="1"/>
        <v>#REF!</v>
      </c>
      <c r="AP134" s="7">
        <f ca="1"/>
        <v>0.16237813752622698</v>
      </c>
      <c r="AQ134" s="7" t="e">
        <f ca="1"/>
        <v>#REF!</v>
      </c>
      <c r="AR134" s="7" t="e">
        <f ca="1"/>
        <v>#REF!</v>
      </c>
      <c r="AS134" s="7">
        <f ca="1"/>
        <v>-1.4067868590764927</v>
      </c>
      <c r="AT134" s="7" t="e">
        <f ca="1"/>
        <v>#REF!</v>
      </c>
      <c r="AU134" s="7" t="e">
        <f ca="1"/>
        <v>#REF!</v>
      </c>
      <c r="AV134" s="7" t="e">
        <f ca="1"/>
        <v>#REF!</v>
      </c>
    </row>
    <row r="135" spans="16:48" x14ac:dyDescent="0.25">
      <c r="P135" t="str">
        <f ca="1"/>
        <v>Status: Developing</v>
      </c>
      <c r="Q135">
        <f ca="1"/>
        <v>-0.44279757614852266</v>
      </c>
      <c r="R135">
        <f ca="1"/>
        <v>-0.48311301293785774</v>
      </c>
      <c r="S135">
        <f ca="1"/>
        <v>-1.9983268605219138</v>
      </c>
      <c r="T135">
        <f ca="1"/>
        <v>1.9957293041634845</v>
      </c>
      <c r="U135" t="e">
        <f ca="1"/>
        <v>#REF!</v>
      </c>
      <c r="V135" t="e">
        <f ca="1"/>
        <v>#REF!</v>
      </c>
      <c r="X135" t="str">
        <f ca="1"/>
        <v>Country: Swaziland</v>
      </c>
      <c r="AE135" t="e">
        <f ca="1"/>
        <v>#REF!</v>
      </c>
      <c r="AG135" t="str">
        <f ca="1"/>
        <v>Country: Tunisia</v>
      </c>
      <c r="AI135" s="7">
        <f ca="1"/>
        <v>9.0964220739842335E-3</v>
      </c>
      <c r="AK135" t="str">
        <f ca="1"/>
        <v>Obs. 205</v>
      </c>
      <c r="AL135" s="7">
        <f ca="1"/>
        <v>66.8</v>
      </c>
      <c r="AN135" s="7" t="e">
        <f ca="1"/>
        <v>#REF!</v>
      </c>
      <c r="AO135" s="7" t="e">
        <f ca="1"/>
        <v>#REF!</v>
      </c>
      <c r="AP135" s="7">
        <f ca="1"/>
        <v>0.17034835745929602</v>
      </c>
      <c r="AQ135" s="7" t="e">
        <f ca="1"/>
        <v>#REF!</v>
      </c>
      <c r="AR135" s="7" t="e">
        <f ca="1"/>
        <v>#REF!</v>
      </c>
      <c r="AS135" s="7">
        <f ca="1"/>
        <v>-1.4067868590764927</v>
      </c>
      <c r="AT135" s="7" t="e">
        <f ca="1"/>
        <v>#REF!</v>
      </c>
      <c r="AU135" s="7" t="e">
        <f ca="1"/>
        <v>#REF!</v>
      </c>
      <c r="AV135" s="7" t="e">
        <f ca="1"/>
        <v>#REF!</v>
      </c>
    </row>
    <row r="136" spans="16:48" x14ac:dyDescent="0.25">
      <c r="P136" t="str">
        <f ca="1"/>
        <v>Adult Mortality</v>
      </c>
      <c r="Q136">
        <f ca="1"/>
        <v>-0.70252306230697348</v>
      </c>
      <c r="R136">
        <f ca="1"/>
        <v>-0.65562080697254088</v>
      </c>
      <c r="S136">
        <f ca="1"/>
        <v>1.2764291138226984</v>
      </c>
      <c r="T136">
        <f ca="1"/>
        <v>2.4009445877439255</v>
      </c>
      <c r="U136" t="e">
        <f ca="1"/>
        <v>#REF!</v>
      </c>
      <c r="V136" t="e">
        <f ca="1"/>
        <v>#REF!</v>
      </c>
      <c r="X136" t="str">
        <f ca="1"/>
        <v>Country: Sweden</v>
      </c>
      <c r="AE136" t="e">
        <f ca="1"/>
        <v>#REF!</v>
      </c>
      <c r="AG136" t="str">
        <f ca="1"/>
        <v>Country: Turkey</v>
      </c>
      <c r="AI136" s="7">
        <f ca="1"/>
        <v>9.0964220739842335E-3</v>
      </c>
      <c r="AK136" t="str">
        <f ca="1"/>
        <v>Obs. 226</v>
      </c>
      <c r="AL136" s="7">
        <f ca="1"/>
        <v>72</v>
      </c>
      <c r="AN136" s="7" t="e">
        <f ca="1"/>
        <v>#REF!</v>
      </c>
      <c r="AO136" s="7" t="e">
        <f ca="1"/>
        <v>#REF!</v>
      </c>
      <c r="AP136" s="7">
        <f ca="1"/>
        <v>0.12436571770909069</v>
      </c>
      <c r="AQ136" s="7" t="e">
        <f ca="1"/>
        <v>#REF!</v>
      </c>
      <c r="AR136" s="7" t="e">
        <f ca="1"/>
        <v>#REF!</v>
      </c>
      <c r="AS136" s="7">
        <f ca="1"/>
        <v>-1.4067868590764927</v>
      </c>
      <c r="AT136" s="7" t="e">
        <f ca="1"/>
        <v>#REF!</v>
      </c>
      <c r="AU136" s="7" t="e">
        <f ca="1"/>
        <v>#REF!</v>
      </c>
      <c r="AV136" s="7" t="e">
        <f ca="1"/>
        <v>#REF!</v>
      </c>
    </row>
    <row r="137" spans="16:48" x14ac:dyDescent="0.25">
      <c r="P137" t="str">
        <f ca="1"/>
        <v>infant deaths</v>
      </c>
      <c r="Q137">
        <f ca="1"/>
        <v>-0.16907380399959634</v>
      </c>
      <c r="R137">
        <f ca="1"/>
        <v>-0.52145512663077931</v>
      </c>
      <c r="S137">
        <f ca="1"/>
        <v>8.4773694116605309</v>
      </c>
      <c r="T137">
        <f ca="1"/>
        <v>85.319968793192416</v>
      </c>
      <c r="U137" t="e">
        <f ca="1"/>
        <v>#REF!</v>
      </c>
      <c r="V137" t="e">
        <f ca="1"/>
        <v>#REF!</v>
      </c>
      <c r="X137" t="str">
        <f ca="1"/>
        <v>Country: Syrian Arab Republic</v>
      </c>
      <c r="AE137" t="e">
        <f ca="1"/>
        <v>#REF!</v>
      </c>
      <c r="AG137" t="str">
        <f ca="1"/>
        <v>Country: Turkmenistan</v>
      </c>
      <c r="AI137" s="7">
        <f ca="1"/>
        <v>7.8835657974530016E-3</v>
      </c>
      <c r="AK137" t="str">
        <f ca="1"/>
        <v>Obs. 227</v>
      </c>
      <c r="AL137" s="7">
        <f ca="1"/>
        <v>71.7</v>
      </c>
      <c r="AN137" s="7" t="e">
        <f ca="1"/>
        <v>#REF!</v>
      </c>
      <c r="AO137" s="7" t="e">
        <f ca="1"/>
        <v>#REF!</v>
      </c>
      <c r="AP137" s="7">
        <f ca="1"/>
        <v>0.1278615537715585</v>
      </c>
      <c r="AQ137" s="7" t="e">
        <f ca="1"/>
        <v>#REF!</v>
      </c>
      <c r="AR137" s="7" t="e">
        <f ca="1"/>
        <v>#REF!</v>
      </c>
      <c r="AS137" s="7">
        <f ca="1"/>
        <v>-1.3946242806491973</v>
      </c>
      <c r="AT137" s="7" t="e">
        <f ca="1"/>
        <v>#REF!</v>
      </c>
      <c r="AU137" s="7" t="e">
        <f ca="1"/>
        <v>#REF!</v>
      </c>
      <c r="AV137" s="7" t="e">
        <f ca="1"/>
        <v>#REF!</v>
      </c>
    </row>
    <row r="138" spans="16:48" x14ac:dyDescent="0.25">
      <c r="P138" t="str">
        <f ca="1"/>
        <v>Alcohol</v>
      </c>
      <c r="Q138">
        <f ca="1"/>
        <v>0.4027183217273525</v>
      </c>
      <c r="R138">
        <f ca="1"/>
        <v>0.45156709663151606</v>
      </c>
      <c r="S138">
        <f ca="1"/>
        <v>0.66251839935723011</v>
      </c>
      <c r="T138">
        <f ca="1"/>
        <v>-0.59110044260500194</v>
      </c>
      <c r="U138" t="e">
        <f ca="1"/>
        <v>#REF!</v>
      </c>
      <c r="V138" t="e">
        <f ca="1"/>
        <v>#REF!</v>
      </c>
      <c r="X138" t="str">
        <f ca="1"/>
        <v>Country: Tajikistan</v>
      </c>
      <c r="AE138" t="e">
        <f ca="1"/>
        <v>#REF!</v>
      </c>
      <c r="AG138" t="str">
        <f ca="1"/>
        <v>Country: Uganda</v>
      </c>
      <c r="AI138" s="7">
        <f ca="1"/>
        <v>7.8835657974530016E-3</v>
      </c>
      <c r="AK138" t="str">
        <f ca="1"/>
        <v>Obs. 228</v>
      </c>
      <c r="AL138" s="7">
        <f ca="1"/>
        <v>71.900000000000006</v>
      </c>
      <c r="AN138" s="7" t="e">
        <f ca="1"/>
        <v>#REF!</v>
      </c>
      <c r="AO138" s="7" t="e">
        <f ca="1"/>
        <v>#REF!</v>
      </c>
      <c r="AP138" s="7">
        <f ca="1"/>
        <v>0.13828066995771585</v>
      </c>
      <c r="AQ138" s="7" t="e">
        <f ca="1"/>
        <v>#REF!</v>
      </c>
      <c r="AR138" s="7" t="e">
        <f ca="1"/>
        <v>#REF!</v>
      </c>
      <c r="AS138" s="7">
        <f ca="1"/>
        <v>-1.3946242806491973</v>
      </c>
      <c r="AT138" s="7" t="e">
        <f ca="1"/>
        <v>#REF!</v>
      </c>
      <c r="AU138" s="7" t="e">
        <f ca="1"/>
        <v>#REF!</v>
      </c>
      <c r="AV138" s="7" t="e">
        <f ca="1"/>
        <v>#REF!</v>
      </c>
    </row>
    <row r="139" spans="16:48" x14ac:dyDescent="0.25">
      <c r="P139" t="str">
        <f ca="1"/>
        <v>percentage expenditure</v>
      </c>
      <c r="Q139">
        <f ca="1"/>
        <v>0.40963082412504903</v>
      </c>
      <c r="R139">
        <f ca="1"/>
        <v>0.57668637597311545</v>
      </c>
      <c r="S139">
        <f ca="1"/>
        <v>4.9805739179663373</v>
      </c>
      <c r="T139">
        <f ca="1"/>
        <v>30.992195235914028</v>
      </c>
      <c r="U139" t="e">
        <f ca="1"/>
        <v>#REF!</v>
      </c>
      <c r="V139" t="e">
        <f ca="1"/>
        <v>#REF!</v>
      </c>
      <c r="X139" t="str">
        <f ca="1"/>
        <v>Country: Thailand</v>
      </c>
      <c r="AE139" t="e">
        <f ca="1"/>
        <v>#REF!</v>
      </c>
      <c r="AG139" t="str">
        <f ca="1"/>
        <v>Country: Ukraine</v>
      </c>
      <c r="AI139" s="7">
        <f ca="1"/>
        <v>9.0964220739842335E-3</v>
      </c>
      <c r="AK139" t="str">
        <f ca="1"/>
        <v>Obs. 229</v>
      </c>
      <c r="AL139" s="7">
        <f ca="1"/>
        <v>72</v>
      </c>
      <c r="AN139" s="7" t="e">
        <f ca="1"/>
        <v>#REF!</v>
      </c>
      <c r="AO139" s="7" t="e">
        <f ca="1"/>
        <v>#REF!</v>
      </c>
      <c r="AP139" s="7">
        <f ca="1"/>
        <v>0.12865533739868706</v>
      </c>
      <c r="AQ139" s="7" t="e">
        <f ca="1"/>
        <v>#REF!</v>
      </c>
      <c r="AR139" s="7" t="e">
        <f ca="1"/>
        <v>#REF!</v>
      </c>
      <c r="AS139" s="7">
        <f ca="1"/>
        <v>-1.3946242806491973</v>
      </c>
      <c r="AT139" s="7" t="e">
        <f ca="1"/>
        <v>#REF!</v>
      </c>
      <c r="AU139" s="7" t="e">
        <f ca="1"/>
        <v>#REF!</v>
      </c>
      <c r="AV139" s="7" t="e">
        <f ca="1"/>
        <v>#REF!</v>
      </c>
    </row>
    <row r="140" spans="16:48" x14ac:dyDescent="0.25">
      <c r="P140" t="str">
        <f ca="1"/>
        <v>Hepatitis B</v>
      </c>
      <c r="Q140">
        <f ca="1"/>
        <v>0.19993527639757758</v>
      </c>
      <c r="R140">
        <f ca="1"/>
        <v>0.29839199664291366</v>
      </c>
      <c r="S140">
        <f ca="1"/>
        <v>-1.7933774066676584</v>
      </c>
      <c r="T140">
        <f ca="1"/>
        <v>2.2314153470486389</v>
      </c>
      <c r="U140" t="e">
        <f ca="1"/>
        <v>#REF!</v>
      </c>
      <c r="V140" t="e">
        <f ca="1"/>
        <v>#REF!</v>
      </c>
      <c r="X140" t="str">
        <f ca="1"/>
        <v>Country: Timor-Leste</v>
      </c>
      <c r="AE140" t="e">
        <f ca="1"/>
        <v>#REF!</v>
      </c>
      <c r="AG140" t="str">
        <f ca="1"/>
        <v>Country: Uruguay</v>
      </c>
      <c r="AI140" s="7">
        <f ca="1"/>
        <v>9.0964220739842335E-3</v>
      </c>
      <c r="AK140" t="str">
        <f ca="1"/>
        <v>Obs. 230</v>
      </c>
      <c r="AL140" s="7">
        <f ca="1"/>
        <v>73</v>
      </c>
      <c r="AN140" s="7" t="e">
        <f ca="1"/>
        <v>#REF!</v>
      </c>
      <c r="AO140" s="7" t="e">
        <f ca="1"/>
        <v>#REF!</v>
      </c>
      <c r="AP140" s="7">
        <f ca="1"/>
        <v>0.12343275191564636</v>
      </c>
      <c r="AQ140" s="7" t="e">
        <f ca="1"/>
        <v>#REF!</v>
      </c>
      <c r="AR140" s="7" t="e">
        <f ca="1"/>
        <v>#REF!</v>
      </c>
      <c r="AS140" s="7">
        <f ca="1"/>
        <v>-1.3946242806491973</v>
      </c>
      <c r="AT140" s="7" t="e">
        <f ca="1"/>
        <v>#REF!</v>
      </c>
      <c r="AU140" s="7" t="e">
        <f ca="1"/>
        <v>#REF!</v>
      </c>
      <c r="AV140" s="7" t="e">
        <f ca="1"/>
        <v>#REF!</v>
      </c>
    </row>
    <row r="141" spans="16:48" x14ac:dyDescent="0.25">
      <c r="P141" t="str">
        <f ca="1"/>
        <v>Measles</v>
      </c>
      <c r="Q141">
        <f ca="1"/>
        <v>-6.8881222111176282E-2</v>
      </c>
      <c r="R141">
        <f ca="1"/>
        <v>-0.24957375369248747</v>
      </c>
      <c r="S141">
        <f ca="1"/>
        <v>7.9578377460109904</v>
      </c>
      <c r="T141">
        <f ca="1"/>
        <v>74.67143971345466</v>
      </c>
      <c r="U141" t="e">
        <f ca="1"/>
        <v>#REF!</v>
      </c>
      <c r="V141" t="e">
        <f ca="1"/>
        <v>#REF!</v>
      </c>
      <c r="X141" t="str">
        <f ca="1"/>
        <v>Country: Togo</v>
      </c>
      <c r="AE141" t="e">
        <f ca="1"/>
        <v>#REF!</v>
      </c>
      <c r="AG141" t="str">
        <f ca="1"/>
        <v>Country: Uzbekistan</v>
      </c>
      <c r="AI141" s="7">
        <f ca="1"/>
        <v>7.8835657974530016E-3</v>
      </c>
      <c r="AK141" t="str">
        <f ca="1"/>
        <v>Obs. 231</v>
      </c>
      <c r="AL141" s="7">
        <f ca="1"/>
        <v>70</v>
      </c>
      <c r="AN141" s="7" t="e">
        <f ca="1"/>
        <v>#REF!</v>
      </c>
      <c r="AO141" s="7" t="e">
        <f ca="1"/>
        <v>#REF!</v>
      </c>
      <c r="AP141" s="7">
        <f ca="1"/>
        <v>0.12259554717372199</v>
      </c>
      <c r="AQ141" s="7" t="e">
        <f ca="1"/>
        <v>#REF!</v>
      </c>
      <c r="AR141" s="7" t="e">
        <f ca="1"/>
        <v>#REF!</v>
      </c>
      <c r="AS141" s="7">
        <f ca="1"/>
        <v>-1.3946242806491973</v>
      </c>
      <c r="AT141" s="7" t="e">
        <f ca="1"/>
        <v>#REF!</v>
      </c>
      <c r="AU141" s="7" t="e">
        <f ca="1"/>
        <v>#REF!</v>
      </c>
      <c r="AV141" s="7" t="e">
        <f ca="1"/>
        <v>#REF!</v>
      </c>
    </row>
    <row r="142" spans="16:48" x14ac:dyDescent="0.25">
      <c r="P142" t="str">
        <f ca="1"/>
        <v>BMI</v>
      </c>
      <c r="Q142">
        <f ca="1"/>
        <v>0.54204158769157829</v>
      </c>
      <c r="R142">
        <f ca="1"/>
        <v>0.5836370658786586</v>
      </c>
      <c r="S142">
        <f ca="1"/>
        <v>-0.23360071764187307</v>
      </c>
      <c r="T142">
        <f ca="1"/>
        <v>-1.2702262093966004</v>
      </c>
      <c r="U142" t="e">
        <f ca="1"/>
        <v>#REF!</v>
      </c>
      <c r="V142" t="e">
        <f ca="1"/>
        <v>#REF!</v>
      </c>
      <c r="X142" t="str">
        <f ca="1"/>
        <v>Country: Tonga</v>
      </c>
      <c r="AE142" t="e">
        <f ca="1"/>
        <v>#REF!</v>
      </c>
      <c r="AG142" t="str">
        <f ca="1"/>
        <v>Country: Vanuatu</v>
      </c>
      <c r="AI142" s="7">
        <f ca="1"/>
        <v>9.0964220739842335E-3</v>
      </c>
      <c r="AK142" t="str">
        <f ca="1"/>
        <v>Obs. 232</v>
      </c>
      <c r="AL142" s="7">
        <f ca="1"/>
        <v>70</v>
      </c>
      <c r="AN142" s="7" t="e">
        <f ca="1"/>
        <v>#REF!</v>
      </c>
      <c r="AO142" s="7" t="e">
        <f ca="1"/>
        <v>#REF!</v>
      </c>
      <c r="AP142" s="7">
        <f ca="1"/>
        <v>0.1226606766274351</v>
      </c>
      <c r="AQ142" s="7" t="e">
        <f ca="1"/>
        <v>#REF!</v>
      </c>
      <c r="AR142" s="7" t="e">
        <f ca="1"/>
        <v>#REF!</v>
      </c>
      <c r="AS142" s="7">
        <f ca="1"/>
        <v>-1.3946242806491973</v>
      </c>
      <c r="AT142" s="7" t="e">
        <f ca="1"/>
        <v>#REF!</v>
      </c>
      <c r="AU142" s="7" t="e">
        <f ca="1"/>
        <v>#REF!</v>
      </c>
      <c r="AV142" s="7" t="e">
        <f ca="1"/>
        <v>#REF!</v>
      </c>
    </row>
    <row r="143" spans="16:48" x14ac:dyDescent="0.25">
      <c r="P143" t="str">
        <f ca="1"/>
        <v>under-five deaths</v>
      </c>
      <c r="Q143">
        <f ca="1"/>
        <v>-0.19226530105304498</v>
      </c>
      <c r="R143">
        <f ca="1"/>
        <v>-0.5384373468110879</v>
      </c>
      <c r="S143">
        <f ca="1"/>
        <v>8.3408629723813945</v>
      </c>
      <c r="T143">
        <f ca="1"/>
        <v>82.187220775460347</v>
      </c>
      <c r="U143" t="e">
        <f ca="1"/>
        <v>#REF!</v>
      </c>
      <c r="V143" t="e">
        <f ca="1"/>
        <v>#REF!</v>
      </c>
      <c r="X143" t="str">
        <f ca="1"/>
        <v>Country: Trinidad and Tobago</v>
      </c>
      <c r="AE143" t="e">
        <f ca="1"/>
        <v>#REF!</v>
      </c>
      <c r="AG143" t="str">
        <f ca="1"/>
        <v>Country: Zambia</v>
      </c>
      <c r="AI143" s="7">
        <f ca="1"/>
        <v>6.0642813826561554E-3</v>
      </c>
      <c r="AK143" t="str">
        <f ca="1"/>
        <v>Obs. 233</v>
      </c>
      <c r="AL143" s="7">
        <f ca="1"/>
        <v>69.8</v>
      </c>
      <c r="AN143" s="7" t="e">
        <f ca="1"/>
        <v>#REF!</v>
      </c>
      <c r="AO143" s="7" t="e">
        <f ca="1"/>
        <v>#REF!</v>
      </c>
      <c r="AP143" s="7">
        <f ca="1"/>
        <v>0.1380912994777643</v>
      </c>
      <c r="AQ143" s="7" t="e">
        <f ca="1"/>
        <v>#REF!</v>
      </c>
      <c r="AR143" s="7" t="e">
        <f ca="1"/>
        <v>#REF!</v>
      </c>
      <c r="AS143" s="7">
        <f ca="1"/>
        <v>-1.3946242806491973</v>
      </c>
      <c r="AT143" s="7" t="e">
        <f ca="1"/>
        <v>#REF!</v>
      </c>
      <c r="AU143" s="7" t="e">
        <f ca="1"/>
        <v>#REF!</v>
      </c>
      <c r="AV143" s="7" t="e">
        <f ca="1"/>
        <v>#REF!</v>
      </c>
    </row>
    <row r="144" spans="16:48" x14ac:dyDescent="0.25">
      <c r="P144" t="str">
        <f ca="1"/>
        <v>Polio</v>
      </c>
      <c r="Q144">
        <f ca="1"/>
        <v>0.32729440310492808</v>
      </c>
      <c r="R144">
        <f ca="1"/>
        <v>0.43534266254009202</v>
      </c>
      <c r="S144">
        <f ca="1"/>
        <v>-2.3601768849724745</v>
      </c>
      <c r="T144">
        <f ca="1"/>
        <v>5.0635507264435367</v>
      </c>
      <c r="U144" t="e">
        <f ca="1"/>
        <v>#REF!</v>
      </c>
      <c r="V144" t="e">
        <f ca="1"/>
        <v>#REF!</v>
      </c>
      <c r="X144" t="str">
        <f ca="1"/>
        <v>Country: Tunisia</v>
      </c>
      <c r="AE144" t="e">
        <f ca="1"/>
        <v>#REF!</v>
      </c>
      <c r="AG144" t="str">
        <f ca="1"/>
        <v>Country: Zimbabwe</v>
      </c>
      <c r="AI144" s="7">
        <f ca="1"/>
        <v>9.0964220739842335E-3</v>
      </c>
      <c r="AK144" t="str">
        <f ca="1"/>
        <v>Obs. 234</v>
      </c>
      <c r="AL144" s="7">
        <f ca="1"/>
        <v>68.900000000000006</v>
      </c>
      <c r="AN144" s="7" t="e">
        <f ca="1"/>
        <v>#REF!</v>
      </c>
      <c r="AO144" s="7" t="e">
        <f ca="1"/>
        <v>#REF!</v>
      </c>
      <c r="AP144" s="7">
        <f ca="1"/>
        <v>0.12216311605568149</v>
      </c>
      <c r="AQ144" s="7" t="e">
        <f ca="1"/>
        <v>#REF!</v>
      </c>
      <c r="AR144" s="7" t="e">
        <f ca="1"/>
        <v>#REF!</v>
      </c>
      <c r="AS144" s="7">
        <f ca="1"/>
        <v>-1.3946242806491973</v>
      </c>
      <c r="AT144" s="7" t="e">
        <f ca="1"/>
        <v>#REF!</v>
      </c>
      <c r="AU144" s="7" t="e">
        <f ca="1"/>
        <v>#REF!</v>
      </c>
      <c r="AV144" s="7" t="e">
        <f ca="1"/>
        <v>#REF!</v>
      </c>
    </row>
    <row r="145" spans="16:48" x14ac:dyDescent="0.25">
      <c r="P145" t="str">
        <f ca="1"/>
        <v>Total expenditure</v>
      </c>
      <c r="Q145">
        <f ca="1"/>
        <v>0.17471764064230411</v>
      </c>
      <c r="R145">
        <f ca="1"/>
        <v>0.27107970455247493</v>
      </c>
      <c r="S145">
        <f ca="1"/>
        <v>0.21336165862070411</v>
      </c>
      <c r="T145">
        <f ca="1"/>
        <v>-1.0252562552346411E-2</v>
      </c>
      <c r="U145" t="e">
        <f ca="1"/>
        <v>#REF!</v>
      </c>
      <c r="V145" t="e">
        <f ca="1"/>
        <v>#REF!</v>
      </c>
      <c r="X145" t="str">
        <f ca="1"/>
        <v>Country: Turkey</v>
      </c>
      <c r="AE145" t="e">
        <f ca="1"/>
        <v>#REF!</v>
      </c>
      <c r="AG145" t="str">
        <f ca="1"/>
        <v>Status: Developing</v>
      </c>
      <c r="AI145" s="7">
        <f ca="1"/>
        <v>0.85324439053972101</v>
      </c>
      <c r="AK145" t="str">
        <f ca="1"/>
        <v>Obs. 235</v>
      </c>
      <c r="AL145" s="7">
        <f ca="1"/>
        <v>68.099999999999994</v>
      </c>
      <c r="AN145" s="7" t="e">
        <f ca="1"/>
        <v>#REF!</v>
      </c>
      <c r="AO145" s="7" t="e">
        <f ca="1"/>
        <v>#REF!</v>
      </c>
      <c r="AP145" s="7">
        <f ca="1"/>
        <v>0.12469388911600283</v>
      </c>
      <c r="AQ145" s="7" t="e">
        <f ca="1"/>
        <v>#REF!</v>
      </c>
      <c r="AR145" s="7" t="e">
        <f ca="1"/>
        <v>#REF!</v>
      </c>
      <c r="AS145" s="7">
        <f ca="1"/>
        <v>-1.3946242806491973</v>
      </c>
      <c r="AT145" s="7" t="e">
        <f ca="1"/>
        <v>#REF!</v>
      </c>
      <c r="AU145" s="7" t="e">
        <f ca="1"/>
        <v>#REF!</v>
      </c>
      <c r="AV145" s="7" t="e">
        <f ca="1"/>
        <v>#REF!</v>
      </c>
    </row>
    <row r="146" spans="16:48" x14ac:dyDescent="0.25">
      <c r="P146" t="str">
        <f ca="1"/>
        <v>Diphtheria</v>
      </c>
      <c r="Q146">
        <f ca="1"/>
        <v>0.34133123426064216</v>
      </c>
      <c r="R146">
        <f ca="1"/>
        <v>0.44819623351132853</v>
      </c>
      <c r="S146">
        <f ca="1"/>
        <v>-2.4874916081791545</v>
      </c>
      <c r="T146">
        <f ca="1"/>
        <v>5.8556393600326784</v>
      </c>
      <c r="U146" t="e">
        <f ca="1"/>
        <v>#REF!</v>
      </c>
      <c r="V146" t="e">
        <f ca="1"/>
        <v>#REF!</v>
      </c>
      <c r="X146" t="str">
        <f ca="1"/>
        <v>Country: Turkmenistan</v>
      </c>
      <c r="AE146" t="e">
        <f ca="1"/>
        <v>#REF!</v>
      </c>
      <c r="AG146" t="str">
        <f ca="1"/>
        <v>Adult Mortality</v>
      </c>
      <c r="AI146" s="7">
        <f ca="1"/>
        <v>168.2152819890843</v>
      </c>
      <c r="AK146" t="str">
        <f ca="1"/>
        <v>Obs. 236</v>
      </c>
      <c r="AL146" s="7">
        <f ca="1"/>
        <v>68.2</v>
      </c>
      <c r="AN146" s="7" t="e">
        <f ca="1"/>
        <v>#REF!</v>
      </c>
      <c r="AO146" s="7" t="e">
        <f ca="1"/>
        <v>#REF!</v>
      </c>
      <c r="AP146" s="7">
        <f ca="1"/>
        <v>0.12350602796404152</v>
      </c>
      <c r="AQ146" s="7" t="e">
        <f ca="1"/>
        <v>#REF!</v>
      </c>
      <c r="AR146" s="7" t="e">
        <f ca="1"/>
        <v>#REF!</v>
      </c>
      <c r="AS146" s="7">
        <f ca="1"/>
        <v>-1.3593210527266006</v>
      </c>
      <c r="AT146" s="7" t="e">
        <f ca="1"/>
        <v>#REF!</v>
      </c>
      <c r="AU146" s="7" t="e">
        <f ca="1"/>
        <v>#REF!</v>
      </c>
      <c r="AV146" s="7" t="e">
        <f ca="1"/>
        <v>#REF!</v>
      </c>
    </row>
    <row r="147" spans="16:48" x14ac:dyDescent="0.25">
      <c r="P147" t="str">
        <f ca="1"/>
        <v>HIV/AIDS</v>
      </c>
      <c r="Q147">
        <f ca="1"/>
        <v>-0.59223629259263988</v>
      </c>
      <c r="R147">
        <f ca="1"/>
        <v>-0.72026469818695804</v>
      </c>
      <c r="S147">
        <f ca="1"/>
        <v>4.9741755969625574</v>
      </c>
      <c r="T147">
        <f ca="1"/>
        <v>27.751491599089142</v>
      </c>
      <c r="U147" t="e">
        <f ca="1"/>
        <v>#REF!</v>
      </c>
      <c r="V147" t="e">
        <f ca="1"/>
        <v>#REF!</v>
      </c>
      <c r="X147" t="str">
        <f ca="1"/>
        <v>Country: Uganda</v>
      </c>
      <c r="AE147" t="e">
        <f ca="1"/>
        <v>#REF!</v>
      </c>
      <c r="AG147" t="str">
        <f ca="1"/>
        <v>infant deaths</v>
      </c>
      <c r="AI147" s="7">
        <f ca="1"/>
        <v>32.553062462098239</v>
      </c>
      <c r="AK147" t="str">
        <f ca="1"/>
        <v>Obs. 237</v>
      </c>
      <c r="AL147" s="7">
        <f ca="1"/>
        <v>67.7</v>
      </c>
      <c r="AN147" s="7" t="e">
        <f ca="1"/>
        <v>#REF!</v>
      </c>
      <c r="AO147" s="7" t="e">
        <f ca="1"/>
        <v>#REF!</v>
      </c>
      <c r="AP147" s="7">
        <f ca="1"/>
        <v>0.14177430648941691</v>
      </c>
      <c r="AQ147" s="7" t="e">
        <f ca="1"/>
        <v>#REF!</v>
      </c>
      <c r="AR147" s="7" t="e">
        <f ca="1"/>
        <v>#REF!</v>
      </c>
      <c r="AS147" s="7">
        <f ca="1"/>
        <v>-1.3593210527266006</v>
      </c>
      <c r="AT147" s="7" t="e">
        <f ca="1"/>
        <v>#REF!</v>
      </c>
      <c r="AU147" s="7" t="e">
        <f ca="1"/>
        <v>#REF!</v>
      </c>
      <c r="AV147" s="7" t="e">
        <f ca="1"/>
        <v>#REF!</v>
      </c>
    </row>
    <row r="148" spans="16:48" x14ac:dyDescent="0.25">
      <c r="P148" t="str">
        <f ca="1"/>
        <v>GDP</v>
      </c>
      <c r="Q148">
        <f ca="1"/>
        <v>0.44132180991356607</v>
      </c>
      <c r="R148">
        <f ca="1"/>
        <v>0.57079636904265585</v>
      </c>
      <c r="S148">
        <f ca="1"/>
        <v>4.5172974225641669</v>
      </c>
      <c r="T148">
        <f ca="1"/>
        <v>28.015318265499179</v>
      </c>
      <c r="U148" t="e">
        <f ca="1"/>
        <v>#REF!</v>
      </c>
      <c r="V148" t="e">
        <f ca="1"/>
        <v>#REF!</v>
      </c>
      <c r="X148" t="str">
        <f ca="1"/>
        <v>Country: Ukraine</v>
      </c>
      <c r="AE148" t="e">
        <f ca="1"/>
        <v>#REF!</v>
      </c>
      <c r="AG148" t="str">
        <f ca="1"/>
        <v>Alcohol</v>
      </c>
      <c r="AI148" s="7">
        <f ca="1"/>
        <v>4.5331958762886764</v>
      </c>
      <c r="AK148" t="str">
        <f ca="1"/>
        <v>Obs. 238</v>
      </c>
      <c r="AL148" s="7">
        <f ca="1"/>
        <v>67.2</v>
      </c>
      <c r="AN148" s="7" t="e">
        <f ca="1"/>
        <v>#REF!</v>
      </c>
      <c r="AO148" s="7" t="e">
        <f ca="1"/>
        <v>#REF!</v>
      </c>
      <c r="AP148" s="7">
        <f ca="1"/>
        <v>0.12451742749251238</v>
      </c>
      <c r="AQ148" s="7" t="e">
        <f ca="1"/>
        <v>#REF!</v>
      </c>
      <c r="AR148" s="7" t="e">
        <f ca="1"/>
        <v>#REF!</v>
      </c>
      <c r="AS148" s="7">
        <f ca="1"/>
        <v>-1.3517022399306602</v>
      </c>
      <c r="AT148" s="7" t="e">
        <f ca="1"/>
        <v>#REF!</v>
      </c>
      <c r="AU148" s="7" t="e">
        <f ca="1"/>
        <v>#REF!</v>
      </c>
      <c r="AV148" s="7" t="e">
        <f ca="1"/>
        <v>#REF!</v>
      </c>
    </row>
    <row r="149" spans="16:48" x14ac:dyDescent="0.25">
      <c r="P149" t="str">
        <f ca="1"/>
        <v>Population</v>
      </c>
      <c r="Q149">
        <f ca="1"/>
        <v>-2.2304977802841353E-2</v>
      </c>
      <c r="R149">
        <f ca="1"/>
        <v>-7.9789533339711019E-2</v>
      </c>
      <c r="S149">
        <f ca="1"/>
        <v>14.186299010071318</v>
      </c>
      <c r="T149">
        <f ca="1"/>
        <v>230.16446135150653</v>
      </c>
      <c r="U149" t="e">
        <f ca="1"/>
        <v>#REF!</v>
      </c>
      <c r="V149" t="e">
        <f ca="1"/>
        <v>#REF!</v>
      </c>
      <c r="X149" t="str">
        <f ca="1"/>
        <v>Country: Uruguay</v>
      </c>
      <c r="AE149" t="e">
        <f ca="1"/>
        <v>#REF!</v>
      </c>
      <c r="AG149" t="str">
        <f ca="1"/>
        <v>percentage expenditure</v>
      </c>
      <c r="AI149" s="7">
        <f ca="1"/>
        <v>698.973558049698</v>
      </c>
      <c r="AK149" t="str">
        <f ca="1"/>
        <v>Obs. 239</v>
      </c>
      <c r="AL149" s="7">
        <f ca="1"/>
        <v>67.7</v>
      </c>
      <c r="AN149" s="7" t="e">
        <f ca="1"/>
        <v>#REF!</v>
      </c>
      <c r="AO149" s="7" t="e">
        <f ca="1"/>
        <v>#REF!</v>
      </c>
      <c r="AP149" s="7">
        <f ca="1"/>
        <v>0.12757258319792431</v>
      </c>
      <c r="AQ149" s="7" t="e">
        <f ca="1"/>
        <v>#REF!</v>
      </c>
      <c r="AR149" s="7" t="e">
        <f ca="1"/>
        <v>#REF!</v>
      </c>
      <c r="AS149" s="7">
        <f ca="1"/>
        <v>-1.3517022399306602</v>
      </c>
      <c r="AT149" s="7" t="e">
        <f ca="1"/>
        <v>#REF!</v>
      </c>
      <c r="AU149" s="7" t="e">
        <f ca="1"/>
        <v>#REF!</v>
      </c>
      <c r="AV149" s="7" t="e">
        <f ca="1"/>
        <v>#REF!</v>
      </c>
    </row>
    <row r="150" spans="16:48" x14ac:dyDescent="0.25">
      <c r="P150" t="str">
        <f ca="1"/>
        <v>thinness 1-19 years</v>
      </c>
      <c r="Q150">
        <f ca="1"/>
        <v>-0.45783819334984405</v>
      </c>
      <c r="R150">
        <f ca="1"/>
        <v>-0.61960046774864874</v>
      </c>
      <c r="S150">
        <f ca="1"/>
        <v>1.8210735142413568</v>
      </c>
      <c r="T150">
        <f ca="1"/>
        <v>4.1593458501427047</v>
      </c>
      <c r="U150" t="e">
        <f ca="1"/>
        <v>#REF!</v>
      </c>
      <c r="V150" t="e">
        <f ca="1"/>
        <v>#REF!</v>
      </c>
      <c r="X150" t="str">
        <f ca="1"/>
        <v>Country: Uzbekistan</v>
      </c>
      <c r="AE150" t="e">
        <f ca="1"/>
        <v>#REF!</v>
      </c>
      <c r="AG150" t="str">
        <f ca="1"/>
        <v>Hepatitis B</v>
      </c>
      <c r="AI150" s="7">
        <f ca="1"/>
        <v>79.217707701637352</v>
      </c>
      <c r="AK150" t="str">
        <f ca="1"/>
        <v>Obs. 240</v>
      </c>
      <c r="AL150" s="7">
        <f ca="1"/>
        <v>68</v>
      </c>
      <c r="AN150" s="7" t="e">
        <f ca="1"/>
        <v>#REF!</v>
      </c>
      <c r="AO150" s="7" t="e">
        <f ca="1"/>
        <v>#REF!</v>
      </c>
      <c r="AP150" s="7">
        <f ca="1"/>
        <v>0.13908077651358192</v>
      </c>
      <c r="AQ150" s="7" t="e">
        <f ca="1"/>
        <v>#REF!</v>
      </c>
      <c r="AR150" s="7" t="e">
        <f ca="1"/>
        <v>#REF!</v>
      </c>
      <c r="AS150" s="7">
        <f ca="1"/>
        <v>-1.3441610904494867</v>
      </c>
      <c r="AT150" s="7" t="e">
        <f ca="1"/>
        <v>#REF!</v>
      </c>
      <c r="AU150" s="7" t="e">
        <f ca="1"/>
        <v>#REF!</v>
      </c>
      <c r="AV150" s="7" t="e">
        <f ca="1"/>
        <v>#REF!</v>
      </c>
    </row>
    <row r="151" spans="16:48" x14ac:dyDescent="0.25">
      <c r="P151" t="str">
        <f ca="1"/>
        <v>thinness 5-9 years</v>
      </c>
      <c r="Q151">
        <f ca="1"/>
        <v>-0.45750828676579908</v>
      </c>
      <c r="R151">
        <f ca="1"/>
        <v>-0.62981654942690735</v>
      </c>
      <c r="S151">
        <f ca="1"/>
        <v>1.8669799469852892</v>
      </c>
      <c r="T151">
        <f ca="1"/>
        <v>4.5198333738580816</v>
      </c>
      <c r="U151" t="e">
        <f ca="1"/>
        <v>#REF!</v>
      </c>
      <c r="V151" t="e">
        <f ca="1"/>
        <v>#REF!</v>
      </c>
      <c r="X151" t="str">
        <f ca="1"/>
        <v>Country: Vanuatu</v>
      </c>
      <c r="AE151" t="e">
        <f ca="1"/>
        <v>#REF!</v>
      </c>
      <c r="AG151" t="str">
        <f ca="1"/>
        <v>Measles</v>
      </c>
      <c r="AI151" s="7">
        <f ca="1"/>
        <v>2224.4942389326866</v>
      </c>
      <c r="AK151" t="str">
        <f ca="1"/>
        <v>Obs. 242</v>
      </c>
      <c r="AL151" s="7">
        <f ca="1"/>
        <v>89</v>
      </c>
      <c r="AN151" s="7" t="e">
        <f ca="1"/>
        <v>#REF!</v>
      </c>
      <c r="AO151" s="7" t="e">
        <f ca="1"/>
        <v>#REF!</v>
      </c>
      <c r="AP151" s="7">
        <f ca="1"/>
        <v>5.3234836549288206E-2</v>
      </c>
      <c r="AQ151" s="7" t="e">
        <f ca="1"/>
        <v>#REF!</v>
      </c>
      <c r="AR151" s="7" t="e">
        <f ca="1"/>
        <v>#REF!</v>
      </c>
      <c r="AS151" s="7">
        <f ca="1"/>
        <v>-1.3404190152831756</v>
      </c>
      <c r="AT151" s="7" t="e">
        <f ca="1"/>
        <v>#REF!</v>
      </c>
      <c r="AU151" s="7" t="e">
        <f ca="1"/>
        <v>#REF!</v>
      </c>
      <c r="AV151" s="7" t="e">
        <f ca="1"/>
        <v>#REF!</v>
      </c>
    </row>
    <row r="152" spans="16:48" x14ac:dyDescent="0.25">
      <c r="P152" t="str">
        <f ca="1"/>
        <v>Income composition of resources</v>
      </c>
      <c r="Q152">
        <f ca="1"/>
        <v>0.72108259291729193</v>
      </c>
      <c r="R152">
        <f ca="1"/>
        <v>0.84902333027593679</v>
      </c>
      <c r="S152">
        <f ca="1"/>
        <v>-1.1552436094975105</v>
      </c>
      <c r="T152">
        <f ca="1"/>
        <v>2.0611920694297563</v>
      </c>
      <c r="U152" t="e">
        <f ca="1"/>
        <v>#REF!</v>
      </c>
      <c r="V152" t="e">
        <f ca="1"/>
        <v>#REF!</v>
      </c>
      <c r="X152" t="str">
        <f ca="1"/>
        <v>Country: Zambia</v>
      </c>
      <c r="AE152" t="e">
        <f ca="1"/>
        <v>#REF!</v>
      </c>
      <c r="AG152" t="str">
        <f ca="1"/>
        <v>BMI</v>
      </c>
      <c r="AI152" s="7">
        <f ca="1"/>
        <v>38.128623408126103</v>
      </c>
      <c r="AK152" t="str">
        <f ca="1"/>
        <v>Obs. 243</v>
      </c>
      <c r="AL152" s="7">
        <f ca="1"/>
        <v>87</v>
      </c>
      <c r="AN152" s="7" t="e">
        <f ca="1"/>
        <v>#REF!</v>
      </c>
      <c r="AO152" s="7" t="e">
        <f ca="1"/>
        <v>#REF!</v>
      </c>
      <c r="AP152" s="7">
        <f ca="1"/>
        <v>4.5963374915524983E-2</v>
      </c>
      <c r="AQ152" s="7" t="e">
        <f ca="1"/>
        <v>#REF!</v>
      </c>
      <c r="AR152" s="7" t="e">
        <f ca="1"/>
        <v>#REF!</v>
      </c>
      <c r="AS152" s="7">
        <f ca="1"/>
        <v>-1.3366956165977166</v>
      </c>
      <c r="AT152" s="7" t="e">
        <f ca="1"/>
        <v>#REF!</v>
      </c>
      <c r="AU152" s="7" t="e">
        <f ca="1"/>
        <v>#REF!</v>
      </c>
      <c r="AV152" s="7" t="e">
        <f ca="1"/>
        <v>#REF!</v>
      </c>
    </row>
    <row r="153" spans="16:48" x14ac:dyDescent="0.25">
      <c r="P153" t="str">
        <f ca="1"/>
        <v>Schooling</v>
      </c>
      <c r="Q153">
        <f ca="1"/>
        <v>0.72763003232110479</v>
      </c>
      <c r="R153">
        <f ca="1"/>
        <v>0.77476911930540282</v>
      </c>
      <c r="S153">
        <f ca="1"/>
        <v>-0.12816419625645914</v>
      </c>
      <c r="T153">
        <f ca="1"/>
        <v>4.5707552951051778E-2</v>
      </c>
      <c r="U153" t="e">
        <f ca="1"/>
        <v>#REF!</v>
      </c>
      <c r="V153" t="e">
        <f ca="1"/>
        <v>#REF!</v>
      </c>
      <c r="X153" t="str">
        <f ca="1"/>
        <v>Country: Zimbabwe</v>
      </c>
      <c r="AE153" t="e">
        <f ca="1"/>
        <v>#REF!</v>
      </c>
      <c r="AG153" t="str">
        <f ca="1"/>
        <v>under-five deaths</v>
      </c>
      <c r="AI153" s="7">
        <f ca="1"/>
        <v>44.220133414190421</v>
      </c>
      <c r="AK153" t="str">
        <f ca="1"/>
        <v>Obs. 244</v>
      </c>
      <c r="AL153" s="7">
        <f ca="1"/>
        <v>83</v>
      </c>
      <c r="AN153" s="7" t="e">
        <f ca="1"/>
        <v>#REF!</v>
      </c>
      <c r="AO153" s="7" t="e">
        <f ca="1"/>
        <v>#REF!</v>
      </c>
      <c r="AP153" s="7">
        <f ca="1"/>
        <v>4.3927518420205314E-2</v>
      </c>
      <c r="AQ153" s="7" t="e">
        <f ca="1"/>
        <v>#REF!</v>
      </c>
      <c r="AR153" s="7" t="e">
        <f ca="1"/>
        <v>#REF!</v>
      </c>
      <c r="AS153" s="7">
        <f ca="1"/>
        <v>-1.3329906577816031</v>
      </c>
      <c r="AT153" s="7" t="e">
        <f ca="1"/>
        <v>#REF!</v>
      </c>
      <c r="AU153" s="7" t="e">
        <f ca="1"/>
        <v>#REF!</v>
      </c>
      <c r="AV153" s="7" t="e">
        <f ca="1"/>
        <v>#REF!</v>
      </c>
    </row>
    <row r="154" spans="16:48" x14ac:dyDescent="0.25">
      <c r="P154" t="str">
        <f ca="1"/>
        <v>Column1</v>
      </c>
      <c r="Q154">
        <f ca="1"/>
        <v>4.9659762684665022E-2</v>
      </c>
      <c r="R154">
        <f ca="1"/>
        <v>5.5171606206033619E-2</v>
      </c>
      <c r="S154">
        <f ca="1"/>
        <v>-0.20535768328154336</v>
      </c>
      <c r="T154">
        <f ca="1"/>
        <v>-1.0359161964170542</v>
      </c>
      <c r="U154" t="e">
        <f ca="1"/>
        <v>#REF!</v>
      </c>
      <c r="V154" t="e">
        <f ca="1"/>
        <v>#REF!</v>
      </c>
      <c r="X154" t="str">
        <f ca="1"/>
        <v>Status: Developing</v>
      </c>
      <c r="AE154" t="e">
        <f ca="1"/>
        <v>#REF!</v>
      </c>
      <c r="AG154" t="str">
        <f ca="1"/>
        <v>Polio</v>
      </c>
      <c r="AI154" s="7">
        <f ca="1"/>
        <v>83.564584596725282</v>
      </c>
      <c r="AK154" t="str">
        <f ca="1"/>
        <v>Obs. 245</v>
      </c>
      <c r="AL154" s="7">
        <f ca="1"/>
        <v>83</v>
      </c>
      <c r="AN154" s="7" t="e">
        <f ca="1"/>
        <v>#REF!</v>
      </c>
      <c r="AO154" s="7" t="e">
        <f ca="1"/>
        <v>#REF!</v>
      </c>
      <c r="AP154" s="7">
        <f ca="1"/>
        <v>4.3649970702295968E-2</v>
      </c>
      <c r="AQ154" s="7" t="e">
        <f ca="1"/>
        <v>#REF!</v>
      </c>
      <c r="AR154" s="7" t="e">
        <f ca="1"/>
        <v>#REF!</v>
      </c>
      <c r="AS154" s="7">
        <f ca="1"/>
        <v>-1.3329906577816031</v>
      </c>
      <c r="AT154" s="7" t="e">
        <f ca="1"/>
        <v>#REF!</v>
      </c>
      <c r="AU154" s="7" t="e">
        <f ca="1"/>
        <v>#REF!</v>
      </c>
      <c r="AV154" s="7" t="e">
        <f ca="1"/>
        <v>#REF!</v>
      </c>
    </row>
    <row r="155" spans="16:48" x14ac:dyDescent="0.25">
      <c r="X155" t="str">
        <f ca="1"/>
        <v>Adult Mortality</v>
      </c>
      <c r="AE155" t="e">
        <f ca="1"/>
        <v>#REF!</v>
      </c>
      <c r="AG155" t="str">
        <f ca="1"/>
        <v>Total expenditure</v>
      </c>
      <c r="AI155" s="7">
        <f ca="1"/>
        <v>5.9559248029108449</v>
      </c>
      <c r="AK155" t="str">
        <f ca="1"/>
        <v>Obs. 246</v>
      </c>
      <c r="AL155" s="7">
        <f ca="1"/>
        <v>80</v>
      </c>
      <c r="AN155" s="7" t="e">
        <f ca="1"/>
        <v>#REF!</v>
      </c>
      <c r="AO155" s="7" t="e">
        <f ca="1"/>
        <v>#REF!</v>
      </c>
      <c r="AP155" s="7">
        <f ca="1"/>
        <v>4.4160341166120061E-2</v>
      </c>
      <c r="AQ155" s="7" t="e">
        <f ca="1"/>
        <v>#REF!</v>
      </c>
      <c r="AR155" s="7" t="e">
        <f ca="1"/>
        <v>#REF!</v>
      </c>
      <c r="AS155" s="7">
        <f ca="1"/>
        <v>-1.3329906577816031</v>
      </c>
      <c r="AT155" s="7" t="e">
        <f ca="1"/>
        <v>#REF!</v>
      </c>
      <c r="AU155" s="7" t="e">
        <f ca="1"/>
        <v>#REF!</v>
      </c>
      <c r="AV155" s="7" t="e">
        <f ca="1"/>
        <v>#REF!</v>
      </c>
    </row>
    <row r="156" spans="16:48" x14ac:dyDescent="0.25">
      <c r="X156" t="str">
        <f ca="1"/>
        <v>infant deaths</v>
      </c>
      <c r="AE156" t="e">
        <f ca="1"/>
        <v>#REF!</v>
      </c>
      <c r="AG156" t="str">
        <f ca="1"/>
        <v>Diphtheria</v>
      </c>
      <c r="AI156" s="7">
        <f ca="1"/>
        <v>84.155245603395997</v>
      </c>
      <c r="AK156" t="str">
        <f ca="1"/>
        <v>Obs. 247</v>
      </c>
      <c r="AL156" s="7">
        <f ca="1"/>
        <v>79.8</v>
      </c>
      <c r="AN156" s="7" t="e">
        <f ca="1"/>
        <v>#REF!</v>
      </c>
      <c r="AO156" s="7" t="e">
        <f ca="1"/>
        <v>#REF!</v>
      </c>
      <c r="AP156" s="7">
        <f ca="1"/>
        <v>4.3687867877308217E-2</v>
      </c>
      <c r="AQ156" s="7" t="e">
        <f ca="1"/>
        <v>#REF!</v>
      </c>
      <c r="AR156" s="7" t="e">
        <f ca="1"/>
        <v>#REF!</v>
      </c>
      <c r="AS156" s="7">
        <f ca="1"/>
        <v>-1.3219841213691266</v>
      </c>
      <c r="AT156" s="7" t="e">
        <f ca="1"/>
        <v>#REF!</v>
      </c>
      <c r="AU156" s="7" t="e">
        <f ca="1"/>
        <v>#REF!</v>
      </c>
      <c r="AV156" s="7" t="e">
        <f ca="1"/>
        <v>#REF!</v>
      </c>
    </row>
    <row r="157" spans="16:48" x14ac:dyDescent="0.25">
      <c r="X157" t="str">
        <f ca="1"/>
        <v>Alcohol</v>
      </c>
      <c r="AE157" t="e">
        <f ca="1"/>
        <v>#REF!</v>
      </c>
      <c r="AG157" t="str">
        <f ca="1"/>
        <v>HIV/AIDS</v>
      </c>
      <c r="AI157" s="7">
        <f ca="1"/>
        <v>1.9838690115221154</v>
      </c>
      <c r="AK157" t="str">
        <f ca="1"/>
        <v>Obs. 248</v>
      </c>
      <c r="AL157" s="7">
        <f ca="1"/>
        <v>79.5</v>
      </c>
      <c r="AN157" s="7" t="e">
        <f ca="1"/>
        <v>#REF!</v>
      </c>
      <c r="AO157" s="7" t="e">
        <f ca="1"/>
        <v>#REF!</v>
      </c>
      <c r="AP157" s="7">
        <f ca="1"/>
        <v>4.7752875348268289E-2</v>
      </c>
      <c r="AQ157" s="7" t="e">
        <f ca="1"/>
        <v>#REF!</v>
      </c>
      <c r="AR157" s="7" t="e">
        <f ca="1"/>
        <v>#REF!</v>
      </c>
      <c r="AS157" s="7">
        <f ca="1"/>
        <v>-1.3219841213691266</v>
      </c>
      <c r="AT157" s="7" t="e">
        <f ca="1"/>
        <v>#REF!</v>
      </c>
      <c r="AU157" s="7" t="e">
        <f ca="1"/>
        <v>#REF!</v>
      </c>
      <c r="AV157" s="7" t="e">
        <f ca="1"/>
        <v>#REF!</v>
      </c>
    </row>
    <row r="158" spans="16:48" x14ac:dyDescent="0.25">
      <c r="X158" t="str">
        <f ca="1"/>
        <v>percentage expenditure</v>
      </c>
      <c r="AE158" t="e">
        <f ca="1"/>
        <v>#REF!</v>
      </c>
      <c r="AG158" t="str">
        <f ca="1"/>
        <v>GDP</v>
      </c>
      <c r="AI158" s="7">
        <f ca="1"/>
        <v>5566.0318868175918</v>
      </c>
      <c r="AK158" t="str">
        <f ca="1"/>
        <v>Obs. 249</v>
      </c>
      <c r="AL158" s="7">
        <f ca="1"/>
        <v>79.5</v>
      </c>
      <c r="AN158" s="7" t="e">
        <f ca="1"/>
        <v>#REF!</v>
      </c>
      <c r="AO158" s="7" t="e">
        <f ca="1"/>
        <v>#REF!</v>
      </c>
      <c r="AP158" s="7">
        <f ca="1"/>
        <v>4.6032638545266666E-2</v>
      </c>
      <c r="AQ158" s="7" t="e">
        <f ca="1"/>
        <v>#REF!</v>
      </c>
      <c r="AR158" s="7" t="e">
        <f ca="1"/>
        <v>#REF!</v>
      </c>
      <c r="AS158" s="7">
        <f ca="1"/>
        <v>-1.3147344895569</v>
      </c>
      <c r="AT158" s="7" t="e">
        <f ca="1"/>
        <v>#REF!</v>
      </c>
      <c r="AU158" s="7" t="e">
        <f ca="1"/>
        <v>#REF!</v>
      </c>
      <c r="AV158" s="7" t="e">
        <f ca="1"/>
        <v>#REF!</v>
      </c>
    </row>
    <row r="159" spans="16:48" x14ac:dyDescent="0.25">
      <c r="X159" t="str">
        <f ca="1"/>
        <v>Hepatitis B</v>
      </c>
      <c r="AE159" t="e">
        <f ca="1"/>
        <v>#REF!</v>
      </c>
      <c r="AG159" t="str">
        <f ca="1"/>
        <v>Population</v>
      </c>
      <c r="AI159" s="7">
        <f ca="1"/>
        <v>14653625.889484541</v>
      </c>
      <c r="AK159" t="str">
        <f ca="1"/>
        <v>Obs. 250</v>
      </c>
      <c r="AL159" s="7">
        <f ca="1"/>
        <v>79.400000000000006</v>
      </c>
      <c r="AN159" s="7" t="e">
        <f ca="1"/>
        <v>#REF!</v>
      </c>
      <c r="AO159" s="7" t="e">
        <f ca="1"/>
        <v>#REF!</v>
      </c>
      <c r="AP159" s="7">
        <f ca="1"/>
        <v>4.8143631825929539E-2</v>
      </c>
      <c r="AQ159" s="7" t="e">
        <f ca="1"/>
        <v>#REF!</v>
      </c>
      <c r="AR159" s="7" t="e">
        <f ca="1"/>
        <v>#REF!</v>
      </c>
      <c r="AS159" s="7">
        <f ca="1"/>
        <v>-1.3147344895569</v>
      </c>
      <c r="AT159" s="7" t="e">
        <f ca="1"/>
        <v>#REF!</v>
      </c>
      <c r="AU159" s="7" t="e">
        <f ca="1"/>
        <v>#REF!</v>
      </c>
      <c r="AV159" s="7" t="e">
        <f ca="1"/>
        <v>#REF!</v>
      </c>
    </row>
    <row r="160" spans="16:48" x14ac:dyDescent="0.25">
      <c r="X160" t="str">
        <f ca="1"/>
        <v>Measles</v>
      </c>
      <c r="AE160" t="e">
        <f ca="1"/>
        <v>#REF!</v>
      </c>
      <c r="AG160" t="str">
        <f ca="1"/>
        <v>thinness 1-19 years</v>
      </c>
      <c r="AI160" s="7">
        <f ca="1"/>
        <v>4.850636749545183</v>
      </c>
      <c r="AK160" t="str">
        <f ca="1"/>
        <v>Obs. 251</v>
      </c>
      <c r="AL160" s="7">
        <f ca="1"/>
        <v>78.900000000000006</v>
      </c>
      <c r="AN160" s="7" t="e">
        <f ca="1"/>
        <v>#REF!</v>
      </c>
      <c r="AO160" s="7" t="e">
        <f ca="1"/>
        <v>#REF!</v>
      </c>
      <c r="AP160" s="7">
        <f ca="1"/>
        <v>4.6893759720205458E-2</v>
      </c>
      <c r="AQ160" s="7" t="e">
        <f ca="1"/>
        <v>#REF!</v>
      </c>
      <c r="AR160" s="7" t="e">
        <f ca="1"/>
        <v>#REF!</v>
      </c>
      <c r="AS160" s="7">
        <f ca="1"/>
        <v>-1.3147344895569</v>
      </c>
      <c r="AT160" s="7" t="e">
        <f ca="1"/>
        <v>#REF!</v>
      </c>
      <c r="AU160" s="7" t="e">
        <f ca="1"/>
        <v>#REF!</v>
      </c>
      <c r="AV160" s="7" t="e">
        <f ca="1"/>
        <v>#REF!</v>
      </c>
    </row>
    <row r="161" spans="24:48" x14ac:dyDescent="0.25">
      <c r="X161" t="str">
        <f ca="1"/>
        <v>BMI</v>
      </c>
      <c r="AE161" t="e">
        <f ca="1"/>
        <v>#REF!</v>
      </c>
      <c r="AG161" t="str">
        <f ca="1"/>
        <v>thinness 5-9 years</v>
      </c>
      <c r="AI161" s="7">
        <f ca="1"/>
        <v>4.9077622801697949</v>
      </c>
      <c r="AK161" t="str">
        <f ca="1"/>
        <v>Obs. 252</v>
      </c>
      <c r="AL161" s="7">
        <f ca="1"/>
        <v>78.8</v>
      </c>
      <c r="AN161" s="7" t="e">
        <f ca="1"/>
        <v>#REF!</v>
      </c>
      <c r="AO161" s="7" t="e">
        <f ca="1"/>
        <v>#REF!</v>
      </c>
      <c r="AP161" s="7">
        <f ca="1"/>
        <v>5.1250297027349137E-2</v>
      </c>
      <c r="AQ161" s="7" t="e">
        <f ca="1"/>
        <v>#REF!</v>
      </c>
      <c r="AR161" s="7" t="e">
        <f ca="1"/>
        <v>#REF!</v>
      </c>
      <c r="AS161" s="7">
        <f ca="1"/>
        <v>-1.3039878652542525</v>
      </c>
      <c r="AT161" s="7" t="e">
        <f ca="1"/>
        <v>#REF!</v>
      </c>
      <c r="AU161" s="7" t="e">
        <f ca="1"/>
        <v>#REF!</v>
      </c>
      <c r="AV161" s="7" t="e">
        <f ca="1"/>
        <v>#REF!</v>
      </c>
    </row>
    <row r="162" spans="24:48" x14ac:dyDescent="0.25">
      <c r="X162" t="str">
        <f ca="1"/>
        <v>under-five deaths</v>
      </c>
      <c r="AE162" t="e">
        <f ca="1"/>
        <v>#REF!</v>
      </c>
      <c r="AG162" t="str">
        <f ca="1"/>
        <v>Income composition of resources</v>
      </c>
      <c r="AI162" s="7">
        <f ca="1"/>
        <v>0.63155124317768285</v>
      </c>
      <c r="AK162" t="str">
        <f ca="1"/>
        <v>Obs. 253</v>
      </c>
      <c r="AL162" s="7">
        <f ca="1"/>
        <v>78.3</v>
      </c>
      <c r="AN162" s="7" t="e">
        <f ca="1"/>
        <v>#REF!</v>
      </c>
      <c r="AO162" s="7" t="e">
        <f ca="1"/>
        <v>#REF!</v>
      </c>
      <c r="AP162" s="7">
        <f ca="1"/>
        <v>4.909803010494504E-2</v>
      </c>
      <c r="AQ162" s="7" t="e">
        <f ca="1"/>
        <v>#REF!</v>
      </c>
      <c r="AR162" s="7" t="e">
        <f ca="1"/>
        <v>#REF!</v>
      </c>
      <c r="AS162" s="7">
        <f ca="1"/>
        <v>-1.3039878652542525</v>
      </c>
      <c r="AT162" s="7" t="e">
        <f ca="1"/>
        <v>#REF!</v>
      </c>
      <c r="AU162" s="7" t="e">
        <f ca="1"/>
        <v>#REF!</v>
      </c>
      <c r="AV162" s="7" t="e">
        <f ca="1"/>
        <v>#REF!</v>
      </c>
    </row>
    <row r="163" spans="24:48" x14ac:dyDescent="0.25">
      <c r="X163" t="str">
        <f ca="1"/>
        <v>Polio</v>
      </c>
      <c r="AE163" t="e">
        <f ca="1"/>
        <v>#REF!</v>
      </c>
      <c r="AG163" t="str">
        <f ca="1"/>
        <v>Schooling</v>
      </c>
      <c r="AI163" s="7">
        <f ca="1"/>
        <v>12.119890842935117</v>
      </c>
      <c r="AK163" t="str">
        <f ca="1"/>
        <v>Obs. 254</v>
      </c>
      <c r="AL163" s="7">
        <f ca="1"/>
        <v>78</v>
      </c>
      <c r="AN163" s="7" t="e">
        <f ca="1"/>
        <v>#REF!</v>
      </c>
      <c r="AO163" s="7" t="e">
        <f ca="1"/>
        <v>#REF!</v>
      </c>
      <c r="AP163" s="7">
        <f ca="1"/>
        <v>5.8503614399539675E-2</v>
      </c>
      <c r="AQ163" s="7" t="e">
        <f ca="1"/>
        <v>#REF!</v>
      </c>
      <c r="AR163" s="7" t="e">
        <f ca="1"/>
        <v>#REF!</v>
      </c>
      <c r="AS163" s="7">
        <f ca="1"/>
        <v>-1.2969062889401866</v>
      </c>
      <c r="AT163" s="7" t="e">
        <f ca="1"/>
        <v>#REF!</v>
      </c>
      <c r="AU163" s="7" t="e">
        <f ca="1"/>
        <v>#REF!</v>
      </c>
      <c r="AV163" s="7" t="e">
        <f ca="1"/>
        <v>#REF!</v>
      </c>
    </row>
    <row r="164" spans="24:48" x14ac:dyDescent="0.25">
      <c r="X164" t="str">
        <f ca="1"/>
        <v>Total expenditure</v>
      </c>
      <c r="AE164" t="e">
        <f ca="1"/>
        <v>#REF!</v>
      </c>
      <c r="AG164" t="str">
        <f ca="1"/>
        <v>Column1</v>
      </c>
      <c r="AI164" s="7">
        <f ca="1"/>
        <v>39555.313523347482</v>
      </c>
      <c r="AK164" t="str">
        <f ca="1"/>
        <v>Obs. 255</v>
      </c>
      <c r="AL164" s="7">
        <f ca="1"/>
        <v>78</v>
      </c>
      <c r="AN164" s="7" t="e">
        <f ca="1"/>
        <v>#REF!</v>
      </c>
      <c r="AO164" s="7" t="e">
        <f ca="1"/>
        <v>#REF!</v>
      </c>
      <c r="AP164" s="7">
        <f ca="1"/>
        <v>5.5326983601792543E-2</v>
      </c>
      <c r="AQ164" s="7" t="e">
        <f ca="1"/>
        <v>#REF!</v>
      </c>
      <c r="AR164" s="7" t="e">
        <f ca="1"/>
        <v>#REF!</v>
      </c>
      <c r="AS164" s="7">
        <f ca="1"/>
        <v>-1.2969062889401866</v>
      </c>
      <c r="AT164" s="7" t="e">
        <f ca="1"/>
        <v>#REF!</v>
      </c>
      <c r="AU164" s="7" t="e">
        <f ca="1"/>
        <v>#REF!</v>
      </c>
      <c r="AV164" s="7" t="e">
        <f ca="1"/>
        <v>#REF!</v>
      </c>
    </row>
    <row r="165" spans="24:48" x14ac:dyDescent="0.25">
      <c r="X165" t="str">
        <f ca="1"/>
        <v>Diphtheria</v>
      </c>
      <c r="AE165" t="e">
        <f ca="1"/>
        <v>#REF!</v>
      </c>
      <c r="AK165" t="str">
        <f ca="1"/>
        <v>Obs. 256</v>
      </c>
      <c r="AL165" s="7">
        <f ca="1"/>
        <v>77.599999999999994</v>
      </c>
      <c r="AN165" s="7" t="e">
        <f ca="1"/>
        <v>#REF!</v>
      </c>
      <c r="AO165" s="7" t="e">
        <f ca="1"/>
        <v>#REF!</v>
      </c>
      <c r="AP165" s="7">
        <f ca="1"/>
        <v>5.4850908059688161E-2</v>
      </c>
      <c r="AQ165" s="7" t="e">
        <f ca="1"/>
        <v>#REF!</v>
      </c>
      <c r="AR165" s="7" t="e">
        <f ca="1"/>
        <v>#REF!</v>
      </c>
      <c r="AS165" s="7">
        <f ca="1"/>
        <v>-1.2898891601746336</v>
      </c>
      <c r="AT165" s="7" t="e">
        <f ca="1"/>
        <v>#REF!</v>
      </c>
      <c r="AU165" s="7" t="e">
        <f ca="1"/>
        <v>#REF!</v>
      </c>
      <c r="AV165" s="7" t="e">
        <f ca="1"/>
        <v>#REF!</v>
      </c>
    </row>
    <row r="166" spans="24:48" x14ac:dyDescent="0.25">
      <c r="X166" t="str">
        <f ca="1"/>
        <v>HIV/AIDS</v>
      </c>
      <c r="AE166" t="e">
        <f ca="1"/>
        <v>#REF!</v>
      </c>
      <c r="AK166" t="str">
        <f ca="1"/>
        <v>Obs. 258</v>
      </c>
      <c r="AL166" s="7">
        <f ca="1"/>
        <v>70</v>
      </c>
      <c r="AN166" s="7" t="e">
        <f ca="1"/>
        <v>#REF!</v>
      </c>
      <c r="AO166" s="7" t="e">
        <f ca="1"/>
        <v>#REF!</v>
      </c>
      <c r="AP166" s="7">
        <f ca="1"/>
        <v>3.0856822695367991E-2</v>
      </c>
      <c r="AQ166" s="7" t="e">
        <f ca="1"/>
        <v>#REF!</v>
      </c>
      <c r="AR166" s="7" t="e">
        <f ca="1"/>
        <v>#REF!</v>
      </c>
      <c r="AS166" s="7">
        <f ca="1"/>
        <v>-1.2898891601746336</v>
      </c>
      <c r="AT166" s="7" t="e">
        <f ca="1"/>
        <v>#REF!</v>
      </c>
      <c r="AU166" s="7" t="e">
        <f ca="1"/>
        <v>#REF!</v>
      </c>
      <c r="AV166" s="7" t="e">
        <f ca="1"/>
        <v>#REF!</v>
      </c>
    </row>
    <row r="167" spans="24:48" x14ac:dyDescent="0.25">
      <c r="X167" t="str">
        <f ca="1"/>
        <v>GDP</v>
      </c>
      <c r="AE167" t="e">
        <f ca="1"/>
        <v>#REF!</v>
      </c>
      <c r="AK167" t="str">
        <f ca="1"/>
        <v>Obs. 259</v>
      </c>
      <c r="AL167" s="7">
        <f ca="1"/>
        <v>69.8</v>
      </c>
      <c r="AN167" s="7" t="e">
        <f ca="1"/>
        <v>#REF!</v>
      </c>
      <c r="AO167" s="7" t="e">
        <f ca="1"/>
        <v>#REF!</v>
      </c>
      <c r="AP167" s="7">
        <f ca="1"/>
        <v>2.5273704456903121E-2</v>
      </c>
      <c r="AQ167" s="7" t="e">
        <f ca="1"/>
        <v>#REF!</v>
      </c>
      <c r="AR167" s="7" t="e">
        <f ca="1"/>
        <v>#REF!</v>
      </c>
      <c r="AS167" s="7">
        <f ca="1"/>
        <v>-1.2898891601746336</v>
      </c>
      <c r="AT167" s="7" t="e">
        <f ca="1"/>
        <v>#REF!</v>
      </c>
      <c r="AU167" s="7" t="e">
        <f ca="1"/>
        <v>#REF!</v>
      </c>
      <c r="AV167" s="7" t="e">
        <f ca="1"/>
        <v>#REF!</v>
      </c>
    </row>
    <row r="168" spans="24:48" x14ac:dyDescent="0.25">
      <c r="X168" t="str">
        <f ca="1"/>
        <v>Population</v>
      </c>
      <c r="AE168" t="e">
        <f ca="1"/>
        <v>#REF!</v>
      </c>
      <c r="AK168" t="str">
        <f ca="1"/>
        <v>Obs. 260</v>
      </c>
      <c r="AL168" s="7">
        <f ca="1"/>
        <v>69.400000000000006</v>
      </c>
      <c r="AN168" s="7" t="e">
        <f ca="1"/>
        <v>#REF!</v>
      </c>
      <c r="AO168" s="7" t="e">
        <f ca="1"/>
        <v>#REF!</v>
      </c>
      <c r="AP168" s="7">
        <f ca="1"/>
        <v>2.3948665133119315E-2</v>
      </c>
      <c r="AQ168" s="7" t="e">
        <f ca="1"/>
        <v>#REF!</v>
      </c>
      <c r="AR168" s="7" t="e">
        <f ca="1"/>
        <v>#REF!</v>
      </c>
      <c r="AS168" s="7">
        <f ca="1"/>
        <v>-1.2898891601746336</v>
      </c>
      <c r="AT168" s="7" t="e">
        <f ca="1"/>
        <v>#REF!</v>
      </c>
      <c r="AU168" s="7" t="e">
        <f ca="1"/>
        <v>#REF!</v>
      </c>
      <c r="AV168" s="7" t="e">
        <f ca="1"/>
        <v>#REF!</v>
      </c>
    </row>
    <row r="169" spans="24:48" x14ac:dyDescent="0.25">
      <c r="X169" t="str">
        <f ca="1"/>
        <v>thinness 1-19 years</v>
      </c>
      <c r="AE169" t="e">
        <f ca="1"/>
        <v>#REF!</v>
      </c>
      <c r="AK169" t="str">
        <f ca="1"/>
        <v>Obs. 261</v>
      </c>
      <c r="AL169" s="7">
        <f ca="1"/>
        <v>69.400000000000006</v>
      </c>
      <c r="AN169" s="7" t="e">
        <f ca="1"/>
        <v>#REF!</v>
      </c>
      <c r="AO169" s="7" t="e">
        <f ca="1"/>
        <v>#REF!</v>
      </c>
      <c r="AP169" s="7">
        <f ca="1"/>
        <v>2.335335158188066E-2</v>
      </c>
      <c r="AQ169" s="7" t="e">
        <f ca="1"/>
        <v>#REF!</v>
      </c>
      <c r="AR169" s="7" t="e">
        <f ca="1"/>
        <v>#REF!</v>
      </c>
      <c r="AS169" s="7">
        <f ca="1"/>
        <v>-1.2760422901524544</v>
      </c>
      <c r="AT169" s="7" t="e">
        <f ca="1"/>
        <v>#REF!</v>
      </c>
      <c r="AU169" s="7" t="e">
        <f ca="1"/>
        <v>#REF!</v>
      </c>
      <c r="AV169" s="7" t="e">
        <f ca="1"/>
        <v>#REF!</v>
      </c>
    </row>
    <row r="170" spans="24:48" x14ac:dyDescent="0.25">
      <c r="X170" t="str">
        <f ca="1"/>
        <v>thinness 5-9 years</v>
      </c>
      <c r="AE170" t="e">
        <f ca="1"/>
        <v>#REF!</v>
      </c>
      <c r="AK170" t="str">
        <f ca="1"/>
        <v>Obs. 262</v>
      </c>
      <c r="AL170" s="7">
        <f ca="1"/>
        <v>69.5</v>
      </c>
      <c r="AN170" s="7" t="e">
        <f ca="1"/>
        <v>#REF!</v>
      </c>
      <c r="AO170" s="7" t="e">
        <f ca="1"/>
        <v>#REF!</v>
      </c>
      <c r="AP170" s="7">
        <f ca="1"/>
        <v>2.2454570502952916E-2</v>
      </c>
      <c r="AQ170" s="7" t="e">
        <f ca="1"/>
        <v>#REF!</v>
      </c>
      <c r="AR170" s="7" t="e">
        <f ca="1"/>
        <v>#REF!</v>
      </c>
      <c r="AS170" s="7">
        <f ca="1"/>
        <v>-1.2726185683477402</v>
      </c>
      <c r="AT170" s="7" t="e">
        <f ca="1"/>
        <v>#REF!</v>
      </c>
      <c r="AU170" s="7" t="e">
        <f ca="1"/>
        <v>#REF!</v>
      </c>
      <c r="AV170" s="7" t="e">
        <f ca="1"/>
        <v>#REF!</v>
      </c>
    </row>
    <row r="171" spans="24:48" x14ac:dyDescent="0.25">
      <c r="X171" t="str">
        <f ca="1"/>
        <v>Income composition of resources</v>
      </c>
      <c r="AE171" t="e">
        <f ca="1"/>
        <v>#REF!</v>
      </c>
      <c r="AK171" t="str">
        <f ca="1"/>
        <v>Obs. 263</v>
      </c>
      <c r="AL171" s="7">
        <f ca="1"/>
        <v>69.5</v>
      </c>
      <c r="AN171" s="7" t="e">
        <f ca="1"/>
        <v>#REF!</v>
      </c>
      <c r="AO171" s="7" t="e">
        <f ca="1"/>
        <v>#REF!</v>
      </c>
      <c r="AP171" s="7">
        <f ca="1"/>
        <v>2.1568763016934719E-2</v>
      </c>
      <c r="AQ171" s="7" t="e">
        <f ca="1"/>
        <v>#REF!</v>
      </c>
      <c r="AR171" s="7" t="e">
        <f ca="1"/>
        <v>#REF!</v>
      </c>
      <c r="AS171" s="7">
        <f ca="1"/>
        <v>-1.2726185683477402</v>
      </c>
      <c r="AT171" s="7" t="e">
        <f ca="1"/>
        <v>#REF!</v>
      </c>
      <c r="AU171" s="7" t="e">
        <f ca="1"/>
        <v>#REF!</v>
      </c>
      <c r="AV171" s="7" t="e">
        <f ca="1"/>
        <v>#REF!</v>
      </c>
    </row>
    <row r="172" spans="24:48" x14ac:dyDescent="0.25">
      <c r="X172" t="str">
        <f ca="1"/>
        <v>Schooling</v>
      </c>
      <c r="AE172" t="e">
        <f ca="1"/>
        <v>#REF!</v>
      </c>
      <c r="AK172" t="str">
        <f ca="1"/>
        <v>Obs. 264</v>
      </c>
      <c r="AL172" s="7">
        <f ca="1"/>
        <v>69.599999999999994</v>
      </c>
      <c r="AN172" s="7" t="e">
        <f ca="1"/>
        <v>#REF!</v>
      </c>
      <c r="AO172" s="7" t="e">
        <f ca="1"/>
        <v>#REF!</v>
      </c>
      <c r="AP172" s="7">
        <f ca="1"/>
        <v>2.2026067724187616E-2</v>
      </c>
      <c r="AQ172" s="7" t="e">
        <f ca="1"/>
        <v>#REF!</v>
      </c>
      <c r="AR172" s="7" t="e">
        <f ca="1"/>
        <v>#REF!</v>
      </c>
      <c r="AS172" s="7">
        <f ca="1"/>
        <v>-1.2726185683477402</v>
      </c>
      <c r="AT172" s="7" t="e">
        <f ca="1"/>
        <v>#REF!</v>
      </c>
      <c r="AU172" s="7" t="e">
        <f ca="1"/>
        <v>#REF!</v>
      </c>
      <c r="AV172" s="7" t="e">
        <f ca="1"/>
        <v>#REF!</v>
      </c>
    </row>
    <row r="173" spans="24:48" x14ac:dyDescent="0.25">
      <c r="X173" t="str">
        <f ca="1"/>
        <v>Column1</v>
      </c>
      <c r="AE173" t="e">
        <f ca="1"/>
        <v>#REF!</v>
      </c>
      <c r="AK173" t="str">
        <f ca="1"/>
        <v>Obs. 265</v>
      </c>
      <c r="AL173" s="7">
        <f ca="1"/>
        <v>69.599999999999994</v>
      </c>
      <c r="AN173" s="7" t="e">
        <f ca="1"/>
        <v>#REF!</v>
      </c>
      <c r="AO173" s="7" t="e">
        <f ca="1"/>
        <v>#REF!</v>
      </c>
      <c r="AP173" s="7">
        <f ca="1"/>
        <v>2.2339903150709925E-2</v>
      </c>
      <c r="AQ173" s="7" t="e">
        <f ca="1"/>
        <v>#REF!</v>
      </c>
      <c r="AR173" s="7" t="e">
        <f ca="1"/>
        <v>#REF!</v>
      </c>
      <c r="AS173" s="7">
        <f ca="1"/>
        <v>-1.2726185683477402</v>
      </c>
      <c r="AT173" s="7" t="e">
        <f ca="1"/>
        <v>#REF!</v>
      </c>
      <c r="AU173" s="7" t="e">
        <f ca="1"/>
        <v>#REF!</v>
      </c>
      <c r="AV173" s="7" t="e">
        <f ca="1"/>
        <v>#REF!</v>
      </c>
    </row>
    <row r="174" spans="24:48" x14ac:dyDescent="0.25">
      <c r="AK174" t="str">
        <f ca="1"/>
        <v>Obs. 266</v>
      </c>
      <c r="AL174" s="7">
        <f ca="1"/>
        <v>69.400000000000006</v>
      </c>
      <c r="AN174" s="7" t="e">
        <f ca="1"/>
        <v>#REF!</v>
      </c>
      <c r="AO174" s="7" t="e">
        <f ca="1"/>
        <v>#REF!</v>
      </c>
      <c r="AP174" s="7">
        <f ca="1"/>
        <v>2.1133703317800036E-2</v>
      </c>
      <c r="AQ174" s="7" t="e">
        <f ca="1"/>
        <v>#REF!</v>
      </c>
      <c r="AR174" s="7" t="e">
        <f ca="1"/>
        <v>#REF!</v>
      </c>
      <c r="AS174" s="7">
        <f ca="1"/>
        <v>-1.2726185683477402</v>
      </c>
      <c r="AT174" s="7" t="e">
        <f ca="1"/>
        <v>#REF!</v>
      </c>
      <c r="AU174" s="7" t="e">
        <f ca="1"/>
        <v>#REF!</v>
      </c>
      <c r="AV174" s="7" t="e">
        <f ca="1"/>
        <v>#REF!</v>
      </c>
    </row>
    <row r="175" spans="24:48" x14ac:dyDescent="0.25">
      <c r="AK175" t="str">
        <f ca="1"/>
        <v>Obs. 267</v>
      </c>
      <c r="AL175" s="7">
        <f ca="1"/>
        <v>69</v>
      </c>
      <c r="AN175" s="7" t="e">
        <f ca="1"/>
        <v>#REF!</v>
      </c>
      <c r="AO175" s="7" t="e">
        <f ca="1"/>
        <v>#REF!</v>
      </c>
      <c r="AP175" s="7">
        <f ca="1"/>
        <v>2.2138561370641317E-2</v>
      </c>
      <c r="AQ175" s="7" t="e">
        <f ca="1"/>
        <v>#REF!</v>
      </c>
      <c r="AR175" s="7" t="e">
        <f ca="1"/>
        <v>#REF!</v>
      </c>
      <c r="AS175" s="7">
        <f ca="1"/>
        <v>-1.2726185683477402</v>
      </c>
      <c r="AT175" s="7" t="e">
        <f ca="1"/>
        <v>#REF!</v>
      </c>
      <c r="AU175" s="7" t="e">
        <f ca="1"/>
        <v>#REF!</v>
      </c>
      <c r="AV175" s="7" t="e">
        <f ca="1"/>
        <v>#REF!</v>
      </c>
    </row>
    <row r="176" spans="24:48" x14ac:dyDescent="0.25">
      <c r="AK176" t="str">
        <f ca="1"/>
        <v>Obs. 268</v>
      </c>
      <c r="AL176" s="7">
        <f ca="1"/>
        <v>68.7</v>
      </c>
      <c r="AN176" s="7" t="e">
        <f ca="1"/>
        <v>#REF!</v>
      </c>
      <c r="AO176" s="7" t="e">
        <f ca="1"/>
        <v>#REF!</v>
      </c>
      <c r="AP176" s="7">
        <f ca="1"/>
        <v>2.2215365561723793E-2</v>
      </c>
      <c r="AQ176" s="7" t="e">
        <f ca="1"/>
        <v>#REF!</v>
      </c>
      <c r="AR176" s="7" t="e">
        <f ca="1"/>
        <v>#REF!</v>
      </c>
      <c r="AS176" s="7">
        <f ca="1"/>
        <v>-1.2523823790942721</v>
      </c>
      <c r="AT176" s="7" t="e">
        <f ca="1"/>
        <v>#REF!</v>
      </c>
      <c r="AU176" s="7" t="e">
        <f ca="1"/>
        <v>#REF!</v>
      </c>
      <c r="AV176" s="7" t="e">
        <f ca="1"/>
        <v>#REF!</v>
      </c>
    </row>
    <row r="177" spans="37:48" x14ac:dyDescent="0.25">
      <c r="AK177" t="str">
        <f ca="1"/>
        <v>Obs. 269</v>
      </c>
      <c r="AL177" s="7">
        <f ca="1"/>
        <v>68.400000000000006</v>
      </c>
      <c r="AN177" s="7" t="e">
        <f ca="1"/>
        <v>#REF!</v>
      </c>
      <c r="AO177" s="7" t="e">
        <f ca="1"/>
        <v>#REF!</v>
      </c>
      <c r="AP177" s="7">
        <f ca="1"/>
        <v>2.4704368986150645E-2</v>
      </c>
      <c r="AQ177" s="7" t="e">
        <f ca="1"/>
        <v>#REF!</v>
      </c>
      <c r="AR177" s="7" t="e">
        <f ca="1"/>
        <v>#REF!</v>
      </c>
      <c r="AS177" s="7">
        <f ca="1"/>
        <v>-1.2523823790942721</v>
      </c>
      <c r="AT177" s="7" t="e">
        <f ca="1"/>
        <v>#REF!</v>
      </c>
      <c r="AU177" s="7" t="e">
        <f ca="1"/>
        <v>#REF!</v>
      </c>
      <c r="AV177" s="7" t="e">
        <f ca="1"/>
        <v>#REF!</v>
      </c>
    </row>
    <row r="178" spans="37:48" x14ac:dyDescent="0.25">
      <c r="AK178" t="str">
        <f ca="1"/>
        <v>Obs. 270</v>
      </c>
      <c r="AL178" s="7">
        <f ca="1"/>
        <v>68.5</v>
      </c>
      <c r="AN178" s="7" t="e">
        <f ca="1"/>
        <v>#REF!</v>
      </c>
      <c r="AO178" s="7" t="e">
        <f ca="1"/>
        <v>#REF!</v>
      </c>
      <c r="AP178" s="7">
        <f ca="1"/>
        <v>2.3344753032501955E-2</v>
      </c>
      <c r="AQ178" s="7" t="e">
        <f ca="1"/>
        <v>#REF!</v>
      </c>
      <c r="AR178" s="7" t="e">
        <f ca="1"/>
        <v>#REF!</v>
      </c>
      <c r="AS178" s="7">
        <f ca="1"/>
        <v>-1.2523823790942721</v>
      </c>
      <c r="AT178" s="7" t="e">
        <f ca="1"/>
        <v>#REF!</v>
      </c>
      <c r="AU178" s="7" t="e">
        <f ca="1"/>
        <v>#REF!</v>
      </c>
      <c r="AV178" s="7" t="e">
        <f ca="1"/>
        <v>#REF!</v>
      </c>
    </row>
    <row r="179" spans="37:48" x14ac:dyDescent="0.25">
      <c r="AK179" t="str">
        <f ca="1"/>
        <v>Obs. 271</v>
      </c>
      <c r="AL179" s="7">
        <f ca="1"/>
        <v>68.2</v>
      </c>
      <c r="AN179" s="7" t="e">
        <f ca="1"/>
        <v>#REF!</v>
      </c>
      <c r="AO179" s="7" t="e">
        <f ca="1"/>
        <v>#REF!</v>
      </c>
      <c r="AP179" s="7">
        <f ca="1"/>
        <v>2.646798607489239E-2</v>
      </c>
      <c r="AQ179" s="7" t="e">
        <f ca="1"/>
        <v>#REF!</v>
      </c>
      <c r="AR179" s="7" t="e">
        <f ca="1"/>
        <v>#REF!</v>
      </c>
      <c r="AS179" s="7">
        <f ca="1"/>
        <v>-1.2523823790942721</v>
      </c>
      <c r="AT179" s="7" t="e">
        <f ca="1"/>
        <v>#REF!</v>
      </c>
      <c r="AU179" s="7" t="e">
        <f ca="1"/>
        <v>#REF!</v>
      </c>
      <c r="AV179" s="7" t="e">
        <f ca="1"/>
        <v>#REF!</v>
      </c>
    </row>
    <row r="180" spans="37:48" x14ac:dyDescent="0.25">
      <c r="AK180" t="str">
        <f ca="1"/>
        <v>Obs. 272</v>
      </c>
      <c r="AL180" s="7">
        <f ca="1"/>
        <v>68.3</v>
      </c>
      <c r="AN180" s="7" t="e">
        <f ca="1"/>
        <v>#REF!</v>
      </c>
      <c r="AO180" s="7" t="e">
        <f ca="1"/>
        <v>#REF!</v>
      </c>
      <c r="AP180" s="7">
        <f ca="1"/>
        <v>2.9802209964577074E-2</v>
      </c>
      <c r="AQ180" s="7" t="e">
        <f ca="1"/>
        <v>#REF!</v>
      </c>
      <c r="AR180" s="7" t="e">
        <f ca="1"/>
        <v>#REF!</v>
      </c>
      <c r="AS180" s="7">
        <f ca="1"/>
        <v>-1.2523823790942721</v>
      </c>
      <c r="AT180" s="7" t="e">
        <f ca="1"/>
        <v>#REF!</v>
      </c>
      <c r="AU180" s="7" t="e">
        <f ca="1"/>
        <v>#REF!</v>
      </c>
      <c r="AV180" s="7" t="e">
        <f ca="1"/>
        <v>#REF!</v>
      </c>
    </row>
    <row r="181" spans="37:48" x14ac:dyDescent="0.25">
      <c r="AK181" t="str">
        <f ca="1"/>
        <v>Obs. 274</v>
      </c>
      <c r="AL181" s="7">
        <f ca="1"/>
        <v>59.7</v>
      </c>
      <c r="AN181" s="7" t="e">
        <f ca="1"/>
        <v>#REF!</v>
      </c>
      <c r="AO181" s="7" t="e">
        <f ca="1"/>
        <v>#REF!</v>
      </c>
      <c r="AP181" s="7">
        <f ca="1"/>
        <v>0.13136517110332729</v>
      </c>
      <c r="AQ181" s="7" t="e">
        <f ca="1"/>
        <v>#REF!</v>
      </c>
      <c r="AR181" s="7" t="e">
        <f ca="1"/>
        <v>#REF!</v>
      </c>
      <c r="AS181" s="7">
        <f ca="1"/>
        <v>-1.2359023985485402</v>
      </c>
      <c r="AT181" s="7" t="e">
        <f ca="1"/>
        <v>#REF!</v>
      </c>
      <c r="AU181" s="7" t="e">
        <f ca="1"/>
        <v>#REF!</v>
      </c>
      <c r="AV181" s="7" t="e">
        <f ca="1"/>
        <v>#REF!</v>
      </c>
    </row>
    <row r="182" spans="37:48" x14ac:dyDescent="0.25">
      <c r="AK182" t="str">
        <f ca="1"/>
        <v>Obs. 275</v>
      </c>
      <c r="AL182" s="7">
        <f ca="1"/>
        <v>59.5</v>
      </c>
      <c r="AN182" s="7" t="e">
        <f ca="1"/>
        <v>#REF!</v>
      </c>
      <c r="AO182" s="7" t="e">
        <f ca="1"/>
        <v>#REF!</v>
      </c>
      <c r="AP182" s="7">
        <f ca="1"/>
        <v>0.12995822159463022</v>
      </c>
      <c r="AQ182" s="7" t="e">
        <f ca="1"/>
        <v>#REF!</v>
      </c>
      <c r="AR182" s="7" t="e">
        <f ca="1"/>
        <v>#REF!</v>
      </c>
      <c r="AS182" s="7">
        <f ca="1"/>
        <v>-1.2359023985485402</v>
      </c>
      <c r="AT182" s="7" t="e">
        <f ca="1"/>
        <v>#REF!</v>
      </c>
      <c r="AU182" s="7" t="e">
        <f ca="1"/>
        <v>#REF!</v>
      </c>
      <c r="AV182" s="7" t="e">
        <f ca="1"/>
        <v>#REF!</v>
      </c>
    </row>
    <row r="183" spans="37:48" x14ac:dyDescent="0.25">
      <c r="AK183" t="str">
        <f ca="1"/>
        <v>Obs. 276</v>
      </c>
      <c r="AL183" s="7">
        <f ca="1"/>
        <v>59.3</v>
      </c>
      <c r="AN183" s="7" t="e">
        <f ca="1"/>
        <v>#REF!</v>
      </c>
      <c r="AO183" s="7" t="e">
        <f ca="1"/>
        <v>#REF!</v>
      </c>
      <c r="AP183" s="7">
        <f ca="1"/>
        <v>0.1402665444221545</v>
      </c>
      <c r="AQ183" s="7" t="e">
        <f ca="1"/>
        <v>#REF!</v>
      </c>
      <c r="AR183" s="7" t="e">
        <f ca="1"/>
        <v>#REF!</v>
      </c>
      <c r="AS183" s="7">
        <f ca="1"/>
        <v>-1.2294035019788656</v>
      </c>
      <c r="AT183" s="7" t="e">
        <f ca="1"/>
        <v>#REF!</v>
      </c>
      <c r="AU183" s="7" t="e">
        <f ca="1"/>
        <v>#REF!</v>
      </c>
      <c r="AV183" s="7" t="e">
        <f ca="1"/>
        <v>#REF!</v>
      </c>
    </row>
    <row r="184" spans="37:48" x14ac:dyDescent="0.25">
      <c r="AK184" t="str">
        <f ca="1"/>
        <v>Obs. 277</v>
      </c>
      <c r="AL184" s="7">
        <f ca="1"/>
        <v>59.1</v>
      </c>
      <c r="AN184" s="7" t="e">
        <f ca="1"/>
        <v>#REF!</v>
      </c>
      <c r="AO184" s="7" t="e">
        <f ca="1"/>
        <v>#REF!</v>
      </c>
      <c r="AP184" s="7">
        <f ca="1"/>
        <v>0.12880472927696507</v>
      </c>
      <c r="AQ184" s="7" t="e">
        <f ca="1"/>
        <v>#REF!</v>
      </c>
      <c r="AR184" s="7" t="e">
        <f ca="1"/>
        <v>#REF!</v>
      </c>
      <c r="AS184" s="7">
        <f ca="1"/>
        <v>-1.2294035019788656</v>
      </c>
      <c r="AT184" s="7" t="e">
        <f ca="1"/>
        <v>#REF!</v>
      </c>
      <c r="AU184" s="7" t="e">
        <f ca="1"/>
        <v>#REF!</v>
      </c>
      <c r="AV184" s="7" t="e">
        <f ca="1"/>
        <v>#REF!</v>
      </c>
    </row>
    <row r="185" spans="37:48" x14ac:dyDescent="0.25">
      <c r="AK185" t="str">
        <f ca="1"/>
        <v>Obs. 278</v>
      </c>
      <c r="AL185" s="7">
        <f ca="1"/>
        <v>58.7</v>
      </c>
      <c r="AN185" s="7" t="e">
        <f ca="1"/>
        <v>#REF!</v>
      </c>
      <c r="AO185" s="7" t="e">
        <f ca="1"/>
        <v>#REF!</v>
      </c>
      <c r="AP185" s="7">
        <f ca="1"/>
        <v>0.1283035171732014</v>
      </c>
      <c r="AQ185" s="7" t="e">
        <f ca="1"/>
        <v>#REF!</v>
      </c>
      <c r="AR185" s="7" t="e">
        <f ca="1"/>
        <v>#REF!</v>
      </c>
      <c r="AS185" s="7">
        <f ca="1"/>
        <v>-1.2294035019788656</v>
      </c>
      <c r="AT185" s="7" t="e">
        <f ca="1"/>
        <v>#REF!</v>
      </c>
      <c r="AU185" s="7" t="e">
        <f ca="1"/>
        <v>#REF!</v>
      </c>
      <c r="AV185" s="7" t="e">
        <f ca="1"/>
        <v>#REF!</v>
      </c>
    </row>
    <row r="186" spans="37:48" x14ac:dyDescent="0.25">
      <c r="AK186" t="str">
        <f ca="1"/>
        <v>Obs. 279</v>
      </c>
      <c r="AL186" s="7">
        <f ca="1"/>
        <v>58.4</v>
      </c>
      <c r="AN186" s="7" t="e">
        <f ca="1"/>
        <v>#REF!</v>
      </c>
      <c r="AO186" s="7" t="e">
        <f ca="1"/>
        <v>#REF!</v>
      </c>
      <c r="AP186" s="7">
        <f ca="1"/>
        <v>0.13816920957894094</v>
      </c>
      <c r="AQ186" s="7" t="e">
        <f ca="1"/>
        <v>#REF!</v>
      </c>
      <c r="AR186" s="7" t="e">
        <f ca="1"/>
        <v>#REF!</v>
      </c>
      <c r="AS186" s="7">
        <f ca="1"/>
        <v>-1.2197514087080794</v>
      </c>
      <c r="AT186" s="7" t="e">
        <f ca="1"/>
        <v>#REF!</v>
      </c>
      <c r="AU186" s="7" t="e">
        <f ca="1"/>
        <v>#REF!</v>
      </c>
      <c r="AV186" s="7" t="e">
        <f ca="1"/>
        <v>#REF!</v>
      </c>
    </row>
    <row r="187" spans="37:48" x14ac:dyDescent="0.25">
      <c r="AK187" t="str">
        <f ca="1"/>
        <v>Obs. 280</v>
      </c>
      <c r="AL187" s="7">
        <f ca="1"/>
        <v>57.6</v>
      </c>
      <c r="AN187" s="7" t="e">
        <f ca="1"/>
        <v>#REF!</v>
      </c>
      <c r="AO187" s="7" t="e">
        <f ca="1"/>
        <v>#REF!</v>
      </c>
      <c r="AP187" s="7">
        <f ca="1"/>
        <v>0.12805582037109753</v>
      </c>
      <c r="AQ187" s="7" t="e">
        <f ca="1"/>
        <v>#REF!</v>
      </c>
      <c r="AR187" s="7" t="e">
        <f ca="1"/>
        <v>#REF!</v>
      </c>
      <c r="AS187" s="7">
        <f ca="1"/>
        <v>-1.2197514087080794</v>
      </c>
      <c r="AT187" s="7" t="e">
        <f ca="1"/>
        <v>#REF!</v>
      </c>
      <c r="AU187" s="7" t="e">
        <f ca="1"/>
        <v>#REF!</v>
      </c>
      <c r="AV187" s="7" t="e">
        <f ca="1"/>
        <v>#REF!</v>
      </c>
    </row>
    <row r="188" spans="37:48" x14ac:dyDescent="0.25">
      <c r="AK188" t="str">
        <f ca="1"/>
        <v>Obs. 281</v>
      </c>
      <c r="AL188" s="7">
        <f ca="1"/>
        <v>57.1</v>
      </c>
      <c r="AN188" s="7" t="e">
        <f ca="1"/>
        <v>#REF!</v>
      </c>
      <c r="AO188" s="7" t="e">
        <f ca="1"/>
        <v>#REF!</v>
      </c>
      <c r="AP188" s="7">
        <f ca="1"/>
        <v>0.12869400601974459</v>
      </c>
      <c r="AQ188" s="7" t="e">
        <f ca="1"/>
        <v>#REF!</v>
      </c>
      <c r="AR188" s="7" t="e">
        <f ca="1"/>
        <v>#REF!</v>
      </c>
      <c r="AS188" s="7">
        <f ca="1"/>
        <v>-1.2197514087080794</v>
      </c>
      <c r="AT188" s="7" t="e">
        <f ca="1"/>
        <v>#REF!</v>
      </c>
      <c r="AU188" s="7" t="e">
        <f ca="1"/>
        <v>#REF!</v>
      </c>
      <c r="AV188" s="7" t="e">
        <f ca="1"/>
        <v>#REF!</v>
      </c>
    </row>
    <row r="189" spans="37:48" x14ac:dyDescent="0.25">
      <c r="AK189" t="str">
        <f ca="1"/>
        <v>Obs. 282</v>
      </c>
      <c r="AL189" s="7">
        <f ca="1"/>
        <v>56.8</v>
      </c>
      <c r="AN189" s="7" t="e">
        <f ca="1"/>
        <v>#REF!</v>
      </c>
      <c r="AO189" s="7" t="e">
        <f ca="1"/>
        <v>#REF!</v>
      </c>
      <c r="AP189" s="7">
        <f ca="1"/>
        <v>0.12818622711830338</v>
      </c>
      <c r="AQ189" s="7" t="e">
        <f ca="1"/>
        <v>#REF!</v>
      </c>
      <c r="AR189" s="7" t="e">
        <f ca="1"/>
        <v>#REF!</v>
      </c>
      <c r="AS189" s="7">
        <f ca="1"/>
        <v>-1.210211632562187</v>
      </c>
      <c r="AT189" s="7" t="e">
        <f ca="1"/>
        <v>#REF!</v>
      </c>
      <c r="AU189" s="7" t="e">
        <f ca="1"/>
        <v>#REF!</v>
      </c>
      <c r="AV189" s="7" t="e">
        <f ca="1"/>
        <v>#REF!</v>
      </c>
    </row>
    <row r="190" spans="37:48" x14ac:dyDescent="0.25">
      <c r="AK190" t="str">
        <f ca="1"/>
        <v>Obs. 283</v>
      </c>
      <c r="AL190" s="7">
        <f ca="1"/>
        <v>56.5</v>
      </c>
      <c r="AN190" s="7" t="e">
        <f ca="1"/>
        <v>#REF!</v>
      </c>
      <c r="AO190" s="7" t="e">
        <f ca="1"/>
        <v>#REF!</v>
      </c>
      <c r="AP190" s="7">
        <f ca="1"/>
        <v>0.14007155695217255</v>
      </c>
      <c r="AQ190" s="7" t="e">
        <f ca="1"/>
        <v>#REF!</v>
      </c>
      <c r="AR190" s="7" t="e">
        <f ca="1"/>
        <v>#REF!</v>
      </c>
      <c r="AS190" s="7">
        <f ca="1"/>
        <v>-1.207056068729359</v>
      </c>
      <c r="AT190" s="7" t="e">
        <f ca="1"/>
        <v>#REF!</v>
      </c>
      <c r="AU190" s="7" t="e">
        <f ca="1"/>
        <v>#REF!</v>
      </c>
      <c r="AV190" s="7" t="e">
        <f ca="1"/>
        <v>#REF!</v>
      </c>
    </row>
    <row r="191" spans="37:48" x14ac:dyDescent="0.25">
      <c r="AK191" t="str">
        <f ca="1"/>
        <v>Obs. 284</v>
      </c>
      <c r="AL191" s="7">
        <f ca="1"/>
        <v>56.1</v>
      </c>
      <c r="AN191" s="7" t="e">
        <f ca="1"/>
        <v>#REF!</v>
      </c>
      <c r="AO191" s="7" t="e">
        <f ca="1"/>
        <v>#REF!</v>
      </c>
      <c r="AP191" s="7">
        <f ca="1"/>
        <v>0.13043371623536659</v>
      </c>
      <c r="AQ191" s="7" t="e">
        <f ca="1"/>
        <v>#REF!</v>
      </c>
      <c r="AR191" s="7" t="e">
        <f ca="1"/>
        <v>#REF!</v>
      </c>
      <c r="AS191" s="7">
        <f ca="1"/>
        <v>-1.207056068729359</v>
      </c>
      <c r="AT191" s="7" t="e">
        <f ca="1"/>
        <v>#REF!</v>
      </c>
      <c r="AU191" s="7" t="e">
        <f ca="1"/>
        <v>#REF!</v>
      </c>
      <c r="AV191" s="7" t="e">
        <f ca="1"/>
        <v>#REF!</v>
      </c>
    </row>
    <row r="192" spans="37:48" x14ac:dyDescent="0.25">
      <c r="AK192" t="str">
        <f ca="1"/>
        <v>Obs. 285</v>
      </c>
      <c r="AL192" s="7">
        <f ca="1"/>
        <v>55.8</v>
      </c>
      <c r="AN192" s="7" t="e">
        <f ca="1"/>
        <v>#REF!</v>
      </c>
      <c r="AO192" s="7" t="e">
        <f ca="1"/>
        <v>#REF!</v>
      </c>
      <c r="AP192" s="7">
        <f ca="1"/>
        <v>0.13048444710196977</v>
      </c>
      <c r="AQ192" s="7" t="e">
        <f ca="1"/>
        <v>#REF!</v>
      </c>
      <c r="AR192" s="7" t="e">
        <f ca="1"/>
        <v>#REF!</v>
      </c>
      <c r="AS192" s="7">
        <f ca="1"/>
        <v>-1.207056068729359</v>
      </c>
      <c r="AT192" s="7" t="e">
        <f ca="1"/>
        <v>#REF!</v>
      </c>
      <c r="AU192" s="7" t="e">
        <f ca="1"/>
        <v>#REF!</v>
      </c>
      <c r="AV192" s="7" t="e">
        <f ca="1"/>
        <v>#REF!</v>
      </c>
    </row>
    <row r="193" spans="37:48" x14ac:dyDescent="0.25">
      <c r="AK193" t="str">
        <f ca="1"/>
        <v>Obs. 286</v>
      </c>
      <c r="AL193" s="7">
        <f ca="1"/>
        <v>55.6</v>
      </c>
      <c r="AN193" s="7" t="e">
        <f ca="1"/>
        <v>#REF!</v>
      </c>
      <c r="AO193" s="7" t="e">
        <f ca="1"/>
        <v>#REF!</v>
      </c>
      <c r="AP193" s="7">
        <f ca="1"/>
        <v>0.13678202479922499</v>
      </c>
      <c r="AQ193" s="7" t="e">
        <f ca="1"/>
        <v>#REF!</v>
      </c>
      <c r="AR193" s="7" t="e">
        <f ca="1"/>
        <v>#REF!</v>
      </c>
      <c r="AS193" s="7">
        <f ca="1"/>
        <v>-1.207056068729359</v>
      </c>
      <c r="AT193" s="7" t="e">
        <f ca="1"/>
        <v>#REF!</v>
      </c>
      <c r="AU193" s="7" t="e">
        <f ca="1"/>
        <v>#REF!</v>
      </c>
      <c r="AV193" s="7" t="e">
        <f ca="1"/>
        <v>#REF!</v>
      </c>
    </row>
    <row r="194" spans="37:48" x14ac:dyDescent="0.25">
      <c r="AK194" t="str">
        <f ca="1"/>
        <v>Obs. 290</v>
      </c>
      <c r="AL194" s="7">
        <f ca="1"/>
        <v>69.400000000000006</v>
      </c>
      <c r="AN194" s="7" t="e">
        <f ca="1"/>
        <v>#REF!</v>
      </c>
      <c r="AO194" s="7" t="e">
        <f ca="1"/>
        <v>#REF!</v>
      </c>
      <c r="AP194" s="7">
        <f ca="1"/>
        <v>0.13471833031150138</v>
      </c>
      <c r="AQ194" s="7" t="e">
        <f ca="1"/>
        <v>#REF!</v>
      </c>
      <c r="AR194" s="7" t="e">
        <f ca="1"/>
        <v>#REF!</v>
      </c>
      <c r="AS194" s="7">
        <f ca="1"/>
        <v>-1.207056068729359</v>
      </c>
      <c r="AT194" s="7" t="e">
        <f ca="1"/>
        <v>#REF!</v>
      </c>
      <c r="AU194" s="7" t="e">
        <f ca="1"/>
        <v>#REF!</v>
      </c>
      <c r="AV194" s="7" t="e">
        <f ca="1"/>
        <v>#REF!</v>
      </c>
    </row>
    <row r="195" spans="37:48" x14ac:dyDescent="0.25">
      <c r="AK195" t="str">
        <f ca="1"/>
        <v>Obs. 291</v>
      </c>
      <c r="AL195" s="7">
        <f ca="1"/>
        <v>69.099999999999994</v>
      </c>
      <c r="AN195" s="7" t="e">
        <f ca="1"/>
        <v>#REF!</v>
      </c>
      <c r="AO195" s="7" t="e">
        <f ca="1"/>
        <v>#REF!</v>
      </c>
      <c r="AP195" s="7">
        <f ca="1"/>
        <v>0.13511394380789007</v>
      </c>
      <c r="AQ195" s="7" t="e">
        <f ca="1"/>
        <v>#REF!</v>
      </c>
      <c r="AR195" s="7" t="e">
        <f ca="1"/>
        <v>#REF!</v>
      </c>
      <c r="AS195" s="7">
        <f ca="1"/>
        <v>-1.1914554566319386</v>
      </c>
      <c r="AT195" s="7" t="e">
        <f ca="1"/>
        <v>#REF!</v>
      </c>
      <c r="AU195" s="7" t="e">
        <f ca="1"/>
        <v>#REF!</v>
      </c>
      <c r="AV195" s="7" t="e">
        <f ca="1"/>
        <v>#REF!</v>
      </c>
    </row>
    <row r="196" spans="37:48" x14ac:dyDescent="0.25">
      <c r="AK196" t="str">
        <f ca="1"/>
        <v>Obs. 292</v>
      </c>
      <c r="AL196" s="7">
        <f ca="1"/>
        <v>68.7</v>
      </c>
      <c r="AN196" s="7" t="e">
        <f ca="1"/>
        <v>#REF!</v>
      </c>
      <c r="AO196" s="7" t="e">
        <f ca="1"/>
        <v>#REF!</v>
      </c>
      <c r="AP196" s="7">
        <f ca="1"/>
        <v>0.13391317599795882</v>
      </c>
      <c r="AQ196" s="7" t="e">
        <f ca="1"/>
        <v>#REF!</v>
      </c>
      <c r="AR196" s="7" t="e">
        <f ca="1"/>
        <v>#REF!</v>
      </c>
      <c r="AS196" s="7">
        <f ca="1"/>
        <v>-1.1914554566319386</v>
      </c>
      <c r="AT196" s="7" t="e">
        <f ca="1"/>
        <v>#REF!</v>
      </c>
      <c r="AU196" s="7" t="e">
        <f ca="1"/>
        <v>#REF!</v>
      </c>
      <c r="AV196" s="7" t="e">
        <f ca="1"/>
        <v>#REF!</v>
      </c>
    </row>
    <row r="197" spans="37:48" x14ac:dyDescent="0.25">
      <c r="AK197" t="str">
        <f ca="1"/>
        <v>Obs. 293</v>
      </c>
      <c r="AL197" s="7">
        <f ca="1"/>
        <v>68.3</v>
      </c>
      <c r="AN197" s="7" t="e">
        <f ca="1"/>
        <v>#REF!</v>
      </c>
      <c r="AO197" s="7" t="e">
        <f ca="1"/>
        <v>#REF!</v>
      </c>
      <c r="AP197" s="7">
        <f ca="1"/>
        <v>0.1313180243995711</v>
      </c>
      <c r="AQ197" s="7" t="e">
        <f ca="1"/>
        <v>#REF!</v>
      </c>
      <c r="AR197" s="7" t="e">
        <f ca="1"/>
        <v>#REF!</v>
      </c>
      <c r="AS197" s="7">
        <f ca="1"/>
        <v>-1.1914554566319386</v>
      </c>
      <c r="AT197" s="7" t="e">
        <f ca="1"/>
        <v>#REF!</v>
      </c>
      <c r="AU197" s="7" t="e">
        <f ca="1"/>
        <v>#REF!</v>
      </c>
      <c r="AV197" s="7" t="e">
        <f ca="1"/>
        <v>#REF!</v>
      </c>
    </row>
    <row r="198" spans="37:48" x14ac:dyDescent="0.25">
      <c r="AK198" t="str">
        <f ca="1"/>
        <v>Obs. 294</v>
      </c>
      <c r="AL198" s="7">
        <f ca="1"/>
        <v>67.900000000000006</v>
      </c>
      <c r="AN198" s="7" t="e">
        <f ca="1"/>
        <v>#REF!</v>
      </c>
      <c r="AO198" s="7" t="e">
        <f ca="1"/>
        <v>#REF!</v>
      </c>
      <c r="AP198" s="7">
        <f ca="1"/>
        <v>0.1159931332321716</v>
      </c>
      <c r="AQ198" s="7" t="e">
        <f ca="1"/>
        <v>#REF!</v>
      </c>
      <c r="AR198" s="7" t="e">
        <f ca="1"/>
        <v>#REF!</v>
      </c>
      <c r="AS198" s="7">
        <f ca="1"/>
        <v>-1.182232646923248</v>
      </c>
      <c r="AT198" s="7" t="e">
        <f ca="1"/>
        <v>#REF!</v>
      </c>
      <c r="AU198" s="7" t="e">
        <f ca="1"/>
        <v>#REF!</v>
      </c>
      <c r="AV198" s="7" t="e">
        <f ca="1"/>
        <v>#REF!</v>
      </c>
    </row>
    <row r="199" spans="37:48" x14ac:dyDescent="0.25">
      <c r="AK199" t="str">
        <f ca="1"/>
        <v>Obs. 295</v>
      </c>
      <c r="AL199" s="7">
        <f ca="1"/>
        <v>67.400000000000006</v>
      </c>
      <c r="AN199" s="7" t="e">
        <f ca="1"/>
        <v>#REF!</v>
      </c>
      <c r="AO199" s="7" t="e">
        <f ca="1"/>
        <v>#REF!</v>
      </c>
      <c r="AP199" s="7">
        <f ca="1"/>
        <v>0.11349491267590189</v>
      </c>
      <c r="AQ199" s="7" t="e">
        <f ca="1"/>
        <v>#REF!</v>
      </c>
      <c r="AR199" s="7" t="e">
        <f ca="1"/>
        <v>#REF!</v>
      </c>
      <c r="AS199" s="7">
        <f ca="1"/>
        <v>-1.182232646923248</v>
      </c>
      <c r="AT199" s="7" t="e">
        <f ca="1"/>
        <v>#REF!</v>
      </c>
      <c r="AU199" s="7" t="e">
        <f ca="1"/>
        <v>#REF!</v>
      </c>
      <c r="AV199" s="7" t="e">
        <f ca="1"/>
        <v>#REF!</v>
      </c>
    </row>
    <row r="200" spans="37:48" x14ac:dyDescent="0.25">
      <c r="AK200" t="str">
        <f ca="1"/>
        <v>Obs. 296</v>
      </c>
      <c r="AL200" s="7">
        <f ca="1"/>
        <v>67</v>
      </c>
      <c r="AN200" s="7" t="e">
        <f ca="1"/>
        <v>#REF!</v>
      </c>
      <c r="AO200" s="7" t="e">
        <f ca="1"/>
        <v>#REF!</v>
      </c>
      <c r="AP200" s="7">
        <f ca="1"/>
        <v>0.11254362096615027</v>
      </c>
      <c r="AQ200" s="7" t="e">
        <f ca="1"/>
        <v>#REF!</v>
      </c>
      <c r="AR200" s="7" t="e">
        <f ca="1"/>
        <v>#REF!</v>
      </c>
      <c r="AS200" s="7">
        <f ca="1"/>
        <v>-1.182232646923248</v>
      </c>
      <c r="AT200" s="7" t="e">
        <f ca="1"/>
        <v>#REF!</v>
      </c>
      <c r="AU200" s="7" t="e">
        <f ca="1"/>
        <v>#REF!</v>
      </c>
      <c r="AV200" s="7" t="e">
        <f ca="1"/>
        <v>#REF!</v>
      </c>
    </row>
    <row r="201" spans="37:48" x14ac:dyDescent="0.25">
      <c r="AK201" t="str">
        <f ca="1"/>
        <v>Obs. 297</v>
      </c>
      <c r="AL201" s="7">
        <f ca="1"/>
        <v>66.5</v>
      </c>
      <c r="AN201" s="7" t="e">
        <f ca="1"/>
        <v>#REF!</v>
      </c>
      <c r="AO201" s="7" t="e">
        <f ca="1"/>
        <v>#REF!</v>
      </c>
      <c r="AP201" s="7">
        <f ca="1"/>
        <v>0.11178187325856373</v>
      </c>
      <c r="AQ201" s="7" t="e">
        <f ca="1"/>
        <v>#REF!</v>
      </c>
      <c r="AR201" s="7" t="e">
        <f ca="1"/>
        <v>#REF!</v>
      </c>
      <c r="AS201" s="7">
        <f ca="1"/>
        <v>-1.182232646923248</v>
      </c>
      <c r="AT201" s="7" t="e">
        <f ca="1"/>
        <v>#REF!</v>
      </c>
      <c r="AU201" s="7" t="e">
        <f ca="1"/>
        <v>#REF!</v>
      </c>
      <c r="AV201" s="7" t="e">
        <f ca="1"/>
        <v>#REF!</v>
      </c>
    </row>
    <row r="202" spans="37:48" x14ac:dyDescent="0.25">
      <c r="AK202" t="str">
        <f ca="1"/>
        <v>Obs. 298</v>
      </c>
      <c r="AL202" s="7">
        <f ca="1"/>
        <v>65.8</v>
      </c>
      <c r="AN202" s="7" t="e">
        <f ca="1"/>
        <v>#REF!</v>
      </c>
      <c r="AO202" s="7" t="e">
        <f ca="1"/>
        <v>#REF!</v>
      </c>
      <c r="AP202" s="7">
        <f ca="1"/>
        <v>0.11159802384279452</v>
      </c>
      <c r="AQ202" s="7" t="e">
        <f ca="1"/>
        <v>#REF!</v>
      </c>
      <c r="AR202" s="7" t="e">
        <f ca="1"/>
        <v>#REF!</v>
      </c>
      <c r="AS202" s="7">
        <f ca="1"/>
        <v>-1.1700898139672218</v>
      </c>
      <c r="AT202" s="7" t="e">
        <f ca="1"/>
        <v>#REF!</v>
      </c>
      <c r="AU202" s="7" t="e">
        <f ca="1"/>
        <v>#REF!</v>
      </c>
      <c r="AV202" s="7" t="e">
        <f ca="1"/>
        <v>#REF!</v>
      </c>
    </row>
    <row r="203" spans="37:48" x14ac:dyDescent="0.25">
      <c r="AK203" t="str">
        <f ca="1"/>
        <v>Obs. 299</v>
      </c>
      <c r="AL203" s="7">
        <f ca="1"/>
        <v>65</v>
      </c>
      <c r="AN203" s="7" t="e">
        <f ca="1"/>
        <v>#REF!</v>
      </c>
      <c r="AO203" s="7" t="e">
        <f ca="1"/>
        <v>#REF!</v>
      </c>
      <c r="AP203" s="7">
        <f ca="1"/>
        <v>0.11231031932442949</v>
      </c>
      <c r="AQ203" s="7" t="e">
        <f ca="1"/>
        <v>#REF!</v>
      </c>
      <c r="AR203" s="7" t="e">
        <f ca="1"/>
        <v>#REF!</v>
      </c>
      <c r="AS203" s="7">
        <f ca="1"/>
        <v>-1.1700898139672218</v>
      </c>
      <c r="AT203" s="7" t="e">
        <f ca="1"/>
        <v>#REF!</v>
      </c>
      <c r="AU203" s="7" t="e">
        <f ca="1"/>
        <v>#REF!</v>
      </c>
      <c r="AV203" s="7" t="e">
        <f ca="1"/>
        <v>#REF!</v>
      </c>
    </row>
    <row r="204" spans="37:48" x14ac:dyDescent="0.25">
      <c r="AK204" t="str">
        <f ca="1"/>
        <v>Obs. 300</v>
      </c>
      <c r="AL204" s="7">
        <f ca="1"/>
        <v>64.2</v>
      </c>
      <c r="AN204" s="7" t="e">
        <f ca="1"/>
        <v>#REF!</v>
      </c>
      <c r="AO204" s="7" t="e">
        <f ca="1"/>
        <v>#REF!</v>
      </c>
      <c r="AP204" s="7">
        <f ca="1"/>
        <v>0.12740741778135278</v>
      </c>
      <c r="AQ204" s="7" t="e">
        <f ca="1"/>
        <v>#REF!</v>
      </c>
      <c r="AR204" s="7" t="e">
        <f ca="1"/>
        <v>#REF!</v>
      </c>
      <c r="AS204" s="7">
        <f ca="1"/>
        <v>-1.1700898139672218</v>
      </c>
      <c r="AT204" s="7" t="e">
        <f ca="1"/>
        <v>#REF!</v>
      </c>
      <c r="AU204" s="7" t="e">
        <f ca="1"/>
        <v>#REF!</v>
      </c>
      <c r="AV204" s="7" t="e">
        <f ca="1"/>
        <v>#REF!</v>
      </c>
    </row>
    <row r="205" spans="37:48" x14ac:dyDescent="0.25">
      <c r="AK205" t="str">
        <f ca="1"/>
        <v>Obs. 301</v>
      </c>
      <c r="AL205" s="7">
        <f ca="1"/>
        <v>63.3</v>
      </c>
      <c r="AN205" s="7" t="e">
        <f ca="1"/>
        <v>#REF!</v>
      </c>
      <c r="AO205" s="7" t="e">
        <f ca="1"/>
        <v>#REF!</v>
      </c>
      <c r="AP205" s="7">
        <f ca="1"/>
        <v>0.11463294243698788</v>
      </c>
      <c r="AQ205" s="7" t="e">
        <f ca="1"/>
        <v>#REF!</v>
      </c>
      <c r="AR205" s="7" t="e">
        <f ca="1"/>
        <v>#REF!</v>
      </c>
      <c r="AS205" s="7">
        <f ca="1"/>
        <v>-1.1700898139672218</v>
      </c>
      <c r="AT205" s="7" t="e">
        <f ca="1"/>
        <v>#REF!</v>
      </c>
      <c r="AU205" s="7" t="e">
        <f ca="1"/>
        <v>#REF!</v>
      </c>
      <c r="AV205" s="7" t="e">
        <f ca="1"/>
        <v>#REF!</v>
      </c>
    </row>
    <row r="206" spans="37:48" x14ac:dyDescent="0.25">
      <c r="AK206" t="str">
        <f ca="1"/>
        <v>Obs. 302</v>
      </c>
      <c r="AL206" s="7">
        <f ca="1"/>
        <v>62.5</v>
      </c>
      <c r="AN206" s="7" t="e">
        <f ca="1"/>
        <v>#REF!</v>
      </c>
      <c r="AO206" s="7" t="e">
        <f ca="1"/>
        <v>#REF!</v>
      </c>
      <c r="AP206" s="7">
        <f ca="1"/>
        <v>0.11727161873087194</v>
      </c>
      <c r="AQ206" s="7" t="e">
        <f ca="1"/>
        <v>#REF!</v>
      </c>
      <c r="AR206" s="7" t="e">
        <f ca="1"/>
        <v>#REF!</v>
      </c>
      <c r="AS206" s="7">
        <f ca="1"/>
        <v>-1.1700898139672218</v>
      </c>
      <c r="AT206" s="7" t="e">
        <f ca="1"/>
        <v>#REF!</v>
      </c>
      <c r="AU206" s="7" t="e">
        <f ca="1"/>
        <v>#REF!</v>
      </c>
      <c r="AV206" s="7" t="e">
        <f ca="1"/>
        <v>#REF!</v>
      </c>
    </row>
    <row r="207" spans="37:48" x14ac:dyDescent="0.25">
      <c r="AK207" t="str">
        <f ca="1"/>
        <v>Obs. 303</v>
      </c>
      <c r="AL207" s="7">
        <f ca="1"/>
        <v>61.7</v>
      </c>
      <c r="AN207" s="7" t="e">
        <f ca="1"/>
        <v>#REF!</v>
      </c>
      <c r="AO207" s="7" t="e">
        <f ca="1"/>
        <v>#REF!</v>
      </c>
      <c r="AP207" s="7">
        <f ca="1"/>
        <v>0.12302966743144358</v>
      </c>
      <c r="AQ207" s="7" t="e">
        <f ca="1"/>
        <v>#REF!</v>
      </c>
      <c r="AR207" s="7" t="e">
        <f ca="1"/>
        <v>#REF!</v>
      </c>
      <c r="AS207" s="7">
        <f ca="1"/>
        <v>-1.1700898139672218</v>
      </c>
      <c r="AT207" s="7" t="e">
        <f ca="1"/>
        <v>#REF!</v>
      </c>
      <c r="AU207" s="7" t="e">
        <f ca="1"/>
        <v>#REF!</v>
      </c>
      <c r="AV207" s="7" t="e">
        <f ca="1"/>
        <v>#REF!</v>
      </c>
    </row>
    <row r="208" spans="37:48" x14ac:dyDescent="0.25">
      <c r="AK208" t="str">
        <f ca="1"/>
        <v>Obs. 304</v>
      </c>
      <c r="AL208" s="7">
        <f ca="1"/>
        <v>62</v>
      </c>
      <c r="AN208" s="7" t="e">
        <f ca="1"/>
        <v>#REF!</v>
      </c>
      <c r="AO208" s="7" t="e">
        <f ca="1"/>
        <v>#REF!</v>
      </c>
      <c r="AP208" s="7">
        <f ca="1"/>
        <v>0.12111999837672599</v>
      </c>
      <c r="AQ208" s="7" t="e">
        <f ca="1"/>
        <v>#REF!</v>
      </c>
      <c r="AR208" s="7" t="e">
        <f ca="1"/>
        <v>#REF!</v>
      </c>
      <c r="AS208" s="7">
        <f ca="1"/>
        <v>-1.1521925343545227</v>
      </c>
      <c r="AT208" s="7" t="e">
        <f ca="1"/>
        <v>#REF!</v>
      </c>
      <c r="AU208" s="7" t="e">
        <f ca="1"/>
        <v>#REF!</v>
      </c>
      <c r="AV208" s="7" t="e">
        <f ca="1"/>
        <v>#REF!</v>
      </c>
    </row>
    <row r="209" spans="37:48" x14ac:dyDescent="0.25">
      <c r="AK209" t="str">
        <f ca="1"/>
        <v>Obs. 322</v>
      </c>
      <c r="AL209" s="7">
        <f ca="1"/>
        <v>77.2</v>
      </c>
      <c r="AN209" s="7" t="e">
        <f ca="1"/>
        <v>#REF!</v>
      </c>
      <c r="AO209" s="7" t="e">
        <f ca="1"/>
        <v>#REF!</v>
      </c>
      <c r="AP209" s="7">
        <f ca="1"/>
        <v>-6.797482847834671E-2</v>
      </c>
      <c r="AQ209" s="7" t="e">
        <f ca="1"/>
        <v>#REF!</v>
      </c>
      <c r="AR209" s="7" t="e">
        <f ca="1"/>
        <v>#REF!</v>
      </c>
      <c r="AS209" s="7">
        <f ca="1"/>
        <v>-1.1521925343545227</v>
      </c>
      <c r="AT209" s="7" t="e">
        <f ca="1"/>
        <v>#REF!</v>
      </c>
      <c r="AU209" s="7" t="e">
        <f ca="1"/>
        <v>#REF!</v>
      </c>
      <c r="AV209" s="7" t="e">
        <f ca="1"/>
        <v>#REF!</v>
      </c>
    </row>
    <row r="210" spans="37:48" x14ac:dyDescent="0.25">
      <c r="AK210" t="str">
        <f ca="1"/>
        <v>Obs. 323</v>
      </c>
      <c r="AL210" s="7">
        <f ca="1"/>
        <v>77</v>
      </c>
      <c r="AN210" s="7" t="e">
        <f ca="1"/>
        <v>#REF!</v>
      </c>
      <c r="AO210" s="7" t="e">
        <f ca="1"/>
        <v>#REF!</v>
      </c>
      <c r="AP210" s="7">
        <f ca="1"/>
        <v>-6.8119920351508684E-2</v>
      </c>
      <c r="AQ210" s="7" t="e">
        <f ca="1"/>
        <v>#REF!</v>
      </c>
      <c r="AR210" s="7" t="e">
        <f ca="1"/>
        <v>#REF!</v>
      </c>
      <c r="AS210" s="7">
        <f ca="1"/>
        <v>-1.1463081367501964</v>
      </c>
      <c r="AT210" s="7" t="e">
        <f ca="1"/>
        <v>#REF!</v>
      </c>
      <c r="AU210" s="7" t="e">
        <f ca="1"/>
        <v>#REF!</v>
      </c>
      <c r="AV210" s="7" t="e">
        <f ca="1"/>
        <v>#REF!</v>
      </c>
    </row>
    <row r="211" spans="37:48" x14ac:dyDescent="0.25">
      <c r="AK211" t="str">
        <f ca="1"/>
        <v>Obs. 324</v>
      </c>
      <c r="AL211" s="7">
        <f ca="1"/>
        <v>76.8</v>
      </c>
      <c r="AN211" s="7" t="e">
        <f ca="1"/>
        <v>#REF!</v>
      </c>
      <c r="AO211" s="7" t="e">
        <f ca="1"/>
        <v>#REF!</v>
      </c>
      <c r="AP211" s="7">
        <f ca="1"/>
        <v>-6.8606075724785748E-2</v>
      </c>
      <c r="AQ211" s="7" t="e">
        <f ca="1"/>
        <v>#REF!</v>
      </c>
      <c r="AR211" s="7" t="e">
        <f ca="1"/>
        <v>#REF!</v>
      </c>
      <c r="AS211" s="7">
        <f ca="1"/>
        <v>-1.1463081367501964</v>
      </c>
      <c r="AT211" s="7" t="e">
        <f ca="1"/>
        <v>#REF!</v>
      </c>
      <c r="AU211" s="7" t="e">
        <f ca="1"/>
        <v>#REF!</v>
      </c>
      <c r="AV211" s="7" t="e">
        <f ca="1"/>
        <v>#REF!</v>
      </c>
    </row>
    <row r="212" spans="37:48" x14ac:dyDescent="0.25">
      <c r="AK212" t="str">
        <f ca="1"/>
        <v>Obs. 325</v>
      </c>
      <c r="AL212" s="7">
        <f ca="1"/>
        <v>76.900000000000006</v>
      </c>
      <c r="AN212" s="7" t="e">
        <f ca="1"/>
        <v>#REF!</v>
      </c>
      <c r="AO212" s="7" t="e">
        <f ca="1"/>
        <v>#REF!</v>
      </c>
      <c r="AP212" s="7">
        <f ca="1"/>
        <v>-6.9153434709929545E-2</v>
      </c>
      <c r="AQ212" s="7" t="e">
        <f ca="1"/>
        <v>#REF!</v>
      </c>
      <c r="AR212" s="7" t="e">
        <f ca="1"/>
        <v>#REF!</v>
      </c>
      <c r="AS212" s="7">
        <f ca="1"/>
        <v>-1.1463081367501964</v>
      </c>
      <c r="AT212" s="7" t="e">
        <f ca="1"/>
        <v>#REF!</v>
      </c>
      <c r="AU212" s="7" t="e">
        <f ca="1"/>
        <v>#REF!</v>
      </c>
      <c r="AV212" s="7" t="e">
        <f ca="1"/>
        <v>#REF!</v>
      </c>
    </row>
    <row r="213" spans="37:48" x14ac:dyDescent="0.25">
      <c r="AK213" t="str">
        <f ca="1"/>
        <v>Obs. 326</v>
      </c>
      <c r="AL213" s="7">
        <f ca="1"/>
        <v>76.400000000000006</v>
      </c>
      <c r="AN213" s="7" t="e">
        <f ca="1"/>
        <v>#REF!</v>
      </c>
      <c r="AO213" s="7" t="e">
        <f ca="1"/>
        <v>#REF!</v>
      </c>
      <c r="AP213" s="7">
        <f ca="1"/>
        <v>-5.6925227558742283E-2</v>
      </c>
      <c r="AQ213" s="7" t="e">
        <f ca="1"/>
        <v>#REF!</v>
      </c>
      <c r="AR213" s="7" t="e">
        <f ca="1"/>
        <v>#REF!</v>
      </c>
      <c r="AS213" s="7">
        <f ca="1"/>
        <v>-1.1375552391677688</v>
      </c>
      <c r="AT213" s="7" t="e">
        <f ca="1"/>
        <v>#REF!</v>
      </c>
      <c r="AU213" s="7" t="e">
        <f ca="1"/>
        <v>#REF!</v>
      </c>
      <c r="AV213" s="7" t="e">
        <f ca="1"/>
        <v>#REF!</v>
      </c>
    </row>
    <row r="214" spans="37:48" x14ac:dyDescent="0.25">
      <c r="AK214" t="str">
        <f ca="1"/>
        <v>Obs. 327</v>
      </c>
      <c r="AL214" s="7">
        <f ca="1"/>
        <v>76.099999999999994</v>
      </c>
      <c r="AN214" s="7" t="e">
        <f ca="1"/>
        <v>#REF!</v>
      </c>
      <c r="AO214" s="7" t="e">
        <f ca="1"/>
        <v>#REF!</v>
      </c>
      <c r="AP214" s="7">
        <f ca="1"/>
        <v>-5.2691855953923381E-2</v>
      </c>
      <c r="AQ214" s="7" t="e">
        <f ca="1"/>
        <v>#REF!</v>
      </c>
      <c r="AR214" s="7" t="e">
        <f ca="1"/>
        <v>#REF!</v>
      </c>
      <c r="AS214" s="7">
        <f ca="1"/>
        <v>-1.1375552391677688</v>
      </c>
      <c r="AT214" s="7" t="e">
        <f ca="1"/>
        <v>#REF!</v>
      </c>
      <c r="AU214" s="7" t="e">
        <f ca="1"/>
        <v>#REF!</v>
      </c>
      <c r="AV214" s="7" t="e">
        <f ca="1"/>
        <v>#REF!</v>
      </c>
    </row>
    <row r="215" spans="37:48" x14ac:dyDescent="0.25">
      <c r="AK215" t="str">
        <f ca="1"/>
        <v>Obs. 328</v>
      </c>
      <c r="AL215" s="7">
        <f ca="1"/>
        <v>76</v>
      </c>
      <c r="AN215" s="7" t="e">
        <f ca="1"/>
        <v>#REF!</v>
      </c>
      <c r="AO215" s="7" t="e">
        <f ca="1"/>
        <v>#REF!</v>
      </c>
      <c r="AP215" s="7">
        <f ca="1"/>
        <v>-6.8357135631516908E-2</v>
      </c>
      <c r="AQ215" s="7" t="e">
        <f ca="1"/>
        <v>#REF!</v>
      </c>
      <c r="AR215" s="7" t="e">
        <f ca="1"/>
        <v>#REF!</v>
      </c>
      <c r="AS215" s="7">
        <f ca="1"/>
        <v>-1.1375552391677688</v>
      </c>
      <c r="AT215" s="7" t="e">
        <f ca="1"/>
        <v>#REF!</v>
      </c>
      <c r="AU215" s="7" t="e">
        <f ca="1"/>
        <v>#REF!</v>
      </c>
      <c r="AV215" s="7" t="e">
        <f ca="1"/>
        <v>#REF!</v>
      </c>
    </row>
    <row r="216" spans="37:48" x14ac:dyDescent="0.25">
      <c r="AK216" t="str">
        <f ca="1"/>
        <v>Obs. 329</v>
      </c>
      <c r="AL216" s="7">
        <f ca="1"/>
        <v>75.400000000000006</v>
      </c>
      <c r="AN216" s="7" t="e">
        <f ca="1"/>
        <v>#REF!</v>
      </c>
      <c r="AO216" s="7" t="e">
        <f ca="1"/>
        <v>#REF!</v>
      </c>
      <c r="AP216" s="7">
        <f ca="1"/>
        <v>-6.7246735532335788E-2</v>
      </c>
      <c r="AQ216" s="7" t="e">
        <f ca="1"/>
        <v>#REF!</v>
      </c>
      <c r="AR216" s="7" t="e">
        <f ca="1"/>
        <v>#REF!</v>
      </c>
      <c r="AS216" s="7">
        <f ca="1"/>
        <v>-1.1375552391677688</v>
      </c>
      <c r="AT216" s="7" t="e">
        <f ca="1"/>
        <v>#REF!</v>
      </c>
      <c r="AU216" s="7" t="e">
        <f ca="1"/>
        <v>#REF!</v>
      </c>
      <c r="AV216" s="7" t="e">
        <f ca="1"/>
        <v>#REF!</v>
      </c>
    </row>
    <row r="217" spans="37:48" x14ac:dyDescent="0.25">
      <c r="AK217" t="str">
        <f ca="1"/>
        <v>Obs. 330</v>
      </c>
      <c r="AL217" s="7">
        <f ca="1"/>
        <v>75.7</v>
      </c>
      <c r="AN217" s="7" t="e">
        <f ca="1"/>
        <v>#REF!</v>
      </c>
      <c r="AO217" s="7" t="e">
        <f ca="1"/>
        <v>#REF!</v>
      </c>
      <c r="AP217" s="7">
        <f ca="1"/>
        <v>-5.9333144597799724E-2</v>
      </c>
      <c r="AQ217" s="7" t="e">
        <f ca="1"/>
        <v>#REF!</v>
      </c>
      <c r="AR217" s="7" t="e">
        <f ca="1"/>
        <v>#REF!</v>
      </c>
      <c r="AS217" s="7">
        <f ca="1"/>
        <v>-1.1375552391677688</v>
      </c>
      <c r="AT217" s="7" t="e">
        <f ca="1"/>
        <v>#REF!</v>
      </c>
      <c r="AU217" s="7" t="e">
        <f ca="1"/>
        <v>#REF!</v>
      </c>
      <c r="AV217" s="7" t="e">
        <f ca="1"/>
        <v>#REF!</v>
      </c>
    </row>
    <row r="218" spans="37:48" x14ac:dyDescent="0.25">
      <c r="AK218" t="str">
        <f ca="1"/>
        <v>Obs. 331</v>
      </c>
      <c r="AL218" s="7">
        <f ca="1"/>
        <v>75</v>
      </c>
      <c r="AN218" s="7" t="e">
        <f ca="1"/>
        <v>#REF!</v>
      </c>
      <c r="AO218" s="7" t="e">
        <f ca="1"/>
        <v>#REF!</v>
      </c>
      <c r="AP218" s="7">
        <f ca="1"/>
        <v>-2.491904775669003E-2</v>
      </c>
      <c r="AQ218" s="7" t="e">
        <f ca="1"/>
        <v>#REF!</v>
      </c>
      <c r="AR218" s="7" t="e">
        <f ca="1"/>
        <v>#REF!</v>
      </c>
      <c r="AS218" s="7">
        <f ca="1"/>
        <v>-1.1375552391677688</v>
      </c>
      <c r="AT218" s="7" t="e">
        <f ca="1"/>
        <v>#REF!</v>
      </c>
      <c r="AU218" s="7" t="e">
        <f ca="1"/>
        <v>#REF!</v>
      </c>
      <c r="AV218" s="7" t="e">
        <f ca="1"/>
        <v>#REF!</v>
      </c>
    </row>
    <row r="219" spans="37:48" x14ac:dyDescent="0.25">
      <c r="AK219" t="str">
        <f ca="1"/>
        <v>Obs. 332</v>
      </c>
      <c r="AL219" s="7">
        <f ca="1"/>
        <v>75.5</v>
      </c>
      <c r="AN219" s="7" t="e">
        <f ca="1"/>
        <v>#REF!</v>
      </c>
      <c r="AO219" s="7" t="e">
        <f ca="1"/>
        <v>#REF!</v>
      </c>
      <c r="AP219" s="7">
        <f ca="1"/>
        <v>-3.0164541661940762E-2</v>
      </c>
      <c r="AQ219" s="7" t="e">
        <f ca="1"/>
        <v>#REF!</v>
      </c>
      <c r="AR219" s="7" t="e">
        <f ca="1"/>
        <v>#REF!</v>
      </c>
      <c r="AS219" s="7">
        <f ca="1"/>
        <v>-1.1375552391677688</v>
      </c>
      <c r="AT219" s="7" t="e">
        <f ca="1"/>
        <v>#REF!</v>
      </c>
      <c r="AU219" s="7" t="e">
        <f ca="1"/>
        <v>#REF!</v>
      </c>
      <c r="AV219" s="7" t="e">
        <f ca="1"/>
        <v>#REF!</v>
      </c>
    </row>
    <row r="220" spans="37:48" x14ac:dyDescent="0.25">
      <c r="AK220" t="str">
        <f ca="1"/>
        <v>Obs. 338</v>
      </c>
      <c r="AL220" s="7">
        <f ca="1"/>
        <v>65.099999999999994</v>
      </c>
      <c r="AN220" s="7" t="e">
        <f ca="1"/>
        <v>#REF!</v>
      </c>
      <c r="AO220" s="7" t="e">
        <f ca="1"/>
        <v>#REF!</v>
      </c>
      <c r="AP220" s="7">
        <f ca="1"/>
        <v>0.1262931881303396</v>
      </c>
      <c r="AQ220" s="7" t="e">
        <f ca="1"/>
        <v>#REF!</v>
      </c>
      <c r="AR220" s="7" t="e">
        <f ca="1"/>
        <v>#REF!</v>
      </c>
      <c r="AS220" s="7">
        <f ca="1"/>
        <v>-1.1174634002413726</v>
      </c>
      <c r="AT220" s="7" t="e">
        <f ca="1"/>
        <v>#REF!</v>
      </c>
      <c r="AU220" s="7" t="e">
        <f ca="1"/>
        <v>#REF!</v>
      </c>
      <c r="AV220" s="7" t="e">
        <f ca="1"/>
        <v>#REF!</v>
      </c>
    </row>
    <row r="221" spans="37:48" x14ac:dyDescent="0.25">
      <c r="AK221" t="str">
        <f ca="1"/>
        <v>Obs. 339</v>
      </c>
      <c r="AL221" s="7">
        <f ca="1"/>
        <v>64.2</v>
      </c>
      <c r="AN221" s="7" t="e">
        <f ca="1"/>
        <v>#REF!</v>
      </c>
      <c r="AO221" s="7" t="e">
        <f ca="1"/>
        <v>#REF!</v>
      </c>
      <c r="AP221" s="7">
        <f ca="1"/>
        <v>0.12497971981278891</v>
      </c>
      <c r="AQ221" s="7" t="e">
        <f ca="1"/>
        <v>#REF!</v>
      </c>
      <c r="AR221" s="7" t="e">
        <f ca="1"/>
        <v>#REF!</v>
      </c>
      <c r="AS221" s="7">
        <f ca="1"/>
        <v>-1.1174634002413726</v>
      </c>
      <c r="AT221" s="7" t="e">
        <f ca="1"/>
        <v>#REF!</v>
      </c>
      <c r="AU221" s="7" t="e">
        <f ca="1"/>
        <v>#REF!</v>
      </c>
      <c r="AV221" s="7" t="e">
        <f ca="1"/>
        <v>#REF!</v>
      </c>
    </row>
    <row r="222" spans="37:48" x14ac:dyDescent="0.25">
      <c r="AK222" t="str">
        <f ca="1"/>
        <v>Obs. 340</v>
      </c>
      <c r="AL222" s="7">
        <f ca="1"/>
        <v>63.4</v>
      </c>
      <c r="AN222" s="7" t="e">
        <f ca="1"/>
        <v>#REF!</v>
      </c>
      <c r="AO222" s="7" t="e">
        <f ca="1"/>
        <v>#REF!</v>
      </c>
      <c r="AP222" s="7">
        <f ca="1"/>
        <v>0.13662909196781908</v>
      </c>
      <c r="AQ222" s="7" t="e">
        <f ca="1"/>
        <v>#REF!</v>
      </c>
      <c r="AR222" s="7" t="e">
        <f ca="1"/>
        <v>#REF!</v>
      </c>
      <c r="AS222" s="7">
        <f ca="1"/>
        <v>-1.1174634002413726</v>
      </c>
      <c r="AT222" s="7" t="e">
        <f ca="1"/>
        <v>#REF!</v>
      </c>
      <c r="AU222" s="7" t="e">
        <f ca="1"/>
        <v>#REF!</v>
      </c>
      <c r="AV222" s="7" t="e">
        <f ca="1"/>
        <v>#REF!</v>
      </c>
    </row>
    <row r="223" spans="37:48" x14ac:dyDescent="0.25">
      <c r="AK223" t="str">
        <f ca="1"/>
        <v>Obs. 341</v>
      </c>
      <c r="AL223" s="7">
        <f ca="1"/>
        <v>62.2</v>
      </c>
      <c r="AN223" s="7" t="e">
        <f ca="1"/>
        <v>#REF!</v>
      </c>
      <c r="AO223" s="7" t="e">
        <f ca="1"/>
        <v>#REF!</v>
      </c>
      <c r="AP223" s="7">
        <f ca="1"/>
        <v>0.11610473157339951</v>
      </c>
      <c r="AQ223" s="7" t="e">
        <f ca="1"/>
        <v>#REF!</v>
      </c>
      <c r="AR223" s="7" t="e">
        <f ca="1"/>
        <v>#REF!</v>
      </c>
      <c r="AS223" s="7">
        <f ca="1"/>
        <v>-1.1174634002413726</v>
      </c>
      <c r="AT223" s="7" t="e">
        <f ca="1"/>
        <v>#REF!</v>
      </c>
      <c r="AU223" s="7" t="e">
        <f ca="1"/>
        <v>#REF!</v>
      </c>
      <c r="AV223" s="7" t="e">
        <f ca="1"/>
        <v>#REF!</v>
      </c>
    </row>
    <row r="224" spans="37:48" x14ac:dyDescent="0.25">
      <c r="AK224" t="str">
        <f ca="1"/>
        <v>Obs. 342</v>
      </c>
      <c r="AL224" s="7">
        <f ca="1"/>
        <v>61.1</v>
      </c>
      <c r="AN224" s="7" t="e">
        <f ca="1"/>
        <v>#REF!</v>
      </c>
      <c r="AO224" s="7" t="e">
        <f ca="1"/>
        <v>#REF!</v>
      </c>
      <c r="AP224" s="7">
        <f ca="1"/>
        <v>0.1147106321997028</v>
      </c>
      <c r="AQ224" s="7" t="e">
        <f ca="1"/>
        <v>#REF!</v>
      </c>
      <c r="AR224" s="7" t="e">
        <f ca="1"/>
        <v>#REF!</v>
      </c>
      <c r="AS224" s="7">
        <f ca="1"/>
        <v>-1.1174634002413726</v>
      </c>
      <c r="AT224" s="7" t="e">
        <f ca="1"/>
        <v>#REF!</v>
      </c>
      <c r="AU224" s="7" t="e">
        <f ca="1"/>
        <v>#REF!</v>
      </c>
      <c r="AV224" s="7" t="e">
        <f ca="1"/>
        <v>#REF!</v>
      </c>
    </row>
    <row r="225" spans="37:48" x14ac:dyDescent="0.25">
      <c r="AK225" t="str">
        <f ca="1"/>
        <v>Obs. 343</v>
      </c>
      <c r="AL225" s="7">
        <f ca="1"/>
        <v>59.2</v>
      </c>
      <c r="AN225" s="7" t="e">
        <f ca="1"/>
        <v>#REF!</v>
      </c>
      <c r="AO225" s="7" t="e">
        <f ca="1"/>
        <v>#REF!</v>
      </c>
      <c r="AP225" s="7">
        <f ca="1"/>
        <v>0.10913089372780559</v>
      </c>
      <c r="AQ225" s="7" t="e">
        <f ca="1"/>
        <v>#REF!</v>
      </c>
      <c r="AR225" s="7" t="e">
        <f ca="1"/>
        <v>#REF!</v>
      </c>
      <c r="AS225" s="7">
        <f ca="1"/>
        <v>-1.1174634002413726</v>
      </c>
      <c r="AT225" s="7" t="e">
        <f ca="1"/>
        <v>#REF!</v>
      </c>
      <c r="AU225" s="7" t="e">
        <f ca="1"/>
        <v>#REF!</v>
      </c>
      <c r="AV225" s="7" t="e">
        <f ca="1"/>
        <v>#REF!</v>
      </c>
    </row>
    <row r="226" spans="37:48" x14ac:dyDescent="0.25">
      <c r="AK226" t="str">
        <f ca="1"/>
        <v>Obs. 344</v>
      </c>
      <c r="AL226" s="7">
        <f ca="1"/>
        <v>57.5</v>
      </c>
      <c r="AN226" s="7" t="e">
        <f ca="1"/>
        <v>#REF!</v>
      </c>
      <c r="AO226" s="7" t="e">
        <f ca="1"/>
        <v>#REF!</v>
      </c>
      <c r="AP226" s="7">
        <f ca="1"/>
        <v>0.10652376509531436</v>
      </c>
      <c r="AQ226" s="7" t="e">
        <f ca="1"/>
        <v>#REF!</v>
      </c>
      <c r="AR226" s="7" t="e">
        <f ca="1"/>
        <v>#REF!</v>
      </c>
      <c r="AS226" s="7">
        <f ca="1"/>
        <v>-1.1005940465096573</v>
      </c>
      <c r="AT226" s="7" t="e">
        <f ca="1"/>
        <v>#REF!</v>
      </c>
      <c r="AU226" s="7" t="e">
        <f ca="1"/>
        <v>#REF!</v>
      </c>
      <c r="AV226" s="7" t="e">
        <f ca="1"/>
        <v>#REF!</v>
      </c>
    </row>
    <row r="227" spans="37:48" x14ac:dyDescent="0.25">
      <c r="AK227" t="str">
        <f ca="1"/>
        <v>Obs. 345</v>
      </c>
      <c r="AL227" s="7">
        <f ca="1"/>
        <v>56.9</v>
      </c>
      <c r="AN227" s="7" t="e">
        <f ca="1"/>
        <v>#REF!</v>
      </c>
      <c r="AO227" s="7" t="e">
        <f ca="1"/>
        <v>#REF!</v>
      </c>
      <c r="AP227" s="7">
        <f ca="1"/>
        <v>0.10601612993874143</v>
      </c>
      <c r="AQ227" s="7" t="e">
        <f ca="1"/>
        <v>#REF!</v>
      </c>
      <c r="AR227" s="7" t="e">
        <f ca="1"/>
        <v>#REF!</v>
      </c>
      <c r="AS227" s="7">
        <f ca="1"/>
        <v>-1.1005940465096573</v>
      </c>
      <c r="AT227" s="7" t="e">
        <f ca="1"/>
        <v>#REF!</v>
      </c>
      <c r="AU227" s="7" t="e">
        <f ca="1"/>
        <v>#REF!</v>
      </c>
      <c r="AV227" s="7" t="e">
        <f ca="1"/>
        <v>#REF!</v>
      </c>
    </row>
    <row r="228" spans="37:48" x14ac:dyDescent="0.25">
      <c r="AK228" t="str">
        <f ca="1"/>
        <v>Obs. 346</v>
      </c>
      <c r="AL228" s="7">
        <f ca="1"/>
        <v>54.8</v>
      </c>
      <c r="AN228" s="7" t="e">
        <f ca="1"/>
        <v>#REF!</v>
      </c>
      <c r="AO228" s="7" t="e">
        <f ca="1"/>
        <v>#REF!</v>
      </c>
      <c r="AP228" s="7">
        <f ca="1"/>
        <v>0.10711238405203108</v>
      </c>
      <c r="AQ228" s="7" t="e">
        <f ca="1"/>
        <v>#REF!</v>
      </c>
      <c r="AR228" s="7" t="e">
        <f ca="1"/>
        <v>#REF!</v>
      </c>
      <c r="AS228" s="7">
        <f ca="1"/>
        <v>-1.0950400512086547</v>
      </c>
      <c r="AT228" s="7" t="e">
        <f ca="1"/>
        <v>#REF!</v>
      </c>
      <c r="AU228" s="7" t="e">
        <f ca="1"/>
        <v>#REF!</v>
      </c>
      <c r="AV228" s="7" t="e">
        <f ca="1"/>
        <v>#REF!</v>
      </c>
    </row>
    <row r="229" spans="37:48" x14ac:dyDescent="0.25">
      <c r="AK229" t="str">
        <f ca="1"/>
        <v>Obs. 347</v>
      </c>
      <c r="AL229" s="7">
        <f ca="1"/>
        <v>51.7</v>
      </c>
      <c r="AN229" s="7" t="e">
        <f ca="1"/>
        <v>#REF!</v>
      </c>
      <c r="AO229" s="7" t="e">
        <f ca="1"/>
        <v>#REF!</v>
      </c>
      <c r="AP229" s="7">
        <f ca="1"/>
        <v>0.12820611524341735</v>
      </c>
      <c r="AQ229" s="7" t="e">
        <f ca="1"/>
        <v>#REF!</v>
      </c>
      <c r="AR229" s="7" t="e">
        <f ca="1"/>
        <v>#REF!</v>
      </c>
      <c r="AS229" s="7">
        <f ca="1"/>
        <v>-1.0950400512086547</v>
      </c>
      <c r="AT229" s="7" t="e">
        <f ca="1"/>
        <v>#REF!</v>
      </c>
      <c r="AU229" s="7" t="e">
        <f ca="1"/>
        <v>#REF!</v>
      </c>
      <c r="AV229" s="7" t="e">
        <f ca="1"/>
        <v>#REF!</v>
      </c>
    </row>
    <row r="230" spans="37:48" x14ac:dyDescent="0.25">
      <c r="AK230" t="str">
        <f ca="1"/>
        <v>Obs. 348</v>
      </c>
      <c r="AL230" s="7">
        <f ca="1"/>
        <v>48.1</v>
      </c>
      <c r="AN230" s="7" t="e">
        <f ca="1"/>
        <v>#REF!</v>
      </c>
      <c r="AO230" s="7" t="e">
        <f ca="1"/>
        <v>#REF!</v>
      </c>
      <c r="AP230" s="7">
        <f ca="1"/>
        <v>0.12979154097366524</v>
      </c>
      <c r="AQ230" s="7" t="e">
        <f ca="1"/>
        <v>#REF!</v>
      </c>
      <c r="AR230" s="7" t="e">
        <f ca="1"/>
        <v>#REF!</v>
      </c>
      <c r="AS230" s="7">
        <f ca="1"/>
        <v>-1.0895196306228982</v>
      </c>
      <c r="AT230" s="7" t="e">
        <f ca="1"/>
        <v>#REF!</v>
      </c>
      <c r="AU230" s="7" t="e">
        <f ca="1"/>
        <v>#REF!</v>
      </c>
      <c r="AV230" s="7" t="e">
        <f ca="1"/>
        <v>#REF!</v>
      </c>
    </row>
    <row r="231" spans="37:48" x14ac:dyDescent="0.25">
      <c r="AK231" t="str">
        <f ca="1"/>
        <v>Obs. 349</v>
      </c>
      <c r="AL231" s="7">
        <f ca="1"/>
        <v>46.4</v>
      </c>
      <c r="AN231" s="7" t="e">
        <f ca="1"/>
        <v>#REF!</v>
      </c>
      <c r="AO231" s="7" t="e">
        <f ca="1"/>
        <v>#REF!</v>
      </c>
      <c r="AP231" s="7">
        <f ca="1"/>
        <v>0.14732203161294113</v>
      </c>
      <c r="AQ231" s="7" t="e">
        <f ca="1"/>
        <v>#REF!</v>
      </c>
      <c r="AR231" s="7" t="e">
        <f ca="1"/>
        <v>#REF!</v>
      </c>
      <c r="AS231" s="7">
        <f ca="1"/>
        <v>-1.0895196306228982</v>
      </c>
      <c r="AT231" s="7" t="e">
        <f ca="1"/>
        <v>#REF!</v>
      </c>
      <c r="AU231" s="7" t="e">
        <f ca="1"/>
        <v>#REF!</v>
      </c>
      <c r="AV231" s="7" t="e">
        <f ca="1"/>
        <v>#REF!</v>
      </c>
    </row>
    <row r="232" spans="37:48" x14ac:dyDescent="0.25">
      <c r="AK232" t="str">
        <f ca="1"/>
        <v>Obs. 350</v>
      </c>
      <c r="AL232" s="7">
        <f ca="1"/>
        <v>46</v>
      </c>
      <c r="AN232" s="7" t="e">
        <f ca="1"/>
        <v>#REF!</v>
      </c>
      <c r="AO232" s="7" t="e">
        <f ca="1"/>
        <v>#REF!</v>
      </c>
      <c r="AP232" s="7">
        <f ca="1"/>
        <v>0.13131311944859175</v>
      </c>
      <c r="AQ232" s="7" t="e">
        <f ca="1"/>
        <v>#REF!</v>
      </c>
      <c r="AR232" s="7" t="e">
        <f ca="1"/>
        <v>#REF!</v>
      </c>
      <c r="AS232" s="7">
        <f ca="1"/>
        <v>-1.0895196306228982</v>
      </c>
      <c r="AT232" s="7" t="e">
        <f ca="1"/>
        <v>#REF!</v>
      </c>
      <c r="AU232" s="7" t="e">
        <f ca="1"/>
        <v>#REF!</v>
      </c>
      <c r="AV232" s="7" t="e">
        <f ca="1"/>
        <v>#REF!</v>
      </c>
    </row>
    <row r="233" spans="37:48" x14ac:dyDescent="0.25">
      <c r="AK233" t="str">
        <f ca="1"/>
        <v>Obs. 351</v>
      </c>
      <c r="AL233" s="7">
        <f ca="1"/>
        <v>46.7</v>
      </c>
      <c r="AN233" s="7" t="e">
        <f ca="1"/>
        <v>#REF!</v>
      </c>
      <c r="AO233" s="7" t="e">
        <f ca="1"/>
        <v>#REF!</v>
      </c>
      <c r="AP233" s="7">
        <f ca="1"/>
        <v>0.14091991218793798</v>
      </c>
      <c r="AQ233" s="7" t="e">
        <f ca="1"/>
        <v>#REF!</v>
      </c>
      <c r="AR233" s="7" t="e">
        <f ca="1"/>
        <v>#REF!</v>
      </c>
      <c r="AS233" s="7">
        <f ca="1"/>
        <v>-1.0895196306228982</v>
      </c>
      <c r="AT233" s="7" t="e">
        <f ca="1"/>
        <v>#REF!</v>
      </c>
      <c r="AU233" s="7" t="e">
        <f ca="1"/>
        <v>#REF!</v>
      </c>
      <c r="AV233" s="7" t="e">
        <f ca="1"/>
        <v>#REF!</v>
      </c>
    </row>
    <row r="234" spans="37:48" x14ac:dyDescent="0.25">
      <c r="AK234" t="str">
        <f ca="1"/>
        <v>Obs. 352</v>
      </c>
      <c r="AL234" s="7">
        <f ca="1"/>
        <v>47.8</v>
      </c>
      <c r="AN234" s="7" t="e">
        <f ca="1"/>
        <v>#REF!</v>
      </c>
      <c r="AO234" s="7" t="e">
        <f ca="1"/>
        <v>#REF!</v>
      </c>
      <c r="AP234" s="7">
        <f ca="1"/>
        <v>0.14214810447521176</v>
      </c>
      <c r="AQ234" s="7" t="e">
        <f ca="1"/>
        <v>#REF!</v>
      </c>
      <c r="AR234" s="7" t="e">
        <f ca="1"/>
        <v>#REF!</v>
      </c>
      <c r="AS234" s="7">
        <f ca="1"/>
        <v>-1.0895196306228982</v>
      </c>
      <c r="AT234" s="7" t="e">
        <f ca="1"/>
        <v>#REF!</v>
      </c>
      <c r="AU234" s="7" t="e">
        <f ca="1"/>
        <v>#REF!</v>
      </c>
      <c r="AV234" s="7" t="e">
        <f ca="1"/>
        <v>#REF!</v>
      </c>
    </row>
    <row r="235" spans="37:48" x14ac:dyDescent="0.25">
      <c r="AK235" t="str">
        <f ca="1"/>
        <v>Obs. 354</v>
      </c>
      <c r="AL235" s="7">
        <f ca="1"/>
        <v>74.8</v>
      </c>
      <c r="AN235" s="7" t="e">
        <f ca="1"/>
        <v>#REF!</v>
      </c>
      <c r="AO235" s="7" t="e">
        <f ca="1"/>
        <v>#REF!</v>
      </c>
      <c r="AP235" s="7">
        <f ca="1"/>
        <v>0.15408418936641322</v>
      </c>
      <c r="AQ235" s="7" t="e">
        <f ca="1"/>
        <v>#REF!</v>
      </c>
      <c r="AR235" s="7" t="e">
        <f ca="1"/>
        <v>#REF!</v>
      </c>
      <c r="AS235" s="7">
        <f ca="1"/>
        <v>-1.0758617643853021</v>
      </c>
      <c r="AT235" s="7" t="e">
        <f ca="1"/>
        <v>#REF!</v>
      </c>
      <c r="AU235" s="7" t="e">
        <f ca="1"/>
        <v>#REF!</v>
      </c>
      <c r="AV235" s="7" t="e">
        <f ca="1"/>
        <v>#REF!</v>
      </c>
    </row>
    <row r="236" spans="37:48" x14ac:dyDescent="0.25">
      <c r="AK236" t="str">
        <f ca="1"/>
        <v>Obs. 355</v>
      </c>
      <c r="AL236" s="7">
        <f ca="1"/>
        <v>74.7</v>
      </c>
      <c r="AN236" s="7" t="e">
        <f ca="1"/>
        <v>#REF!</v>
      </c>
      <c r="AO236" s="7" t="e">
        <f ca="1"/>
        <v>#REF!</v>
      </c>
      <c r="AP236" s="7">
        <f ca="1"/>
        <v>0.15451961778048193</v>
      </c>
      <c r="AQ236" s="7" t="e">
        <f ca="1"/>
        <v>#REF!</v>
      </c>
      <c r="AR236" s="7" t="e">
        <f ca="1"/>
        <v>#REF!</v>
      </c>
      <c r="AS236" s="7">
        <f ca="1"/>
        <v>-1.0758617643853021</v>
      </c>
      <c r="AT236" s="7" t="e">
        <f ca="1"/>
        <v>#REF!</v>
      </c>
      <c r="AU236" s="7" t="e">
        <f ca="1"/>
        <v>#REF!</v>
      </c>
      <c r="AV236" s="7" t="e">
        <f ca="1"/>
        <v>#REF!</v>
      </c>
    </row>
    <row r="237" spans="37:48" x14ac:dyDescent="0.25">
      <c r="AK237" t="str">
        <f ca="1"/>
        <v>Obs. 356</v>
      </c>
      <c r="AL237" s="7">
        <f ca="1"/>
        <v>74.5</v>
      </c>
      <c r="AN237" s="7" t="e">
        <f ca="1"/>
        <v>#REF!</v>
      </c>
      <c r="AO237" s="7" t="e">
        <f ca="1"/>
        <v>#REF!</v>
      </c>
      <c r="AP237" s="7">
        <f ca="1"/>
        <v>0.15369870394586341</v>
      </c>
      <c r="AQ237" s="7" t="e">
        <f ca="1"/>
        <v>#REF!</v>
      </c>
      <c r="AR237" s="7" t="e">
        <f ca="1"/>
        <v>#REF!</v>
      </c>
      <c r="AS237" s="7">
        <f ca="1"/>
        <v>-1.0704544602760233</v>
      </c>
      <c r="AT237" s="7" t="e">
        <f ca="1"/>
        <v>#REF!</v>
      </c>
      <c r="AU237" s="7" t="e">
        <f ca="1"/>
        <v>#REF!</v>
      </c>
      <c r="AV237" s="7" t="e">
        <f ca="1"/>
        <v>#REF!</v>
      </c>
    </row>
    <row r="238" spans="37:48" x14ac:dyDescent="0.25">
      <c r="AK238" t="str">
        <f ca="1"/>
        <v>Obs. 357</v>
      </c>
      <c r="AL238" s="7">
        <f ca="1"/>
        <v>74.099999999999994</v>
      </c>
      <c r="AN238" s="7" t="e">
        <f ca="1"/>
        <v>#REF!</v>
      </c>
      <c r="AO238" s="7" t="e">
        <f ca="1"/>
        <v>#REF!</v>
      </c>
      <c r="AP238" s="7">
        <f ca="1"/>
        <v>0.15687133091036728</v>
      </c>
      <c r="AQ238" s="7" t="e">
        <f ca="1"/>
        <v>#REF!</v>
      </c>
      <c r="AR238" s="7" t="e">
        <f ca="1"/>
        <v>#REF!</v>
      </c>
      <c r="AS238" s="7">
        <f ca="1"/>
        <v>-1.0704544602760233</v>
      </c>
      <c r="AT238" s="7" t="e">
        <f ca="1"/>
        <v>#REF!</v>
      </c>
      <c r="AU238" s="7" t="e">
        <f ca="1"/>
        <v>#REF!</v>
      </c>
      <c r="AV238" s="7" t="e">
        <f ca="1"/>
        <v>#REF!</v>
      </c>
    </row>
    <row r="239" spans="37:48" x14ac:dyDescent="0.25">
      <c r="AK239" t="str">
        <f ca="1"/>
        <v>Obs. 358</v>
      </c>
      <c r="AL239" s="7">
        <f ca="1"/>
        <v>73.8</v>
      </c>
      <c r="AN239" s="7" t="e">
        <f ca="1"/>
        <v>#REF!</v>
      </c>
      <c r="AO239" s="7" t="e">
        <f ca="1"/>
        <v>#REF!</v>
      </c>
      <c r="AP239" s="7">
        <f ca="1"/>
        <v>0.15526391682735585</v>
      </c>
      <c r="AQ239" s="7" t="e">
        <f ca="1"/>
        <v>#REF!</v>
      </c>
      <c r="AR239" s="7" t="e">
        <f ca="1"/>
        <v>#REF!</v>
      </c>
      <c r="AS239" s="7">
        <f ca="1"/>
        <v>-1.0704544602760233</v>
      </c>
      <c r="AT239" s="7" t="e">
        <f ca="1"/>
        <v>#REF!</v>
      </c>
      <c r="AU239" s="7" t="e">
        <f ca="1"/>
        <v>#REF!</v>
      </c>
      <c r="AV239" s="7" t="e">
        <f ca="1"/>
        <v>#REF!</v>
      </c>
    </row>
    <row r="240" spans="37:48" x14ac:dyDescent="0.25">
      <c r="AK240" t="str">
        <f ca="1"/>
        <v>Obs. 359</v>
      </c>
      <c r="AL240" s="7">
        <f ca="1"/>
        <v>73.599999999999994</v>
      </c>
      <c r="AN240" s="7" t="e">
        <f ca="1"/>
        <v>#REF!</v>
      </c>
      <c r="AO240" s="7" t="e">
        <f ca="1"/>
        <v>#REF!</v>
      </c>
      <c r="AP240" s="7">
        <f ca="1"/>
        <v>0.15353435995854031</v>
      </c>
      <c r="AQ240" s="7" t="e">
        <f ca="1"/>
        <v>#REF!</v>
      </c>
      <c r="AR240" s="7" t="e">
        <f ca="1"/>
        <v>#REF!</v>
      </c>
      <c r="AS240" s="7">
        <f ca="1"/>
        <v>-1.0704544602760233</v>
      </c>
      <c r="AT240" s="7" t="e">
        <f ca="1"/>
        <v>#REF!</v>
      </c>
      <c r="AU240" s="7" t="e">
        <f ca="1"/>
        <v>#REF!</v>
      </c>
      <c r="AV240" s="7" t="e">
        <f ca="1"/>
        <v>#REF!</v>
      </c>
    </row>
    <row r="241" spans="37:48" x14ac:dyDescent="0.25">
      <c r="AK241" t="str">
        <f ca="1"/>
        <v>Obs. 360</v>
      </c>
      <c r="AL241" s="7">
        <f ca="1"/>
        <v>73.400000000000006</v>
      </c>
      <c r="AN241" s="7" t="e">
        <f ca="1"/>
        <v>#REF!</v>
      </c>
      <c r="AO241" s="7" t="e">
        <f ca="1"/>
        <v>#REF!</v>
      </c>
      <c r="AP241" s="7">
        <f ca="1"/>
        <v>0.15835582508308629</v>
      </c>
      <c r="AQ241" s="7" t="e">
        <f ca="1"/>
        <v>#REF!</v>
      </c>
      <c r="AR241" s="7" t="e">
        <f ca="1"/>
        <v>#REF!</v>
      </c>
      <c r="AS241" s="7">
        <f ca="1"/>
        <v>-1.0597326997110486</v>
      </c>
      <c r="AT241" s="7" t="e">
        <f ca="1"/>
        <v>#REF!</v>
      </c>
      <c r="AU241" s="7" t="e">
        <f ca="1"/>
        <v>#REF!</v>
      </c>
      <c r="AV241" s="7" t="e">
        <f ca="1"/>
        <v>#REF!</v>
      </c>
    </row>
    <row r="242" spans="37:48" x14ac:dyDescent="0.25">
      <c r="AK242" t="str">
        <f ca="1"/>
        <v>Obs. 361</v>
      </c>
      <c r="AL242" s="7">
        <f ca="1"/>
        <v>73.3</v>
      </c>
      <c r="AN242" s="7" t="e">
        <f ca="1"/>
        <v>#REF!</v>
      </c>
      <c r="AO242" s="7" t="e">
        <f ca="1"/>
        <v>#REF!</v>
      </c>
      <c r="AP242" s="7">
        <f ca="1"/>
        <v>0.14979131896030864</v>
      </c>
      <c r="AQ242" s="7" t="e">
        <f ca="1"/>
        <v>#REF!</v>
      </c>
      <c r="AR242" s="7" t="e">
        <f ca="1"/>
        <v>#REF!</v>
      </c>
      <c r="AS242" s="7">
        <f ca="1"/>
        <v>-1.0570712344634026</v>
      </c>
      <c r="AT242" s="7" t="e">
        <f ca="1"/>
        <v>#REF!</v>
      </c>
      <c r="AU242" s="7" t="e">
        <f ca="1"/>
        <v>#REF!</v>
      </c>
      <c r="AV242" s="7" t="e">
        <f ca="1"/>
        <v>#REF!</v>
      </c>
    </row>
    <row r="243" spans="37:48" x14ac:dyDescent="0.25">
      <c r="AK243" t="str">
        <f ca="1"/>
        <v>Obs. 362</v>
      </c>
      <c r="AL243" s="7">
        <f ca="1"/>
        <v>73</v>
      </c>
      <c r="AN243" s="7" t="e">
        <f ca="1"/>
        <v>#REF!</v>
      </c>
      <c r="AO243" s="7" t="e">
        <f ca="1"/>
        <v>#REF!</v>
      </c>
      <c r="AP243" s="7">
        <f ca="1"/>
        <v>0.15015779192260004</v>
      </c>
      <c r="AQ243" s="7" t="e">
        <f ca="1"/>
        <v>#REF!</v>
      </c>
      <c r="AR243" s="7" t="e">
        <f ca="1"/>
        <v>#REF!</v>
      </c>
      <c r="AS243" s="7">
        <f ca="1"/>
        <v>-1.0570712344634026</v>
      </c>
      <c r="AT243" s="7" t="e">
        <f ca="1"/>
        <v>#REF!</v>
      </c>
      <c r="AU243" s="7" t="e">
        <f ca="1"/>
        <v>#REF!</v>
      </c>
      <c r="AV243" s="7" t="e">
        <f ca="1"/>
        <v>#REF!</v>
      </c>
    </row>
    <row r="244" spans="37:48" x14ac:dyDescent="0.25">
      <c r="AK244" t="str">
        <f ca="1"/>
        <v>Obs. 363</v>
      </c>
      <c r="AL244" s="7">
        <f ca="1"/>
        <v>72.7</v>
      </c>
      <c r="AN244" s="7" t="e">
        <f ca="1"/>
        <v>#REF!</v>
      </c>
      <c r="AO244" s="7" t="e">
        <f ca="1"/>
        <v>#REF!</v>
      </c>
      <c r="AP244" s="7">
        <f ca="1"/>
        <v>0.15100633331509708</v>
      </c>
      <c r="AQ244" s="7" t="e">
        <f ca="1"/>
        <v>#REF!</v>
      </c>
      <c r="AR244" s="7" t="e">
        <f ca="1"/>
        <v>#REF!</v>
      </c>
      <c r="AS244" s="7">
        <f ca="1"/>
        <v>-1.0570712344634026</v>
      </c>
      <c r="AT244" s="7" t="e">
        <f ca="1"/>
        <v>#REF!</v>
      </c>
      <c r="AU244" s="7" t="e">
        <f ca="1"/>
        <v>#REF!</v>
      </c>
      <c r="AV244" s="7" t="e">
        <f ca="1"/>
        <v>#REF!</v>
      </c>
    </row>
    <row r="245" spans="37:48" x14ac:dyDescent="0.25">
      <c r="AK245" t="str">
        <f ca="1"/>
        <v>Obs. 364</v>
      </c>
      <c r="AL245" s="7">
        <f ca="1"/>
        <v>72</v>
      </c>
      <c r="AN245" s="7" t="e">
        <f ca="1"/>
        <v>#REF!</v>
      </c>
      <c r="AO245" s="7" t="e">
        <f ca="1"/>
        <v>#REF!</v>
      </c>
      <c r="AP245" s="7">
        <f ca="1"/>
        <v>0.15241718370524943</v>
      </c>
      <c r="AQ245" s="7" t="e">
        <f ca="1"/>
        <v>#REF!</v>
      </c>
      <c r="AR245" s="7" t="e">
        <f ca="1"/>
        <v>#REF!</v>
      </c>
      <c r="AS245" s="7">
        <f ca="1"/>
        <v>-1.0491313979639725</v>
      </c>
      <c r="AT245" s="7" t="e">
        <f ca="1"/>
        <v>#REF!</v>
      </c>
      <c r="AU245" s="7" t="e">
        <f ca="1"/>
        <v>#REF!</v>
      </c>
      <c r="AV245" s="7" t="e">
        <f ca="1"/>
        <v>#REF!</v>
      </c>
    </row>
    <row r="246" spans="37:48" x14ac:dyDescent="0.25">
      <c r="AK246" t="str">
        <f ca="1"/>
        <v>Obs. 365</v>
      </c>
      <c r="AL246" s="7">
        <f ca="1"/>
        <v>71.8</v>
      </c>
      <c r="AN246" s="7" t="e">
        <f ca="1"/>
        <v>#REF!</v>
      </c>
      <c r="AO246" s="7" t="e">
        <f ca="1"/>
        <v>#REF!</v>
      </c>
      <c r="AP246" s="7">
        <f ca="1"/>
        <v>0.15519687039614616</v>
      </c>
      <c r="AQ246" s="7" t="e">
        <f ca="1"/>
        <v>#REF!</v>
      </c>
      <c r="AR246" s="7" t="e">
        <f ca="1"/>
        <v>#REF!</v>
      </c>
      <c r="AS246" s="7">
        <f ca="1"/>
        <v>-1.0491313979639725</v>
      </c>
      <c r="AT246" s="7" t="e">
        <f ca="1"/>
        <v>#REF!</v>
      </c>
      <c r="AU246" s="7" t="e">
        <f ca="1"/>
        <v>#REF!</v>
      </c>
      <c r="AV246" s="7" t="e">
        <f ca="1"/>
        <v>#REF!</v>
      </c>
    </row>
    <row r="247" spans="37:48" x14ac:dyDescent="0.25">
      <c r="AK247" t="str">
        <f ca="1"/>
        <v>Obs. 366</v>
      </c>
      <c r="AL247" s="7">
        <f ca="1"/>
        <v>71.400000000000006</v>
      </c>
      <c r="AN247" s="7" t="e">
        <f ca="1"/>
        <v>#REF!</v>
      </c>
      <c r="AO247" s="7" t="e">
        <f ca="1"/>
        <v>#REF!</v>
      </c>
      <c r="AP247" s="7">
        <f ca="1"/>
        <v>0.15887410181811834</v>
      </c>
      <c r="AQ247" s="7" t="e">
        <f ca="1"/>
        <v>#REF!</v>
      </c>
      <c r="AR247" s="7" t="e">
        <f ca="1"/>
        <v>#REF!</v>
      </c>
      <c r="AS247" s="7">
        <f ca="1"/>
        <v>-1.0491313979639725</v>
      </c>
      <c r="AT247" s="7" t="e">
        <f ca="1"/>
        <v>#REF!</v>
      </c>
      <c r="AU247" s="7" t="e">
        <f ca="1"/>
        <v>#REF!</v>
      </c>
      <c r="AV247" s="7" t="e">
        <f ca="1"/>
        <v>#REF!</v>
      </c>
    </row>
    <row r="248" spans="37:48" x14ac:dyDescent="0.25">
      <c r="AK248" t="str">
        <f ca="1"/>
        <v>Obs. 367</v>
      </c>
      <c r="AL248" s="7">
        <f ca="1"/>
        <v>71</v>
      </c>
      <c r="AN248" s="7" t="e">
        <f ca="1"/>
        <v>#REF!</v>
      </c>
      <c r="AO248" s="7" t="e">
        <f ca="1"/>
        <v>#REF!</v>
      </c>
      <c r="AP248" s="7">
        <f ca="1"/>
        <v>0.16112264234164286</v>
      </c>
      <c r="AQ248" s="7" t="e">
        <f ca="1"/>
        <v>#REF!</v>
      </c>
      <c r="AR248" s="7" t="e">
        <f ca="1"/>
        <v>#REF!</v>
      </c>
      <c r="AS248" s="7">
        <f ca="1"/>
        <v>-1.0491313979639725</v>
      </c>
      <c r="AT248" s="7" t="e">
        <f ca="1"/>
        <v>#REF!</v>
      </c>
      <c r="AU248" s="7" t="e">
        <f ca="1"/>
        <v>#REF!</v>
      </c>
      <c r="AV248" s="7" t="e">
        <f ca="1"/>
        <v>#REF!</v>
      </c>
    </row>
    <row r="249" spans="37:48" x14ac:dyDescent="0.25">
      <c r="AK249" t="str">
        <f ca="1"/>
        <v>Obs. 368</v>
      </c>
      <c r="AL249" s="7">
        <f ca="1"/>
        <v>75</v>
      </c>
      <c r="AN249" s="7" t="e">
        <f ca="1"/>
        <v>#REF!</v>
      </c>
      <c r="AO249" s="7" t="e">
        <f ca="1"/>
        <v>#REF!</v>
      </c>
      <c r="AP249" s="7">
        <f ca="1"/>
        <v>0.15824592657505587</v>
      </c>
      <c r="AQ249" s="7" t="e">
        <f ca="1"/>
        <v>#REF!</v>
      </c>
      <c r="AR249" s="7" t="e">
        <f ca="1"/>
        <v>#REF!</v>
      </c>
      <c r="AS249" s="7">
        <f ca="1"/>
        <v>-1.0386467129748296</v>
      </c>
      <c r="AT249" s="7" t="e">
        <f ca="1"/>
        <v>#REF!</v>
      </c>
      <c r="AU249" s="7" t="e">
        <f ca="1"/>
        <v>#REF!</v>
      </c>
      <c r="AV249" s="7" t="e">
        <f ca="1"/>
        <v>#REF!</v>
      </c>
    </row>
    <row r="250" spans="37:48" x14ac:dyDescent="0.25">
      <c r="AK250" t="str">
        <f ca="1"/>
        <v>Obs. 386</v>
      </c>
      <c r="AL250" s="7">
        <f ca="1"/>
        <v>74.3</v>
      </c>
      <c r="AN250" s="7" t="e">
        <f ca="1"/>
        <v>#REF!</v>
      </c>
      <c r="AO250" s="7" t="e">
        <f ca="1"/>
        <v>#REF!</v>
      </c>
      <c r="AP250" s="7">
        <f ca="1"/>
        <v>7.4228919286593226E-2</v>
      </c>
      <c r="AQ250" s="7" t="e">
        <f ca="1"/>
        <v>#REF!</v>
      </c>
      <c r="AR250" s="7" t="e">
        <f ca="1"/>
        <v>#REF!</v>
      </c>
      <c r="AS250" s="7">
        <f ca="1"/>
        <v>-1.0386467129748296</v>
      </c>
      <c r="AT250" s="7" t="e">
        <f ca="1"/>
        <v>#REF!</v>
      </c>
      <c r="AU250" s="7" t="e">
        <f ca="1"/>
        <v>#REF!</v>
      </c>
      <c r="AV250" s="7" t="e">
        <f ca="1"/>
        <v>#REF!</v>
      </c>
    </row>
    <row r="251" spans="37:48" x14ac:dyDescent="0.25">
      <c r="AK251" t="str">
        <f ca="1"/>
        <v>Obs. 387</v>
      </c>
      <c r="AL251" s="7">
        <f ca="1"/>
        <v>74.099999999999994</v>
      </c>
      <c r="AN251" s="7" t="e">
        <f ca="1"/>
        <v>#REF!</v>
      </c>
      <c r="AO251" s="7" t="e">
        <f ca="1"/>
        <v>#REF!</v>
      </c>
      <c r="AP251" s="7">
        <f ca="1"/>
        <v>7.3679402810842773E-2</v>
      </c>
      <c r="AQ251" s="7" t="e">
        <f ca="1"/>
        <v>#REF!</v>
      </c>
      <c r="AR251" s="7" t="e">
        <f ca="1"/>
        <v>#REF!</v>
      </c>
      <c r="AS251" s="7">
        <f ca="1"/>
        <v>-1.0334469496720613</v>
      </c>
      <c r="AT251" s="7" t="e">
        <f ca="1"/>
        <v>#REF!</v>
      </c>
      <c r="AU251" s="7" t="e">
        <f ca="1"/>
        <v>#REF!</v>
      </c>
      <c r="AV251" s="7" t="e">
        <f ca="1"/>
        <v>#REF!</v>
      </c>
    </row>
    <row r="252" spans="37:48" x14ac:dyDescent="0.25">
      <c r="AK252" t="str">
        <f ca="1"/>
        <v>Obs. 388</v>
      </c>
      <c r="AL252" s="7">
        <f ca="1"/>
        <v>73.900000000000006</v>
      </c>
      <c r="AN252" s="7" t="e">
        <f ca="1"/>
        <v>#REF!</v>
      </c>
      <c r="AO252" s="7" t="e">
        <f ca="1"/>
        <v>#REF!</v>
      </c>
      <c r="AP252" s="7">
        <f ca="1"/>
        <v>6.9532100829281518E-2</v>
      </c>
      <c r="AQ252" s="7" t="e">
        <f ca="1"/>
        <v>#REF!</v>
      </c>
      <c r="AR252" s="7" t="e">
        <f ca="1"/>
        <v>#REF!</v>
      </c>
      <c r="AS252" s="7">
        <f ca="1"/>
        <v>-1.0334469496720613</v>
      </c>
      <c r="AT252" s="7" t="e">
        <f ca="1"/>
        <v>#REF!</v>
      </c>
      <c r="AU252" s="7" t="e">
        <f ca="1"/>
        <v>#REF!</v>
      </c>
      <c r="AV252" s="7" t="e">
        <f ca="1"/>
        <v>#REF!</v>
      </c>
    </row>
    <row r="253" spans="37:48" x14ac:dyDescent="0.25">
      <c r="AK253" t="str">
        <f ca="1"/>
        <v>Obs. 389</v>
      </c>
      <c r="AL253" s="7">
        <f ca="1"/>
        <v>73.7</v>
      </c>
      <c r="AN253" s="7" t="e">
        <f ca="1"/>
        <v>#REF!</v>
      </c>
      <c r="AO253" s="7" t="e">
        <f ca="1"/>
        <v>#REF!</v>
      </c>
      <c r="AP253" s="7">
        <f ca="1"/>
        <v>6.90761354079307E-2</v>
      </c>
      <c r="AQ253" s="7" t="e">
        <f ca="1"/>
        <v>#REF!</v>
      </c>
      <c r="AR253" s="7" t="e">
        <f ca="1"/>
        <v>#REF!</v>
      </c>
      <c r="AS253" s="7">
        <f ca="1"/>
        <v>-1.0334469496720613</v>
      </c>
      <c r="AT253" s="7" t="e">
        <f ca="1"/>
        <v>#REF!</v>
      </c>
      <c r="AU253" s="7" t="e">
        <f ca="1"/>
        <v>#REF!</v>
      </c>
      <c r="AV253" s="7" t="e">
        <f ca="1"/>
        <v>#REF!</v>
      </c>
    </row>
    <row r="254" spans="37:48" x14ac:dyDescent="0.25">
      <c r="AK254" t="str">
        <f ca="1"/>
        <v>Obs. 390</v>
      </c>
      <c r="AL254" s="7">
        <f ca="1"/>
        <v>73.400000000000006</v>
      </c>
      <c r="AN254" s="7" t="e">
        <f ca="1"/>
        <v>#REF!</v>
      </c>
      <c r="AO254" s="7" t="e">
        <f ca="1"/>
        <v>#REF!</v>
      </c>
      <c r="AP254" s="7">
        <f ca="1"/>
        <v>7.5273149237140707E-2</v>
      </c>
      <c r="AQ254" s="7" t="e">
        <f ca="1"/>
        <v>#REF!</v>
      </c>
      <c r="AR254" s="7" t="e">
        <f ca="1"/>
        <v>#REF!</v>
      </c>
      <c r="AS254" s="7">
        <f ca="1"/>
        <v>-1.0334469496720613</v>
      </c>
      <c r="AT254" s="7" t="e">
        <f ca="1"/>
        <v>#REF!</v>
      </c>
      <c r="AU254" s="7" t="e">
        <f ca="1"/>
        <v>#REF!</v>
      </c>
      <c r="AV254" s="7" t="e">
        <f ca="1"/>
        <v>#REF!</v>
      </c>
    </row>
    <row r="255" spans="37:48" x14ac:dyDescent="0.25">
      <c r="AK255" t="str">
        <f ca="1"/>
        <v>Obs. 391</v>
      </c>
      <c r="AL255" s="7">
        <f ca="1"/>
        <v>73.2</v>
      </c>
      <c r="AN255" s="7" t="e">
        <f ca="1"/>
        <v>#REF!</v>
      </c>
      <c r="AO255" s="7" t="e">
        <f ca="1"/>
        <v>#REF!</v>
      </c>
      <c r="AP255" s="7">
        <f ca="1"/>
        <v>6.865839858534134E-2</v>
      </c>
      <c r="AQ255" s="7" t="e">
        <f ca="1"/>
        <v>#REF!</v>
      </c>
      <c r="AR255" s="7" t="e">
        <f ca="1"/>
        <v>#REF!</v>
      </c>
      <c r="AS255" s="7">
        <f ca="1"/>
        <v>-1.0334469496720613</v>
      </c>
      <c r="AT255" s="7" t="e">
        <f ca="1"/>
        <v>#REF!</v>
      </c>
      <c r="AU255" s="7" t="e">
        <f ca="1"/>
        <v>#REF!</v>
      </c>
      <c r="AV255" s="7" t="e">
        <f ca="1"/>
        <v>#REF!</v>
      </c>
    </row>
    <row r="256" spans="37:48" x14ac:dyDescent="0.25">
      <c r="AK256" t="str">
        <f ca="1"/>
        <v>Obs. 392</v>
      </c>
      <c r="AL256" s="7">
        <f ca="1"/>
        <v>72.900000000000006</v>
      </c>
      <c r="AN256" s="7" t="e">
        <f ca="1"/>
        <v>#REF!</v>
      </c>
      <c r="AO256" s="7" t="e">
        <f ca="1"/>
        <v>#REF!</v>
      </c>
      <c r="AP256" s="7">
        <f ca="1"/>
        <v>7.0635567784153211E-2</v>
      </c>
      <c r="AQ256" s="7" t="e">
        <f ca="1"/>
        <v>#REF!</v>
      </c>
      <c r="AR256" s="7" t="e">
        <f ca="1"/>
        <v>#REF!</v>
      </c>
      <c r="AS256" s="7">
        <f ca="1"/>
        <v>-1.0205681915260707</v>
      </c>
      <c r="AT256" s="7" t="e">
        <f ca="1"/>
        <v>#REF!</v>
      </c>
      <c r="AU256" s="7" t="e">
        <f ca="1"/>
        <v>#REF!</v>
      </c>
      <c r="AV256" s="7" t="e">
        <f ca="1"/>
        <v>#REF!</v>
      </c>
    </row>
    <row r="257" spans="37:48" x14ac:dyDescent="0.25">
      <c r="AK257" t="str">
        <f ca="1"/>
        <v>Obs. 393</v>
      </c>
      <c r="AL257" s="7">
        <f ca="1"/>
        <v>72.599999999999994</v>
      </c>
      <c r="AN257" s="7" t="e">
        <f ca="1"/>
        <v>#REF!</v>
      </c>
      <c r="AO257" s="7" t="e">
        <f ca="1"/>
        <v>#REF!</v>
      </c>
      <c r="AP257" s="7">
        <f ca="1"/>
        <v>7.7786259234690514E-2</v>
      </c>
      <c r="AQ257" s="7" t="e">
        <f ca="1"/>
        <v>#REF!</v>
      </c>
      <c r="AR257" s="7" t="e">
        <f ca="1"/>
        <v>#REF!</v>
      </c>
      <c r="AS257" s="7">
        <f ca="1"/>
        <v>-1.0205681915260707</v>
      </c>
      <c r="AT257" s="7" t="e">
        <f ca="1"/>
        <v>#REF!</v>
      </c>
      <c r="AU257" s="7" t="e">
        <f ca="1"/>
        <v>#REF!</v>
      </c>
      <c r="AV257" s="7" t="e">
        <f ca="1"/>
        <v>#REF!</v>
      </c>
    </row>
    <row r="258" spans="37:48" x14ac:dyDescent="0.25">
      <c r="AK258" t="str">
        <f ca="1"/>
        <v>Obs. 394</v>
      </c>
      <c r="AL258" s="7">
        <f ca="1"/>
        <v>72.2</v>
      </c>
      <c r="AN258" s="7" t="e">
        <f ca="1"/>
        <v>#REF!</v>
      </c>
      <c r="AO258" s="7" t="e">
        <f ca="1"/>
        <v>#REF!</v>
      </c>
      <c r="AP258" s="7">
        <f ca="1"/>
        <v>7.8037095466321718E-2</v>
      </c>
      <c r="AQ258" s="7" t="e">
        <f ca="1"/>
        <v>#REF!</v>
      </c>
      <c r="AR258" s="7" t="e">
        <f ca="1"/>
        <v>#REF!</v>
      </c>
      <c r="AS258" s="7">
        <f ca="1"/>
        <v>-1.0205681915260707</v>
      </c>
      <c r="AT258" s="7" t="e">
        <f ca="1"/>
        <v>#REF!</v>
      </c>
      <c r="AU258" s="7" t="e">
        <f ca="1"/>
        <v>#REF!</v>
      </c>
      <c r="AV258" s="7" t="e">
        <f ca="1"/>
        <v>#REF!</v>
      </c>
    </row>
    <row r="259" spans="37:48" x14ac:dyDescent="0.25">
      <c r="AK259" t="str">
        <f ca="1"/>
        <v>Obs. 395</v>
      </c>
      <c r="AL259" s="7">
        <f ca="1"/>
        <v>72.099999999999994</v>
      </c>
      <c r="AN259" s="7" t="e">
        <f ca="1"/>
        <v>#REF!</v>
      </c>
      <c r="AO259" s="7" t="e">
        <f ca="1"/>
        <v>#REF!</v>
      </c>
      <c r="AP259" s="7">
        <f ca="1"/>
        <v>7.0154843734659134E-2</v>
      </c>
      <c r="AQ259" s="7" t="e">
        <f ca="1"/>
        <v>#REF!</v>
      </c>
      <c r="AR259" s="7" t="e">
        <f ca="1"/>
        <v>#REF!</v>
      </c>
      <c r="AS259" s="7">
        <f ca="1"/>
        <v>-1.0205681915260707</v>
      </c>
      <c r="AT259" s="7" t="e">
        <f ca="1"/>
        <v>#REF!</v>
      </c>
      <c r="AU259" s="7" t="e">
        <f ca="1"/>
        <v>#REF!</v>
      </c>
      <c r="AV259" s="7" t="e">
        <f ca="1"/>
        <v>#REF!</v>
      </c>
    </row>
    <row r="260" spans="37:48" x14ac:dyDescent="0.25">
      <c r="AK260" t="str">
        <f ca="1"/>
        <v>Obs. 396</v>
      </c>
      <c r="AL260" s="7">
        <f ca="1"/>
        <v>72.2</v>
      </c>
      <c r="AN260" s="7" t="e">
        <f ca="1"/>
        <v>#REF!</v>
      </c>
      <c r="AO260" s="7" t="e">
        <f ca="1"/>
        <v>#REF!</v>
      </c>
      <c r="AP260" s="7">
        <f ca="1"/>
        <v>6.8985459048506156E-2</v>
      </c>
      <c r="AQ260" s="7" t="e">
        <f ca="1"/>
        <v>#REF!</v>
      </c>
      <c r="AR260" s="7" t="e">
        <f ca="1"/>
        <v>#REF!</v>
      </c>
      <c r="AS260" s="7">
        <f ca="1"/>
        <v>-1.0205681915260707</v>
      </c>
      <c r="AT260" s="7" t="e">
        <f ca="1"/>
        <v>#REF!</v>
      </c>
      <c r="AU260" s="7" t="e">
        <f ca="1"/>
        <v>#REF!</v>
      </c>
      <c r="AV260" s="7" t="e">
        <f ca="1"/>
        <v>#REF!</v>
      </c>
    </row>
    <row r="261" spans="37:48" x14ac:dyDescent="0.25">
      <c r="AK261" t="str">
        <f ca="1"/>
        <v>Obs. 397</v>
      </c>
      <c r="AL261" s="7">
        <f ca="1"/>
        <v>72</v>
      </c>
      <c r="AN261" s="7" t="e">
        <f ca="1"/>
        <v>#REF!</v>
      </c>
      <c r="AO261" s="7" t="e">
        <f ca="1"/>
        <v>#REF!</v>
      </c>
      <c r="AP261" s="7">
        <f ca="1"/>
        <v>6.9660451568589854E-2</v>
      </c>
      <c r="AQ261" s="7" t="e">
        <f ca="1"/>
        <v>#REF!</v>
      </c>
      <c r="AR261" s="7" t="e">
        <f ca="1"/>
        <v>#REF!</v>
      </c>
      <c r="AS261" s="7">
        <f ca="1"/>
        <v>-1.0205681915260707</v>
      </c>
      <c r="AT261" s="7" t="e">
        <f ca="1"/>
        <v>#REF!</v>
      </c>
      <c r="AU261" s="7" t="e">
        <f ca="1"/>
        <v>#REF!</v>
      </c>
      <c r="AV261" s="7" t="e">
        <f ca="1"/>
        <v>#REF!</v>
      </c>
    </row>
    <row r="262" spans="37:48" x14ac:dyDescent="0.25">
      <c r="AK262" t="str">
        <f ca="1"/>
        <v>Obs. 398</v>
      </c>
      <c r="AL262" s="7">
        <f ca="1"/>
        <v>71.8</v>
      </c>
      <c r="AN262" s="7" t="e">
        <f ca="1"/>
        <v>#REF!</v>
      </c>
      <c r="AO262" s="7" t="e">
        <f ca="1"/>
        <v>#REF!</v>
      </c>
      <c r="AP262" s="7">
        <f ca="1"/>
        <v>7.0122619283823628E-2</v>
      </c>
      <c r="AQ262" s="7" t="e">
        <f ca="1"/>
        <v>#REF!</v>
      </c>
      <c r="AR262" s="7" t="e">
        <f ca="1"/>
        <v>#REF!</v>
      </c>
      <c r="AS262" s="7">
        <f ca="1"/>
        <v>-1.0205681915260707</v>
      </c>
      <c r="AT262" s="7" t="e">
        <f ca="1"/>
        <v>#REF!</v>
      </c>
      <c r="AU262" s="7" t="e">
        <f ca="1"/>
        <v>#REF!</v>
      </c>
      <c r="AV262" s="7" t="e">
        <f ca="1"/>
        <v>#REF!</v>
      </c>
    </row>
    <row r="263" spans="37:48" x14ac:dyDescent="0.25">
      <c r="AK263" t="str">
        <f ca="1"/>
        <v>Obs. 399</v>
      </c>
      <c r="AL263" s="7">
        <f ca="1"/>
        <v>71.599999999999994</v>
      </c>
      <c r="AN263" s="7" t="e">
        <f ca="1"/>
        <v>#REF!</v>
      </c>
      <c r="AO263" s="7" t="e">
        <f ca="1"/>
        <v>#REF!</v>
      </c>
      <c r="AP263" s="7">
        <f ca="1"/>
        <v>7.1535721588596418E-2</v>
      </c>
      <c r="AQ263" s="7" t="e">
        <f ca="1"/>
        <v>#REF!</v>
      </c>
      <c r="AR263" s="7" t="e">
        <f ca="1"/>
        <v>#REF!</v>
      </c>
      <c r="AS263" s="7">
        <f ca="1"/>
        <v>-1.0028172174115717</v>
      </c>
      <c r="AT263" s="7" t="e">
        <f ca="1"/>
        <v>#REF!</v>
      </c>
      <c r="AU263" s="7" t="e">
        <f ca="1"/>
        <v>#REF!</v>
      </c>
      <c r="AV263" s="7" t="e">
        <f ca="1"/>
        <v>#REF!</v>
      </c>
    </row>
    <row r="264" spans="37:48" x14ac:dyDescent="0.25">
      <c r="AK264" t="str">
        <f ca="1"/>
        <v>Obs. 400</v>
      </c>
      <c r="AL264" s="7">
        <f ca="1"/>
        <v>71.099999999999994</v>
      </c>
      <c r="AN264" s="7" t="e">
        <f ca="1"/>
        <v>#REF!</v>
      </c>
      <c r="AO264" s="7" t="e">
        <f ca="1"/>
        <v>#REF!</v>
      </c>
      <c r="AP264" s="7">
        <f ca="1"/>
        <v>7.2525381291236063E-2</v>
      </c>
      <c r="AQ264" s="7" t="e">
        <f ca="1"/>
        <v>#REF!</v>
      </c>
      <c r="AR264" s="7" t="e">
        <f ca="1"/>
        <v>#REF!</v>
      </c>
      <c r="AS264" s="7">
        <f ca="1"/>
        <v>-1.0028172174115717</v>
      </c>
      <c r="AT264" s="7" t="e">
        <f ca="1"/>
        <v>#REF!</v>
      </c>
      <c r="AU264" s="7" t="e">
        <f ca="1"/>
        <v>#REF!</v>
      </c>
      <c r="AV264" s="7" t="e">
        <f ca="1"/>
        <v>#REF!</v>
      </c>
    </row>
    <row r="265" spans="37:48" x14ac:dyDescent="0.25">
      <c r="AK265" t="str">
        <f ca="1"/>
        <v>Obs. 402</v>
      </c>
      <c r="AL265" s="7">
        <f ca="1"/>
        <v>59.3</v>
      </c>
      <c r="AN265" s="7" t="e">
        <f ca="1"/>
        <v>#REF!</v>
      </c>
      <c r="AO265" s="7" t="e">
        <f ca="1"/>
        <v>#REF!</v>
      </c>
      <c r="AP265" s="7">
        <f ca="1"/>
        <v>9.0419240143942495E-2</v>
      </c>
      <c r="AQ265" s="7" t="e">
        <f ca="1"/>
        <v>#REF!</v>
      </c>
      <c r="AR265" s="7" t="e">
        <f ca="1"/>
        <v>#REF!</v>
      </c>
      <c r="AS265" s="7">
        <f ca="1"/>
        <v>-1.0028172174115717</v>
      </c>
      <c r="AT265" s="7" t="e">
        <f ca="1"/>
        <v>#REF!</v>
      </c>
      <c r="AU265" s="7" t="e">
        <f ca="1"/>
        <v>#REF!</v>
      </c>
      <c r="AV265" s="7" t="e">
        <f ca="1"/>
        <v>#REF!</v>
      </c>
    </row>
    <row r="266" spans="37:48" x14ac:dyDescent="0.25">
      <c r="AK266" t="str">
        <f ca="1"/>
        <v>Obs. 403</v>
      </c>
      <c r="AL266" s="7">
        <f ca="1"/>
        <v>59</v>
      </c>
      <c r="AN266" s="7" t="e">
        <f ca="1"/>
        <v>#REF!</v>
      </c>
      <c r="AO266" s="7" t="e">
        <f ca="1"/>
        <v>#REF!</v>
      </c>
      <c r="AP266" s="7">
        <f ca="1"/>
        <v>8.7800026571495521E-2</v>
      </c>
      <c r="AQ266" s="7" t="e">
        <f ca="1"/>
        <v>#REF!</v>
      </c>
      <c r="AR266" s="7" t="e">
        <f ca="1"/>
        <v>#REF!</v>
      </c>
      <c r="AS266" s="7">
        <f ca="1"/>
        <v>-1.0028172174115717</v>
      </c>
      <c r="AT266" s="7" t="e">
        <f ca="1"/>
        <v>#REF!</v>
      </c>
      <c r="AU266" s="7" t="e">
        <f ca="1"/>
        <v>#REF!</v>
      </c>
      <c r="AV266" s="7" t="e">
        <f ca="1"/>
        <v>#REF!</v>
      </c>
    </row>
    <row r="267" spans="37:48" x14ac:dyDescent="0.25">
      <c r="AK267" t="str">
        <f ca="1"/>
        <v>Obs. 404</v>
      </c>
      <c r="AL267" s="7">
        <f ca="1"/>
        <v>58.6</v>
      </c>
      <c r="AN267" s="7" t="e">
        <f ca="1"/>
        <v>#REF!</v>
      </c>
      <c r="AO267" s="7" t="e">
        <f ca="1"/>
        <v>#REF!</v>
      </c>
      <c r="AP267" s="7">
        <f ca="1"/>
        <v>9.7754399907144102E-2</v>
      </c>
      <c r="AQ267" s="7" t="e">
        <f ca="1"/>
        <v>#REF!</v>
      </c>
      <c r="AR267" s="7" t="e">
        <f ca="1"/>
        <v>#REF!</v>
      </c>
      <c r="AS267" s="7">
        <f ca="1"/>
        <v>-1.0028172174115717</v>
      </c>
      <c r="AT267" s="7" t="e">
        <f ca="1"/>
        <v>#REF!</v>
      </c>
      <c r="AU267" s="7" t="e">
        <f ca="1"/>
        <v>#REF!</v>
      </c>
      <c r="AV267" s="7" t="e">
        <f ca="1"/>
        <v>#REF!</v>
      </c>
    </row>
    <row r="268" spans="37:48" x14ac:dyDescent="0.25">
      <c r="AK268" t="str">
        <f ca="1"/>
        <v>Obs. 405</v>
      </c>
      <c r="AL268" s="7">
        <f ca="1"/>
        <v>58.1</v>
      </c>
      <c r="AN268" s="7" t="e">
        <f ca="1"/>
        <v>#REF!</v>
      </c>
      <c r="AO268" s="7" t="e">
        <f ca="1"/>
        <v>#REF!</v>
      </c>
      <c r="AP268" s="7">
        <f ca="1"/>
        <v>9.0317652263210604E-2</v>
      </c>
      <c r="AQ268" s="7" t="e">
        <f ca="1"/>
        <v>#REF!</v>
      </c>
      <c r="AR268" s="7" t="e">
        <f ca="1"/>
        <v>#REF!</v>
      </c>
      <c r="AS268" s="7">
        <f ca="1"/>
        <v>-0.99032898964496086</v>
      </c>
      <c r="AT268" s="7" t="e">
        <f ca="1"/>
        <v>#REF!</v>
      </c>
      <c r="AU268" s="7" t="e">
        <f ca="1"/>
        <v>#REF!</v>
      </c>
      <c r="AV268" s="7" t="e">
        <f ca="1"/>
        <v>#REF!</v>
      </c>
    </row>
    <row r="269" spans="37:48" x14ac:dyDescent="0.25">
      <c r="AK269" t="str">
        <f ca="1"/>
        <v>Obs. 406</v>
      </c>
      <c r="AL269" s="7">
        <f ca="1"/>
        <v>57.5</v>
      </c>
      <c r="AN269" s="7" t="e">
        <f ca="1"/>
        <v>#REF!</v>
      </c>
      <c r="AO269" s="7" t="e">
        <f ca="1"/>
        <v>#REF!</v>
      </c>
      <c r="AP269" s="7">
        <f ca="1"/>
        <v>8.9796433303919176E-2</v>
      </c>
      <c r="AQ269" s="7" t="e">
        <f ca="1"/>
        <v>#REF!</v>
      </c>
      <c r="AR269" s="7" t="e">
        <f ca="1"/>
        <v>#REF!</v>
      </c>
      <c r="AS269" s="7">
        <f ca="1"/>
        <v>-0.99032898964496086</v>
      </c>
      <c r="AT269" s="7" t="e">
        <f ca="1"/>
        <v>#REF!</v>
      </c>
      <c r="AU269" s="7" t="e">
        <f ca="1"/>
        <v>#REF!</v>
      </c>
      <c r="AV269" s="7" t="e">
        <f ca="1"/>
        <v>#REF!</v>
      </c>
    </row>
    <row r="270" spans="37:48" x14ac:dyDescent="0.25">
      <c r="AK270" t="str">
        <f ca="1"/>
        <v>Obs. 407</v>
      </c>
      <c r="AL270" s="7">
        <f ca="1"/>
        <v>56.9</v>
      </c>
      <c r="AN270" s="7" t="e">
        <f ca="1"/>
        <v>#REF!</v>
      </c>
      <c r="AO270" s="7" t="e">
        <f ca="1"/>
        <v>#REF!</v>
      </c>
      <c r="AP270" s="7">
        <f ca="1"/>
        <v>0.11492440902321818</v>
      </c>
      <c r="AQ270" s="7" t="e">
        <f ca="1"/>
        <v>#REF!</v>
      </c>
      <c r="AR270" s="7" t="e">
        <f ca="1"/>
        <v>#REF!</v>
      </c>
      <c r="AS270" s="7">
        <f ca="1"/>
        <v>-0.99032898964496086</v>
      </c>
      <c r="AT270" s="7" t="e">
        <f ca="1"/>
        <v>#REF!</v>
      </c>
      <c r="AU270" s="7" t="e">
        <f ca="1"/>
        <v>#REF!</v>
      </c>
      <c r="AV270" s="7" t="e">
        <f ca="1"/>
        <v>#REF!</v>
      </c>
    </row>
    <row r="271" spans="37:48" x14ac:dyDescent="0.25">
      <c r="AK271" t="str">
        <f ca="1"/>
        <v>Obs. 408</v>
      </c>
      <c r="AL271" s="7">
        <f ca="1"/>
        <v>56.1</v>
      </c>
      <c r="AN271" s="7" t="e">
        <f ca="1"/>
        <v>#REF!</v>
      </c>
      <c r="AO271" s="7" t="e">
        <f ca="1"/>
        <v>#REF!</v>
      </c>
      <c r="AP271" s="7">
        <f ca="1"/>
        <v>8.3706930820370964E-2</v>
      </c>
      <c r="AQ271" s="7" t="e">
        <f ca="1"/>
        <v>#REF!</v>
      </c>
      <c r="AR271" s="7" t="e">
        <f ca="1"/>
        <v>#REF!</v>
      </c>
      <c r="AS271" s="7">
        <f ca="1"/>
        <v>-0.99032898964496086</v>
      </c>
      <c r="AT271" s="7" t="e">
        <f ca="1"/>
        <v>#REF!</v>
      </c>
      <c r="AU271" s="7" t="e">
        <f ca="1"/>
        <v>#REF!</v>
      </c>
      <c r="AV271" s="7" t="e">
        <f ca="1"/>
        <v>#REF!</v>
      </c>
    </row>
    <row r="272" spans="37:48" x14ac:dyDescent="0.25">
      <c r="AK272" t="str">
        <f ca="1"/>
        <v>Obs. 409</v>
      </c>
      <c r="AL272" s="7">
        <f ca="1"/>
        <v>55.3</v>
      </c>
      <c r="AN272" s="7" t="e">
        <f ca="1"/>
        <v>#REF!</v>
      </c>
      <c r="AO272" s="7" t="e">
        <f ca="1"/>
        <v>#REF!</v>
      </c>
      <c r="AP272" s="7">
        <f ca="1"/>
        <v>8.594180994226458E-2</v>
      </c>
      <c r="AQ272" s="7" t="e">
        <f ca="1"/>
        <v>#REF!</v>
      </c>
      <c r="AR272" s="7" t="e">
        <f ca="1"/>
        <v>#REF!</v>
      </c>
      <c r="AS272" s="7">
        <f ca="1"/>
        <v>-0.98044852568054008</v>
      </c>
      <c r="AT272" s="7" t="e">
        <f ca="1"/>
        <v>#REF!</v>
      </c>
      <c r="AU272" s="7" t="e">
        <f ca="1"/>
        <v>#REF!</v>
      </c>
      <c r="AV272" s="7" t="e">
        <f ca="1"/>
        <v>#REF!</v>
      </c>
    </row>
    <row r="273" spans="37:48" x14ac:dyDescent="0.25">
      <c r="AK273" t="str">
        <f ca="1"/>
        <v>Obs. 410</v>
      </c>
      <c r="AL273" s="7">
        <f ca="1"/>
        <v>54.3</v>
      </c>
      <c r="AN273" s="7" t="e">
        <f ca="1"/>
        <v>#REF!</v>
      </c>
      <c r="AO273" s="7" t="e">
        <f ca="1"/>
        <v>#REF!</v>
      </c>
      <c r="AP273" s="7">
        <f ca="1"/>
        <v>0.11688558596837284</v>
      </c>
      <c r="AQ273" s="7" t="e">
        <f ca="1"/>
        <v>#REF!</v>
      </c>
      <c r="AR273" s="7" t="e">
        <f ca="1"/>
        <v>#REF!</v>
      </c>
      <c r="AS273" s="7">
        <f ca="1"/>
        <v>-0.98044852568054008</v>
      </c>
      <c r="AT273" s="7" t="e">
        <f ca="1"/>
        <v>#REF!</v>
      </c>
      <c r="AU273" s="7" t="e">
        <f ca="1"/>
        <v>#REF!</v>
      </c>
      <c r="AV273" s="7" t="e">
        <f ca="1"/>
        <v>#REF!</v>
      </c>
    </row>
    <row r="274" spans="37:48" x14ac:dyDescent="0.25">
      <c r="AK274" t="str">
        <f ca="1"/>
        <v>Obs. 418</v>
      </c>
      <c r="AL274" s="7">
        <f ca="1"/>
        <v>59.1</v>
      </c>
      <c r="AN274" s="7" t="e">
        <f ca="1"/>
        <v>#REF!</v>
      </c>
      <c r="AO274" s="7" t="e">
        <f ca="1"/>
        <v>#REF!</v>
      </c>
      <c r="AP274" s="7">
        <f ca="1"/>
        <v>0.15885056788885984</v>
      </c>
      <c r="AQ274" s="7" t="e">
        <f ca="1"/>
        <v>#REF!</v>
      </c>
      <c r="AR274" s="7" t="e">
        <f ca="1"/>
        <v>#REF!</v>
      </c>
      <c r="AS274" s="7">
        <f ca="1"/>
        <v>-0.97554401628441823</v>
      </c>
      <c r="AT274" s="7" t="e">
        <f ca="1"/>
        <v>#REF!</v>
      </c>
      <c r="AU274" s="7" t="e">
        <f ca="1"/>
        <v>#REF!</v>
      </c>
      <c r="AV274" s="7" t="e">
        <f ca="1"/>
        <v>#REF!</v>
      </c>
    </row>
    <row r="275" spans="37:48" x14ac:dyDescent="0.25">
      <c r="AK275" t="str">
        <f ca="1"/>
        <v>Obs. 419</v>
      </c>
      <c r="AL275" s="7">
        <f ca="1"/>
        <v>58.6</v>
      </c>
      <c r="AN275" s="7" t="e">
        <f ca="1"/>
        <v>#REF!</v>
      </c>
      <c r="AO275" s="7" t="e">
        <f ca="1"/>
        <v>#REF!</v>
      </c>
      <c r="AP275" s="7">
        <f ca="1"/>
        <v>0.16243146458092875</v>
      </c>
      <c r="AQ275" s="7" t="e">
        <f ca="1"/>
        <v>#REF!</v>
      </c>
      <c r="AR275" s="7" t="e">
        <f ca="1"/>
        <v>#REF!</v>
      </c>
      <c r="AS275" s="7">
        <f ca="1"/>
        <v>-0.97554401628441823</v>
      </c>
      <c r="AT275" s="7" t="e">
        <f ca="1"/>
        <v>#REF!</v>
      </c>
      <c r="AU275" s="7" t="e">
        <f ca="1"/>
        <v>#REF!</v>
      </c>
      <c r="AV275" s="7" t="e">
        <f ca="1"/>
        <v>#REF!</v>
      </c>
    </row>
    <row r="276" spans="37:48" x14ac:dyDescent="0.25">
      <c r="AK276" t="str">
        <f ca="1"/>
        <v>Obs. 420</v>
      </c>
      <c r="AL276" s="7">
        <f ca="1"/>
        <v>58</v>
      </c>
      <c r="AN276" s="7" t="e">
        <f ca="1"/>
        <v>#REF!</v>
      </c>
      <c r="AO276" s="7" t="e">
        <f ca="1"/>
        <v>#REF!</v>
      </c>
      <c r="AP276" s="7">
        <f ca="1"/>
        <v>0.15795965083538099</v>
      </c>
      <c r="AQ276" s="7" t="e">
        <f ca="1"/>
        <v>#REF!</v>
      </c>
      <c r="AR276" s="7" t="e">
        <f ca="1"/>
        <v>#REF!</v>
      </c>
      <c r="AS276" s="7">
        <f ca="1"/>
        <v>-0.97554401628441823</v>
      </c>
      <c r="AT276" s="7" t="e">
        <f ca="1"/>
        <v>#REF!</v>
      </c>
      <c r="AU276" s="7" t="e">
        <f ca="1"/>
        <v>#REF!</v>
      </c>
      <c r="AV276" s="7" t="e">
        <f ca="1"/>
        <v>#REF!</v>
      </c>
    </row>
    <row r="277" spans="37:48" x14ac:dyDescent="0.25">
      <c r="AK277" t="str">
        <f ca="1"/>
        <v>Obs. 421</v>
      </c>
      <c r="AL277" s="7">
        <f ca="1"/>
        <v>57.4</v>
      </c>
      <c r="AN277" s="7" t="e">
        <f ca="1"/>
        <v>#REF!</v>
      </c>
      <c r="AO277" s="7" t="e">
        <f ca="1"/>
        <v>#REF!</v>
      </c>
      <c r="AP277" s="7">
        <f ca="1"/>
        <v>0.15319417874751565</v>
      </c>
      <c r="AQ277" s="7" t="e">
        <f ca="1"/>
        <v>#REF!</v>
      </c>
      <c r="AR277" s="7" t="e">
        <f ca="1"/>
        <v>#REF!</v>
      </c>
      <c r="AS277" s="7">
        <f ca="1"/>
        <v>-0.96823093621551704</v>
      </c>
      <c r="AT277" s="7" t="e">
        <f ca="1"/>
        <v>#REF!</v>
      </c>
      <c r="AU277" s="7" t="e">
        <f ca="1"/>
        <v>#REF!</v>
      </c>
      <c r="AV277" s="7" t="e">
        <f ca="1"/>
        <v>#REF!</v>
      </c>
    </row>
    <row r="278" spans="37:48" x14ac:dyDescent="0.25">
      <c r="AK278" t="str">
        <f ca="1"/>
        <v>Obs. 422</v>
      </c>
      <c r="AL278" s="7">
        <f ca="1"/>
        <v>56.8</v>
      </c>
      <c r="AN278" s="7" t="e">
        <f ca="1"/>
        <v>#REF!</v>
      </c>
      <c r="AO278" s="7" t="e">
        <f ca="1"/>
        <v>#REF!</v>
      </c>
      <c r="AP278" s="7">
        <f ca="1"/>
        <v>0.15529837239046407</v>
      </c>
      <c r="AQ278" s="7" t="e">
        <f ca="1"/>
        <v>#REF!</v>
      </c>
      <c r="AR278" s="7" t="e">
        <f ca="1"/>
        <v>#REF!</v>
      </c>
      <c r="AS278" s="7">
        <f ca="1"/>
        <v>-0.96823093621551704</v>
      </c>
      <c r="AT278" s="7" t="e">
        <f ca="1"/>
        <v>#REF!</v>
      </c>
      <c r="AU278" s="7" t="e">
        <f ca="1"/>
        <v>#REF!</v>
      </c>
      <c r="AV278" s="7" t="e">
        <f ca="1"/>
        <v>#REF!</v>
      </c>
    </row>
    <row r="279" spans="37:48" x14ac:dyDescent="0.25">
      <c r="AK279" t="str">
        <f ca="1"/>
        <v>Obs. 423</v>
      </c>
      <c r="AL279" s="7">
        <f ca="1"/>
        <v>56.2</v>
      </c>
      <c r="AN279" s="7" t="e">
        <f ca="1"/>
        <v>#REF!</v>
      </c>
      <c r="AO279" s="7" t="e">
        <f ca="1"/>
        <v>#REF!</v>
      </c>
      <c r="AP279" s="7">
        <f ca="1"/>
        <v>0.14934197636015217</v>
      </c>
      <c r="AQ279" s="7" t="e">
        <f ca="1"/>
        <v>#REF!</v>
      </c>
      <c r="AR279" s="7" t="e">
        <f ca="1"/>
        <v>#REF!</v>
      </c>
      <c r="AS279" s="7">
        <f ca="1"/>
        <v>-0.96823093621551704</v>
      </c>
      <c r="AT279" s="7" t="e">
        <f ca="1"/>
        <v>#REF!</v>
      </c>
      <c r="AU279" s="7" t="e">
        <f ca="1"/>
        <v>#REF!</v>
      </c>
      <c r="AV279" s="7" t="e">
        <f ca="1"/>
        <v>#REF!</v>
      </c>
    </row>
    <row r="280" spans="37:48" x14ac:dyDescent="0.25">
      <c r="AK280" t="str">
        <f ca="1"/>
        <v>Obs. 424</v>
      </c>
      <c r="AL280" s="7">
        <f ca="1"/>
        <v>55.3</v>
      </c>
      <c r="AN280" s="7" t="e">
        <f ca="1"/>
        <v>#REF!</v>
      </c>
      <c r="AO280" s="7" t="e">
        <f ca="1"/>
        <v>#REF!</v>
      </c>
      <c r="AP280" s="7">
        <f ca="1"/>
        <v>0.15395014066681406</v>
      </c>
      <c r="AQ280" s="7" t="e">
        <f ca="1"/>
        <v>#REF!</v>
      </c>
      <c r="AR280" s="7" t="e">
        <f ca="1"/>
        <v>#REF!</v>
      </c>
      <c r="AS280" s="7">
        <f ca="1"/>
        <v>-0.96823093621551704</v>
      </c>
      <c r="AT280" s="7" t="e">
        <f ca="1"/>
        <v>#REF!</v>
      </c>
      <c r="AU280" s="7" t="e">
        <f ca="1"/>
        <v>#REF!</v>
      </c>
      <c r="AV280" s="7" t="e">
        <f ca="1"/>
        <v>#REF!</v>
      </c>
    </row>
    <row r="281" spans="37:48" x14ac:dyDescent="0.25">
      <c r="AK281" t="str">
        <f ca="1"/>
        <v>Obs. 425</v>
      </c>
      <c r="AL281" s="7">
        <f ca="1"/>
        <v>54.8</v>
      </c>
      <c r="AN281" s="7" t="e">
        <f ca="1"/>
        <v>#REF!</v>
      </c>
      <c r="AO281" s="7" t="e">
        <f ca="1"/>
        <v>#REF!</v>
      </c>
      <c r="AP281" s="7">
        <f ca="1"/>
        <v>0.16149384908044706</v>
      </c>
      <c r="AQ281" s="7" t="e">
        <f ca="1"/>
        <v>#REF!</v>
      </c>
      <c r="AR281" s="7" t="e">
        <f ca="1"/>
        <v>#REF!</v>
      </c>
      <c r="AS281" s="7">
        <f ca="1"/>
        <v>-0.96823093621551704</v>
      </c>
      <c r="AT281" s="7" t="e">
        <f ca="1"/>
        <v>#REF!</v>
      </c>
      <c r="AU281" s="7" t="e">
        <f ca="1"/>
        <v>#REF!</v>
      </c>
      <c r="AV281" s="7" t="e">
        <f ca="1"/>
        <v>#REF!</v>
      </c>
    </row>
    <row r="282" spans="37:48" x14ac:dyDescent="0.25">
      <c r="AK282" t="str">
        <f ca="1"/>
        <v>Obs. 426</v>
      </c>
      <c r="AL282" s="7">
        <f ca="1"/>
        <v>54.1</v>
      </c>
      <c r="AN282" s="7" t="e">
        <f ca="1"/>
        <v>#REF!</v>
      </c>
      <c r="AO282" s="7" t="e">
        <f ca="1"/>
        <v>#REF!</v>
      </c>
      <c r="AP282" s="7">
        <f ca="1"/>
        <v>0.16129478425643895</v>
      </c>
      <c r="AQ282" s="7" t="e">
        <f ca="1"/>
        <v>#REF!</v>
      </c>
      <c r="AR282" s="7" t="e">
        <f ca="1"/>
        <v>#REF!</v>
      </c>
      <c r="AS282" s="7">
        <f ca="1"/>
        <v>-0.95615619123390583</v>
      </c>
      <c r="AT282" s="7" t="e">
        <f ca="1"/>
        <v>#REF!</v>
      </c>
      <c r="AU282" s="7" t="e">
        <f ca="1"/>
        <v>#REF!</v>
      </c>
      <c r="AV282" s="7" t="e">
        <f ca="1"/>
        <v>#REF!</v>
      </c>
    </row>
    <row r="283" spans="37:48" x14ac:dyDescent="0.25">
      <c r="AK283" t="str">
        <f ca="1"/>
        <v>Obs. 427</v>
      </c>
      <c r="AL283" s="7">
        <f ca="1"/>
        <v>53.4</v>
      </c>
      <c r="AN283" s="7" t="e">
        <f ca="1"/>
        <v>#REF!</v>
      </c>
      <c r="AO283" s="7" t="e">
        <f ca="1"/>
        <v>#REF!</v>
      </c>
      <c r="AP283" s="7">
        <f ca="1"/>
        <v>0.16184441281214032</v>
      </c>
      <c r="AQ283" s="7" t="e">
        <f ca="1"/>
        <v>#REF!</v>
      </c>
      <c r="AR283" s="7" t="e">
        <f ca="1"/>
        <v>#REF!</v>
      </c>
      <c r="AS283" s="7">
        <f ca="1"/>
        <v>-0.95615619123390583</v>
      </c>
      <c r="AT283" s="7" t="e">
        <f ca="1"/>
        <v>#REF!</v>
      </c>
      <c r="AU283" s="7" t="e">
        <f ca="1"/>
        <v>#REF!</v>
      </c>
      <c r="AV283" s="7" t="e">
        <f ca="1"/>
        <v>#REF!</v>
      </c>
    </row>
    <row r="284" spans="37:48" x14ac:dyDescent="0.25">
      <c r="AK284" t="str">
        <f ca="1"/>
        <v>Obs. 428</v>
      </c>
      <c r="AL284" s="7">
        <f ca="1"/>
        <v>52.6</v>
      </c>
      <c r="AN284" s="7" t="e">
        <f ca="1"/>
        <v>#REF!</v>
      </c>
      <c r="AO284" s="7" t="e">
        <f ca="1"/>
        <v>#REF!</v>
      </c>
      <c r="AP284" s="7">
        <f ca="1"/>
        <v>0.16421360207822019</v>
      </c>
      <c r="AQ284" s="7" t="e">
        <f ca="1"/>
        <v>#REF!</v>
      </c>
      <c r="AR284" s="7" t="e">
        <f ca="1"/>
        <v>#REF!</v>
      </c>
      <c r="AS284" s="7">
        <f ca="1"/>
        <v>-0.95615619123390583</v>
      </c>
      <c r="AT284" s="7" t="e">
        <f ca="1"/>
        <v>#REF!</v>
      </c>
      <c r="AU284" s="7" t="e">
        <f ca="1"/>
        <v>#REF!</v>
      </c>
      <c r="AV284" s="7" t="e">
        <f ca="1"/>
        <v>#REF!</v>
      </c>
    </row>
    <row r="285" spans="37:48" x14ac:dyDescent="0.25">
      <c r="AK285" t="str">
        <f ca="1"/>
        <v>Obs. 450</v>
      </c>
      <c r="AL285" s="7">
        <f ca="1"/>
        <v>73</v>
      </c>
      <c r="AN285" s="7" t="e">
        <f ca="1"/>
        <v>#REF!</v>
      </c>
      <c r="AO285" s="7" t="e">
        <f ca="1"/>
        <v>#REF!</v>
      </c>
      <c r="AP285" s="7">
        <f ca="1"/>
        <v>4.5315786835037092E-2</v>
      </c>
      <c r="AQ285" s="7" t="e">
        <f ca="1"/>
        <v>#REF!</v>
      </c>
      <c r="AR285" s="7" t="e">
        <f ca="1"/>
        <v>#REF!</v>
      </c>
      <c r="AS285" s="7">
        <f ca="1"/>
        <v>-0.94897780985887348</v>
      </c>
      <c r="AT285" s="7" t="e">
        <f ca="1"/>
        <v>#REF!</v>
      </c>
      <c r="AU285" s="7" t="e">
        <f ca="1"/>
        <v>#REF!</v>
      </c>
      <c r="AV285" s="7" t="e">
        <f ca="1"/>
        <v>#REF!</v>
      </c>
    </row>
    <row r="286" spans="37:48" x14ac:dyDescent="0.25">
      <c r="AK286" t="str">
        <f ca="1"/>
        <v>Obs. 451</v>
      </c>
      <c r="AL286" s="7">
        <f ca="1"/>
        <v>72.8</v>
      </c>
      <c r="AN286" s="7" t="e">
        <f ca="1"/>
        <v>#REF!</v>
      </c>
      <c r="AO286" s="7" t="e">
        <f ca="1"/>
        <v>#REF!</v>
      </c>
      <c r="AP286" s="7">
        <f ca="1"/>
        <v>4.3881512776805347E-2</v>
      </c>
      <c r="AQ286" s="7" t="e">
        <f ca="1"/>
        <v>#REF!</v>
      </c>
      <c r="AR286" s="7" t="e">
        <f ca="1"/>
        <v>#REF!</v>
      </c>
      <c r="AS286" s="7">
        <f ca="1"/>
        <v>-0.94897780985887348</v>
      </c>
      <c r="AT286" s="7" t="e">
        <f ca="1"/>
        <v>#REF!</v>
      </c>
      <c r="AU286" s="7" t="e">
        <f ca="1"/>
        <v>#REF!</v>
      </c>
      <c r="AV286" s="7" t="e">
        <f ca="1"/>
        <v>#REF!</v>
      </c>
    </row>
    <row r="287" spans="37:48" x14ac:dyDescent="0.25">
      <c r="AK287" t="str">
        <f ca="1"/>
        <v>Obs. 452</v>
      </c>
      <c r="AL287" s="7">
        <f ca="1"/>
        <v>72.7</v>
      </c>
      <c r="AN287" s="7" t="e">
        <f ca="1"/>
        <v>#REF!</v>
      </c>
      <c r="AO287" s="7" t="e">
        <f ca="1"/>
        <v>#REF!</v>
      </c>
      <c r="AP287" s="7">
        <f ca="1"/>
        <v>4.2181794636259033E-2</v>
      </c>
      <c r="AQ287" s="7" t="e">
        <f ca="1"/>
        <v>#REF!</v>
      </c>
      <c r="AR287" s="7" t="e">
        <f ca="1"/>
        <v>#REF!</v>
      </c>
      <c r="AS287" s="7">
        <f ca="1"/>
        <v>-0.94897780985887348</v>
      </c>
      <c r="AT287" s="7" t="e">
        <f ca="1"/>
        <v>#REF!</v>
      </c>
      <c r="AU287" s="7" t="e">
        <f ca="1"/>
        <v>#REF!</v>
      </c>
      <c r="AV287" s="7" t="e">
        <f ca="1"/>
        <v>#REF!</v>
      </c>
    </row>
    <row r="288" spans="37:48" x14ac:dyDescent="0.25">
      <c r="AK288" t="str">
        <f ca="1"/>
        <v>Obs. 453</v>
      </c>
      <c r="AL288" s="7">
        <f ca="1"/>
        <v>72.599999999999994</v>
      </c>
      <c r="AN288" s="7" t="e">
        <f ca="1"/>
        <v>#REF!</v>
      </c>
      <c r="AO288" s="7" t="e">
        <f ca="1"/>
        <v>#REF!</v>
      </c>
      <c r="AP288" s="7">
        <f ca="1"/>
        <v>6.064815878203552E-2</v>
      </c>
      <c r="AQ288" s="7" t="e">
        <f ca="1"/>
        <v>#REF!</v>
      </c>
      <c r="AR288" s="7" t="e">
        <f ca="1"/>
        <v>#REF!</v>
      </c>
      <c r="AS288" s="7">
        <f ca="1"/>
        <v>-0.94897780985887348</v>
      </c>
      <c r="AT288" s="7" t="e">
        <f ca="1"/>
        <v>#REF!</v>
      </c>
      <c r="AU288" s="7" t="e">
        <f ca="1"/>
        <v>#REF!</v>
      </c>
      <c r="AV288" s="7" t="e">
        <f ca="1"/>
        <v>#REF!</v>
      </c>
    </row>
    <row r="289" spans="37:48" x14ac:dyDescent="0.25">
      <c r="AK289" t="str">
        <f ca="1"/>
        <v>Obs. 454</v>
      </c>
      <c r="AL289" s="7">
        <f ca="1"/>
        <v>72.5</v>
      </c>
      <c r="AN289" s="7" t="e">
        <f ca="1"/>
        <v>#REF!</v>
      </c>
      <c r="AO289" s="7" t="e">
        <f ca="1"/>
        <v>#REF!</v>
      </c>
      <c r="AP289" s="7">
        <f ca="1"/>
        <v>3.8762238637918799E-2</v>
      </c>
      <c r="AQ289" s="7" t="e">
        <f ca="1"/>
        <v>#REF!</v>
      </c>
      <c r="AR289" s="7" t="e">
        <f ca="1"/>
        <v>#REF!</v>
      </c>
      <c r="AS289" s="7">
        <f ca="1"/>
        <v>-0.94897780985887348</v>
      </c>
      <c r="AT289" s="7" t="e">
        <f ca="1"/>
        <v>#REF!</v>
      </c>
      <c r="AU289" s="7" t="e">
        <f ca="1"/>
        <v>#REF!</v>
      </c>
      <c r="AV289" s="7" t="e">
        <f ca="1"/>
        <v>#REF!</v>
      </c>
    </row>
    <row r="290" spans="37:48" x14ac:dyDescent="0.25">
      <c r="AK290" t="str">
        <f ca="1"/>
        <v>Obs. 455</v>
      </c>
      <c r="AL290" s="7">
        <f ca="1"/>
        <v>72.400000000000006</v>
      </c>
      <c r="AN290" s="7" t="e">
        <f ca="1"/>
        <v>#REF!</v>
      </c>
      <c r="AO290" s="7" t="e">
        <f ca="1"/>
        <v>#REF!</v>
      </c>
      <c r="AP290" s="7">
        <f ca="1"/>
        <v>3.8410442277265137E-2</v>
      </c>
      <c r="AQ290" s="7" t="e">
        <f ca="1"/>
        <v>#REF!</v>
      </c>
      <c r="AR290" s="7" t="e">
        <f ca="1"/>
        <v>#REF!</v>
      </c>
      <c r="AS290" s="7">
        <f ca="1"/>
        <v>-0.93712127394454381</v>
      </c>
      <c r="AT290" s="7" t="e">
        <f ca="1"/>
        <v>#REF!</v>
      </c>
      <c r="AU290" s="7" t="e">
        <f ca="1"/>
        <v>#REF!</v>
      </c>
      <c r="AV290" s="7" t="e">
        <f ca="1"/>
        <v>#REF!</v>
      </c>
    </row>
    <row r="291" spans="37:48" x14ac:dyDescent="0.25">
      <c r="AK291" t="str">
        <f ca="1"/>
        <v>Obs. 456</v>
      </c>
      <c r="AL291" s="7">
        <f ca="1"/>
        <v>72.400000000000006</v>
      </c>
      <c r="AN291" s="7" t="e">
        <f ca="1"/>
        <v>#REF!</v>
      </c>
      <c r="AO291" s="7" t="e">
        <f ca="1"/>
        <v>#REF!</v>
      </c>
      <c r="AP291" s="7">
        <f ca="1"/>
        <v>3.8293729084486819E-2</v>
      </c>
      <c r="AQ291" s="7" t="e">
        <f ca="1"/>
        <v>#REF!</v>
      </c>
      <c r="AR291" s="7" t="e">
        <f ca="1"/>
        <v>#REF!</v>
      </c>
      <c r="AS291" s="7">
        <f ca="1"/>
        <v>-0.93712127394454381</v>
      </c>
      <c r="AT291" s="7" t="e">
        <f ca="1"/>
        <v>#REF!</v>
      </c>
      <c r="AU291" s="7" t="e">
        <f ca="1"/>
        <v>#REF!</v>
      </c>
      <c r="AV291" s="7" t="e">
        <f ca="1"/>
        <v>#REF!</v>
      </c>
    </row>
    <row r="292" spans="37:48" x14ac:dyDescent="0.25">
      <c r="AK292" t="str">
        <f ca="1"/>
        <v>Obs. 457</v>
      </c>
      <c r="AL292" s="7">
        <f ca="1"/>
        <v>72.3</v>
      </c>
      <c r="AN292" s="7" t="e">
        <f ca="1"/>
        <v>#REF!</v>
      </c>
      <c r="AO292" s="7" t="e">
        <f ca="1"/>
        <v>#REF!</v>
      </c>
      <c r="AP292" s="7">
        <f ca="1"/>
        <v>3.912667974146531E-2</v>
      </c>
      <c r="AQ292" s="7" t="e">
        <f ca="1"/>
        <v>#REF!</v>
      </c>
      <c r="AR292" s="7" t="e">
        <f ca="1"/>
        <v>#REF!</v>
      </c>
      <c r="AS292" s="7">
        <f ca="1"/>
        <v>-0.93241539434320697</v>
      </c>
      <c r="AT292" s="7" t="e">
        <f ca="1"/>
        <v>#REF!</v>
      </c>
      <c r="AU292" s="7" t="e">
        <f ca="1"/>
        <v>#REF!</v>
      </c>
      <c r="AV292" s="7" t="e">
        <f ca="1"/>
        <v>#REF!</v>
      </c>
    </row>
    <row r="293" spans="37:48" x14ac:dyDescent="0.25">
      <c r="AK293" t="str">
        <f ca="1"/>
        <v>Obs. 458</v>
      </c>
      <c r="AL293" s="7">
        <f ca="1"/>
        <v>72.099999999999994</v>
      </c>
      <c r="AN293" s="7" t="e">
        <f ca="1"/>
        <v>#REF!</v>
      </c>
      <c r="AO293" s="7" t="e">
        <f ca="1"/>
        <v>#REF!</v>
      </c>
      <c r="AP293" s="7">
        <f ca="1"/>
        <v>3.8269241984715464E-2</v>
      </c>
      <c r="AQ293" s="7" t="e">
        <f ca="1"/>
        <v>#REF!</v>
      </c>
      <c r="AR293" s="7" t="e">
        <f ca="1"/>
        <v>#REF!</v>
      </c>
      <c r="AS293" s="7">
        <f ca="1"/>
        <v>-0.93241539434320697</v>
      </c>
      <c r="AT293" s="7" t="e">
        <f ca="1"/>
        <v>#REF!</v>
      </c>
      <c r="AU293" s="7" t="e">
        <f ca="1"/>
        <v>#REF!</v>
      </c>
      <c r="AV293" s="7" t="e">
        <f ca="1"/>
        <v>#REF!</v>
      </c>
    </row>
    <row r="294" spans="37:48" x14ac:dyDescent="0.25">
      <c r="AK294" t="str">
        <f ca="1"/>
        <v>Obs. 459</v>
      </c>
      <c r="AL294" s="7">
        <f ca="1"/>
        <v>71.8</v>
      </c>
      <c r="AN294" s="7" t="e">
        <f ca="1"/>
        <v>#REF!</v>
      </c>
      <c r="AO294" s="7" t="e">
        <f ca="1"/>
        <v>#REF!</v>
      </c>
      <c r="AP294" s="7">
        <f ca="1"/>
        <v>3.9356925931719945E-2</v>
      </c>
      <c r="AQ294" s="7" t="e">
        <f ca="1"/>
        <v>#REF!</v>
      </c>
      <c r="AR294" s="7" t="e">
        <f ca="1"/>
        <v>#REF!</v>
      </c>
      <c r="AS294" s="7">
        <f ca="1"/>
        <v>-0.9277300733017374</v>
      </c>
      <c r="AT294" s="7" t="e">
        <f ca="1"/>
        <v>#REF!</v>
      </c>
      <c r="AU294" s="7" t="e">
        <f ca="1"/>
        <v>#REF!</v>
      </c>
      <c r="AV294" s="7" t="e">
        <f ca="1"/>
        <v>#REF!</v>
      </c>
    </row>
    <row r="295" spans="37:48" x14ac:dyDescent="0.25">
      <c r="AK295" t="str">
        <f ca="1"/>
        <v>Obs. 460</v>
      </c>
      <c r="AL295" s="7">
        <f ca="1"/>
        <v>71.400000000000006</v>
      </c>
      <c r="AN295" s="7" t="e">
        <f ca="1"/>
        <v>#REF!</v>
      </c>
      <c r="AO295" s="7" t="e">
        <f ca="1"/>
        <v>#REF!</v>
      </c>
      <c r="AP295" s="7">
        <f ca="1"/>
        <v>4.1040628896272996E-2</v>
      </c>
      <c r="AQ295" s="7" t="e">
        <f ca="1"/>
        <v>#REF!</v>
      </c>
      <c r="AR295" s="7" t="e">
        <f ca="1"/>
        <v>#REF!</v>
      </c>
      <c r="AS295" s="7">
        <f ca="1"/>
        <v>-0.9277300733017374</v>
      </c>
      <c r="AT295" s="7" t="e">
        <f ca="1"/>
        <v>#REF!</v>
      </c>
      <c r="AU295" s="7" t="e">
        <f ca="1"/>
        <v>#REF!</v>
      </c>
      <c r="AV295" s="7" t="e">
        <f ca="1"/>
        <v>#REF!</v>
      </c>
    </row>
    <row r="296" spans="37:48" x14ac:dyDescent="0.25">
      <c r="AK296" t="str">
        <f ca="1"/>
        <v>Obs. 461</v>
      </c>
      <c r="AL296" s="7">
        <f ca="1"/>
        <v>71.099999999999994</v>
      </c>
      <c r="AN296" s="7" t="e">
        <f ca="1"/>
        <v>#REF!</v>
      </c>
      <c r="AO296" s="7" t="e">
        <f ca="1"/>
        <v>#REF!</v>
      </c>
      <c r="AP296" s="7">
        <f ca="1"/>
        <v>3.9278421861897159E-2</v>
      </c>
      <c r="AQ296" s="7" t="e">
        <f ca="1"/>
        <v>#REF!</v>
      </c>
      <c r="AR296" s="7" t="e">
        <f ca="1"/>
        <v>#REF!</v>
      </c>
      <c r="AS296" s="7">
        <f ca="1"/>
        <v>-0.9277300733017374</v>
      </c>
      <c r="AT296" s="7" t="e">
        <f ca="1"/>
        <v>#REF!</v>
      </c>
      <c r="AU296" s="7" t="e">
        <f ca="1"/>
        <v>#REF!</v>
      </c>
      <c r="AV296" s="7" t="e">
        <f ca="1"/>
        <v>#REF!</v>
      </c>
    </row>
    <row r="297" spans="37:48" x14ac:dyDescent="0.25">
      <c r="AK297" t="str">
        <f ca="1"/>
        <v>Obs. 462</v>
      </c>
      <c r="AL297" s="7">
        <f ca="1"/>
        <v>77</v>
      </c>
      <c r="AN297" s="7" t="e">
        <f ca="1"/>
        <v>#REF!</v>
      </c>
      <c r="AO297" s="7" t="e">
        <f ca="1"/>
        <v>#REF!</v>
      </c>
      <c r="AP297" s="7">
        <f ca="1"/>
        <v>5.0503155885392656E-2</v>
      </c>
      <c r="AQ297" s="7" t="e">
        <f ca="1"/>
        <v>#REF!</v>
      </c>
      <c r="AR297" s="7" t="e">
        <f ca="1"/>
        <v>#REF!</v>
      </c>
      <c r="AS297" s="7">
        <f ca="1"/>
        <v>-0.9277300733017374</v>
      </c>
      <c r="AT297" s="7" t="e">
        <f ca="1"/>
        <v>#REF!</v>
      </c>
      <c r="AU297" s="7" t="e">
        <f ca="1"/>
        <v>#REF!</v>
      </c>
      <c r="AV297" s="7" t="e">
        <f ca="1"/>
        <v>#REF!</v>
      </c>
    </row>
    <row r="298" spans="37:48" x14ac:dyDescent="0.25">
      <c r="AK298" t="str">
        <f ca="1"/>
        <v>Obs. 466</v>
      </c>
      <c r="AL298" s="7">
        <f ca="1"/>
        <v>68.3</v>
      </c>
      <c r="AN298" s="7" t="e">
        <f ca="1"/>
        <v>#REF!</v>
      </c>
      <c r="AO298" s="7" t="e">
        <f ca="1"/>
        <v>#REF!</v>
      </c>
      <c r="AP298" s="7">
        <f ca="1"/>
        <v>0.1407728964728204</v>
      </c>
      <c r="AQ298" s="7" t="e">
        <f ca="1"/>
        <v>#REF!</v>
      </c>
      <c r="AR298" s="7" t="e">
        <f ca="1"/>
        <v>#REF!</v>
      </c>
      <c r="AS298" s="7">
        <f ca="1"/>
        <v>-0.91841998904288702</v>
      </c>
      <c r="AT298" s="7" t="e">
        <f ca="1"/>
        <v>#REF!</v>
      </c>
      <c r="AU298" s="7" t="e">
        <f ca="1"/>
        <v>#REF!</v>
      </c>
      <c r="AV298" s="7" t="e">
        <f ca="1"/>
        <v>#REF!</v>
      </c>
    </row>
    <row r="299" spans="37:48" x14ac:dyDescent="0.25">
      <c r="AK299" t="str">
        <f ca="1"/>
        <v>Obs. 467</v>
      </c>
      <c r="AL299" s="7">
        <f ca="1"/>
        <v>67.8</v>
      </c>
      <c r="AN299" s="7" t="e">
        <f ca="1"/>
        <v>#REF!</v>
      </c>
      <c r="AO299" s="7" t="e">
        <f ca="1"/>
        <v>#REF!</v>
      </c>
      <c r="AP299" s="7">
        <f ca="1"/>
        <v>0.1170742920108731</v>
      </c>
      <c r="AQ299" s="7" t="e">
        <f ca="1"/>
        <v>#REF!</v>
      </c>
      <c r="AR299" s="7" t="e">
        <f ca="1"/>
        <v>#REF!</v>
      </c>
      <c r="AS299" s="7">
        <f ca="1"/>
        <v>-0.91841998904288702</v>
      </c>
      <c r="AT299" s="7" t="e">
        <f ca="1"/>
        <v>#REF!</v>
      </c>
      <c r="AU299" s="7" t="e">
        <f ca="1"/>
        <v>#REF!</v>
      </c>
      <c r="AV299" s="7" t="e">
        <f ca="1"/>
        <v>#REF!</v>
      </c>
    </row>
    <row r="300" spans="37:48" x14ac:dyDescent="0.25">
      <c r="AK300" t="str">
        <f ca="1"/>
        <v>Obs. 468</v>
      </c>
      <c r="AL300" s="7">
        <f ca="1"/>
        <v>67.400000000000006</v>
      </c>
      <c r="AN300" s="7" t="e">
        <f ca="1"/>
        <v>#REF!</v>
      </c>
      <c r="AO300" s="7" t="e">
        <f ca="1"/>
        <v>#REF!</v>
      </c>
      <c r="AP300" s="7">
        <f ca="1"/>
        <v>0.11648116234207075</v>
      </c>
      <c r="AQ300" s="7" t="e">
        <f ca="1"/>
        <v>#REF!</v>
      </c>
      <c r="AR300" s="7" t="e">
        <f ca="1"/>
        <v>#REF!</v>
      </c>
      <c r="AS300" s="7">
        <f ca="1"/>
        <v>-0.91841998904288702</v>
      </c>
      <c r="AT300" s="7" t="e">
        <f ca="1"/>
        <v>#REF!</v>
      </c>
      <c r="AU300" s="7" t="e">
        <f ca="1"/>
        <v>#REF!</v>
      </c>
      <c r="AV300" s="7" t="e">
        <f ca="1"/>
        <v>#REF!</v>
      </c>
    </row>
    <row r="301" spans="37:48" x14ac:dyDescent="0.25">
      <c r="AK301" t="str">
        <f ca="1"/>
        <v>Obs. 469</v>
      </c>
      <c r="AL301" s="7">
        <f ca="1"/>
        <v>67</v>
      </c>
      <c r="AN301" s="7" t="e">
        <f ca="1"/>
        <v>#REF!</v>
      </c>
      <c r="AO301" s="7" t="e">
        <f ca="1"/>
        <v>#REF!</v>
      </c>
      <c r="AP301" s="7">
        <f ca="1"/>
        <v>0.11770416855332526</v>
      </c>
      <c r="AQ301" s="7" t="e">
        <f ca="1"/>
        <v>#REF!</v>
      </c>
      <c r="AR301" s="7" t="e">
        <f ca="1"/>
        <v>#REF!</v>
      </c>
      <c r="AS301" s="7">
        <f ca="1"/>
        <v>-0.91148934236618206</v>
      </c>
      <c r="AT301" s="7" t="e">
        <f ca="1"/>
        <v>#REF!</v>
      </c>
      <c r="AU301" s="7" t="e">
        <f ca="1"/>
        <v>#REF!</v>
      </c>
      <c r="AV301" s="7" t="e">
        <f ca="1"/>
        <v>#REF!</v>
      </c>
    </row>
    <row r="302" spans="37:48" x14ac:dyDescent="0.25">
      <c r="AK302" t="str">
        <f ca="1"/>
        <v>Obs. 470</v>
      </c>
      <c r="AL302" s="7">
        <f ca="1"/>
        <v>66.599999999999994</v>
      </c>
      <c r="AN302" s="7" t="e">
        <f ca="1"/>
        <v>#REF!</v>
      </c>
      <c r="AO302" s="7" t="e">
        <f ca="1"/>
        <v>#REF!</v>
      </c>
      <c r="AP302" s="7">
        <f ca="1"/>
        <v>0.11604987220149791</v>
      </c>
      <c r="AQ302" s="7" t="e">
        <f ca="1"/>
        <v>#REF!</v>
      </c>
      <c r="AR302" s="7" t="e">
        <f ca="1"/>
        <v>#REF!</v>
      </c>
      <c r="AS302" s="7">
        <f ca="1"/>
        <v>-0.91148934236618206</v>
      </c>
      <c r="AT302" s="7" t="e">
        <f ca="1"/>
        <v>#REF!</v>
      </c>
      <c r="AU302" s="7" t="e">
        <f ca="1"/>
        <v>#REF!</v>
      </c>
      <c r="AV302" s="7" t="e">
        <f ca="1"/>
        <v>#REF!</v>
      </c>
    </row>
    <row r="303" spans="37:48" x14ac:dyDescent="0.25">
      <c r="AK303" t="str">
        <f ca="1"/>
        <v>Obs. 471</v>
      </c>
      <c r="AL303" s="7">
        <f ca="1"/>
        <v>66.099999999999994</v>
      </c>
      <c r="AN303" s="7" t="e">
        <f ca="1"/>
        <v>#REF!</v>
      </c>
      <c r="AO303" s="7" t="e">
        <f ca="1"/>
        <v>#REF!</v>
      </c>
      <c r="AP303" s="7">
        <f ca="1"/>
        <v>0.11699964791212343</v>
      </c>
      <c r="AQ303" s="7" t="e">
        <f ca="1"/>
        <v>#REF!</v>
      </c>
      <c r="AR303" s="7" t="e">
        <f ca="1"/>
        <v>#REF!</v>
      </c>
      <c r="AS303" s="7">
        <f ca="1"/>
        <v>-0.91148934236618206</v>
      </c>
      <c r="AT303" s="7" t="e">
        <f ca="1"/>
        <v>#REF!</v>
      </c>
      <c r="AU303" s="7" t="e">
        <f ca="1"/>
        <v>#REF!</v>
      </c>
      <c r="AV303" s="7" t="e">
        <f ca="1"/>
        <v>#REF!</v>
      </c>
    </row>
    <row r="304" spans="37:48" x14ac:dyDescent="0.25">
      <c r="AK304" t="str">
        <f ca="1"/>
        <v>Obs. 472</v>
      </c>
      <c r="AL304" s="7">
        <f ca="1"/>
        <v>65.599999999999994</v>
      </c>
      <c r="AN304" s="7" t="e">
        <f ca="1"/>
        <v>#REF!</v>
      </c>
      <c r="AO304" s="7" t="e">
        <f ca="1"/>
        <v>#REF!</v>
      </c>
      <c r="AP304" s="7">
        <f ca="1"/>
        <v>0.11669234280817795</v>
      </c>
      <c r="AQ304" s="7" t="e">
        <f ca="1"/>
        <v>#REF!</v>
      </c>
      <c r="AR304" s="7" t="e">
        <f ca="1"/>
        <v>#REF!</v>
      </c>
      <c r="AS304" s="7">
        <f ca="1"/>
        <v>-0.90460220385671419</v>
      </c>
      <c r="AT304" s="7" t="e">
        <f ca="1"/>
        <v>#REF!</v>
      </c>
      <c r="AU304" s="7" t="e">
        <f ca="1"/>
        <v>#REF!</v>
      </c>
      <c r="AV304" s="7" t="e">
        <f ca="1"/>
        <v>#REF!</v>
      </c>
    </row>
    <row r="305" spans="37:48" x14ac:dyDescent="0.25">
      <c r="AK305" t="str">
        <f ca="1"/>
        <v>Obs. 473</v>
      </c>
      <c r="AL305" s="7">
        <f ca="1"/>
        <v>65</v>
      </c>
      <c r="AN305" s="7" t="e">
        <f ca="1"/>
        <v>#REF!</v>
      </c>
      <c r="AO305" s="7" t="e">
        <f ca="1"/>
        <v>#REF!</v>
      </c>
      <c r="AP305" s="7">
        <f ca="1"/>
        <v>0.11866791512068026</v>
      </c>
      <c r="AQ305" s="7" t="e">
        <f ca="1"/>
        <v>#REF!</v>
      </c>
      <c r="AR305" s="7" t="e">
        <f ca="1"/>
        <v>#REF!</v>
      </c>
      <c r="AS305" s="7">
        <f ca="1"/>
        <v>-0.90460220385671419</v>
      </c>
      <c r="AT305" s="7" t="e">
        <f ca="1"/>
        <v>#REF!</v>
      </c>
      <c r="AU305" s="7" t="e">
        <f ca="1"/>
        <v>#REF!</v>
      </c>
      <c r="AV305" s="7" t="e">
        <f ca="1"/>
        <v>#REF!</v>
      </c>
    </row>
    <row r="306" spans="37:48" x14ac:dyDescent="0.25">
      <c r="AK306" t="str">
        <f ca="1"/>
        <v>Obs. 474</v>
      </c>
      <c r="AL306" s="7">
        <f ca="1"/>
        <v>64.099999999999994</v>
      </c>
      <c r="AN306" s="7" t="e">
        <f ca="1"/>
        <v>#REF!</v>
      </c>
      <c r="AO306" s="7" t="e">
        <f ca="1"/>
        <v>#REF!</v>
      </c>
      <c r="AP306" s="7">
        <f ca="1"/>
        <v>0.13199566876670721</v>
      </c>
      <c r="AQ306" s="7" t="e">
        <f ca="1"/>
        <v>#REF!</v>
      </c>
      <c r="AR306" s="7" t="e">
        <f ca="1"/>
        <v>#REF!</v>
      </c>
      <c r="AS306" s="7">
        <f ca="1"/>
        <v>-0.90460220385671419</v>
      </c>
      <c r="AT306" s="7" t="e">
        <f ca="1"/>
        <v>#REF!</v>
      </c>
      <c r="AU306" s="7" t="e">
        <f ca="1"/>
        <v>#REF!</v>
      </c>
      <c r="AV306" s="7" t="e">
        <f ca="1"/>
        <v>#REF!</v>
      </c>
    </row>
    <row r="307" spans="37:48" x14ac:dyDescent="0.25">
      <c r="AK307" t="str">
        <f ca="1"/>
        <v>Obs. 482</v>
      </c>
      <c r="AL307" s="7">
        <f ca="1"/>
        <v>56.7</v>
      </c>
      <c r="AN307" s="7" t="e">
        <f ca="1"/>
        <v>#REF!</v>
      </c>
      <c r="AO307" s="7" t="e">
        <f ca="1"/>
        <v>#REF!</v>
      </c>
      <c r="AP307" s="7">
        <f ca="1"/>
        <v>0.11545350881944122</v>
      </c>
      <c r="AQ307" s="7" t="e">
        <f ca="1"/>
        <v>#REF!</v>
      </c>
      <c r="AR307" s="7" t="e">
        <f ca="1"/>
        <v>#REF!</v>
      </c>
      <c r="AS307" s="7">
        <f ca="1"/>
        <v>-0.90460220385671419</v>
      </c>
      <c r="AT307" s="7" t="e">
        <f ca="1"/>
        <v>#REF!</v>
      </c>
      <c r="AU307" s="7" t="e">
        <f ca="1"/>
        <v>#REF!</v>
      </c>
      <c r="AV307" s="7" t="e">
        <f ca="1"/>
        <v>#REF!</v>
      </c>
    </row>
    <row r="308" spans="37:48" x14ac:dyDescent="0.25">
      <c r="AK308" t="str">
        <f ca="1"/>
        <v>Obs. 483</v>
      </c>
      <c r="AL308" s="7">
        <f ca="1"/>
        <v>56.4</v>
      </c>
      <c r="AN308" s="7" t="e">
        <f ca="1"/>
        <v>#REF!</v>
      </c>
      <c r="AO308" s="7" t="e">
        <f ca="1"/>
        <v>#REF!</v>
      </c>
      <c r="AP308" s="7">
        <f ca="1"/>
        <v>0.11550032442314848</v>
      </c>
      <c r="AQ308" s="7" t="e">
        <f ca="1"/>
        <v>#REF!</v>
      </c>
      <c r="AR308" s="7" t="e">
        <f ca="1"/>
        <v>#REF!</v>
      </c>
      <c r="AS308" s="7">
        <f ca="1"/>
        <v>-0.90460220385671419</v>
      </c>
      <c r="AT308" s="7" t="e">
        <f ca="1"/>
        <v>#REF!</v>
      </c>
      <c r="AU308" s="7" t="e">
        <f ca="1"/>
        <v>#REF!</v>
      </c>
      <c r="AV308" s="7" t="e">
        <f ca="1"/>
        <v>#REF!</v>
      </c>
    </row>
    <row r="309" spans="37:48" x14ac:dyDescent="0.25">
      <c r="AK309" t="str">
        <f ca="1"/>
        <v>Obs. 484</v>
      </c>
      <c r="AL309" s="7">
        <f ca="1"/>
        <v>55.9</v>
      </c>
      <c r="AN309" s="7" t="e">
        <f ca="1"/>
        <v>#REF!</v>
      </c>
      <c r="AO309" s="7" t="e">
        <f ca="1"/>
        <v>#REF!</v>
      </c>
      <c r="AP309" s="7">
        <f ca="1"/>
        <v>0.11567305880854262</v>
      </c>
      <c r="AQ309" s="7" t="e">
        <f ca="1"/>
        <v>#REF!</v>
      </c>
      <c r="AR309" s="7" t="e">
        <f ca="1"/>
        <v>#REF!</v>
      </c>
      <c r="AS309" s="7">
        <f ca="1"/>
        <v>-0.90460220385671419</v>
      </c>
      <c r="AT309" s="7" t="e">
        <f ca="1"/>
        <v>#REF!</v>
      </c>
      <c r="AU309" s="7" t="e">
        <f ca="1"/>
        <v>#REF!</v>
      </c>
      <c r="AV309" s="7" t="e">
        <f ca="1"/>
        <v>#REF!</v>
      </c>
    </row>
    <row r="310" spans="37:48" x14ac:dyDescent="0.25">
      <c r="AK310" t="str">
        <f ca="1"/>
        <v>Obs. 485</v>
      </c>
      <c r="AL310" s="7">
        <f ca="1"/>
        <v>55.6</v>
      </c>
      <c r="AN310" s="7" t="e">
        <f ca="1"/>
        <v>#REF!</v>
      </c>
      <c r="AO310" s="7" t="e">
        <f ca="1"/>
        <v>#REF!</v>
      </c>
      <c r="AP310" s="7">
        <f ca="1"/>
        <v>0.12403099455680534</v>
      </c>
      <c r="AQ310" s="7" t="e">
        <f ca="1"/>
        <v>#REF!</v>
      </c>
      <c r="AR310" s="7" t="e">
        <f ca="1"/>
        <v>#REF!</v>
      </c>
      <c r="AS310" s="7">
        <f ca="1"/>
        <v>-0.89095501331493132</v>
      </c>
      <c r="AT310" s="7" t="e">
        <f ca="1"/>
        <v>#REF!</v>
      </c>
      <c r="AU310" s="7" t="e">
        <f ca="1"/>
        <v>#REF!</v>
      </c>
      <c r="AV310" s="7" t="e">
        <f ca="1"/>
        <v>#REF!</v>
      </c>
    </row>
    <row r="311" spans="37:48" x14ac:dyDescent="0.25">
      <c r="AK311" t="str">
        <f ca="1"/>
        <v>Obs. 486</v>
      </c>
      <c r="AL311" s="7">
        <f ca="1"/>
        <v>55.3</v>
      </c>
      <c r="AN311" s="7" t="e">
        <f ca="1"/>
        <v>#REF!</v>
      </c>
      <c r="AO311" s="7" t="e">
        <f ca="1"/>
        <v>#REF!</v>
      </c>
      <c r="AP311" s="7">
        <f ca="1"/>
        <v>0.11804276123781517</v>
      </c>
      <c r="AQ311" s="7" t="e">
        <f ca="1"/>
        <v>#REF!</v>
      </c>
      <c r="AR311" s="7" t="e">
        <f ca="1"/>
        <v>#REF!</v>
      </c>
      <c r="AS311" s="7">
        <f ca="1"/>
        <v>-0.88869659543514345</v>
      </c>
      <c r="AT311" s="7" t="e">
        <f ca="1"/>
        <v>#REF!</v>
      </c>
      <c r="AU311" s="7" t="e">
        <f ca="1"/>
        <v>#REF!</v>
      </c>
      <c r="AV311" s="7" t="e">
        <f ca="1"/>
        <v>#REF!</v>
      </c>
    </row>
    <row r="312" spans="37:48" x14ac:dyDescent="0.25">
      <c r="AK312" t="str">
        <f ca="1"/>
        <v>Obs. 487</v>
      </c>
      <c r="AL312" s="7">
        <f ca="1"/>
        <v>54.8</v>
      </c>
      <c r="AN312" s="7" t="e">
        <f ca="1"/>
        <v>#REF!</v>
      </c>
      <c r="AO312" s="7" t="e">
        <f ca="1"/>
        <v>#REF!</v>
      </c>
      <c r="AP312" s="7">
        <f ca="1"/>
        <v>0.12394790600009715</v>
      </c>
      <c r="AQ312" s="7" t="e">
        <f ca="1"/>
        <v>#REF!</v>
      </c>
      <c r="AR312" s="7" t="e">
        <f ca="1"/>
        <v>#REF!</v>
      </c>
      <c r="AS312" s="7">
        <f ca="1"/>
        <v>-0.88869659543514345</v>
      </c>
      <c r="AT312" s="7" t="e">
        <f ca="1"/>
        <v>#REF!</v>
      </c>
      <c r="AU312" s="7" t="e">
        <f ca="1"/>
        <v>#REF!</v>
      </c>
      <c r="AV312" s="7" t="e">
        <f ca="1"/>
        <v>#REF!</v>
      </c>
    </row>
    <row r="313" spans="37:48" x14ac:dyDescent="0.25">
      <c r="AK313" t="str">
        <f ca="1"/>
        <v>Obs. 488</v>
      </c>
      <c r="AL313" s="7">
        <f ca="1"/>
        <v>54.2</v>
      </c>
      <c r="AN313" s="7" t="e">
        <f ca="1"/>
        <v>#REF!</v>
      </c>
      <c r="AO313" s="7" t="e">
        <f ca="1"/>
        <v>#REF!</v>
      </c>
      <c r="AP313" s="7">
        <f ca="1"/>
        <v>0.11074417724019045</v>
      </c>
      <c r="AQ313" s="7" t="e">
        <f ca="1"/>
        <v>#REF!</v>
      </c>
      <c r="AR313" s="7" t="e">
        <f ca="1"/>
        <v>#REF!</v>
      </c>
      <c r="AS313" s="7">
        <f ca="1"/>
        <v>-0.88869659543514345</v>
      </c>
      <c r="AT313" s="7" t="e">
        <f ca="1"/>
        <v>#REF!</v>
      </c>
      <c r="AU313" s="7" t="e">
        <f ca="1"/>
        <v>#REF!</v>
      </c>
      <c r="AV313" s="7" t="e">
        <f ca="1"/>
        <v>#REF!</v>
      </c>
    </row>
    <row r="314" spans="37:48" x14ac:dyDescent="0.25">
      <c r="AK314" t="str">
        <f ca="1"/>
        <v>Obs. 489</v>
      </c>
      <c r="AL314" s="7">
        <f ca="1"/>
        <v>53.6</v>
      </c>
      <c r="AN314" s="7" t="e">
        <f ca="1"/>
        <v>#REF!</v>
      </c>
      <c r="AO314" s="7" t="e">
        <f ca="1"/>
        <v>#REF!</v>
      </c>
      <c r="AP314" s="7">
        <f ca="1"/>
        <v>0.11240152887569572</v>
      </c>
      <c r="AQ314" s="7" t="e">
        <f ca="1"/>
        <v>#REF!</v>
      </c>
      <c r="AR314" s="7" t="e">
        <f ca="1"/>
        <v>#REF!</v>
      </c>
      <c r="AS314" s="7">
        <f ca="1"/>
        <v>-0.88869659543514345</v>
      </c>
      <c r="AT314" s="7" t="e">
        <f ca="1"/>
        <v>#REF!</v>
      </c>
      <c r="AU314" s="7" t="e">
        <f ca="1"/>
        <v>#REF!</v>
      </c>
      <c r="AV314" s="7" t="e">
        <f ca="1"/>
        <v>#REF!</v>
      </c>
    </row>
    <row r="315" spans="37:48" x14ac:dyDescent="0.25">
      <c r="AK315" t="str">
        <f ca="1"/>
        <v>Obs. 490</v>
      </c>
      <c r="AL315" s="7">
        <f ca="1"/>
        <v>53.3</v>
      </c>
      <c r="AN315" s="7" t="e">
        <f ca="1"/>
        <v>#REF!</v>
      </c>
      <c r="AO315" s="7" t="e">
        <f ca="1"/>
        <v>#REF!</v>
      </c>
      <c r="AP315" s="7">
        <f ca="1"/>
        <v>0.11107267630719778</v>
      </c>
      <c r="AQ315" s="7" t="e">
        <f ca="1"/>
        <v>#REF!</v>
      </c>
      <c r="AR315" s="7" t="e">
        <f ca="1"/>
        <v>#REF!</v>
      </c>
      <c r="AS315" s="7">
        <f ca="1"/>
        <v>-0.87970786716299942</v>
      </c>
      <c r="AT315" s="7" t="e">
        <f ca="1"/>
        <v>#REF!</v>
      </c>
      <c r="AU315" s="7" t="e">
        <f ca="1"/>
        <v>#REF!</v>
      </c>
      <c r="AV315" s="7" t="e">
        <f ca="1"/>
        <v>#REF!</v>
      </c>
    </row>
    <row r="316" spans="37:48" x14ac:dyDescent="0.25">
      <c r="AK316" t="str">
        <f ca="1"/>
        <v>Obs. 491</v>
      </c>
      <c r="AL316" s="7">
        <f ca="1"/>
        <v>52.8</v>
      </c>
      <c r="AN316" s="7" t="e">
        <f ca="1"/>
        <v>#REF!</v>
      </c>
      <c r="AO316" s="7" t="e">
        <f ca="1"/>
        <v>#REF!</v>
      </c>
      <c r="AP316" s="7">
        <f ca="1"/>
        <v>0.13280707269476461</v>
      </c>
      <c r="AQ316" s="7" t="e">
        <f ca="1"/>
        <v>#REF!</v>
      </c>
      <c r="AR316" s="7" t="e">
        <f ca="1"/>
        <v>#REF!</v>
      </c>
      <c r="AS316" s="7">
        <f ca="1"/>
        <v>-0.87970786716299942</v>
      </c>
      <c r="AT316" s="7" t="e">
        <f ca="1"/>
        <v>#REF!</v>
      </c>
      <c r="AU316" s="7" t="e">
        <f ca="1"/>
        <v>#REF!</v>
      </c>
      <c r="AV316" s="7" t="e">
        <f ca="1"/>
        <v>#REF!</v>
      </c>
    </row>
    <row r="317" spans="37:48" x14ac:dyDescent="0.25">
      <c r="AK317" t="str">
        <f ca="1"/>
        <v>Obs. 498</v>
      </c>
      <c r="AL317" s="7">
        <f ca="1"/>
        <v>82</v>
      </c>
      <c r="AN317" s="7" t="e">
        <f ca="1"/>
        <v>#REF!</v>
      </c>
      <c r="AO317" s="7" t="e">
        <f ca="1"/>
        <v>#REF!</v>
      </c>
      <c r="AP317" s="7">
        <f ca="1"/>
        <v>8.5169178344921465E-2</v>
      </c>
      <c r="AQ317" s="7" t="e">
        <f ca="1"/>
        <v>#REF!</v>
      </c>
      <c r="AR317" s="7" t="e">
        <f ca="1"/>
        <v>#REF!</v>
      </c>
      <c r="AS317" s="7">
        <f ca="1"/>
        <v>-0.87970786716299942</v>
      </c>
      <c r="AT317" s="7" t="e">
        <f ca="1"/>
        <v>#REF!</v>
      </c>
      <c r="AU317" s="7" t="e">
        <f ca="1"/>
        <v>#REF!</v>
      </c>
      <c r="AV317" s="7" t="e">
        <f ca="1"/>
        <v>#REF!</v>
      </c>
    </row>
    <row r="318" spans="37:48" x14ac:dyDescent="0.25">
      <c r="AK318" t="str">
        <f ca="1"/>
        <v>Obs. 499</v>
      </c>
      <c r="AL318" s="7">
        <f ca="1"/>
        <v>81.8</v>
      </c>
      <c r="AN318" s="7" t="e">
        <f ca="1"/>
        <v>#REF!</v>
      </c>
      <c r="AO318" s="7" t="e">
        <f ca="1"/>
        <v>#REF!</v>
      </c>
      <c r="AP318" s="7">
        <f ca="1"/>
        <v>7.9694157470713109E-2</v>
      </c>
      <c r="AQ318" s="7" t="e">
        <f ca="1"/>
        <v>#REF!</v>
      </c>
      <c r="AR318" s="7" t="e">
        <f ca="1"/>
        <v>#REF!</v>
      </c>
      <c r="AS318" s="7">
        <f ca="1"/>
        <v>-0.873012700415573</v>
      </c>
      <c r="AT318" s="7" t="e">
        <f ca="1"/>
        <v>#REF!</v>
      </c>
      <c r="AU318" s="7" t="e">
        <f ca="1"/>
        <v>#REF!</v>
      </c>
      <c r="AV318" s="7" t="e">
        <f ca="1"/>
        <v>#REF!</v>
      </c>
    </row>
    <row r="319" spans="37:48" x14ac:dyDescent="0.25">
      <c r="AK319" t="str">
        <f ca="1"/>
        <v>Obs. 500</v>
      </c>
      <c r="AL319" s="7">
        <f ca="1"/>
        <v>81.599999999999994</v>
      </c>
      <c r="AN319" s="7" t="e">
        <f ca="1"/>
        <v>#REF!</v>
      </c>
      <c r="AO319" s="7" t="e">
        <f ca="1"/>
        <v>#REF!</v>
      </c>
      <c r="AP319" s="7">
        <f ca="1"/>
        <v>7.9129897797714538E-2</v>
      </c>
      <c r="AQ319" s="7" t="e">
        <f ca="1"/>
        <v>#REF!</v>
      </c>
      <c r="AR319" s="7" t="e">
        <f ca="1"/>
        <v>#REF!</v>
      </c>
      <c r="AS319" s="7">
        <f ca="1"/>
        <v>-0.873012700415573</v>
      </c>
      <c r="AT319" s="7" t="e">
        <f ca="1"/>
        <v>#REF!</v>
      </c>
      <c r="AU319" s="7" t="e">
        <f ca="1"/>
        <v>#REF!</v>
      </c>
      <c r="AV319" s="7" t="e">
        <f ca="1"/>
        <v>#REF!</v>
      </c>
    </row>
    <row r="320" spans="37:48" x14ac:dyDescent="0.25">
      <c r="AK320" t="str">
        <f ca="1"/>
        <v>Obs. 501</v>
      </c>
      <c r="AL320" s="7">
        <f ca="1"/>
        <v>81.5</v>
      </c>
      <c r="AN320" s="7" t="e">
        <f ca="1"/>
        <v>#REF!</v>
      </c>
      <c r="AO320" s="7" t="e">
        <f ca="1"/>
        <v>#REF!</v>
      </c>
      <c r="AP320" s="7">
        <f ca="1"/>
        <v>7.557513628137863E-2</v>
      </c>
      <c r="AQ320" s="7" t="e">
        <f ca="1"/>
        <v>#REF!</v>
      </c>
      <c r="AR320" s="7" t="e">
        <f ca="1"/>
        <v>#REF!</v>
      </c>
      <c r="AS320" s="7">
        <f ca="1"/>
        <v>-0.873012700415573</v>
      </c>
      <c r="AT320" s="7" t="e">
        <f ca="1"/>
        <v>#REF!</v>
      </c>
      <c r="AU320" s="7" t="e">
        <f ca="1"/>
        <v>#REF!</v>
      </c>
      <c r="AV320" s="7" t="e">
        <f ca="1"/>
        <v>#REF!</v>
      </c>
    </row>
    <row r="321" spans="37:48" x14ac:dyDescent="0.25">
      <c r="AK321" t="str">
        <f ca="1"/>
        <v>Obs. 502</v>
      </c>
      <c r="AL321" s="7">
        <f ca="1"/>
        <v>81.2</v>
      </c>
      <c r="AN321" s="7" t="e">
        <f ca="1"/>
        <v>#REF!</v>
      </c>
      <c r="AO321" s="7" t="e">
        <f ca="1"/>
        <v>#REF!</v>
      </c>
      <c r="AP321" s="7">
        <f ca="1"/>
        <v>7.13156321666049E-2</v>
      </c>
      <c r="AQ321" s="7" t="e">
        <f ca="1"/>
        <v>#REF!</v>
      </c>
      <c r="AR321" s="7" t="e">
        <f ca="1"/>
        <v>#REF!</v>
      </c>
      <c r="AS321" s="7">
        <f ca="1"/>
        <v>-0.873012700415573</v>
      </c>
      <c r="AT321" s="7" t="e">
        <f ca="1"/>
        <v>#REF!</v>
      </c>
      <c r="AU321" s="7" t="e">
        <f ca="1"/>
        <v>#REF!</v>
      </c>
      <c r="AV321" s="7" t="e">
        <f ca="1"/>
        <v>#REF!</v>
      </c>
    </row>
    <row r="322" spans="37:48" x14ac:dyDescent="0.25">
      <c r="AK322" t="str">
        <f ca="1"/>
        <v>Obs. 503</v>
      </c>
      <c r="AL322" s="7">
        <f ca="1"/>
        <v>81</v>
      </c>
      <c r="AN322" s="7" t="e">
        <f ca="1"/>
        <v>#REF!</v>
      </c>
      <c r="AO322" s="7" t="e">
        <f ca="1"/>
        <v>#REF!</v>
      </c>
      <c r="AP322" s="7">
        <f ca="1"/>
        <v>7.559595958363971E-2</v>
      </c>
      <c r="AQ322" s="7" t="e">
        <f ca="1"/>
        <v>#REF!</v>
      </c>
      <c r="AR322" s="7" t="e">
        <f ca="1"/>
        <v>#REF!</v>
      </c>
      <c r="AS322" s="7">
        <f ca="1"/>
        <v>-0.86414620345364646</v>
      </c>
      <c r="AT322" s="7" t="e">
        <f ca="1"/>
        <v>#REF!</v>
      </c>
      <c r="AU322" s="7" t="e">
        <f ca="1"/>
        <v>#REF!</v>
      </c>
      <c r="AV322" s="7" t="e">
        <f ca="1"/>
        <v>#REF!</v>
      </c>
    </row>
    <row r="323" spans="37:48" x14ac:dyDescent="0.25">
      <c r="AK323" t="str">
        <f ca="1"/>
        <v>Obs. 504</v>
      </c>
      <c r="AL323" s="7">
        <f ca="1"/>
        <v>87</v>
      </c>
      <c r="AN323" s="7" t="e">
        <f ca="1"/>
        <v>#REF!</v>
      </c>
      <c r="AO323" s="7" t="e">
        <f ca="1"/>
        <v>#REF!</v>
      </c>
      <c r="AP323" s="7">
        <f ca="1"/>
        <v>7.0565124336302451E-2</v>
      </c>
      <c r="AQ323" s="7" t="e">
        <f ca="1"/>
        <v>#REF!</v>
      </c>
      <c r="AR323" s="7" t="e">
        <f ca="1"/>
        <v>#REF!</v>
      </c>
      <c r="AS323" s="7">
        <f ca="1"/>
        <v>-0.86414620345364646</v>
      </c>
      <c r="AT323" s="7" t="e">
        <f ca="1"/>
        <v>#REF!</v>
      </c>
      <c r="AU323" s="7" t="e">
        <f ca="1"/>
        <v>#REF!</v>
      </c>
      <c r="AV323" s="7" t="e">
        <f ca="1"/>
        <v>#REF!</v>
      </c>
    </row>
    <row r="324" spans="37:48" x14ac:dyDescent="0.25">
      <c r="AK324" t="str">
        <f ca="1"/>
        <v>Obs. 505</v>
      </c>
      <c r="AL324" s="7">
        <f ca="1"/>
        <v>85</v>
      </c>
      <c r="AN324" s="7" t="e">
        <f ca="1"/>
        <v>#REF!</v>
      </c>
      <c r="AO324" s="7" t="e">
        <f ca="1"/>
        <v>#REF!</v>
      </c>
      <c r="AP324" s="7">
        <f ca="1"/>
        <v>7.8250287075688277E-2</v>
      </c>
      <c r="AQ324" s="7" t="e">
        <f ca="1"/>
        <v>#REF!</v>
      </c>
      <c r="AR324" s="7" t="e">
        <f ca="1"/>
        <v>#REF!</v>
      </c>
      <c r="AS324" s="7">
        <f ca="1"/>
        <v>-0.85973834429501084</v>
      </c>
      <c r="AT324" s="7" t="e">
        <f ca="1"/>
        <v>#REF!</v>
      </c>
      <c r="AU324" s="7" t="e">
        <f ca="1"/>
        <v>#REF!</v>
      </c>
      <c r="AV324" s="7" t="e">
        <f ca="1"/>
        <v>#REF!</v>
      </c>
    </row>
    <row r="325" spans="37:48" x14ac:dyDescent="0.25">
      <c r="AK325" t="str">
        <f ca="1"/>
        <v>Obs. 506</v>
      </c>
      <c r="AL325" s="7">
        <f ca="1"/>
        <v>85</v>
      </c>
      <c r="AN325" s="7" t="e">
        <f ca="1"/>
        <v>#REF!</v>
      </c>
      <c r="AO325" s="7" t="e">
        <f ca="1"/>
        <v>#REF!</v>
      </c>
      <c r="AP325" s="7">
        <f ca="1"/>
        <v>7.3418503661297901E-2</v>
      </c>
      <c r="AQ325" s="7" t="e">
        <f ca="1"/>
        <v>#REF!</v>
      </c>
      <c r="AR325" s="7" t="e">
        <f ca="1"/>
        <v>#REF!</v>
      </c>
      <c r="AS325" s="7">
        <f ca="1"/>
        <v>-0.85973834429501084</v>
      </c>
      <c r="AT325" s="7" t="e">
        <f ca="1"/>
        <v>#REF!</v>
      </c>
      <c r="AU325" s="7" t="e">
        <f ca="1"/>
        <v>#REF!</v>
      </c>
      <c r="AV325" s="7" t="e">
        <f ca="1"/>
        <v>#REF!</v>
      </c>
    </row>
    <row r="326" spans="37:48" x14ac:dyDescent="0.25">
      <c r="AK326" t="str">
        <f ca="1"/>
        <v>Obs. 507</v>
      </c>
      <c r="AL326" s="7">
        <f ca="1"/>
        <v>81</v>
      </c>
      <c r="AN326" s="7" t="e">
        <f ca="1"/>
        <v>#REF!</v>
      </c>
      <c r="AO326" s="7" t="e">
        <f ca="1"/>
        <v>#REF!</v>
      </c>
      <c r="AP326" s="7">
        <f ca="1"/>
        <v>6.2208858624999051E-2</v>
      </c>
      <c r="AQ326" s="7" t="e">
        <f ca="1"/>
        <v>#REF!</v>
      </c>
      <c r="AR326" s="7" t="e">
        <f ca="1"/>
        <v>#REF!</v>
      </c>
      <c r="AS326" s="7">
        <f ca="1"/>
        <v>-0.85973834429501084</v>
      </c>
      <c r="AT326" s="7" t="e">
        <f ca="1"/>
        <v>#REF!</v>
      </c>
      <c r="AU326" s="7" t="e">
        <f ca="1"/>
        <v>#REF!</v>
      </c>
      <c r="AV326" s="7" t="e">
        <f ca="1"/>
        <v>#REF!</v>
      </c>
    </row>
    <row r="327" spans="37:48" x14ac:dyDescent="0.25">
      <c r="AK327" t="str">
        <f ca="1"/>
        <v>Obs. 508</v>
      </c>
      <c r="AL327" s="7">
        <f ca="1"/>
        <v>80</v>
      </c>
      <c r="AN327" s="7" t="e">
        <f ca="1"/>
        <v>#REF!</v>
      </c>
      <c r="AO327" s="7" t="e">
        <f ca="1"/>
        <v>#REF!</v>
      </c>
      <c r="AP327" s="7">
        <f ca="1"/>
        <v>7.0552232844543872E-2</v>
      </c>
      <c r="AQ327" s="7" t="e">
        <f ca="1"/>
        <v>#REF!</v>
      </c>
      <c r="AR327" s="7" t="e">
        <f ca="1"/>
        <v>#REF!</v>
      </c>
      <c r="AS327" s="7">
        <f ca="1"/>
        <v>-0.85973834429501084</v>
      </c>
      <c r="AT327" s="7" t="e">
        <f ca="1"/>
        <v>#REF!</v>
      </c>
      <c r="AU327" s="7" t="e">
        <f ca="1"/>
        <v>#REF!</v>
      </c>
      <c r="AV327" s="7" t="e">
        <f ca="1"/>
        <v>#REF!</v>
      </c>
    </row>
    <row r="328" spans="37:48" x14ac:dyDescent="0.25">
      <c r="AK328" t="str">
        <f ca="1"/>
        <v>Obs. 509</v>
      </c>
      <c r="AL328" s="7">
        <f ca="1"/>
        <v>79.7</v>
      </c>
      <c r="AN328" s="7" t="e">
        <f ca="1"/>
        <v>#REF!</v>
      </c>
      <c r="AO328" s="7" t="e">
        <f ca="1"/>
        <v>#REF!</v>
      </c>
      <c r="AP328" s="7">
        <f ca="1"/>
        <v>7.1798316666916329E-2</v>
      </c>
      <c r="AQ328" s="7" t="e">
        <f ca="1"/>
        <v>#REF!</v>
      </c>
      <c r="AR328" s="7" t="e">
        <f ca="1"/>
        <v>#REF!</v>
      </c>
      <c r="AS328" s="7">
        <f ca="1"/>
        <v>-0.85973834429501084</v>
      </c>
      <c r="AT328" s="7" t="e">
        <f ca="1"/>
        <v>#REF!</v>
      </c>
      <c r="AU328" s="7" t="e">
        <f ca="1"/>
        <v>#REF!</v>
      </c>
      <c r="AV328" s="7" t="e">
        <f ca="1"/>
        <v>#REF!</v>
      </c>
    </row>
    <row r="329" spans="37:48" x14ac:dyDescent="0.25">
      <c r="AK329" t="str">
        <f ca="1"/>
        <v>Obs. 514</v>
      </c>
      <c r="AL329" s="7">
        <f ca="1"/>
        <v>58</v>
      </c>
      <c r="AN329" s="7" t="e">
        <f ca="1"/>
        <v>#REF!</v>
      </c>
      <c r="AO329" s="7" t="e">
        <f ca="1"/>
        <v>#REF!</v>
      </c>
      <c r="AP329" s="7">
        <f ca="1"/>
        <v>-4.61216512566235E-3</v>
      </c>
      <c r="AQ329" s="7" t="e">
        <f ca="1"/>
        <v>#REF!</v>
      </c>
      <c r="AR329" s="7" t="e">
        <f ca="1"/>
        <v>#REF!</v>
      </c>
      <c r="AS329" s="7">
        <f ca="1"/>
        <v>-0.85973834429501084</v>
      </c>
      <c r="AT329" s="7" t="e">
        <f ca="1"/>
        <v>#REF!</v>
      </c>
      <c r="AU329" s="7" t="e">
        <f ca="1"/>
        <v>#REF!</v>
      </c>
      <c r="AV329" s="7" t="e">
        <f ca="1"/>
        <v>#REF!</v>
      </c>
    </row>
    <row r="330" spans="37:48" x14ac:dyDescent="0.25">
      <c r="AK330" t="str">
        <f ca="1"/>
        <v>Obs. 515</v>
      </c>
      <c r="AL330" s="7">
        <f ca="1"/>
        <v>49.9</v>
      </c>
      <c r="AN330" s="7" t="e">
        <f ca="1"/>
        <v>#REF!</v>
      </c>
      <c r="AO330" s="7" t="e">
        <f ca="1"/>
        <v>#REF!</v>
      </c>
      <c r="AP330" s="7">
        <f ca="1"/>
        <v>-3.84516220909589E-3</v>
      </c>
      <c r="AQ330" s="7" t="e">
        <f ca="1"/>
        <v>#REF!</v>
      </c>
      <c r="AR330" s="7" t="e">
        <f ca="1"/>
        <v>#REF!</v>
      </c>
      <c r="AS330" s="7">
        <f ca="1"/>
        <v>-0.85973834429501084</v>
      </c>
      <c r="AT330" s="7" t="e">
        <f ca="1"/>
        <v>#REF!</v>
      </c>
      <c r="AU330" s="7" t="e">
        <f ca="1"/>
        <v>#REF!</v>
      </c>
      <c r="AV330" s="7" t="e">
        <f ca="1"/>
        <v>#REF!</v>
      </c>
    </row>
    <row r="331" spans="37:48" x14ac:dyDescent="0.25">
      <c r="AK331" t="str">
        <f ca="1"/>
        <v>Obs. 516</v>
      </c>
      <c r="AL331" s="7">
        <f ca="1"/>
        <v>53</v>
      </c>
      <c r="AN331" s="7" t="e">
        <f ca="1"/>
        <v>#REF!</v>
      </c>
      <c r="AO331" s="7" t="e">
        <f ca="1"/>
        <v>#REF!</v>
      </c>
      <c r="AP331" s="7">
        <f ca="1"/>
        <v>-5.0773888937787077E-3</v>
      </c>
      <c r="AQ331" s="7" t="e">
        <f ca="1"/>
        <v>#REF!</v>
      </c>
      <c r="AR331" s="7" t="e">
        <f ca="1"/>
        <v>#REF!</v>
      </c>
      <c r="AS331" s="7">
        <f ca="1"/>
        <v>-0.84444052159937644</v>
      </c>
      <c r="AT331" s="7" t="e">
        <f ca="1"/>
        <v>#REF!</v>
      </c>
      <c r="AU331" s="7" t="e">
        <f ca="1"/>
        <v>#REF!</v>
      </c>
      <c r="AV331" s="7" t="e">
        <f ca="1"/>
        <v>#REF!</v>
      </c>
    </row>
    <row r="332" spans="37:48" x14ac:dyDescent="0.25">
      <c r="AK332" t="str">
        <f ca="1"/>
        <v>Obs. 517</v>
      </c>
      <c r="AL332" s="7">
        <f ca="1"/>
        <v>49.8</v>
      </c>
      <c r="AN332" s="7" t="e">
        <f ca="1"/>
        <v>#REF!</v>
      </c>
      <c r="AO332" s="7" t="e">
        <f ca="1"/>
        <v>#REF!</v>
      </c>
      <c r="AP332" s="7">
        <f ca="1"/>
        <v>-4.6668379640614766E-3</v>
      </c>
      <c r="AQ332" s="7" t="e">
        <f ca="1"/>
        <v>#REF!</v>
      </c>
      <c r="AR332" s="7" t="e">
        <f ca="1"/>
        <v>#REF!</v>
      </c>
      <c r="AS332" s="7">
        <f ca="1"/>
        <v>-0.84444052159937644</v>
      </c>
      <c r="AT332" s="7" t="e">
        <f ca="1"/>
        <v>#REF!</v>
      </c>
      <c r="AU332" s="7" t="e">
        <f ca="1"/>
        <v>#REF!</v>
      </c>
      <c r="AV332" s="7" t="e">
        <f ca="1"/>
        <v>#REF!</v>
      </c>
    </row>
    <row r="333" spans="37:48" x14ac:dyDescent="0.25">
      <c r="AK333" t="str">
        <f ca="1"/>
        <v>Obs. 518</v>
      </c>
      <c r="AL333" s="7">
        <f ca="1"/>
        <v>49.2</v>
      </c>
      <c r="AN333" s="7" t="e">
        <f ca="1"/>
        <v>#REF!</v>
      </c>
      <c r="AO333" s="7" t="e">
        <f ca="1"/>
        <v>#REF!</v>
      </c>
      <c r="AP333" s="7">
        <f ca="1"/>
        <v>-4.5632423609126413E-3</v>
      </c>
      <c r="AQ333" s="7" t="e">
        <f ca="1"/>
        <v>#REF!</v>
      </c>
      <c r="AR333" s="7" t="e">
        <f ca="1"/>
        <v>#REF!</v>
      </c>
      <c r="AS333" s="7">
        <f ca="1"/>
        <v>-0.84444052159937644</v>
      </c>
      <c r="AT333" s="7" t="e">
        <f ca="1"/>
        <v>#REF!</v>
      </c>
      <c r="AU333" s="7" t="e">
        <f ca="1"/>
        <v>#REF!</v>
      </c>
      <c r="AV333" s="7" t="e">
        <f ca="1"/>
        <v>#REF!</v>
      </c>
    </row>
    <row r="334" spans="37:48" x14ac:dyDescent="0.25">
      <c r="AK334" t="str">
        <f ca="1"/>
        <v>Obs. 519</v>
      </c>
      <c r="AL334" s="7">
        <f ca="1"/>
        <v>48.6</v>
      </c>
      <c r="AN334" s="7" t="e">
        <f ca="1"/>
        <v>#REF!</v>
      </c>
      <c r="AO334" s="7" t="e">
        <f ca="1"/>
        <v>#REF!</v>
      </c>
      <c r="AP334" s="7">
        <f ca="1"/>
        <v>-4.946303961148717E-3</v>
      </c>
      <c r="AQ334" s="7" t="e">
        <f ca="1"/>
        <v>#REF!</v>
      </c>
      <c r="AR334" s="7" t="e">
        <f ca="1"/>
        <v>#REF!</v>
      </c>
      <c r="AS334" s="7">
        <f ca="1"/>
        <v>-0.84444052159937644</v>
      </c>
      <c r="AT334" s="7" t="e">
        <f ca="1"/>
        <v>#REF!</v>
      </c>
      <c r="AU334" s="7" t="e">
        <f ca="1"/>
        <v>#REF!</v>
      </c>
      <c r="AV334" s="7" t="e">
        <f ca="1"/>
        <v>#REF!</v>
      </c>
    </row>
    <row r="335" spans="37:48" x14ac:dyDescent="0.25">
      <c r="AK335" t="str">
        <f ca="1"/>
        <v>Obs. 530</v>
      </c>
      <c r="AL335" s="7">
        <f ca="1"/>
        <v>52.6</v>
      </c>
      <c r="AN335" s="7" t="e">
        <f ca="1"/>
        <v>#REF!</v>
      </c>
      <c r="AO335" s="7" t="e">
        <f ca="1"/>
        <v>#REF!</v>
      </c>
      <c r="AP335" s="7">
        <f ca="1"/>
        <v>0.46704698330784178</v>
      </c>
      <c r="AQ335" s="7" t="e">
        <f ca="1"/>
        <v>#REF!</v>
      </c>
      <c r="AR335" s="7" t="e">
        <f ca="1"/>
        <v>#REF!</v>
      </c>
      <c r="AS335" s="7">
        <f ca="1"/>
        <v>-0.8357870519497973</v>
      </c>
      <c r="AT335" s="7" t="e">
        <f ca="1"/>
        <v>#REF!</v>
      </c>
      <c r="AU335" s="7" t="e">
        <f ca="1"/>
        <v>#REF!</v>
      </c>
      <c r="AV335" s="7" t="e">
        <f ca="1"/>
        <v>#REF!</v>
      </c>
    </row>
    <row r="336" spans="37:48" x14ac:dyDescent="0.25">
      <c r="AK336" t="str">
        <f ca="1"/>
        <v>Obs. 531</v>
      </c>
      <c r="AL336" s="7">
        <f ca="1"/>
        <v>52.2</v>
      </c>
      <c r="AN336" s="7" t="e">
        <f ca="1"/>
        <v>#REF!</v>
      </c>
      <c r="AO336" s="7" t="e">
        <f ca="1"/>
        <v>#REF!</v>
      </c>
      <c r="AP336" s="7">
        <f ca="1"/>
        <v>0.46709311950538135</v>
      </c>
      <c r="AQ336" s="7" t="e">
        <f ca="1"/>
        <v>#REF!</v>
      </c>
      <c r="AR336" s="7" t="e">
        <f ca="1"/>
        <v>#REF!</v>
      </c>
      <c r="AS336" s="7">
        <f ca="1"/>
        <v>-0.8357870519497973</v>
      </c>
      <c r="AT336" s="7" t="e">
        <f ca="1"/>
        <v>#REF!</v>
      </c>
      <c r="AU336" s="7" t="e">
        <f ca="1"/>
        <v>#REF!</v>
      </c>
      <c r="AV336" s="7" t="e">
        <f ca="1"/>
        <v>#REF!</v>
      </c>
    </row>
    <row r="337" spans="37:48" x14ac:dyDescent="0.25">
      <c r="AK337" t="str">
        <f ca="1"/>
        <v>Obs. 532</v>
      </c>
      <c r="AL337" s="7">
        <f ca="1"/>
        <v>51.8</v>
      </c>
      <c r="AN337" s="7" t="e">
        <f ca="1"/>
        <v>#REF!</v>
      </c>
      <c r="AO337" s="7" t="e">
        <f ca="1"/>
        <v>#REF!</v>
      </c>
      <c r="AP337" s="7">
        <f ca="1"/>
        <v>0.47055724907202062</v>
      </c>
      <c r="AQ337" s="7" t="e">
        <f ca="1"/>
        <v>#REF!</v>
      </c>
      <c r="AR337" s="7" t="e">
        <f ca="1"/>
        <v>#REF!</v>
      </c>
      <c r="AS337" s="7">
        <f ca="1"/>
        <v>-0.8357870519497973</v>
      </c>
      <c r="AT337" s="7" t="e">
        <f ca="1"/>
        <v>#REF!</v>
      </c>
      <c r="AU337" s="7" t="e">
        <f ca="1"/>
        <v>#REF!</v>
      </c>
      <c r="AV337" s="7" t="e">
        <f ca="1"/>
        <v>#REF!</v>
      </c>
    </row>
    <row r="338" spans="37:48" x14ac:dyDescent="0.25">
      <c r="AK338" t="str">
        <f ca="1"/>
        <v>Obs. 533</v>
      </c>
      <c r="AL338" s="7">
        <f ca="1"/>
        <v>51.6</v>
      </c>
      <c r="AN338" s="7" t="e">
        <f ca="1"/>
        <v>#REF!</v>
      </c>
      <c r="AO338" s="7" t="e">
        <f ca="1"/>
        <v>#REF!</v>
      </c>
      <c r="AP338" s="7">
        <f ca="1"/>
        <v>0.46926032157239056</v>
      </c>
      <c r="AQ338" s="7" t="e">
        <f ca="1"/>
        <v>#REF!</v>
      </c>
      <c r="AR338" s="7" t="e">
        <f ca="1"/>
        <v>#REF!</v>
      </c>
      <c r="AS338" s="7">
        <f ca="1"/>
        <v>-0.8357870519497973</v>
      </c>
      <c r="AT338" s="7" t="e">
        <f ca="1"/>
        <v>#REF!</v>
      </c>
      <c r="AU338" s="7" t="e">
        <f ca="1"/>
        <v>#REF!</v>
      </c>
      <c r="AV338" s="7" t="e">
        <f ca="1"/>
        <v>#REF!</v>
      </c>
    </row>
    <row r="339" spans="37:48" x14ac:dyDescent="0.25">
      <c r="AK339" t="str">
        <f ca="1"/>
        <v>Obs. 534</v>
      </c>
      <c r="AL339" s="7">
        <f ca="1"/>
        <v>51.2</v>
      </c>
      <c r="AN339" s="7" t="e">
        <f ca="1"/>
        <v>#REF!</v>
      </c>
      <c r="AO339" s="7" t="e">
        <f ca="1"/>
        <v>#REF!</v>
      </c>
      <c r="AP339" s="7">
        <f ca="1"/>
        <v>0.46673615156290527</v>
      </c>
      <c r="AQ339" s="7" t="e">
        <f ca="1"/>
        <v>#REF!</v>
      </c>
      <c r="AR339" s="7" t="e">
        <f ca="1"/>
        <v>#REF!</v>
      </c>
      <c r="AS339" s="7">
        <f ca="1"/>
        <v>-0.8357870519497973</v>
      </c>
      <c r="AT339" s="7" t="e">
        <f ca="1"/>
        <v>#REF!</v>
      </c>
      <c r="AU339" s="7" t="e">
        <f ca="1"/>
        <v>#REF!</v>
      </c>
      <c r="AV339" s="7" t="e">
        <f ca="1"/>
        <v>#REF!</v>
      </c>
    </row>
    <row r="340" spans="37:48" x14ac:dyDescent="0.25">
      <c r="AK340" t="str">
        <f ca="1"/>
        <v>Obs. 535</v>
      </c>
      <c r="AL340" s="7">
        <f ca="1"/>
        <v>57</v>
      </c>
      <c r="AN340" s="7" t="e">
        <f ca="1"/>
        <v>#REF!</v>
      </c>
      <c r="AO340" s="7" t="e">
        <f ca="1"/>
        <v>#REF!</v>
      </c>
      <c r="AP340" s="7">
        <f ca="1"/>
        <v>0.47541946391195095</v>
      </c>
      <c r="AQ340" s="7" t="e">
        <f ca="1"/>
        <v>#REF!</v>
      </c>
      <c r="AR340" s="7" t="e">
        <f ca="1"/>
        <v>#REF!</v>
      </c>
      <c r="AS340" s="7">
        <f ca="1"/>
        <v>-0.82505741806651978</v>
      </c>
      <c r="AT340" s="7" t="e">
        <f ca="1"/>
        <v>#REF!</v>
      </c>
      <c r="AU340" s="7" t="e">
        <f ca="1"/>
        <v>#REF!</v>
      </c>
      <c r="AV340" s="7" t="e">
        <f ca="1"/>
        <v>#REF!</v>
      </c>
    </row>
    <row r="341" spans="37:48" x14ac:dyDescent="0.25">
      <c r="AK341" t="str">
        <f ca="1"/>
        <v>Obs. 536</v>
      </c>
      <c r="AL341" s="7">
        <f ca="1"/>
        <v>49.6</v>
      </c>
      <c r="AN341" s="7" t="e">
        <f ca="1"/>
        <v>#REF!</v>
      </c>
      <c r="AO341" s="7" t="e">
        <f ca="1"/>
        <v>#REF!</v>
      </c>
      <c r="AP341" s="7">
        <f ca="1"/>
        <v>0.46896071970721653</v>
      </c>
      <c r="AQ341" s="7" t="e">
        <f ca="1"/>
        <v>#REF!</v>
      </c>
      <c r="AR341" s="7" t="e">
        <f ca="1"/>
        <v>#REF!</v>
      </c>
      <c r="AS341" s="7">
        <f ca="1"/>
        <v>-0.82505741806651978</v>
      </c>
      <c r="AT341" s="7" t="e">
        <f ca="1"/>
        <v>#REF!</v>
      </c>
      <c r="AU341" s="7" t="e">
        <f ca="1"/>
        <v>#REF!</v>
      </c>
      <c r="AV341" s="7" t="e">
        <f ca="1"/>
        <v>#REF!</v>
      </c>
    </row>
    <row r="342" spans="37:48" x14ac:dyDescent="0.25">
      <c r="AK342" t="str">
        <f ca="1"/>
        <v>Obs. 546</v>
      </c>
      <c r="AL342" s="7">
        <f ca="1"/>
        <v>83</v>
      </c>
      <c r="AN342" s="7" t="e">
        <f ca="1"/>
        <v>#REF!</v>
      </c>
      <c r="AO342" s="7" t="e">
        <f ca="1"/>
        <v>#REF!</v>
      </c>
      <c r="AP342" s="7">
        <f ca="1"/>
        <v>0.11623015655502054</v>
      </c>
      <c r="AQ342" s="7" t="e">
        <f ca="1"/>
        <v>#REF!</v>
      </c>
      <c r="AR342" s="7" t="e">
        <f ca="1"/>
        <v>#REF!</v>
      </c>
      <c r="AS342" s="7">
        <f ca="1"/>
        <v>-0.8207920883323806</v>
      </c>
      <c r="AT342" s="7" t="e">
        <f ca="1"/>
        <v>#REF!</v>
      </c>
      <c r="AU342" s="7" t="e">
        <f ca="1"/>
        <v>#REF!</v>
      </c>
      <c r="AV342" s="7" t="e">
        <f ca="1"/>
        <v>#REF!</v>
      </c>
    </row>
    <row r="343" spans="37:48" x14ac:dyDescent="0.25">
      <c r="AK343" t="str">
        <f ca="1"/>
        <v>Obs. 547</v>
      </c>
      <c r="AL343" s="7">
        <f ca="1"/>
        <v>81</v>
      </c>
      <c r="AN343" s="7" t="e">
        <f ca="1"/>
        <v>#REF!</v>
      </c>
      <c r="AO343" s="7" t="e">
        <f ca="1"/>
        <v>#REF!</v>
      </c>
      <c r="AP343" s="7">
        <f ca="1"/>
        <v>0.13520661095959957</v>
      </c>
      <c r="AQ343" s="7" t="e">
        <f ca="1"/>
        <v>#REF!</v>
      </c>
      <c r="AR343" s="7" t="e">
        <f ca="1"/>
        <v>#REF!</v>
      </c>
      <c r="AS343" s="7">
        <f ca="1"/>
        <v>-0.81866501502518862</v>
      </c>
      <c r="AT343" s="7" t="e">
        <f ca="1"/>
        <v>#REF!</v>
      </c>
      <c r="AU343" s="7" t="e">
        <f ca="1"/>
        <v>#REF!</v>
      </c>
      <c r="AV343" s="7" t="e">
        <f ca="1"/>
        <v>#REF!</v>
      </c>
    </row>
    <row r="344" spans="37:48" x14ac:dyDescent="0.25">
      <c r="AK344" t="str">
        <f ca="1"/>
        <v>Obs. 548</v>
      </c>
      <c r="AL344" s="7">
        <f ca="1"/>
        <v>79.900000000000006</v>
      </c>
      <c r="AN344" s="7" t="e">
        <f ca="1"/>
        <v>#REF!</v>
      </c>
      <c r="AO344" s="7" t="e">
        <f ca="1"/>
        <v>#REF!</v>
      </c>
      <c r="AP344" s="7">
        <f ca="1"/>
        <v>0.13106816199851765</v>
      </c>
      <c r="AQ344" s="7" t="e">
        <f ca="1"/>
        <v>#REF!</v>
      </c>
      <c r="AR344" s="7" t="e">
        <f ca="1"/>
        <v>#REF!</v>
      </c>
      <c r="AS344" s="7">
        <f ca="1"/>
        <v>-0.81866501502518862</v>
      </c>
      <c r="AT344" s="7" t="e">
        <f ca="1"/>
        <v>#REF!</v>
      </c>
      <c r="AU344" s="7" t="e">
        <f ca="1"/>
        <v>#REF!</v>
      </c>
      <c r="AV344" s="7" t="e">
        <f ca="1"/>
        <v>#REF!</v>
      </c>
    </row>
    <row r="345" spans="37:48" x14ac:dyDescent="0.25">
      <c r="AK345" t="str">
        <f ca="1"/>
        <v>Obs. 549</v>
      </c>
      <c r="AL345" s="7">
        <f ca="1"/>
        <v>79.8</v>
      </c>
      <c r="AN345" s="7" t="e">
        <f ca="1"/>
        <v>#REF!</v>
      </c>
      <c r="AO345" s="7" t="e">
        <f ca="1"/>
        <v>#REF!</v>
      </c>
      <c r="AP345" s="7">
        <f ca="1"/>
        <v>0.11487620944461879</v>
      </c>
      <c r="AQ345" s="7" t="e">
        <f ca="1"/>
        <v>#REF!</v>
      </c>
      <c r="AR345" s="7" t="e">
        <f ca="1"/>
        <v>#REF!</v>
      </c>
      <c r="AS345" s="7">
        <f ca="1"/>
        <v>-0.81866501502518862</v>
      </c>
      <c r="AT345" s="7" t="e">
        <f ca="1"/>
        <v>#REF!</v>
      </c>
      <c r="AU345" s="7" t="e">
        <f ca="1"/>
        <v>#REF!</v>
      </c>
      <c r="AV345" s="7" t="e">
        <f ca="1"/>
        <v>#REF!</v>
      </c>
    </row>
    <row r="346" spans="37:48" x14ac:dyDescent="0.25">
      <c r="AK346" t="str">
        <f ca="1"/>
        <v>Obs. 550</v>
      </c>
      <c r="AL346" s="7">
        <f ca="1"/>
        <v>79.099999999999994</v>
      </c>
      <c r="AN346" s="7" t="e">
        <f ca="1"/>
        <v>#REF!</v>
      </c>
      <c r="AO346" s="7" t="e">
        <f ca="1"/>
        <v>#REF!</v>
      </c>
      <c r="AP346" s="7">
        <f ca="1"/>
        <v>0.12427251755713255</v>
      </c>
      <c r="AQ346" s="7" t="e">
        <f ca="1"/>
        <v>#REF!</v>
      </c>
      <c r="AR346" s="7" t="e">
        <f ca="1"/>
        <v>#REF!</v>
      </c>
      <c r="AS346" s="7">
        <f ca="1"/>
        <v>-0.81230589119800856</v>
      </c>
      <c r="AT346" s="7" t="e">
        <f ca="1"/>
        <v>#REF!</v>
      </c>
      <c r="AU346" s="7" t="e">
        <f ca="1"/>
        <v>#REF!</v>
      </c>
      <c r="AV346" s="7" t="e">
        <f ca="1"/>
        <v>#REF!</v>
      </c>
    </row>
    <row r="347" spans="37:48" x14ac:dyDescent="0.25">
      <c r="AK347" t="str">
        <f ca="1"/>
        <v>Obs. 551</v>
      </c>
      <c r="AL347" s="7">
        <f ca="1"/>
        <v>79.3</v>
      </c>
      <c r="AN347" s="7" t="e">
        <f ca="1"/>
        <v>#REF!</v>
      </c>
      <c r="AO347" s="7" t="e">
        <f ca="1"/>
        <v>#REF!</v>
      </c>
      <c r="AP347" s="7">
        <f ca="1"/>
        <v>0.11500901162712363</v>
      </c>
      <c r="AQ347" s="7" t="e">
        <f ca="1"/>
        <v>#REF!</v>
      </c>
      <c r="AR347" s="7" t="e">
        <f ca="1"/>
        <v>#REF!</v>
      </c>
      <c r="AS347" s="7">
        <f ca="1"/>
        <v>-0.81230589119800856</v>
      </c>
      <c r="AT347" s="7" t="e">
        <f ca="1"/>
        <v>#REF!</v>
      </c>
      <c r="AU347" s="7" t="e">
        <f ca="1"/>
        <v>#REF!</v>
      </c>
      <c r="AV347" s="7" t="e">
        <f ca="1"/>
        <v>#REF!</v>
      </c>
    </row>
    <row r="348" spans="37:48" x14ac:dyDescent="0.25">
      <c r="AK348" t="str">
        <f ca="1"/>
        <v>Obs. 552</v>
      </c>
      <c r="AL348" s="7">
        <f ca="1"/>
        <v>79.599999999999994</v>
      </c>
      <c r="AN348" s="7" t="e">
        <f ca="1"/>
        <v>#REF!</v>
      </c>
      <c r="AO348" s="7" t="e">
        <f ca="1"/>
        <v>#REF!</v>
      </c>
      <c r="AP348" s="7">
        <f ca="1"/>
        <v>0.11520966886167594</v>
      </c>
      <c r="AQ348" s="7" t="e">
        <f ca="1"/>
        <v>#REF!</v>
      </c>
      <c r="AR348" s="7" t="e">
        <f ca="1"/>
        <v>#REF!</v>
      </c>
      <c r="AS348" s="7">
        <f ca="1"/>
        <v>-0.80808466725232064</v>
      </c>
      <c r="AT348" s="7" t="e">
        <f ca="1"/>
        <v>#REF!</v>
      </c>
      <c r="AU348" s="7" t="e">
        <f ca="1"/>
        <v>#REF!</v>
      </c>
      <c r="AV348" s="7" t="e">
        <f ca="1"/>
        <v>#REF!</v>
      </c>
    </row>
    <row r="349" spans="37:48" x14ac:dyDescent="0.25">
      <c r="AK349" t="str">
        <f ca="1"/>
        <v>Obs. 553</v>
      </c>
      <c r="AL349" s="7">
        <f ca="1"/>
        <v>78.900000000000006</v>
      </c>
      <c r="AN349" s="7" t="e">
        <f ca="1"/>
        <v>#REF!</v>
      </c>
      <c r="AO349" s="7" t="e">
        <f ca="1"/>
        <v>#REF!</v>
      </c>
      <c r="AP349" s="7">
        <f ca="1"/>
        <v>0.11603050409406503</v>
      </c>
      <c r="AQ349" s="7" t="e">
        <f ca="1"/>
        <v>#REF!</v>
      </c>
      <c r="AR349" s="7" t="e">
        <f ca="1"/>
        <v>#REF!</v>
      </c>
      <c r="AS349" s="7">
        <f ca="1"/>
        <v>-0.80808466725232064</v>
      </c>
      <c r="AT349" s="7" t="e">
        <f ca="1"/>
        <v>#REF!</v>
      </c>
      <c r="AU349" s="7" t="e">
        <f ca="1"/>
        <v>#REF!</v>
      </c>
      <c r="AV349" s="7" t="e">
        <f ca="1"/>
        <v>#REF!</v>
      </c>
    </row>
    <row r="350" spans="37:48" x14ac:dyDescent="0.25">
      <c r="AK350" t="str">
        <f ca="1"/>
        <v>Obs. 554</v>
      </c>
      <c r="AL350" s="7">
        <f ca="1"/>
        <v>78.900000000000006</v>
      </c>
      <c r="AN350" s="7" t="e">
        <f ca="1"/>
        <v>#REF!</v>
      </c>
      <c r="AO350" s="7" t="e">
        <f ca="1"/>
        <v>#REF!</v>
      </c>
      <c r="AP350" s="7">
        <f ca="1"/>
        <v>0.11610789326483835</v>
      </c>
      <c r="AQ350" s="7" t="e">
        <f ca="1"/>
        <v>#REF!</v>
      </c>
      <c r="AR350" s="7" t="e">
        <f ca="1"/>
        <v>#REF!</v>
      </c>
      <c r="AS350" s="7">
        <f ca="1"/>
        <v>-0.80808466725232064</v>
      </c>
      <c r="AT350" s="7" t="e">
        <f ca="1"/>
        <v>#REF!</v>
      </c>
      <c r="AU350" s="7" t="e">
        <f ca="1"/>
        <v>#REF!</v>
      </c>
      <c r="AV350" s="7" t="e">
        <f ca="1"/>
        <v>#REF!</v>
      </c>
    </row>
    <row r="351" spans="37:48" x14ac:dyDescent="0.25">
      <c r="AK351" t="str">
        <f ca="1"/>
        <v>Obs. 562</v>
      </c>
      <c r="AL351" s="7">
        <f ca="1"/>
        <v>75.8</v>
      </c>
      <c r="AN351" s="7" t="e">
        <f ca="1"/>
        <v>#REF!</v>
      </c>
      <c r="AO351" s="7" t="e">
        <f ca="1"/>
        <v>#REF!</v>
      </c>
      <c r="AP351" s="7">
        <f ca="1"/>
        <v>0.13869447667803503</v>
      </c>
      <c r="AQ351" s="7" t="e">
        <f ca="1"/>
        <v>#REF!</v>
      </c>
      <c r="AR351" s="7" t="e">
        <f ca="1"/>
        <v>#REF!</v>
      </c>
      <c r="AS351" s="7">
        <f ca="1"/>
        <v>-0.80808466725232064</v>
      </c>
      <c r="AT351" s="7" t="e">
        <f ca="1"/>
        <v>#REF!</v>
      </c>
      <c r="AU351" s="7" t="e">
        <f ca="1"/>
        <v>#REF!</v>
      </c>
      <c r="AV351" s="7" t="e">
        <f ca="1"/>
        <v>#REF!</v>
      </c>
    </row>
    <row r="352" spans="37:48" x14ac:dyDescent="0.25">
      <c r="AK352" t="str">
        <f ca="1"/>
        <v>Obs. 563</v>
      </c>
      <c r="AL352" s="7">
        <f ca="1"/>
        <v>75.599999999999994</v>
      </c>
      <c r="AN352" s="7" t="e">
        <f ca="1"/>
        <v>#REF!</v>
      </c>
      <c r="AO352" s="7" t="e">
        <f ca="1"/>
        <v>#REF!</v>
      </c>
      <c r="AP352" s="7">
        <f ca="1"/>
        <v>0.14439249920745156</v>
      </c>
      <c r="AQ352" s="7" t="e">
        <f ca="1"/>
        <v>#REF!</v>
      </c>
      <c r="AR352" s="7" t="e">
        <f ca="1"/>
        <v>#REF!</v>
      </c>
      <c r="AS352" s="7">
        <f ca="1"/>
        <v>-0.79968509868701798</v>
      </c>
      <c r="AT352" s="7" t="e">
        <f ca="1"/>
        <v>#REF!</v>
      </c>
      <c r="AU352" s="7" t="e">
        <f ca="1"/>
        <v>#REF!</v>
      </c>
      <c r="AV352" s="7" t="e">
        <f ca="1"/>
        <v>#REF!</v>
      </c>
    </row>
    <row r="353" spans="37:48" x14ac:dyDescent="0.25">
      <c r="AK353" t="str">
        <f ca="1"/>
        <v>Obs. 564</v>
      </c>
      <c r="AL353" s="7">
        <f ca="1"/>
        <v>75.400000000000006</v>
      </c>
      <c r="AN353" s="7" t="e">
        <f ca="1"/>
        <v>#REF!</v>
      </c>
      <c r="AO353" s="7" t="e">
        <f ca="1"/>
        <v>#REF!</v>
      </c>
      <c r="AP353" s="7">
        <f ca="1"/>
        <v>0.15797487196328475</v>
      </c>
      <c r="AQ353" s="7" t="e">
        <f ca="1"/>
        <v>#REF!</v>
      </c>
      <c r="AR353" s="7" t="e">
        <f ca="1"/>
        <v>#REF!</v>
      </c>
      <c r="AS353" s="7">
        <f ca="1"/>
        <v>-0.79968509868701798</v>
      </c>
      <c r="AT353" s="7" t="e">
        <f ca="1"/>
        <v>#REF!</v>
      </c>
      <c r="AU353" s="7" t="e">
        <f ca="1"/>
        <v>#REF!</v>
      </c>
      <c r="AV353" s="7" t="e">
        <f ca="1"/>
        <v>#REF!</v>
      </c>
    </row>
    <row r="354" spans="37:48" x14ac:dyDescent="0.25">
      <c r="AK354" t="str">
        <f ca="1"/>
        <v>Obs. 565</v>
      </c>
      <c r="AL354" s="7">
        <f ca="1"/>
        <v>75.2</v>
      </c>
      <c r="AN354" s="7" t="e">
        <f ca="1"/>
        <v>#REF!</v>
      </c>
      <c r="AO354" s="7" t="e">
        <f ca="1"/>
        <v>#REF!</v>
      </c>
      <c r="AP354" s="7">
        <f ca="1"/>
        <v>0.14577765633654363</v>
      </c>
      <c r="AQ354" s="7" t="e">
        <f ca="1"/>
        <v>#REF!</v>
      </c>
      <c r="AR354" s="7" t="e">
        <f ca="1"/>
        <v>#REF!</v>
      </c>
      <c r="AS354" s="7">
        <f ca="1"/>
        <v>-0.79968509868701798</v>
      </c>
      <c r="AT354" s="7" t="e">
        <f ca="1"/>
        <v>#REF!</v>
      </c>
      <c r="AU354" s="7" t="e">
        <f ca="1"/>
        <v>#REF!</v>
      </c>
      <c r="AV354" s="7" t="e">
        <f ca="1"/>
        <v>#REF!</v>
      </c>
    </row>
    <row r="355" spans="37:48" x14ac:dyDescent="0.25">
      <c r="AK355" t="str">
        <f ca="1"/>
        <v>Obs. 566</v>
      </c>
      <c r="AL355" s="7">
        <f ca="1"/>
        <v>75</v>
      </c>
      <c r="AN355" s="7" t="e">
        <f ca="1"/>
        <v>#REF!</v>
      </c>
      <c r="AO355" s="7" t="e">
        <f ca="1"/>
        <v>#REF!</v>
      </c>
      <c r="AP355" s="7">
        <f ca="1"/>
        <v>0.1056124784289256</v>
      </c>
      <c r="AQ355" s="7" t="e">
        <f ca="1"/>
        <v>#REF!</v>
      </c>
      <c r="AR355" s="7" t="e">
        <f ca="1"/>
        <v>#REF!</v>
      </c>
      <c r="AS355" s="7">
        <f ca="1"/>
        <v>-0.79968509868701798</v>
      </c>
      <c r="AT355" s="7" t="e">
        <f ca="1"/>
        <v>#REF!</v>
      </c>
      <c r="AU355" s="7" t="e">
        <f ca="1"/>
        <v>#REF!</v>
      </c>
      <c r="AV355" s="7" t="e">
        <f ca="1"/>
        <v>#REF!</v>
      </c>
    </row>
    <row r="356" spans="37:48" x14ac:dyDescent="0.25">
      <c r="AK356" t="str">
        <f ca="1"/>
        <v>Obs. 567</v>
      </c>
      <c r="AL356" s="7">
        <f ca="1"/>
        <v>74.900000000000006</v>
      </c>
      <c r="AN356" s="7" t="e">
        <f ca="1"/>
        <v>#REF!</v>
      </c>
      <c r="AO356" s="7" t="e">
        <f ca="1"/>
        <v>#REF!</v>
      </c>
      <c r="AP356" s="7">
        <f ca="1"/>
        <v>9.1626765133644275E-2</v>
      </c>
      <c r="AQ356" s="7" t="e">
        <f ca="1"/>
        <v>#REF!</v>
      </c>
      <c r="AR356" s="7" t="e">
        <f ca="1"/>
        <v>#REF!</v>
      </c>
      <c r="AS356" s="7">
        <f ca="1"/>
        <v>-0.79968509868701798</v>
      </c>
      <c r="AT356" s="7" t="e">
        <f ca="1"/>
        <v>#REF!</v>
      </c>
      <c r="AU356" s="7" t="e">
        <f ca="1"/>
        <v>#REF!</v>
      </c>
      <c r="AV356" s="7" t="e">
        <f ca="1"/>
        <v>#REF!</v>
      </c>
    </row>
    <row r="357" spans="37:48" x14ac:dyDescent="0.25">
      <c r="AK357" t="str">
        <f ca="1"/>
        <v>Obs. 568</v>
      </c>
      <c r="AL357" s="7">
        <f ca="1"/>
        <v>74.5</v>
      </c>
      <c r="AN357" s="7" t="e">
        <f ca="1"/>
        <v>#REF!</v>
      </c>
      <c r="AO357" s="7" t="e">
        <f ca="1"/>
        <v>#REF!</v>
      </c>
      <c r="AP357" s="7">
        <f ca="1"/>
        <v>0.15104711613028121</v>
      </c>
      <c r="AQ357" s="7" t="e">
        <f ca="1"/>
        <v>#REF!</v>
      </c>
      <c r="AR357" s="7" t="e">
        <f ca="1"/>
        <v>#REF!</v>
      </c>
      <c r="AS357" s="7">
        <f ca="1"/>
        <v>-0.78926429572475043</v>
      </c>
      <c r="AT357" s="7" t="e">
        <f ca="1"/>
        <v>#REF!</v>
      </c>
      <c r="AU357" s="7" t="e">
        <f ca="1"/>
        <v>#REF!</v>
      </c>
      <c r="AV357" s="7" t="e">
        <f ca="1"/>
        <v>#REF!</v>
      </c>
    </row>
    <row r="358" spans="37:48" x14ac:dyDescent="0.25">
      <c r="AK358" t="str">
        <f ca="1"/>
        <v>Obs. 569</v>
      </c>
      <c r="AL358" s="7">
        <f ca="1"/>
        <v>74.400000000000006</v>
      </c>
      <c r="AN358" s="7" t="e">
        <f ca="1"/>
        <v>#REF!</v>
      </c>
      <c r="AO358" s="7" t="e">
        <f ca="1"/>
        <v>#REF!</v>
      </c>
      <c r="AP358" s="7">
        <f ca="1"/>
        <v>0.11057483470581661</v>
      </c>
      <c r="AQ358" s="7" t="e">
        <f ca="1"/>
        <v>#REF!</v>
      </c>
      <c r="AR358" s="7" t="e">
        <f ca="1"/>
        <v>#REF!</v>
      </c>
      <c r="AS358" s="7">
        <f ca="1"/>
        <v>-0.78926429572475043</v>
      </c>
      <c r="AT358" s="7" t="e">
        <f ca="1"/>
        <v>#REF!</v>
      </c>
      <c r="AU358" s="7" t="e">
        <f ca="1"/>
        <v>#REF!</v>
      </c>
      <c r="AV358" s="7" t="e">
        <f ca="1"/>
        <v>#REF!</v>
      </c>
    </row>
    <row r="359" spans="37:48" x14ac:dyDescent="0.25">
      <c r="AK359" t="str">
        <f ca="1"/>
        <v>Obs. 570</v>
      </c>
      <c r="AL359" s="7">
        <f ca="1"/>
        <v>74.2</v>
      </c>
      <c r="AN359" s="7" t="e">
        <f ca="1"/>
        <v>#REF!</v>
      </c>
      <c r="AO359" s="7" t="e">
        <f ca="1"/>
        <v>#REF!</v>
      </c>
      <c r="AP359" s="7">
        <f ca="1"/>
        <v>9.9088845656167907E-2</v>
      </c>
      <c r="AQ359" s="7" t="e">
        <f ca="1"/>
        <v>#REF!</v>
      </c>
      <c r="AR359" s="7" t="e">
        <f ca="1"/>
        <v>#REF!</v>
      </c>
      <c r="AS359" s="7">
        <f ca="1"/>
        <v>-0.78926429572475043</v>
      </c>
      <c r="AT359" s="7" t="e">
        <f ca="1"/>
        <v>#REF!</v>
      </c>
      <c r="AU359" s="7" t="e">
        <f ca="1"/>
        <v>#REF!</v>
      </c>
      <c r="AV359" s="7" t="e">
        <f ca="1"/>
        <v>#REF!</v>
      </c>
    </row>
    <row r="360" spans="37:48" x14ac:dyDescent="0.25">
      <c r="AK360" t="str">
        <f ca="1"/>
        <v>Obs. 571</v>
      </c>
      <c r="AL360" s="7">
        <f ca="1"/>
        <v>73.900000000000006</v>
      </c>
      <c r="AN360" s="7" t="e">
        <f ca="1"/>
        <v>#REF!</v>
      </c>
      <c r="AO360" s="7" t="e">
        <f ca="1"/>
        <v>#REF!</v>
      </c>
      <c r="AP360" s="7">
        <f ca="1"/>
        <v>0.13178276812640208</v>
      </c>
      <c r="AQ360" s="7" t="e">
        <f ca="1"/>
        <v>#REF!</v>
      </c>
      <c r="AR360" s="7" t="e">
        <f ca="1"/>
        <v>#REF!</v>
      </c>
      <c r="AS360" s="7">
        <f ca="1"/>
        <v>-0.78926429572475043</v>
      </c>
      <c r="AT360" s="7" t="e">
        <f ca="1"/>
        <v>#REF!</v>
      </c>
      <c r="AU360" s="7" t="e">
        <f ca="1"/>
        <v>#REF!</v>
      </c>
      <c r="AV360" s="7" t="e">
        <f ca="1"/>
        <v>#REF!</v>
      </c>
    </row>
    <row r="361" spans="37:48" x14ac:dyDescent="0.25">
      <c r="AK361" t="str">
        <f ca="1"/>
        <v>Obs. 572</v>
      </c>
      <c r="AL361" s="7">
        <f ca="1"/>
        <v>73.5</v>
      </c>
      <c r="AN361" s="7" t="e">
        <f ca="1"/>
        <v>#REF!</v>
      </c>
      <c r="AO361" s="7" t="e">
        <f ca="1"/>
        <v>#REF!</v>
      </c>
      <c r="AP361" s="7">
        <f ca="1"/>
        <v>9.5787883823300848E-2</v>
      </c>
      <c r="AQ361" s="7" t="e">
        <f ca="1"/>
        <v>#REF!</v>
      </c>
      <c r="AR361" s="7" t="e">
        <f ca="1"/>
        <v>#REF!</v>
      </c>
      <c r="AS361" s="7">
        <f ca="1"/>
        <v>-0.78098898173722842</v>
      </c>
      <c r="AT361" s="7" t="e">
        <f ca="1"/>
        <v>#REF!</v>
      </c>
      <c r="AU361" s="7" t="e">
        <f ca="1"/>
        <v>#REF!</v>
      </c>
      <c r="AV361" s="7" t="e">
        <f ca="1"/>
        <v>#REF!</v>
      </c>
    </row>
    <row r="362" spans="37:48" x14ac:dyDescent="0.25">
      <c r="AK362" t="str">
        <f ca="1"/>
        <v>Obs. 573</v>
      </c>
      <c r="AL362" s="7">
        <f ca="1"/>
        <v>73.099999999999994</v>
      </c>
      <c r="AN362" s="7" t="e">
        <f ca="1"/>
        <v>#REF!</v>
      </c>
      <c r="AO362" s="7" t="e">
        <f ca="1"/>
        <v>#REF!</v>
      </c>
      <c r="AP362" s="7">
        <f ca="1"/>
        <v>0.10760393379361158</v>
      </c>
      <c r="AQ362" s="7" t="e">
        <f ca="1"/>
        <v>#REF!</v>
      </c>
      <c r="AR362" s="7" t="e">
        <f ca="1"/>
        <v>#REF!</v>
      </c>
      <c r="AS362" s="7">
        <f ca="1"/>
        <v>-0.78098898173722842</v>
      </c>
      <c r="AT362" s="7" t="e">
        <f ca="1"/>
        <v>#REF!</v>
      </c>
      <c r="AU362" s="7" t="e">
        <f ca="1"/>
        <v>#REF!</v>
      </c>
      <c r="AV362" s="7" t="e">
        <f ca="1"/>
        <v>#REF!</v>
      </c>
    </row>
    <row r="363" spans="37:48" x14ac:dyDescent="0.25">
      <c r="AK363" t="str">
        <f ca="1"/>
        <v>Obs. 574</v>
      </c>
      <c r="AL363" s="7">
        <f ca="1"/>
        <v>72.7</v>
      </c>
      <c r="AN363" s="7" t="e">
        <f ca="1"/>
        <v>#REF!</v>
      </c>
      <c r="AO363" s="7" t="e">
        <f ca="1"/>
        <v>#REF!</v>
      </c>
      <c r="AP363" s="7">
        <f ca="1"/>
        <v>0.12750214747877975</v>
      </c>
      <c r="AQ363" s="7" t="e">
        <f ca="1"/>
        <v>#REF!</v>
      </c>
      <c r="AR363" s="7" t="e">
        <f ca="1"/>
        <v>#REF!</v>
      </c>
      <c r="AS363" s="7">
        <f ca="1"/>
        <v>-0.78098898173722842</v>
      </c>
      <c r="AT363" s="7" t="e">
        <f ca="1"/>
        <v>#REF!</v>
      </c>
      <c r="AU363" s="7" t="e">
        <f ca="1"/>
        <v>#REF!</v>
      </c>
      <c r="AV363" s="7" t="e">
        <f ca="1"/>
        <v>#REF!</v>
      </c>
    </row>
    <row r="364" spans="37:48" x14ac:dyDescent="0.25">
      <c r="AK364" t="str">
        <f ca="1"/>
        <v>Obs. 575</v>
      </c>
      <c r="AL364" s="7">
        <f ca="1"/>
        <v>72.2</v>
      </c>
      <c r="AN364" s="7" t="e">
        <f ca="1"/>
        <v>#REF!</v>
      </c>
      <c r="AO364" s="7" t="e">
        <f ca="1"/>
        <v>#REF!</v>
      </c>
      <c r="AP364" s="7">
        <f ca="1"/>
        <v>0.13831856468383036</v>
      </c>
      <c r="AQ364" s="7" t="e">
        <f ca="1"/>
        <v>#REF!</v>
      </c>
      <c r="AR364" s="7" t="e">
        <f ca="1"/>
        <v>#REF!</v>
      </c>
      <c r="AS364" s="7">
        <f ca="1"/>
        <v>-0.78098898173722842</v>
      </c>
      <c r="AT364" s="7" t="e">
        <f ca="1"/>
        <v>#REF!</v>
      </c>
      <c r="AU364" s="7" t="e">
        <f ca="1"/>
        <v>#REF!</v>
      </c>
      <c r="AV364" s="7" t="e">
        <f ca="1"/>
        <v>#REF!</v>
      </c>
    </row>
    <row r="365" spans="37:48" x14ac:dyDescent="0.25">
      <c r="AK365" t="str">
        <f ca="1"/>
        <v>Obs. 576</v>
      </c>
      <c r="AL365" s="7">
        <f ca="1"/>
        <v>71.7</v>
      </c>
      <c r="AN365" s="7" t="e">
        <f ca="1"/>
        <v>#REF!</v>
      </c>
      <c r="AO365" s="7" t="e">
        <f ca="1"/>
        <v>#REF!</v>
      </c>
      <c r="AP365" s="7">
        <f ca="1"/>
        <v>0.15641417108081163</v>
      </c>
      <c r="AQ365" s="7" t="e">
        <f ca="1"/>
        <v>#REF!</v>
      </c>
      <c r="AR365" s="7" t="e">
        <f ca="1"/>
        <v>#REF!</v>
      </c>
      <c r="AS365" s="7">
        <f ca="1"/>
        <v>-0.78098898173722842</v>
      </c>
      <c r="AT365" s="7" t="e">
        <f ca="1"/>
        <v>#REF!</v>
      </c>
      <c r="AU365" s="7" t="e">
        <f ca="1"/>
        <v>#REF!</v>
      </c>
      <c r="AV365" s="7" t="e">
        <f ca="1"/>
        <v>#REF!</v>
      </c>
    </row>
    <row r="366" spans="37:48" x14ac:dyDescent="0.25">
      <c r="AK366" t="str">
        <f ca="1"/>
        <v>Obs. 578</v>
      </c>
      <c r="AL366" s="7">
        <f ca="1"/>
        <v>74.599999999999994</v>
      </c>
      <c r="AN366" s="7" t="e">
        <f ca="1"/>
        <v>#REF!</v>
      </c>
      <c r="AO366" s="7" t="e">
        <f ca="1"/>
        <v>#REF!</v>
      </c>
      <c r="AP366" s="7">
        <f ca="1"/>
        <v>5.7407778338305342E-2</v>
      </c>
      <c r="AQ366" s="7" t="e">
        <f ca="1"/>
        <v>#REF!</v>
      </c>
      <c r="AR366" s="7" t="e">
        <f ca="1"/>
        <v>#REF!</v>
      </c>
      <c r="AS366" s="7">
        <f ca="1"/>
        <v>-0.78098898173722842</v>
      </c>
      <c r="AT366" s="7" t="e">
        <f ca="1"/>
        <v>#REF!</v>
      </c>
      <c r="AU366" s="7" t="e">
        <f ca="1"/>
        <v>#REF!</v>
      </c>
      <c r="AV366" s="7" t="e">
        <f ca="1"/>
        <v>#REF!</v>
      </c>
    </row>
    <row r="367" spans="37:48" x14ac:dyDescent="0.25">
      <c r="AK367" t="str">
        <f ca="1"/>
        <v>Obs. 579</v>
      </c>
      <c r="AL367" s="7">
        <f ca="1"/>
        <v>74.400000000000006</v>
      </c>
      <c r="AN367" s="7" t="e">
        <f ca="1"/>
        <v>#REF!</v>
      </c>
      <c r="AO367" s="7" t="e">
        <f ca="1"/>
        <v>#REF!</v>
      </c>
      <c r="AP367" s="7">
        <f ca="1"/>
        <v>3.7375210105975255E-2</v>
      </c>
      <c r="AQ367" s="7" t="e">
        <f ca="1"/>
        <v>#REF!</v>
      </c>
      <c r="AR367" s="7" t="e">
        <f ca="1"/>
        <v>#REF!</v>
      </c>
      <c r="AS367" s="7">
        <f ca="1"/>
        <v>-0.78098898173722842</v>
      </c>
      <c r="AT367" s="7" t="e">
        <f ca="1"/>
        <v>#REF!</v>
      </c>
      <c r="AU367" s="7" t="e">
        <f ca="1"/>
        <v>#REF!</v>
      </c>
      <c r="AV367" s="7" t="e">
        <f ca="1"/>
        <v>#REF!</v>
      </c>
    </row>
    <row r="368" spans="37:48" x14ac:dyDescent="0.25">
      <c r="AK368" t="str">
        <f ca="1"/>
        <v>Obs. 580</v>
      </c>
      <c r="AL368" s="7">
        <f ca="1"/>
        <v>74.3</v>
      </c>
      <c r="AN368" s="7" t="e">
        <f ca="1"/>
        <v>#REF!</v>
      </c>
      <c r="AO368" s="7" t="e">
        <f ca="1"/>
        <v>#REF!</v>
      </c>
      <c r="AP368" s="7">
        <f ca="1"/>
        <v>3.7199848298725878E-2</v>
      </c>
      <c r="AQ368" s="7" t="e">
        <f ca="1"/>
        <v>#REF!</v>
      </c>
      <c r="AR368" s="7" t="e">
        <f ca="1"/>
        <v>#REF!</v>
      </c>
      <c r="AS368" s="7">
        <f ca="1"/>
        <v>-0.78098898173722842</v>
      </c>
      <c r="AT368" s="7" t="e">
        <f ca="1"/>
        <v>#REF!</v>
      </c>
      <c r="AU368" s="7" t="e">
        <f ca="1"/>
        <v>#REF!</v>
      </c>
      <c r="AV368" s="7" t="e">
        <f ca="1"/>
        <v>#REF!</v>
      </c>
    </row>
    <row r="369" spans="37:48" x14ac:dyDescent="0.25">
      <c r="AK369" t="str">
        <f ca="1"/>
        <v>Obs. 581</v>
      </c>
      <c r="AL369" s="7">
        <f ca="1"/>
        <v>74.2</v>
      </c>
      <c r="AN369" s="7" t="e">
        <f ca="1"/>
        <v>#REF!</v>
      </c>
      <c r="AO369" s="7" t="e">
        <f ca="1"/>
        <v>#REF!</v>
      </c>
      <c r="AP369" s="7">
        <f ca="1"/>
        <v>3.9926602371844831E-2</v>
      </c>
      <c r="AQ369" s="7" t="e">
        <f ca="1"/>
        <v>#REF!</v>
      </c>
      <c r="AR369" s="7" t="e">
        <f ca="1"/>
        <v>#REF!</v>
      </c>
      <c r="AS369" s="7">
        <f ca="1"/>
        <v>-0.76459654801725674</v>
      </c>
      <c r="AT369" s="7" t="e">
        <f ca="1"/>
        <v>#REF!</v>
      </c>
      <c r="AU369" s="7" t="e">
        <f ca="1"/>
        <v>#REF!</v>
      </c>
      <c r="AV369" s="7" t="e">
        <f ca="1"/>
        <v>#REF!</v>
      </c>
    </row>
    <row r="370" spans="37:48" x14ac:dyDescent="0.25">
      <c r="AK370" t="str">
        <f ca="1"/>
        <v>Obs. 582</v>
      </c>
      <c r="AL370" s="7">
        <f ca="1"/>
        <v>73.599999999999994</v>
      </c>
      <c r="AN370" s="7" t="e">
        <f ca="1"/>
        <v>#REF!</v>
      </c>
      <c r="AO370" s="7" t="e">
        <f ca="1"/>
        <v>#REF!</v>
      </c>
      <c r="AP370" s="7">
        <f ca="1"/>
        <v>3.6777708787526689E-2</v>
      </c>
      <c r="AQ370" s="7" t="e">
        <f ca="1"/>
        <v>#REF!</v>
      </c>
      <c r="AR370" s="7" t="e">
        <f ca="1"/>
        <v>#REF!</v>
      </c>
      <c r="AS370" s="7">
        <f ca="1"/>
        <v>-0.7625619542054235</v>
      </c>
      <c r="AT370" s="7" t="e">
        <f ca="1"/>
        <v>#REF!</v>
      </c>
      <c r="AU370" s="7" t="e">
        <f ca="1"/>
        <v>#REF!</v>
      </c>
      <c r="AV370" s="7" t="e">
        <f ca="1"/>
        <v>#REF!</v>
      </c>
    </row>
    <row r="371" spans="37:48" x14ac:dyDescent="0.25">
      <c r="AK371" t="str">
        <f ca="1"/>
        <v>Obs. 583</v>
      </c>
      <c r="AL371" s="7">
        <f ca="1"/>
        <v>73.599999999999994</v>
      </c>
      <c r="AN371" s="7" t="e">
        <f ca="1"/>
        <v>#REF!</v>
      </c>
      <c r="AO371" s="7" t="e">
        <f ca="1"/>
        <v>#REF!</v>
      </c>
      <c r="AP371" s="7">
        <f ca="1"/>
        <v>3.6592550462162948E-2</v>
      </c>
      <c r="AQ371" s="7" t="e">
        <f ca="1"/>
        <v>#REF!</v>
      </c>
      <c r="AR371" s="7" t="e">
        <f ca="1"/>
        <v>#REF!</v>
      </c>
      <c r="AS371" s="7">
        <f ca="1"/>
        <v>-0.7625619542054235</v>
      </c>
      <c r="AT371" s="7" t="e">
        <f ca="1"/>
        <v>#REF!</v>
      </c>
      <c r="AU371" s="7" t="e">
        <f ca="1"/>
        <v>#REF!</v>
      </c>
      <c r="AV371" s="7" t="e">
        <f ca="1"/>
        <v>#REF!</v>
      </c>
    </row>
    <row r="372" spans="37:48" x14ac:dyDescent="0.25">
      <c r="AK372" t="str">
        <f ca="1"/>
        <v>Obs. 584</v>
      </c>
      <c r="AL372" s="7">
        <f ca="1"/>
        <v>73.5</v>
      </c>
      <c r="AN372" s="7" t="e">
        <f ca="1"/>
        <v>#REF!</v>
      </c>
      <c r="AO372" s="7" t="e">
        <f ca="1"/>
        <v>#REF!</v>
      </c>
      <c r="AP372" s="7">
        <f ca="1"/>
        <v>3.5434818723681517E-2</v>
      </c>
      <c r="AQ372" s="7" t="e">
        <f ca="1"/>
        <v>#REF!</v>
      </c>
      <c r="AR372" s="7" t="e">
        <f ca="1"/>
        <v>#REF!</v>
      </c>
      <c r="AS372" s="7">
        <f ca="1"/>
        <v>-0.7625619542054235</v>
      </c>
      <c r="AT372" s="7" t="e">
        <f ca="1"/>
        <v>#REF!</v>
      </c>
      <c r="AU372" s="7" t="e">
        <f ca="1"/>
        <v>#REF!</v>
      </c>
      <c r="AV372" s="7" t="e">
        <f ca="1"/>
        <v>#REF!</v>
      </c>
    </row>
    <row r="373" spans="37:48" x14ac:dyDescent="0.25">
      <c r="AK373" t="str">
        <f ca="1"/>
        <v>Obs. 585</v>
      </c>
      <c r="AL373" s="7">
        <f ca="1"/>
        <v>73.5</v>
      </c>
      <c r="AN373" s="7" t="e">
        <f ca="1"/>
        <v>#REF!</v>
      </c>
      <c r="AO373" s="7" t="e">
        <f ca="1"/>
        <v>#REF!</v>
      </c>
      <c r="AP373" s="7">
        <f ca="1"/>
        <v>3.5365084936470587E-2</v>
      </c>
      <c r="AQ373" s="7" t="e">
        <f ca="1"/>
        <v>#REF!</v>
      </c>
      <c r="AR373" s="7" t="e">
        <f ca="1"/>
        <v>#REF!</v>
      </c>
      <c r="AS373" s="7">
        <f ca="1"/>
        <v>-0.75647701124006039</v>
      </c>
      <c r="AT373" s="7" t="e">
        <f ca="1"/>
        <v>#REF!</v>
      </c>
      <c r="AU373" s="7" t="e">
        <f ca="1"/>
        <v>#REF!</v>
      </c>
      <c r="AV373" s="7" t="e">
        <f ca="1"/>
        <v>#REF!</v>
      </c>
    </row>
    <row r="374" spans="37:48" x14ac:dyDescent="0.25">
      <c r="AK374" t="str">
        <f ca="1"/>
        <v>Obs. 586</v>
      </c>
      <c r="AL374" s="7">
        <f ca="1"/>
        <v>73.099999999999994</v>
      </c>
      <c r="AN374" s="7" t="e">
        <f ca="1"/>
        <v>#REF!</v>
      </c>
      <c r="AO374" s="7" t="e">
        <f ca="1"/>
        <v>#REF!</v>
      </c>
      <c r="AP374" s="7">
        <f ca="1"/>
        <v>3.6041021272142815E-2</v>
      </c>
      <c r="AQ374" s="7" t="e">
        <f ca="1"/>
        <v>#REF!</v>
      </c>
      <c r="AR374" s="7" t="e">
        <f ca="1"/>
        <v>#REF!</v>
      </c>
      <c r="AS374" s="7">
        <f ca="1"/>
        <v>-0.75647701124006039</v>
      </c>
      <c r="AT374" s="7" t="e">
        <f ca="1"/>
        <v>#REF!</v>
      </c>
      <c r="AU374" s="7" t="e">
        <f ca="1"/>
        <v>#REF!</v>
      </c>
      <c r="AV374" s="7" t="e">
        <f ca="1"/>
        <v>#REF!</v>
      </c>
    </row>
    <row r="375" spans="37:48" x14ac:dyDescent="0.25">
      <c r="AK375" t="str">
        <f ca="1"/>
        <v>Obs. 587</v>
      </c>
      <c r="AL375" s="7">
        <f ca="1"/>
        <v>73.099999999999994</v>
      </c>
      <c r="AN375" s="7" t="e">
        <f ca="1"/>
        <v>#REF!</v>
      </c>
      <c r="AO375" s="7" t="e">
        <f ca="1"/>
        <v>#REF!</v>
      </c>
      <c r="AP375" s="7">
        <f ca="1"/>
        <v>4.4297606525746859E-2</v>
      </c>
      <c r="AQ375" s="7" t="e">
        <f ca="1"/>
        <v>#REF!</v>
      </c>
      <c r="AR375" s="7" t="e">
        <f ca="1"/>
        <v>#REF!</v>
      </c>
      <c r="AS375" s="7">
        <f ca="1"/>
        <v>-0.75647701124006039</v>
      </c>
      <c r="AT375" s="7" t="e">
        <f ca="1"/>
        <v>#REF!</v>
      </c>
      <c r="AU375" s="7" t="e">
        <f ca="1"/>
        <v>#REF!</v>
      </c>
      <c r="AV375" s="7" t="e">
        <f ca="1"/>
        <v>#REF!</v>
      </c>
    </row>
    <row r="376" spans="37:48" x14ac:dyDescent="0.25">
      <c r="AK376" t="str">
        <f ca="1"/>
        <v>Obs. 588</v>
      </c>
      <c r="AL376" s="7">
        <f ca="1"/>
        <v>72.8</v>
      </c>
      <c r="AN376" s="7" t="e">
        <f ca="1"/>
        <v>#REF!</v>
      </c>
      <c r="AO376" s="7" t="e">
        <f ca="1"/>
        <v>#REF!</v>
      </c>
      <c r="AP376" s="7">
        <f ca="1"/>
        <v>3.6105197394189818E-2</v>
      </c>
      <c r="AQ376" s="7" t="e">
        <f ca="1"/>
        <v>#REF!</v>
      </c>
      <c r="AR376" s="7" t="e">
        <f ca="1"/>
        <v>#REF!</v>
      </c>
      <c r="AS376" s="7">
        <f ca="1"/>
        <v>-0.75647701124006039</v>
      </c>
      <c r="AT376" s="7" t="e">
        <f ca="1"/>
        <v>#REF!</v>
      </c>
      <c r="AU376" s="7" t="e">
        <f ca="1"/>
        <v>#REF!</v>
      </c>
      <c r="AV376" s="7" t="e">
        <f ca="1"/>
        <v>#REF!</v>
      </c>
    </row>
    <row r="377" spans="37:48" x14ac:dyDescent="0.25">
      <c r="AK377" t="str">
        <f ca="1"/>
        <v>Obs. 589</v>
      </c>
      <c r="AL377" s="7">
        <f ca="1"/>
        <v>72.400000000000006</v>
      </c>
      <c r="AN377" s="7" t="e">
        <f ca="1"/>
        <v>#REF!</v>
      </c>
      <c r="AO377" s="7" t="e">
        <f ca="1"/>
        <v>#REF!</v>
      </c>
      <c r="AP377" s="7">
        <f ca="1"/>
        <v>3.7444203337377899E-2</v>
      </c>
      <c r="AQ377" s="7" t="e">
        <f ca="1"/>
        <v>#REF!</v>
      </c>
      <c r="AR377" s="7" t="e">
        <f ca="1"/>
        <v>#REF!</v>
      </c>
      <c r="AS377" s="7">
        <f ca="1"/>
        <v>-0.75647701124006039</v>
      </c>
      <c r="AT377" s="7" t="e">
        <f ca="1"/>
        <v>#REF!</v>
      </c>
      <c r="AU377" s="7" t="e">
        <f ca="1"/>
        <v>#REF!</v>
      </c>
      <c r="AV377" s="7" t="e">
        <f ca="1"/>
        <v>#REF!</v>
      </c>
    </row>
    <row r="378" spans="37:48" x14ac:dyDescent="0.25">
      <c r="AK378" t="str">
        <f ca="1"/>
        <v>Obs. 590</v>
      </c>
      <c r="AL378" s="7">
        <f ca="1"/>
        <v>71.8</v>
      </c>
      <c r="AN378" s="7" t="e">
        <f ca="1"/>
        <v>#REF!</v>
      </c>
      <c r="AO378" s="7" t="e">
        <f ca="1"/>
        <v>#REF!</v>
      </c>
      <c r="AP378" s="7">
        <f ca="1"/>
        <v>3.5870918004425295E-2</v>
      </c>
      <c r="AQ378" s="7" t="e">
        <f ca="1"/>
        <v>#REF!</v>
      </c>
      <c r="AR378" s="7" t="e">
        <f ca="1"/>
        <v>#REF!</v>
      </c>
      <c r="AS378" s="7">
        <f ca="1"/>
        <v>-0.74639716414434454</v>
      </c>
      <c r="AT378" s="7" t="e">
        <f ca="1"/>
        <v>#REF!</v>
      </c>
      <c r="AU378" s="7" t="e">
        <f ca="1"/>
        <v>#REF!</v>
      </c>
      <c r="AV378" s="7" t="e">
        <f ca="1"/>
        <v>#REF!</v>
      </c>
    </row>
    <row r="379" spans="37:48" x14ac:dyDescent="0.25">
      <c r="AK379" t="str">
        <f ca="1"/>
        <v>Obs. 591</v>
      </c>
      <c r="AL379" s="7">
        <f ca="1"/>
        <v>71.5</v>
      </c>
      <c r="AN379" s="7" t="e">
        <f ca="1"/>
        <v>#REF!</v>
      </c>
      <c r="AO379" s="7" t="e">
        <f ca="1"/>
        <v>#REF!</v>
      </c>
      <c r="AP379" s="7">
        <f ca="1"/>
        <v>5.0699739517395162E-2</v>
      </c>
      <c r="AQ379" s="7" t="e">
        <f ca="1"/>
        <v>#REF!</v>
      </c>
      <c r="AR379" s="7" t="e">
        <f ca="1"/>
        <v>#REF!</v>
      </c>
      <c r="AS379" s="7">
        <f ca="1"/>
        <v>-0.74639716414434454</v>
      </c>
      <c r="AT379" s="7" t="e">
        <f ca="1"/>
        <v>#REF!</v>
      </c>
      <c r="AU379" s="7" t="e">
        <f ca="1"/>
        <v>#REF!</v>
      </c>
      <c r="AV379" s="7" t="e">
        <f ca="1"/>
        <v>#REF!</v>
      </c>
    </row>
    <row r="380" spans="37:48" x14ac:dyDescent="0.25">
      <c r="AK380" t="str">
        <f ca="1"/>
        <v>Obs. 592</v>
      </c>
      <c r="AL380" s="7">
        <f ca="1"/>
        <v>71.400000000000006</v>
      </c>
      <c r="AN380" s="7" t="e">
        <f ca="1"/>
        <v>#REF!</v>
      </c>
      <c r="AO380" s="7" t="e">
        <f ca="1"/>
        <v>#REF!</v>
      </c>
      <c r="AP380" s="7">
        <f ca="1"/>
        <v>3.7719069398239886E-2</v>
      </c>
      <c r="AQ380" s="7" t="e">
        <f ca="1"/>
        <v>#REF!</v>
      </c>
      <c r="AR380" s="7" t="e">
        <f ca="1"/>
        <v>#REF!</v>
      </c>
      <c r="AS380" s="7">
        <f ca="1"/>
        <v>-0.74639716414434454</v>
      </c>
      <c r="AT380" s="7" t="e">
        <f ca="1"/>
        <v>#REF!</v>
      </c>
      <c r="AU380" s="7" t="e">
        <f ca="1"/>
        <v>#REF!</v>
      </c>
      <c r="AV380" s="7" t="e">
        <f ca="1"/>
        <v>#REF!</v>
      </c>
    </row>
    <row r="381" spans="37:48" x14ac:dyDescent="0.25">
      <c r="AK381" t="str">
        <f ca="1"/>
        <v>Obs. 594</v>
      </c>
      <c r="AL381" s="7">
        <f ca="1"/>
        <v>63.2</v>
      </c>
      <c r="AN381" s="7" t="e">
        <f ca="1"/>
        <v>#REF!</v>
      </c>
      <c r="AO381" s="7" t="e">
        <f ca="1"/>
        <v>#REF!</v>
      </c>
      <c r="AP381" s="7">
        <f ca="1"/>
        <v>8.5973570944941152E-2</v>
      </c>
      <c r="AQ381" s="7" t="e">
        <f ca="1"/>
        <v>#REF!</v>
      </c>
      <c r="AR381" s="7" t="e">
        <f ca="1"/>
        <v>#REF!</v>
      </c>
      <c r="AS381" s="7">
        <f ca="1"/>
        <v>-0.74038552290047832</v>
      </c>
      <c r="AT381" s="7" t="e">
        <f ca="1"/>
        <v>#REF!</v>
      </c>
      <c r="AU381" s="7" t="e">
        <f ca="1"/>
        <v>#REF!</v>
      </c>
      <c r="AV381" s="7" t="e">
        <f ca="1"/>
        <v>#REF!</v>
      </c>
    </row>
    <row r="382" spans="37:48" x14ac:dyDescent="0.25">
      <c r="AK382" t="str">
        <f ca="1"/>
        <v>Obs. 595</v>
      </c>
      <c r="AL382" s="7">
        <f ca="1"/>
        <v>62.9</v>
      </c>
      <c r="AN382" s="7" t="e">
        <f ca="1"/>
        <v>#REF!</v>
      </c>
      <c r="AO382" s="7" t="e">
        <f ca="1"/>
        <v>#REF!</v>
      </c>
      <c r="AP382" s="7">
        <f ca="1"/>
        <v>8.1103081952816056E-2</v>
      </c>
      <c r="AQ382" s="7" t="e">
        <f ca="1"/>
        <v>#REF!</v>
      </c>
      <c r="AR382" s="7" t="e">
        <f ca="1"/>
        <v>#REF!</v>
      </c>
      <c r="AS382" s="7">
        <f ca="1"/>
        <v>-0.74038552290047832</v>
      </c>
      <c r="AT382" s="7" t="e">
        <f ca="1"/>
        <v>#REF!</v>
      </c>
      <c r="AU382" s="7" t="e">
        <f ca="1"/>
        <v>#REF!</v>
      </c>
      <c r="AV382" s="7" t="e">
        <f ca="1"/>
        <v>#REF!</v>
      </c>
    </row>
    <row r="383" spans="37:48" x14ac:dyDescent="0.25">
      <c r="AK383" t="str">
        <f ca="1"/>
        <v>Obs. 596</v>
      </c>
      <c r="AL383" s="7">
        <f ca="1"/>
        <v>62.5</v>
      </c>
      <c r="AN383" s="7" t="e">
        <f ca="1"/>
        <v>#REF!</v>
      </c>
      <c r="AO383" s="7" t="e">
        <f ca="1"/>
        <v>#REF!</v>
      </c>
      <c r="AP383" s="7">
        <f ca="1"/>
        <v>8.1148655117885687E-2</v>
      </c>
      <c r="AQ383" s="7" t="e">
        <f ca="1"/>
        <v>#REF!</v>
      </c>
      <c r="AR383" s="7" t="e">
        <f ca="1"/>
        <v>#REF!</v>
      </c>
      <c r="AS383" s="7">
        <f ca="1"/>
        <v>-0.74038552290047832</v>
      </c>
      <c r="AT383" s="7" t="e">
        <f ca="1"/>
        <v>#REF!</v>
      </c>
      <c r="AU383" s="7" t="e">
        <f ca="1"/>
        <v>#REF!</v>
      </c>
      <c r="AV383" s="7" t="e">
        <f ca="1"/>
        <v>#REF!</v>
      </c>
    </row>
    <row r="384" spans="37:48" x14ac:dyDescent="0.25">
      <c r="AK384" t="str">
        <f ca="1"/>
        <v>Obs. 597</v>
      </c>
      <c r="AL384" s="7">
        <f ca="1"/>
        <v>62.2</v>
      </c>
      <c r="AN384" s="7" t="e">
        <f ca="1"/>
        <v>#REF!</v>
      </c>
      <c r="AO384" s="7" t="e">
        <f ca="1"/>
        <v>#REF!</v>
      </c>
      <c r="AP384" s="7">
        <f ca="1"/>
        <v>8.0126476273890454E-2</v>
      </c>
      <c r="AQ384" s="7" t="e">
        <f ca="1"/>
        <v>#REF!</v>
      </c>
      <c r="AR384" s="7" t="e">
        <f ca="1"/>
        <v>#REF!</v>
      </c>
      <c r="AS384" s="7">
        <f ca="1"/>
        <v>-0.74038552290047832</v>
      </c>
      <c r="AT384" s="7" t="e">
        <f ca="1"/>
        <v>#REF!</v>
      </c>
      <c r="AU384" s="7" t="e">
        <f ca="1"/>
        <v>#REF!</v>
      </c>
      <c r="AV384" s="7" t="e">
        <f ca="1"/>
        <v>#REF!</v>
      </c>
    </row>
    <row r="385" spans="37:48" x14ac:dyDescent="0.25">
      <c r="AK385" t="str">
        <f ca="1"/>
        <v>Obs. 598</v>
      </c>
      <c r="AL385" s="7">
        <f ca="1"/>
        <v>61.8</v>
      </c>
      <c r="AN385" s="7" t="e">
        <f ca="1"/>
        <v>#REF!</v>
      </c>
      <c r="AO385" s="7" t="e">
        <f ca="1"/>
        <v>#REF!</v>
      </c>
      <c r="AP385" s="7">
        <f ca="1"/>
        <v>7.9998905659772981E-2</v>
      </c>
      <c r="AQ385" s="7" t="e">
        <f ca="1"/>
        <v>#REF!</v>
      </c>
      <c r="AR385" s="7" t="e">
        <f ca="1"/>
        <v>#REF!</v>
      </c>
      <c r="AS385" s="7">
        <f ca="1"/>
        <v>-0.74038552290047832</v>
      </c>
      <c r="AT385" s="7" t="e">
        <f ca="1"/>
        <v>#REF!</v>
      </c>
      <c r="AU385" s="7" t="e">
        <f ca="1"/>
        <v>#REF!</v>
      </c>
      <c r="AV385" s="7" t="e">
        <f ca="1"/>
        <v>#REF!</v>
      </c>
    </row>
    <row r="386" spans="37:48" x14ac:dyDescent="0.25">
      <c r="AK386" t="str">
        <f ca="1"/>
        <v>Obs. 599</v>
      </c>
      <c r="AL386" s="7">
        <f ca="1"/>
        <v>61.3</v>
      </c>
      <c r="AN386" s="7" t="e">
        <f ca="1"/>
        <v>#REF!</v>
      </c>
      <c r="AO386" s="7" t="e">
        <f ca="1"/>
        <v>#REF!</v>
      </c>
      <c r="AP386" s="7">
        <f ca="1"/>
        <v>8.0290917543707013E-2</v>
      </c>
      <c r="AQ386" s="7" t="e">
        <f ca="1"/>
        <v>#REF!</v>
      </c>
      <c r="AR386" s="7" t="e">
        <f ca="1"/>
        <v>#REF!</v>
      </c>
      <c r="AS386" s="7">
        <f ca="1"/>
        <v>-0.73042509746273321</v>
      </c>
      <c r="AT386" s="7" t="e">
        <f ca="1"/>
        <v>#REF!</v>
      </c>
      <c r="AU386" s="7" t="e">
        <f ca="1"/>
        <v>#REF!</v>
      </c>
      <c r="AV386" s="7" t="e">
        <f ca="1"/>
        <v>#REF!</v>
      </c>
    </row>
    <row r="387" spans="37:48" x14ac:dyDescent="0.25">
      <c r="AK387" t="str">
        <f ca="1"/>
        <v>Obs. 600</v>
      </c>
      <c r="AL387" s="7">
        <f ca="1"/>
        <v>61</v>
      </c>
      <c r="AN387" s="7" t="e">
        <f ca="1"/>
        <v>#REF!</v>
      </c>
      <c r="AO387" s="7" t="e">
        <f ca="1"/>
        <v>#REF!</v>
      </c>
      <c r="AP387" s="7">
        <f ca="1"/>
        <v>8.0811620326469047E-2</v>
      </c>
      <c r="AQ387" s="7" t="e">
        <f ca="1"/>
        <v>#REF!</v>
      </c>
      <c r="AR387" s="7" t="e">
        <f ca="1"/>
        <v>#REF!</v>
      </c>
      <c r="AS387" s="7">
        <f ca="1"/>
        <v>-0.73042509746273321</v>
      </c>
      <c r="AT387" s="7" t="e">
        <f ca="1"/>
        <v>#REF!</v>
      </c>
      <c r="AU387" s="7" t="e">
        <f ca="1"/>
        <v>#REF!</v>
      </c>
      <c r="AV387" s="7" t="e">
        <f ca="1"/>
        <v>#REF!</v>
      </c>
    </row>
    <row r="388" spans="37:48" x14ac:dyDescent="0.25">
      <c r="AK388" t="str">
        <f ca="1"/>
        <v>Obs. 601</v>
      </c>
      <c r="AL388" s="7">
        <f ca="1"/>
        <v>66</v>
      </c>
      <c r="AN388" s="7" t="e">
        <f ca="1"/>
        <v>#REF!</v>
      </c>
      <c r="AO388" s="7" t="e">
        <f ca="1"/>
        <v>#REF!</v>
      </c>
      <c r="AP388" s="7">
        <f ca="1"/>
        <v>8.1118047159714296E-2</v>
      </c>
      <c r="AQ388" s="7" t="e">
        <f ca="1"/>
        <v>#REF!</v>
      </c>
      <c r="AR388" s="7" t="e">
        <f ca="1"/>
        <v>#REF!</v>
      </c>
      <c r="AS388" s="7">
        <f ca="1"/>
        <v>-0.73042509746273321</v>
      </c>
      <c r="AT388" s="7" t="e">
        <f ca="1"/>
        <v>#REF!</v>
      </c>
      <c r="AU388" s="7" t="e">
        <f ca="1"/>
        <v>#REF!</v>
      </c>
      <c r="AV388" s="7" t="e">
        <f ca="1"/>
        <v>#REF!</v>
      </c>
    </row>
    <row r="389" spans="37:48" x14ac:dyDescent="0.25">
      <c r="AK389" t="str">
        <f ca="1"/>
        <v>Obs. 602</v>
      </c>
      <c r="AL389" s="7">
        <f ca="1"/>
        <v>63</v>
      </c>
      <c r="AN389" s="7" t="e">
        <f ca="1"/>
        <v>#REF!</v>
      </c>
      <c r="AO389" s="7" t="e">
        <f ca="1"/>
        <v>#REF!</v>
      </c>
      <c r="AP389" s="7">
        <f ca="1"/>
        <v>8.0154365633310451E-2</v>
      </c>
      <c r="AQ389" s="7" t="e">
        <f ca="1"/>
        <v>#REF!</v>
      </c>
      <c r="AR389" s="7" t="e">
        <f ca="1"/>
        <v>#REF!</v>
      </c>
      <c r="AS389" s="7">
        <f ca="1"/>
        <v>-0.72448350403832318</v>
      </c>
      <c r="AT389" s="7" t="e">
        <f ca="1"/>
        <v>#REF!</v>
      </c>
      <c r="AU389" s="7" t="e">
        <f ca="1"/>
        <v>#REF!</v>
      </c>
      <c r="AV389" s="7" t="e">
        <f ca="1"/>
        <v>#REF!</v>
      </c>
    </row>
    <row r="390" spans="37:48" x14ac:dyDescent="0.25">
      <c r="AK390" t="str">
        <f ca="1"/>
        <v>Obs. 603</v>
      </c>
      <c r="AL390" s="7">
        <f ca="1"/>
        <v>60</v>
      </c>
      <c r="AN390" s="7" t="e">
        <f ca="1"/>
        <v>#REF!</v>
      </c>
      <c r="AO390" s="7" t="e">
        <f ca="1"/>
        <v>#REF!</v>
      </c>
      <c r="AP390" s="7">
        <f ca="1"/>
        <v>8.0715122919515742E-2</v>
      </c>
      <c r="AQ390" s="7" t="e">
        <f ca="1"/>
        <v>#REF!</v>
      </c>
      <c r="AR390" s="7" t="e">
        <f ca="1"/>
        <v>#REF!</v>
      </c>
      <c r="AS390" s="7">
        <f ca="1"/>
        <v>-0.72448350403832318</v>
      </c>
      <c r="AT390" s="7" t="e">
        <f ca="1"/>
        <v>#REF!</v>
      </c>
      <c r="AU390" s="7" t="e">
        <f ca="1"/>
        <v>#REF!</v>
      </c>
      <c r="AV390" s="7" t="e">
        <f ca="1"/>
        <v>#REF!</v>
      </c>
    </row>
    <row r="391" spans="37:48" x14ac:dyDescent="0.25">
      <c r="AK391" t="str">
        <f ca="1"/>
        <v>Obs. 604</v>
      </c>
      <c r="AL391" s="7">
        <f ca="1"/>
        <v>59.8</v>
      </c>
      <c r="AN391" s="7" t="e">
        <f ca="1"/>
        <v>#REF!</v>
      </c>
      <c r="AO391" s="7" t="e">
        <f ca="1"/>
        <v>#REF!</v>
      </c>
      <c r="AP391" s="7">
        <f ca="1"/>
        <v>9.5876716465541995E-2</v>
      </c>
      <c r="AQ391" s="7" t="e">
        <f ca="1"/>
        <v>#REF!</v>
      </c>
      <c r="AR391" s="7" t="e">
        <f ca="1"/>
        <v>#REF!</v>
      </c>
      <c r="AS391" s="7">
        <f ca="1"/>
        <v>-0.72448350403832318</v>
      </c>
      <c r="AT391" s="7" t="e">
        <f ca="1"/>
        <v>#REF!</v>
      </c>
      <c r="AU391" s="7" t="e">
        <f ca="1"/>
        <v>#REF!</v>
      </c>
      <c r="AV391" s="7" t="e">
        <f ca="1"/>
        <v>#REF!</v>
      </c>
    </row>
    <row r="392" spans="37:48" x14ac:dyDescent="0.25">
      <c r="AK392" t="str">
        <f ca="1"/>
        <v>Obs. 605</v>
      </c>
      <c r="AL392" s="7">
        <f ca="1"/>
        <v>59.6</v>
      </c>
      <c r="AN392" s="7" t="e">
        <f ca="1"/>
        <v>#REF!</v>
      </c>
      <c r="AO392" s="7" t="e">
        <f ca="1"/>
        <v>#REF!</v>
      </c>
      <c r="AP392" s="7">
        <f ca="1"/>
        <v>0.10608574846981961</v>
      </c>
      <c r="AQ392" s="7" t="e">
        <f ca="1"/>
        <v>#REF!</v>
      </c>
      <c r="AR392" s="7" t="e">
        <f ca="1"/>
        <v>#REF!</v>
      </c>
      <c r="AS392" s="7">
        <f ca="1"/>
        <v>-0.72448350403832318</v>
      </c>
      <c r="AT392" s="7" t="e">
        <f ca="1"/>
        <v>#REF!</v>
      </c>
      <c r="AU392" s="7" t="e">
        <f ca="1"/>
        <v>#REF!</v>
      </c>
      <c r="AV392" s="7" t="e">
        <f ca="1"/>
        <v>#REF!</v>
      </c>
    </row>
    <row r="393" spans="37:48" x14ac:dyDescent="0.25">
      <c r="AK393" t="str">
        <f ca="1"/>
        <v>Obs. 627</v>
      </c>
      <c r="AL393" s="7">
        <f ca="1"/>
        <v>79.5</v>
      </c>
      <c r="AN393" s="7" t="e">
        <f ca="1"/>
        <v>#REF!</v>
      </c>
      <c r="AO393" s="7" t="e">
        <f ca="1"/>
        <v>#REF!</v>
      </c>
      <c r="AP393" s="7">
        <f ca="1"/>
        <v>6.2477318629482664E-2</v>
      </c>
      <c r="AQ393" s="7" t="e">
        <f ca="1"/>
        <v>#REF!</v>
      </c>
      <c r="AR393" s="7" t="e">
        <f ca="1"/>
        <v>#REF!</v>
      </c>
      <c r="AS393" s="7">
        <f ca="1"/>
        <v>-0.71660092108895201</v>
      </c>
      <c r="AT393" s="7" t="e">
        <f ca="1"/>
        <v>#REF!</v>
      </c>
      <c r="AU393" s="7" t="e">
        <f ca="1"/>
        <v>#REF!</v>
      </c>
      <c r="AV393" s="7" t="e">
        <f ca="1"/>
        <v>#REF!</v>
      </c>
    </row>
    <row r="394" spans="37:48" x14ac:dyDescent="0.25">
      <c r="AK394" t="str">
        <f ca="1"/>
        <v>Obs. 628</v>
      </c>
      <c r="AL394" s="7">
        <f ca="1"/>
        <v>79.400000000000006</v>
      </c>
      <c r="AN394" s="7" t="e">
        <f ca="1"/>
        <v>#REF!</v>
      </c>
      <c r="AO394" s="7" t="e">
        <f ca="1"/>
        <v>#REF!</v>
      </c>
      <c r="AP394" s="7">
        <f ca="1"/>
        <v>6.1794947486590965E-2</v>
      </c>
      <c r="AQ394" s="7" t="e">
        <f ca="1"/>
        <v>#REF!</v>
      </c>
      <c r="AR394" s="7" t="e">
        <f ca="1"/>
        <v>#REF!</v>
      </c>
      <c r="AS394" s="7">
        <f ca="1"/>
        <v>-0.71660092108895201</v>
      </c>
      <c r="AT394" s="7" t="e">
        <f ca="1"/>
        <v>#REF!</v>
      </c>
      <c r="AU394" s="7" t="e">
        <f ca="1"/>
        <v>#REF!</v>
      </c>
      <c r="AV394" s="7" t="e">
        <f ca="1"/>
        <v>#REF!</v>
      </c>
    </row>
    <row r="395" spans="37:48" x14ac:dyDescent="0.25">
      <c r="AK395" t="str">
        <f ca="1"/>
        <v>Obs. 629</v>
      </c>
      <c r="AL395" s="7">
        <f ca="1"/>
        <v>79.2</v>
      </c>
      <c r="AN395" s="7" t="e">
        <f ca="1"/>
        <v>#REF!</v>
      </c>
      <c r="AO395" s="7" t="e">
        <f ca="1"/>
        <v>#REF!</v>
      </c>
      <c r="AP395" s="7">
        <f ca="1"/>
        <v>7.3075855926858377E-2</v>
      </c>
      <c r="AQ395" s="7" t="e">
        <f ca="1"/>
        <v>#REF!</v>
      </c>
      <c r="AR395" s="7" t="e">
        <f ca="1"/>
        <v>#REF!</v>
      </c>
      <c r="AS395" s="7">
        <f ca="1"/>
        <v>-0.7126762947196924</v>
      </c>
      <c r="AT395" s="7" t="e">
        <f ca="1"/>
        <v>#REF!</v>
      </c>
      <c r="AU395" s="7" t="e">
        <f ca="1"/>
        <v>#REF!</v>
      </c>
      <c r="AV395" s="7" t="e">
        <f ca="1"/>
        <v>#REF!</v>
      </c>
    </row>
    <row r="396" spans="37:48" x14ac:dyDescent="0.25">
      <c r="AK396" t="str">
        <f ca="1"/>
        <v>Obs. 630</v>
      </c>
      <c r="AL396" s="7">
        <f ca="1"/>
        <v>79</v>
      </c>
      <c r="AN396" s="7" t="e">
        <f ca="1"/>
        <v>#REF!</v>
      </c>
      <c r="AO396" s="7" t="e">
        <f ca="1"/>
        <v>#REF!</v>
      </c>
      <c r="AP396" s="7">
        <f ca="1"/>
        <v>6.217203596388076E-2</v>
      </c>
      <c r="AQ396" s="7" t="e">
        <f ca="1"/>
        <v>#REF!</v>
      </c>
      <c r="AR396" s="7" t="e">
        <f ca="1"/>
        <v>#REF!</v>
      </c>
      <c r="AS396" s="7">
        <f ca="1"/>
        <v>-0.7126762947196924</v>
      </c>
      <c r="AT396" s="7" t="e">
        <f ca="1"/>
        <v>#REF!</v>
      </c>
      <c r="AU396" s="7" t="e">
        <f ca="1"/>
        <v>#REF!</v>
      </c>
      <c r="AV396" s="7" t="e">
        <f ca="1"/>
        <v>#REF!</v>
      </c>
    </row>
    <row r="397" spans="37:48" x14ac:dyDescent="0.25">
      <c r="AK397" t="str">
        <f ca="1"/>
        <v>Obs. 631</v>
      </c>
      <c r="AL397" s="7">
        <f ca="1"/>
        <v>78.099999999999994</v>
      </c>
      <c r="AN397" s="7" t="e">
        <f ca="1"/>
        <v>#REF!</v>
      </c>
      <c r="AO397" s="7" t="e">
        <f ca="1"/>
        <v>#REF!</v>
      </c>
      <c r="AP397" s="7">
        <f ca="1"/>
        <v>6.3516704933120477E-2</v>
      </c>
      <c r="AQ397" s="7" t="e">
        <f ca="1"/>
        <v>#REF!</v>
      </c>
      <c r="AR397" s="7" t="e">
        <f ca="1"/>
        <v>#REF!</v>
      </c>
      <c r="AS397" s="7">
        <f ca="1"/>
        <v>-0.7126762947196924</v>
      </c>
      <c r="AT397" s="7" t="e">
        <f ca="1"/>
        <v>#REF!</v>
      </c>
      <c r="AU397" s="7" t="e">
        <f ca="1"/>
        <v>#REF!</v>
      </c>
      <c r="AV397" s="7" t="e">
        <f ca="1"/>
        <v>#REF!</v>
      </c>
    </row>
    <row r="398" spans="37:48" x14ac:dyDescent="0.25">
      <c r="AK398" t="str">
        <f ca="1"/>
        <v>Obs. 632</v>
      </c>
      <c r="AL398" s="7">
        <f ca="1"/>
        <v>79.2</v>
      </c>
      <c r="AN398" s="7" t="e">
        <f ca="1"/>
        <v>#REF!</v>
      </c>
      <c r="AO398" s="7" t="e">
        <f ca="1"/>
        <v>#REF!</v>
      </c>
      <c r="AP398" s="7">
        <f ca="1"/>
        <v>7.0286990679379199E-2</v>
      </c>
      <c r="AQ398" s="7" t="e">
        <f ca="1"/>
        <v>#REF!</v>
      </c>
      <c r="AR398" s="7" t="e">
        <f ca="1"/>
        <v>#REF!</v>
      </c>
      <c r="AS398" s="7">
        <f ca="1"/>
        <v>-0.7126762947196924</v>
      </c>
      <c r="AT398" s="7" t="e">
        <f ca="1"/>
        <v>#REF!</v>
      </c>
      <c r="AU398" s="7" t="e">
        <f ca="1"/>
        <v>#REF!</v>
      </c>
      <c r="AV398" s="7" t="e">
        <f ca="1"/>
        <v>#REF!</v>
      </c>
    </row>
    <row r="399" spans="37:48" x14ac:dyDescent="0.25">
      <c r="AK399" t="str">
        <f ca="1"/>
        <v>Obs. 633</v>
      </c>
      <c r="AL399" s="7">
        <f ca="1"/>
        <v>78.900000000000006</v>
      </c>
      <c r="AN399" s="7" t="e">
        <f ca="1"/>
        <v>#REF!</v>
      </c>
      <c r="AO399" s="7" t="e">
        <f ca="1"/>
        <v>#REF!</v>
      </c>
      <c r="AP399" s="7">
        <f ca="1"/>
        <v>8.0390014650488811E-2</v>
      </c>
      <c r="AQ399" s="7" t="e">
        <f ca="1"/>
        <v>#REF!</v>
      </c>
      <c r="AR399" s="7" t="e">
        <f ca="1"/>
        <v>#REF!</v>
      </c>
      <c r="AS399" s="7">
        <f ca="1"/>
        <v>-0.7126762947196924</v>
      </c>
      <c r="AT399" s="7" t="e">
        <f ca="1"/>
        <v>#REF!</v>
      </c>
      <c r="AU399" s="7" t="e">
        <f ca="1"/>
        <v>#REF!</v>
      </c>
      <c r="AV399" s="7" t="e">
        <f ca="1"/>
        <v>#REF!</v>
      </c>
    </row>
    <row r="400" spans="37:48" x14ac:dyDescent="0.25">
      <c r="AK400" t="str">
        <f ca="1"/>
        <v>Obs. 634</v>
      </c>
      <c r="AL400" s="7">
        <f ca="1"/>
        <v>78.900000000000006</v>
      </c>
      <c r="AN400" s="7" t="e">
        <f ca="1"/>
        <v>#REF!</v>
      </c>
      <c r="AO400" s="7" t="e">
        <f ca="1"/>
        <v>#REF!</v>
      </c>
      <c r="AP400" s="7">
        <f ca="1"/>
        <v>5.9742056422697226E-2</v>
      </c>
      <c r="AQ400" s="7" t="e">
        <f ca="1"/>
        <v>#REF!</v>
      </c>
      <c r="AR400" s="7" t="e">
        <f ca="1"/>
        <v>#REF!</v>
      </c>
      <c r="AS400" s="7">
        <f ca="1"/>
        <v>-0.70291235686137066</v>
      </c>
      <c r="AT400" s="7" t="e">
        <f ca="1"/>
        <v>#REF!</v>
      </c>
      <c r="AU400" s="7" t="e">
        <f ca="1"/>
        <v>#REF!</v>
      </c>
      <c r="AV400" s="7" t="e">
        <f ca="1"/>
        <v>#REF!</v>
      </c>
    </row>
    <row r="401" spans="37:48" x14ac:dyDescent="0.25">
      <c r="AK401" t="str">
        <f ca="1"/>
        <v>Obs. 635</v>
      </c>
      <c r="AL401" s="7">
        <f ca="1"/>
        <v>78</v>
      </c>
      <c r="AN401" s="7" t="e">
        <f ca="1"/>
        <v>#REF!</v>
      </c>
      <c r="AO401" s="7" t="e">
        <f ca="1"/>
        <v>#REF!</v>
      </c>
      <c r="AP401" s="7">
        <f ca="1"/>
        <v>5.9316174490393718E-2</v>
      </c>
      <c r="AQ401" s="7" t="e">
        <f ca="1"/>
        <v>#REF!</v>
      </c>
      <c r="AR401" s="7" t="e">
        <f ca="1"/>
        <v>#REF!</v>
      </c>
      <c r="AS401" s="7">
        <f ca="1"/>
        <v>-0.70291235686137066</v>
      </c>
      <c r="AT401" s="7" t="e">
        <f ca="1"/>
        <v>#REF!</v>
      </c>
      <c r="AU401" s="7" t="e">
        <f ca="1"/>
        <v>#REF!</v>
      </c>
      <c r="AV401" s="7" t="e">
        <f ca="1"/>
        <v>#REF!</v>
      </c>
    </row>
    <row r="402" spans="37:48" x14ac:dyDescent="0.25">
      <c r="AK402" t="str">
        <f ca="1"/>
        <v>Obs. 636</v>
      </c>
      <c r="AL402" s="7">
        <f ca="1"/>
        <v>78.599999999999994</v>
      </c>
      <c r="AN402" s="7" t="e">
        <f ca="1"/>
        <v>#REF!</v>
      </c>
      <c r="AO402" s="7" t="e">
        <f ca="1"/>
        <v>#REF!</v>
      </c>
      <c r="AP402" s="7">
        <f ca="1"/>
        <v>7.8485488768107237E-2</v>
      </c>
      <c r="AQ402" s="7" t="e">
        <f ca="1"/>
        <v>#REF!</v>
      </c>
      <c r="AR402" s="7" t="e">
        <f ca="1"/>
        <v>#REF!</v>
      </c>
      <c r="AS402" s="7">
        <f ca="1"/>
        <v>-0.70291235686137066</v>
      </c>
      <c r="AT402" s="7" t="e">
        <f ca="1"/>
        <v>#REF!</v>
      </c>
      <c r="AU402" s="7" t="e">
        <f ca="1"/>
        <v>#REF!</v>
      </c>
      <c r="AV402" s="7" t="e">
        <f ca="1"/>
        <v>#REF!</v>
      </c>
    </row>
    <row r="403" spans="37:48" x14ac:dyDescent="0.25">
      <c r="AK403" t="str">
        <f ca="1"/>
        <v>Obs. 637</v>
      </c>
      <c r="AL403" s="7">
        <f ca="1"/>
        <v>77.7</v>
      </c>
      <c r="AN403" s="7" t="e">
        <f ca="1"/>
        <v>#REF!</v>
      </c>
      <c r="AO403" s="7" t="e">
        <f ca="1"/>
        <v>#REF!</v>
      </c>
      <c r="AP403" s="7">
        <f ca="1"/>
        <v>7.8111660886746842E-2</v>
      </c>
      <c r="AQ403" s="7" t="e">
        <f ca="1"/>
        <v>#REF!</v>
      </c>
      <c r="AR403" s="7" t="e">
        <f ca="1"/>
        <v>#REF!</v>
      </c>
      <c r="AS403" s="7">
        <f ca="1"/>
        <v>-0.69708605805955215</v>
      </c>
      <c r="AT403" s="7" t="e">
        <f ca="1"/>
        <v>#REF!</v>
      </c>
      <c r="AU403" s="7" t="e">
        <f ca="1"/>
        <v>#REF!</v>
      </c>
      <c r="AV403" s="7" t="e">
        <f ca="1"/>
        <v>#REF!</v>
      </c>
    </row>
    <row r="404" spans="37:48" x14ac:dyDescent="0.25">
      <c r="AK404" t="str">
        <f ca="1"/>
        <v>Obs. 638</v>
      </c>
      <c r="AL404" s="7">
        <f ca="1"/>
        <v>78</v>
      </c>
      <c r="AN404" s="7" t="e">
        <f ca="1"/>
        <v>#REF!</v>
      </c>
      <c r="AO404" s="7" t="e">
        <f ca="1"/>
        <v>#REF!</v>
      </c>
      <c r="AP404" s="7">
        <f ca="1"/>
        <v>6.0361741703849031E-2</v>
      </c>
      <c r="AQ404" s="7" t="e">
        <f ca="1"/>
        <v>#REF!</v>
      </c>
      <c r="AR404" s="7" t="e">
        <f ca="1"/>
        <v>#REF!</v>
      </c>
      <c r="AS404" s="7">
        <f ca="1"/>
        <v>-0.69708605805955215</v>
      </c>
      <c r="AT404" s="7" t="e">
        <f ca="1"/>
        <v>#REF!</v>
      </c>
      <c r="AU404" s="7" t="e">
        <f ca="1"/>
        <v>#REF!</v>
      </c>
      <c r="AV404" s="7" t="e">
        <f ca="1"/>
        <v>#REF!</v>
      </c>
    </row>
    <row r="405" spans="37:48" x14ac:dyDescent="0.25">
      <c r="AK405" t="str">
        <f ca="1"/>
        <v>Obs. 639</v>
      </c>
      <c r="AL405" s="7">
        <f ca="1"/>
        <v>78.3</v>
      </c>
      <c r="AN405" s="7" t="e">
        <f ca="1"/>
        <v>#REF!</v>
      </c>
      <c r="AO405" s="7" t="e">
        <f ca="1"/>
        <v>#REF!</v>
      </c>
      <c r="AP405" s="7">
        <f ca="1"/>
        <v>6.1897239609039194E-2</v>
      </c>
      <c r="AQ405" s="7" t="e">
        <f ca="1"/>
        <v>#REF!</v>
      </c>
      <c r="AR405" s="7" t="e">
        <f ca="1"/>
        <v>#REF!</v>
      </c>
      <c r="AS405" s="7">
        <f ca="1"/>
        <v>-0.69708605805955215</v>
      </c>
      <c r="AT405" s="7" t="e">
        <f ca="1"/>
        <v>#REF!</v>
      </c>
      <c r="AU405" s="7" t="e">
        <f ca="1"/>
        <v>#REF!</v>
      </c>
      <c r="AV405" s="7" t="e">
        <f ca="1"/>
        <v>#REF!</v>
      </c>
    </row>
    <row r="406" spans="37:48" x14ac:dyDescent="0.25">
      <c r="AK406" t="str">
        <f ca="1"/>
        <v>Obs. 640</v>
      </c>
      <c r="AL406" s="7">
        <f ca="1"/>
        <v>77.5</v>
      </c>
      <c r="AN406" s="7" t="e">
        <f ca="1"/>
        <v>#REF!</v>
      </c>
      <c r="AO406" s="7" t="e">
        <f ca="1"/>
        <v>#REF!</v>
      </c>
      <c r="AP406" s="7">
        <f ca="1"/>
        <v>7.3930199588421674E-2</v>
      </c>
      <c r="AQ406" s="7" t="e">
        <f ca="1"/>
        <v>#REF!</v>
      </c>
      <c r="AR406" s="7" t="e">
        <f ca="1"/>
        <v>#REF!</v>
      </c>
      <c r="AS406" s="7">
        <f ca="1"/>
        <v>-0.69708605805955215</v>
      </c>
      <c r="AT406" s="7" t="e">
        <f ca="1"/>
        <v>#REF!</v>
      </c>
      <c r="AU406" s="7" t="e">
        <f ca="1"/>
        <v>#REF!</v>
      </c>
      <c r="AV406" s="7" t="e">
        <f ca="1"/>
        <v>#REF!</v>
      </c>
    </row>
    <row r="407" spans="37:48" x14ac:dyDescent="0.25">
      <c r="AK407" t="str">
        <f ca="1"/>
        <v>Obs. 641</v>
      </c>
      <c r="AL407" s="7">
        <f ca="1"/>
        <v>77.599999999999994</v>
      </c>
      <c r="AN407" s="7" t="e">
        <f ca="1"/>
        <v>#REF!</v>
      </c>
      <c r="AO407" s="7" t="e">
        <f ca="1"/>
        <v>#REF!</v>
      </c>
      <c r="AP407" s="7">
        <f ca="1"/>
        <v>7.258618083668969E-2</v>
      </c>
      <c r="AQ407" s="7" t="e">
        <f ca="1"/>
        <v>#REF!</v>
      </c>
      <c r="AR407" s="7" t="e">
        <f ca="1"/>
        <v>#REF!</v>
      </c>
      <c r="AS407" s="7">
        <f ca="1"/>
        <v>-0.69708605805955215</v>
      </c>
      <c r="AT407" s="7" t="e">
        <f ca="1"/>
        <v>#REF!</v>
      </c>
      <c r="AU407" s="7" t="e">
        <f ca="1"/>
        <v>#REF!</v>
      </c>
      <c r="AV407" s="7" t="e">
        <f ca="1"/>
        <v>#REF!</v>
      </c>
    </row>
    <row r="408" spans="37:48" x14ac:dyDescent="0.25">
      <c r="AK408" t="str">
        <f ca="1"/>
        <v>Obs. 643</v>
      </c>
      <c r="AL408" s="7">
        <f ca="1"/>
        <v>77.8</v>
      </c>
      <c r="AN408" s="7" t="e">
        <f ca="1"/>
        <v>#REF!</v>
      </c>
      <c r="AO408" s="7" t="e">
        <f ca="1"/>
        <v>#REF!</v>
      </c>
      <c r="AP408" s="7">
        <f ca="1"/>
        <v>0.13919787340588533</v>
      </c>
      <c r="AQ408" s="7" t="e">
        <f ca="1"/>
        <v>#REF!</v>
      </c>
      <c r="AR408" s="7" t="e">
        <f ca="1"/>
        <v>#REF!</v>
      </c>
      <c r="AS408" s="7">
        <f ca="1"/>
        <v>-0.68742774275107121</v>
      </c>
      <c r="AT408" s="7" t="e">
        <f ca="1"/>
        <v>#REF!</v>
      </c>
      <c r="AU408" s="7" t="e">
        <f ca="1"/>
        <v>#REF!</v>
      </c>
      <c r="AV408" s="7" t="e">
        <f ca="1"/>
        <v>#REF!</v>
      </c>
    </row>
    <row r="409" spans="37:48" x14ac:dyDescent="0.25">
      <c r="AK409" t="str">
        <f ca="1"/>
        <v>Obs. 644</v>
      </c>
      <c r="AL409" s="7">
        <f ca="1"/>
        <v>77.7</v>
      </c>
      <c r="AN409" s="7" t="e">
        <f ca="1"/>
        <v>#REF!</v>
      </c>
      <c r="AO409" s="7" t="e">
        <f ca="1"/>
        <v>#REF!</v>
      </c>
      <c r="AP409" s="7">
        <f ca="1"/>
        <v>0.13883557213940417</v>
      </c>
      <c r="AQ409" s="7" t="e">
        <f ca="1"/>
        <v>#REF!</v>
      </c>
      <c r="AR409" s="7" t="e">
        <f ca="1"/>
        <v>#REF!</v>
      </c>
      <c r="AS409" s="7">
        <f ca="1"/>
        <v>-0.68742774275107121</v>
      </c>
      <c r="AT409" s="7" t="e">
        <f ca="1"/>
        <v>#REF!</v>
      </c>
      <c r="AU409" s="7" t="e">
        <f ca="1"/>
        <v>#REF!</v>
      </c>
      <c r="AV409" s="7" t="e">
        <f ca="1"/>
        <v>#REF!</v>
      </c>
    </row>
    <row r="410" spans="37:48" x14ac:dyDescent="0.25">
      <c r="AK410" t="str">
        <f ca="1"/>
        <v>Obs. 645</v>
      </c>
      <c r="AL410" s="7">
        <f ca="1"/>
        <v>77.099999999999994</v>
      </c>
      <c r="AN410" s="7" t="e">
        <f ca="1"/>
        <v>#REF!</v>
      </c>
      <c r="AO410" s="7" t="e">
        <f ca="1"/>
        <v>#REF!</v>
      </c>
      <c r="AP410" s="7">
        <f ca="1"/>
        <v>0.13873922844443978</v>
      </c>
      <c r="AQ410" s="7" t="e">
        <f ca="1"/>
        <v>#REF!</v>
      </c>
      <c r="AR410" s="7" t="e">
        <f ca="1"/>
        <v>#REF!</v>
      </c>
      <c r="AS410" s="7">
        <f ca="1"/>
        <v>-0.68742774275107121</v>
      </c>
      <c r="AT410" s="7" t="e">
        <f ca="1"/>
        <v>#REF!</v>
      </c>
      <c r="AU410" s="7" t="e">
        <f ca="1"/>
        <v>#REF!</v>
      </c>
      <c r="AV410" s="7" t="e">
        <f ca="1"/>
        <v>#REF!</v>
      </c>
    </row>
    <row r="411" spans="37:48" x14ac:dyDescent="0.25">
      <c r="AK411" t="str">
        <f ca="1"/>
        <v>Obs. 646</v>
      </c>
      <c r="AL411" s="7">
        <f ca="1"/>
        <v>77</v>
      </c>
      <c r="AN411" s="7" t="e">
        <f ca="1"/>
        <v>#REF!</v>
      </c>
      <c r="AO411" s="7" t="e">
        <f ca="1"/>
        <v>#REF!</v>
      </c>
      <c r="AP411" s="7">
        <f ca="1"/>
        <v>0.13875925174081122</v>
      </c>
      <c r="AQ411" s="7" t="e">
        <f ca="1"/>
        <v>#REF!</v>
      </c>
      <c r="AR411" s="7" t="e">
        <f ca="1"/>
        <v>#REF!</v>
      </c>
      <c r="AS411" s="7">
        <f ca="1"/>
        <v>-0.68742774275107121</v>
      </c>
      <c r="AT411" s="7" t="e">
        <f ca="1"/>
        <v>#REF!</v>
      </c>
      <c r="AU411" s="7" t="e">
        <f ca="1"/>
        <v>#REF!</v>
      </c>
      <c r="AV411" s="7" t="e">
        <f ca="1"/>
        <v>#REF!</v>
      </c>
    </row>
    <row r="412" spans="37:48" x14ac:dyDescent="0.25">
      <c r="AK412" t="str">
        <f ca="1"/>
        <v>Obs. 647</v>
      </c>
      <c r="AL412" s="7">
        <f ca="1"/>
        <v>76.599999999999994</v>
      </c>
      <c r="AN412" s="7" t="e">
        <f ca="1"/>
        <v>#REF!</v>
      </c>
      <c r="AO412" s="7" t="e">
        <f ca="1"/>
        <v>#REF!</v>
      </c>
      <c r="AP412" s="7">
        <f ca="1"/>
        <v>0.1460961413551681</v>
      </c>
      <c r="AQ412" s="7" t="e">
        <f ca="1"/>
        <v>#REF!</v>
      </c>
      <c r="AR412" s="7" t="e">
        <f ca="1"/>
        <v>#REF!</v>
      </c>
      <c r="AS412" s="7">
        <f ca="1"/>
        <v>-0.68742774275107121</v>
      </c>
      <c r="AT412" s="7" t="e">
        <f ca="1"/>
        <v>#REF!</v>
      </c>
      <c r="AU412" s="7" t="e">
        <f ca="1"/>
        <v>#REF!</v>
      </c>
      <c r="AV412" s="7" t="e">
        <f ca="1"/>
        <v>#REF!</v>
      </c>
    </row>
    <row r="413" spans="37:48" x14ac:dyDescent="0.25">
      <c r="AK413" t="str">
        <f ca="1"/>
        <v>Obs. 648</v>
      </c>
      <c r="AL413" s="7">
        <f ca="1"/>
        <v>76.3</v>
      </c>
      <c r="AN413" s="7" t="e">
        <f ca="1"/>
        <v>#REF!</v>
      </c>
      <c r="AO413" s="7" t="e">
        <f ca="1"/>
        <v>#REF!</v>
      </c>
      <c r="AP413" s="7">
        <f ca="1"/>
        <v>0.14501002399012228</v>
      </c>
      <c r="AQ413" s="7" t="e">
        <f ca="1"/>
        <v>#REF!</v>
      </c>
      <c r="AR413" s="7" t="e">
        <f ca="1"/>
        <v>#REF!</v>
      </c>
      <c r="AS413" s="7">
        <f ca="1"/>
        <v>-0.68742774275107121</v>
      </c>
      <c r="AT413" s="7" t="e">
        <f ca="1"/>
        <v>#REF!</v>
      </c>
      <c r="AU413" s="7" t="e">
        <f ca="1"/>
        <v>#REF!</v>
      </c>
      <c r="AV413" s="7" t="e">
        <f ca="1"/>
        <v>#REF!</v>
      </c>
    </row>
    <row r="414" spans="37:48" x14ac:dyDescent="0.25">
      <c r="AK414" t="str">
        <f ca="1"/>
        <v>Obs. 649</v>
      </c>
      <c r="AL414" s="7">
        <f ca="1"/>
        <v>76</v>
      </c>
      <c r="AN414" s="7" t="e">
        <f ca="1"/>
        <v>#REF!</v>
      </c>
      <c r="AO414" s="7" t="e">
        <f ca="1"/>
        <v>#REF!</v>
      </c>
      <c r="AP414" s="7">
        <f ca="1"/>
        <v>0.13922014580142716</v>
      </c>
      <c r="AQ414" s="7" t="e">
        <f ca="1"/>
        <v>#REF!</v>
      </c>
      <c r="AR414" s="7" t="e">
        <f ca="1"/>
        <v>#REF!</v>
      </c>
      <c r="AS414" s="7">
        <f ca="1"/>
        <v>-0.68742774275107121</v>
      </c>
      <c r="AT414" s="7" t="e">
        <f ca="1"/>
        <v>#REF!</v>
      </c>
      <c r="AU414" s="7" t="e">
        <f ca="1"/>
        <v>#REF!</v>
      </c>
      <c r="AV414" s="7" t="e">
        <f ca="1"/>
        <v>#REF!</v>
      </c>
    </row>
    <row r="415" spans="37:48" x14ac:dyDescent="0.25">
      <c r="AK415" t="str">
        <f ca="1"/>
        <v>Obs. 650</v>
      </c>
      <c r="AL415" s="7">
        <f ca="1"/>
        <v>75.8</v>
      </c>
      <c r="AN415" s="7" t="e">
        <f ca="1"/>
        <v>#REF!</v>
      </c>
      <c r="AO415" s="7" t="e">
        <f ca="1"/>
        <v>#REF!</v>
      </c>
      <c r="AP415" s="7">
        <f ca="1"/>
        <v>0.1389708559085511</v>
      </c>
      <c r="AQ415" s="7" t="e">
        <f ca="1"/>
        <v>#REF!</v>
      </c>
      <c r="AR415" s="7" t="e">
        <f ca="1"/>
        <v>#REF!</v>
      </c>
      <c r="AS415" s="7">
        <f ca="1"/>
        <v>-0.67401274003943057</v>
      </c>
      <c r="AT415" s="7" t="e">
        <f ca="1"/>
        <v>#REF!</v>
      </c>
      <c r="AU415" s="7" t="e">
        <f ca="1"/>
        <v>#REF!</v>
      </c>
      <c r="AV415" s="7" t="e">
        <f ca="1"/>
        <v>#REF!</v>
      </c>
    </row>
    <row r="416" spans="37:48" x14ac:dyDescent="0.25">
      <c r="AK416" t="str">
        <f ca="1"/>
        <v>Obs. 675</v>
      </c>
      <c r="AL416" s="7">
        <f ca="1"/>
        <v>83</v>
      </c>
      <c r="AN416" s="7" t="e">
        <f ca="1"/>
        <v>#REF!</v>
      </c>
      <c r="AO416" s="7" t="e">
        <f ca="1"/>
        <v>#REF!</v>
      </c>
      <c r="AP416" s="7">
        <f ca="1"/>
        <v>9.5289078910237218E-2</v>
      </c>
      <c r="AQ416" s="7" t="e">
        <f ca="1"/>
        <v>#REF!</v>
      </c>
      <c r="AR416" s="7" t="e">
        <f ca="1"/>
        <v>#REF!</v>
      </c>
      <c r="AS416" s="7">
        <f ca="1"/>
        <v>-0.67401274003943057</v>
      </c>
      <c r="AT416" s="7" t="e">
        <f ca="1"/>
        <v>#REF!</v>
      </c>
      <c r="AU416" s="7" t="e">
        <f ca="1"/>
        <v>#REF!</v>
      </c>
      <c r="AV416" s="7" t="e">
        <f ca="1"/>
        <v>#REF!</v>
      </c>
    </row>
    <row r="417" spans="37:48" x14ac:dyDescent="0.25">
      <c r="AK417" t="str">
        <f ca="1"/>
        <v>Obs. 676</v>
      </c>
      <c r="AL417" s="7">
        <f ca="1"/>
        <v>81</v>
      </c>
      <c r="AN417" s="7" t="e">
        <f ca="1"/>
        <v>#REF!</v>
      </c>
      <c r="AO417" s="7" t="e">
        <f ca="1"/>
        <v>#REF!</v>
      </c>
      <c r="AP417" s="7">
        <f ca="1"/>
        <v>6.4523993654897374E-2</v>
      </c>
      <c r="AQ417" s="7" t="e">
        <f ca="1"/>
        <v>#REF!</v>
      </c>
      <c r="AR417" s="7" t="e">
        <f ca="1"/>
        <v>#REF!</v>
      </c>
      <c r="AS417" s="7">
        <f ca="1"/>
        <v>-0.67401274003943057</v>
      </c>
      <c r="AT417" s="7" t="e">
        <f ca="1"/>
        <v>#REF!</v>
      </c>
      <c r="AU417" s="7" t="e">
        <f ca="1"/>
        <v>#REF!</v>
      </c>
      <c r="AV417" s="7" t="e">
        <f ca="1"/>
        <v>#REF!</v>
      </c>
    </row>
    <row r="418" spans="37:48" x14ac:dyDescent="0.25">
      <c r="AK418" t="str">
        <f ca="1"/>
        <v>Obs. 677</v>
      </c>
      <c r="AL418" s="7">
        <f ca="1"/>
        <v>80</v>
      </c>
      <c r="AN418" s="7" t="e">
        <f ca="1"/>
        <v>#REF!</v>
      </c>
      <c r="AO418" s="7" t="e">
        <f ca="1"/>
        <v>#REF!</v>
      </c>
      <c r="AP418" s="7">
        <f ca="1"/>
        <v>6.1333903163290363E-2</v>
      </c>
      <c r="AQ418" s="7" t="e">
        <f ca="1"/>
        <v>#REF!</v>
      </c>
      <c r="AR418" s="7" t="e">
        <f ca="1"/>
        <v>#REF!</v>
      </c>
      <c r="AS418" s="7">
        <f ca="1"/>
        <v>-0.67401274003943057</v>
      </c>
      <c r="AT418" s="7" t="e">
        <f ca="1"/>
        <v>#REF!</v>
      </c>
      <c r="AU418" s="7" t="e">
        <f ca="1"/>
        <v>#REF!</v>
      </c>
      <c r="AV418" s="7" t="e">
        <f ca="1"/>
        <v>#REF!</v>
      </c>
    </row>
    <row r="419" spans="37:48" x14ac:dyDescent="0.25">
      <c r="AK419" t="str">
        <f ca="1"/>
        <v>Obs. 678</v>
      </c>
      <c r="AL419" s="7">
        <f ca="1"/>
        <v>79.7</v>
      </c>
      <c r="AN419" s="7" t="e">
        <f ca="1"/>
        <v>#REF!</v>
      </c>
      <c r="AO419" s="7" t="e">
        <f ca="1"/>
        <v>#REF!</v>
      </c>
      <c r="AP419" s="7">
        <f ca="1"/>
        <v>6.4079406235574968E-2</v>
      </c>
      <c r="AQ419" s="7" t="e">
        <f ca="1"/>
        <v>#REF!</v>
      </c>
      <c r="AR419" s="7" t="e">
        <f ca="1"/>
        <v>#REF!</v>
      </c>
      <c r="AS419" s="7">
        <f ca="1"/>
        <v>-0.6664012884495929</v>
      </c>
      <c r="AT419" s="7" t="e">
        <f ca="1"/>
        <v>#REF!</v>
      </c>
      <c r="AU419" s="7" t="e">
        <f ca="1"/>
        <v>#REF!</v>
      </c>
      <c r="AV419" s="7" t="e">
        <f ca="1"/>
        <v>#REF!</v>
      </c>
    </row>
    <row r="420" spans="37:48" x14ac:dyDescent="0.25">
      <c r="AK420" t="str">
        <f ca="1"/>
        <v>Obs. 679</v>
      </c>
      <c r="AL420" s="7">
        <f ca="1"/>
        <v>79.5</v>
      </c>
      <c r="AN420" s="7" t="e">
        <f ca="1"/>
        <v>#REF!</v>
      </c>
      <c r="AO420" s="7" t="e">
        <f ca="1"/>
        <v>#REF!</v>
      </c>
      <c r="AP420" s="7">
        <f ca="1"/>
        <v>6.2493785162438642E-2</v>
      </c>
      <c r="AQ420" s="7" t="e">
        <f ca="1"/>
        <v>#REF!</v>
      </c>
      <c r="AR420" s="7" t="e">
        <f ca="1"/>
        <v>#REF!</v>
      </c>
      <c r="AS420" s="7">
        <f ca="1"/>
        <v>-0.6664012884495929</v>
      </c>
      <c r="AT420" s="7" t="e">
        <f ca="1"/>
        <v>#REF!</v>
      </c>
      <c r="AU420" s="7" t="e">
        <f ca="1"/>
        <v>#REF!</v>
      </c>
      <c r="AV420" s="7" t="e">
        <f ca="1"/>
        <v>#REF!</v>
      </c>
    </row>
    <row r="421" spans="37:48" x14ac:dyDescent="0.25">
      <c r="AK421" t="str">
        <f ca="1"/>
        <v>Obs. 680</v>
      </c>
      <c r="AL421" s="7">
        <f ca="1"/>
        <v>79.3</v>
      </c>
      <c r="AN421" s="7" t="e">
        <f ca="1"/>
        <v>#REF!</v>
      </c>
      <c r="AO421" s="7" t="e">
        <f ca="1"/>
        <v>#REF!</v>
      </c>
      <c r="AP421" s="7">
        <f ca="1"/>
        <v>6.1494525055650472E-2</v>
      </c>
      <c r="AQ421" s="7" t="e">
        <f ca="1"/>
        <v>#REF!</v>
      </c>
      <c r="AR421" s="7" t="e">
        <f ca="1"/>
        <v>#REF!</v>
      </c>
      <c r="AS421" s="7">
        <f ca="1"/>
        <v>-0.6664012884495929</v>
      </c>
      <c r="AT421" s="7" t="e">
        <f ca="1"/>
        <v>#REF!</v>
      </c>
      <c r="AU421" s="7" t="e">
        <f ca="1"/>
        <v>#REF!</v>
      </c>
      <c r="AV421" s="7" t="e">
        <f ca="1"/>
        <v>#REF!</v>
      </c>
    </row>
    <row r="422" spans="37:48" x14ac:dyDescent="0.25">
      <c r="AK422" t="str">
        <f ca="1"/>
        <v>Obs. 681</v>
      </c>
      <c r="AL422" s="7">
        <f ca="1"/>
        <v>79.099999999999994</v>
      </c>
      <c r="AN422" s="7" t="e">
        <f ca="1"/>
        <v>#REF!</v>
      </c>
      <c r="AO422" s="7" t="e">
        <f ca="1"/>
        <v>#REF!</v>
      </c>
      <c r="AP422" s="7">
        <f ca="1"/>
        <v>6.1429643508858739E-2</v>
      </c>
      <c r="AQ422" s="7" t="e">
        <f ca="1"/>
        <v>#REF!</v>
      </c>
      <c r="AR422" s="7" t="e">
        <f ca="1"/>
        <v>#REF!</v>
      </c>
      <c r="AS422" s="7">
        <f ca="1"/>
        <v>-0.66071795340131467</v>
      </c>
      <c r="AT422" s="7" t="e">
        <f ca="1"/>
        <v>#REF!</v>
      </c>
      <c r="AU422" s="7" t="e">
        <f ca="1"/>
        <v>#REF!</v>
      </c>
      <c r="AV422" s="7" t="e">
        <f ca="1"/>
        <v>#REF!</v>
      </c>
    </row>
    <row r="423" spans="37:48" x14ac:dyDescent="0.25">
      <c r="AK423" t="str">
        <f ca="1"/>
        <v>Obs. 682</v>
      </c>
      <c r="AL423" s="7">
        <f ca="1"/>
        <v>78.900000000000006</v>
      </c>
      <c r="AN423" s="7" t="e">
        <f ca="1"/>
        <v>#REF!</v>
      </c>
      <c r="AO423" s="7" t="e">
        <f ca="1"/>
        <v>#REF!</v>
      </c>
      <c r="AP423" s="7">
        <f ca="1"/>
        <v>6.9009548722629946E-2</v>
      </c>
      <c r="AQ423" s="7" t="e">
        <f ca="1"/>
        <v>#REF!</v>
      </c>
      <c r="AR423" s="7" t="e">
        <f ca="1"/>
        <v>#REF!</v>
      </c>
      <c r="AS423" s="7">
        <f ca="1"/>
        <v>-0.66071795340131467</v>
      </c>
      <c r="AT423" s="7" t="e">
        <f ca="1"/>
        <v>#REF!</v>
      </c>
      <c r="AU423" s="7" t="e">
        <f ca="1"/>
        <v>#REF!</v>
      </c>
      <c r="AV423" s="7" t="e">
        <f ca="1"/>
        <v>#REF!</v>
      </c>
    </row>
    <row r="424" spans="37:48" x14ac:dyDescent="0.25">
      <c r="AK424" t="str">
        <f ca="1"/>
        <v>Obs. 683</v>
      </c>
      <c r="AL424" s="7">
        <f ca="1"/>
        <v>78.8</v>
      </c>
      <c r="AN424" s="7" t="e">
        <f ca="1"/>
        <v>#REF!</v>
      </c>
      <c r="AO424" s="7" t="e">
        <f ca="1"/>
        <v>#REF!</v>
      </c>
      <c r="AP424" s="7">
        <f ca="1"/>
        <v>6.327968608247507E-2</v>
      </c>
      <c r="AQ424" s="7" t="e">
        <f ca="1"/>
        <v>#REF!</v>
      </c>
      <c r="AR424" s="7" t="e">
        <f ca="1"/>
        <v>#REF!</v>
      </c>
      <c r="AS424" s="7">
        <f ca="1"/>
        <v>-0.66071795340131467</v>
      </c>
      <c r="AT424" s="7" t="e">
        <f ca="1"/>
        <v>#REF!</v>
      </c>
      <c r="AU424" s="7" t="e">
        <f ca="1"/>
        <v>#REF!</v>
      </c>
      <c r="AV424" s="7" t="e">
        <f ca="1"/>
        <v>#REF!</v>
      </c>
    </row>
    <row r="425" spans="37:48" x14ac:dyDescent="0.25">
      <c r="AK425" t="str">
        <f ca="1"/>
        <v>Obs. 684</v>
      </c>
      <c r="AL425" s="7">
        <f ca="1"/>
        <v>78.7</v>
      </c>
      <c r="AN425" s="7" t="e">
        <f ca="1"/>
        <v>#REF!</v>
      </c>
      <c r="AO425" s="7" t="e">
        <f ca="1"/>
        <v>#REF!</v>
      </c>
      <c r="AP425" s="7">
        <f ca="1"/>
        <v>6.1792709410145197E-2</v>
      </c>
      <c r="AQ425" s="7" t="e">
        <f ca="1"/>
        <v>#REF!</v>
      </c>
      <c r="AR425" s="7" t="e">
        <f ca="1"/>
        <v>#REF!</v>
      </c>
      <c r="AS425" s="7">
        <f ca="1"/>
        <v>-0.66071795340131467</v>
      </c>
      <c r="AT425" s="7" t="e">
        <f ca="1"/>
        <v>#REF!</v>
      </c>
      <c r="AU425" s="7" t="e">
        <f ca="1"/>
        <v>#REF!</v>
      </c>
      <c r="AV425" s="7" t="e">
        <f ca="1"/>
        <v>#REF!</v>
      </c>
    </row>
    <row r="426" spans="37:48" x14ac:dyDescent="0.25">
      <c r="AK426" t="str">
        <f ca="1"/>
        <v>Obs. 685</v>
      </c>
      <c r="AL426" s="7">
        <f ca="1"/>
        <v>78.599999999999994</v>
      </c>
      <c r="AN426" s="7" t="e">
        <f ca="1"/>
        <v>#REF!</v>
      </c>
      <c r="AO426" s="7" t="e">
        <f ca="1"/>
        <v>#REF!</v>
      </c>
      <c r="AP426" s="7">
        <f ca="1"/>
        <v>6.1196437107272711E-2</v>
      </c>
      <c r="AQ426" s="7" t="e">
        <f ca="1"/>
        <v>#REF!</v>
      </c>
      <c r="AR426" s="7" t="e">
        <f ca="1"/>
        <v>#REF!</v>
      </c>
      <c r="AS426" s="7">
        <f ca="1"/>
        <v>-0.66071795340131467</v>
      </c>
      <c r="AT426" s="7" t="e">
        <f ca="1"/>
        <v>#REF!</v>
      </c>
      <c r="AU426" s="7" t="e">
        <f ca="1"/>
        <v>#REF!</v>
      </c>
      <c r="AV426" s="7" t="e">
        <f ca="1"/>
        <v>#REF!</v>
      </c>
    </row>
    <row r="427" spans="37:48" x14ac:dyDescent="0.25">
      <c r="AK427" t="str">
        <f ca="1"/>
        <v>Obs. 686</v>
      </c>
      <c r="AL427" s="7">
        <f ca="1"/>
        <v>78.5</v>
      </c>
      <c r="AN427" s="7" t="e">
        <f ca="1"/>
        <v>#REF!</v>
      </c>
      <c r="AO427" s="7" t="e">
        <f ca="1"/>
        <v>#REF!</v>
      </c>
      <c r="AP427" s="7">
        <f ca="1"/>
        <v>6.0920109485186558E-2</v>
      </c>
      <c r="AQ427" s="7" t="e">
        <f ca="1"/>
        <v>#REF!</v>
      </c>
      <c r="AR427" s="7" t="e">
        <f ca="1"/>
        <v>#REF!</v>
      </c>
      <c r="AS427" s="7">
        <f ca="1"/>
        <v>-0.66071795340131467</v>
      </c>
      <c r="AT427" s="7" t="e">
        <f ca="1"/>
        <v>#REF!</v>
      </c>
      <c r="AU427" s="7" t="e">
        <f ca="1"/>
        <v>#REF!</v>
      </c>
      <c r="AV427" s="7" t="e">
        <f ca="1"/>
        <v>#REF!</v>
      </c>
    </row>
    <row r="428" spans="37:48" x14ac:dyDescent="0.25">
      <c r="AK428" t="str">
        <f ca="1"/>
        <v>Obs. 687</v>
      </c>
      <c r="AL428" s="7">
        <f ca="1"/>
        <v>78.400000000000006</v>
      </c>
      <c r="AN428" s="7" t="e">
        <f ca="1"/>
        <v>#REF!</v>
      </c>
      <c r="AO428" s="7" t="e">
        <f ca="1"/>
        <v>#REF!</v>
      </c>
      <c r="AP428" s="7">
        <f ca="1"/>
        <v>5.6633742611154489E-2</v>
      </c>
      <c r="AQ428" s="7" t="e">
        <f ca="1"/>
        <v>#REF!</v>
      </c>
      <c r="AR428" s="7" t="e">
        <f ca="1"/>
        <v>#REF!</v>
      </c>
      <c r="AS428" s="7">
        <f ca="1"/>
        <v>-0.64941472986293491</v>
      </c>
      <c r="AT428" s="7" t="e">
        <f ca="1"/>
        <v>#REF!</v>
      </c>
      <c r="AU428" s="7" t="e">
        <f ca="1"/>
        <v>#REF!</v>
      </c>
      <c r="AV428" s="7" t="e">
        <f ca="1"/>
        <v>#REF!</v>
      </c>
    </row>
    <row r="429" spans="37:48" x14ac:dyDescent="0.25">
      <c r="AK429" t="str">
        <f ca="1"/>
        <v>Obs. 688</v>
      </c>
      <c r="AL429" s="7">
        <f ca="1"/>
        <v>78.2</v>
      </c>
      <c r="AN429" s="7" t="e">
        <f ca="1"/>
        <v>#REF!</v>
      </c>
      <c r="AO429" s="7" t="e">
        <f ca="1"/>
        <v>#REF!</v>
      </c>
      <c r="AP429" s="7">
        <f ca="1"/>
        <v>6.2384976833229216E-2</v>
      </c>
      <c r="AQ429" s="7" t="e">
        <f ca="1"/>
        <v>#REF!</v>
      </c>
      <c r="AR429" s="7" t="e">
        <f ca="1"/>
        <v>#REF!</v>
      </c>
      <c r="AS429" s="7">
        <f ca="1"/>
        <v>-0.64941472986293491</v>
      </c>
      <c r="AT429" s="7" t="e">
        <f ca="1"/>
        <v>#REF!</v>
      </c>
      <c r="AU429" s="7" t="e">
        <f ca="1"/>
        <v>#REF!</v>
      </c>
      <c r="AV429" s="7" t="e">
        <f ca="1"/>
        <v>#REF!</v>
      </c>
    </row>
    <row r="430" spans="37:48" x14ac:dyDescent="0.25">
      <c r="AK430" t="str">
        <f ca="1"/>
        <v>Obs. 689</v>
      </c>
      <c r="AL430" s="7">
        <f ca="1"/>
        <v>78.099999999999994</v>
      </c>
      <c r="AN430" s="7" t="e">
        <f ca="1"/>
        <v>#REF!</v>
      </c>
      <c r="AO430" s="7" t="e">
        <f ca="1"/>
        <v>#REF!</v>
      </c>
      <c r="AP430" s="7">
        <f ca="1"/>
        <v>5.7904234908745453E-2</v>
      </c>
      <c r="AQ430" s="7" t="e">
        <f ca="1"/>
        <v>#REF!</v>
      </c>
      <c r="AR430" s="7" t="e">
        <f ca="1"/>
        <v>#REF!</v>
      </c>
      <c r="AS430" s="7">
        <f ca="1"/>
        <v>-0.64941472986293491</v>
      </c>
      <c r="AT430" s="7" t="e">
        <f ca="1"/>
        <v>#REF!</v>
      </c>
      <c r="AU430" s="7" t="e">
        <f ca="1"/>
        <v>#REF!</v>
      </c>
      <c r="AV430" s="7" t="e">
        <f ca="1"/>
        <v>#REF!</v>
      </c>
    </row>
    <row r="431" spans="37:48" x14ac:dyDescent="0.25">
      <c r="AK431" t="str">
        <f ca="1"/>
        <v>Obs. 755</v>
      </c>
      <c r="AL431" s="7">
        <f ca="1"/>
        <v>63</v>
      </c>
      <c r="AN431" s="7" t="e">
        <f ca="1"/>
        <v>#REF!</v>
      </c>
      <c r="AO431" s="7" t="e">
        <f ca="1"/>
        <v>#REF!</v>
      </c>
      <c r="AP431" s="7">
        <f ca="1"/>
        <v>0.18823444406072165</v>
      </c>
      <c r="AQ431" s="7" t="e">
        <f ca="1"/>
        <v>#REF!</v>
      </c>
      <c r="AR431" s="7" t="e">
        <f ca="1"/>
        <v>#REF!</v>
      </c>
      <c r="AS431" s="7">
        <f ca="1"/>
        <v>-0.64941472986293491</v>
      </c>
      <c r="AT431" s="7" t="e">
        <f ca="1"/>
        <v>#REF!</v>
      </c>
      <c r="AU431" s="7" t="e">
        <f ca="1"/>
        <v>#REF!</v>
      </c>
      <c r="AV431" s="7" t="e">
        <f ca="1"/>
        <v>#REF!</v>
      </c>
    </row>
    <row r="432" spans="37:48" x14ac:dyDescent="0.25">
      <c r="AK432" t="str">
        <f ca="1"/>
        <v>Obs. 756</v>
      </c>
      <c r="AL432" s="7">
        <f ca="1"/>
        <v>62.7</v>
      </c>
      <c r="AN432" s="7" t="e">
        <f ca="1"/>
        <v>#REF!</v>
      </c>
      <c r="AO432" s="7" t="e">
        <f ca="1"/>
        <v>#REF!</v>
      </c>
      <c r="AP432" s="7">
        <f ca="1"/>
        <v>0.17851348192726138</v>
      </c>
      <c r="AQ432" s="7" t="e">
        <f ca="1"/>
        <v>#REF!</v>
      </c>
      <c r="AR432" s="7" t="e">
        <f ca="1"/>
        <v>#REF!</v>
      </c>
      <c r="AS432" s="7">
        <f ca="1"/>
        <v>-0.64941472986293491</v>
      </c>
      <c r="AT432" s="7" t="e">
        <f ca="1"/>
        <v>#REF!</v>
      </c>
      <c r="AU432" s="7" t="e">
        <f ca="1"/>
        <v>#REF!</v>
      </c>
      <c r="AV432" s="7" t="e">
        <f ca="1"/>
        <v>#REF!</v>
      </c>
    </row>
    <row r="433" spans="37:48" x14ac:dyDescent="0.25">
      <c r="AK433" t="str">
        <f ca="1"/>
        <v>Obs. 757</v>
      </c>
      <c r="AL433" s="7">
        <f ca="1"/>
        <v>62.2</v>
      </c>
      <c r="AN433" s="7" t="e">
        <f ca="1"/>
        <v>#REF!</v>
      </c>
      <c r="AO433" s="7" t="e">
        <f ca="1"/>
        <v>#REF!</v>
      </c>
      <c r="AP433" s="7">
        <f ca="1"/>
        <v>0.17849792844013712</v>
      </c>
      <c r="AQ433" s="7" t="e">
        <f ca="1"/>
        <v>#REF!</v>
      </c>
      <c r="AR433" s="7" t="e">
        <f ca="1"/>
        <v>#REF!</v>
      </c>
      <c r="AS433" s="7">
        <f ca="1"/>
        <v>-0.64941472986293491</v>
      </c>
      <c r="AT433" s="7" t="e">
        <f ca="1"/>
        <v>#REF!</v>
      </c>
      <c r="AU433" s="7" t="e">
        <f ca="1"/>
        <v>#REF!</v>
      </c>
      <c r="AV433" s="7" t="e">
        <f ca="1"/>
        <v>#REF!</v>
      </c>
    </row>
    <row r="434" spans="37:48" x14ac:dyDescent="0.25">
      <c r="AK434" t="str">
        <f ca="1"/>
        <v>Obs. 758</v>
      </c>
      <c r="AL434" s="7">
        <f ca="1"/>
        <v>61.8</v>
      </c>
      <c r="AN434" s="7" t="e">
        <f ca="1"/>
        <v>#REF!</v>
      </c>
      <c r="AO434" s="7" t="e">
        <f ca="1"/>
        <v>#REF!</v>
      </c>
      <c r="AP434" s="7">
        <f ca="1"/>
        <v>0.17785210656095946</v>
      </c>
      <c r="AQ434" s="7" t="e">
        <f ca="1"/>
        <v>#REF!</v>
      </c>
      <c r="AR434" s="7" t="e">
        <f ca="1"/>
        <v>#REF!</v>
      </c>
      <c r="AS434" s="7">
        <f ca="1"/>
        <v>-0.64941472986293491</v>
      </c>
      <c r="AT434" s="7" t="e">
        <f ca="1"/>
        <v>#REF!</v>
      </c>
      <c r="AU434" s="7" t="e">
        <f ca="1"/>
        <v>#REF!</v>
      </c>
      <c r="AV434" s="7" t="e">
        <f ca="1"/>
        <v>#REF!</v>
      </c>
    </row>
    <row r="435" spans="37:48" x14ac:dyDescent="0.25">
      <c r="AK435" t="str">
        <f ca="1"/>
        <v>Obs. 759</v>
      </c>
      <c r="AL435" s="7">
        <f ca="1"/>
        <v>61.3</v>
      </c>
      <c r="AN435" s="7" t="e">
        <f ca="1"/>
        <v>#REF!</v>
      </c>
      <c r="AO435" s="7" t="e">
        <f ca="1"/>
        <v>#REF!</v>
      </c>
      <c r="AP435" s="7">
        <f ca="1"/>
        <v>0.17800990645588083</v>
      </c>
      <c r="AQ435" s="7" t="e">
        <f ca="1"/>
        <v>#REF!</v>
      </c>
      <c r="AR435" s="7" t="e">
        <f ca="1"/>
        <v>#REF!</v>
      </c>
      <c r="AS435" s="7">
        <f ca="1"/>
        <v>-0.63633155866502356</v>
      </c>
      <c r="AT435" s="7" t="e">
        <f ca="1"/>
        <v>#REF!</v>
      </c>
      <c r="AU435" s="7" t="e">
        <f ca="1"/>
        <v>#REF!</v>
      </c>
      <c r="AV435" s="7" t="e">
        <f ca="1"/>
        <v>#REF!</v>
      </c>
    </row>
    <row r="436" spans="37:48" x14ac:dyDescent="0.25">
      <c r="AK436" t="str">
        <f ca="1"/>
        <v>Obs. 760</v>
      </c>
      <c r="AL436" s="7">
        <f ca="1"/>
        <v>69</v>
      </c>
      <c r="AN436" s="7" t="e">
        <f ca="1"/>
        <v>#REF!</v>
      </c>
      <c r="AO436" s="7" t="e">
        <f ca="1"/>
        <v>#REF!</v>
      </c>
      <c r="AP436" s="7">
        <f ca="1"/>
        <v>0.17795620474187332</v>
      </c>
      <c r="AQ436" s="7" t="e">
        <f ca="1"/>
        <v>#REF!</v>
      </c>
      <c r="AR436" s="7" t="e">
        <f ca="1"/>
        <v>#REF!</v>
      </c>
      <c r="AS436" s="7">
        <f ca="1"/>
        <v>-0.63633155866502356</v>
      </c>
      <c r="AT436" s="7" t="e">
        <f ca="1"/>
        <v>#REF!</v>
      </c>
      <c r="AU436" s="7" t="e">
        <f ca="1"/>
        <v>#REF!</v>
      </c>
      <c r="AV436" s="7" t="e">
        <f ca="1"/>
        <v>#REF!</v>
      </c>
    </row>
    <row r="437" spans="37:48" x14ac:dyDescent="0.25">
      <c r="AK437" t="str">
        <f ca="1"/>
        <v>Obs. 761</v>
      </c>
      <c r="AL437" s="7">
        <f ca="1"/>
        <v>62</v>
      </c>
      <c r="AN437" s="7" t="e">
        <f ca="1"/>
        <v>#REF!</v>
      </c>
      <c r="AO437" s="7" t="e">
        <f ca="1"/>
        <v>#REF!</v>
      </c>
      <c r="AP437" s="7">
        <f ca="1"/>
        <v>0.17844110848516384</v>
      </c>
      <c r="AQ437" s="7" t="e">
        <f ca="1"/>
        <v>#REF!</v>
      </c>
      <c r="AR437" s="7" t="e">
        <f ca="1"/>
        <v>#REF!</v>
      </c>
      <c r="AS437" s="7">
        <f ca="1"/>
        <v>-0.63633155866502356</v>
      </c>
      <c r="AT437" s="7" t="e">
        <f ca="1"/>
        <v>#REF!</v>
      </c>
      <c r="AU437" s="7" t="e">
        <f ca="1"/>
        <v>#REF!</v>
      </c>
      <c r="AV437" s="7" t="e">
        <f ca="1"/>
        <v>#REF!</v>
      </c>
    </row>
    <row r="438" spans="37:48" x14ac:dyDescent="0.25">
      <c r="AK438" t="str">
        <f ca="1"/>
        <v>Obs. 762</v>
      </c>
      <c r="AL438" s="7">
        <f ca="1"/>
        <v>59.8</v>
      </c>
      <c r="AN438" s="7" t="e">
        <f ca="1"/>
        <v>#REF!</v>
      </c>
      <c r="AO438" s="7" t="e">
        <f ca="1"/>
        <v>#REF!</v>
      </c>
      <c r="AP438" s="7">
        <f ca="1"/>
        <v>0.18632916054566903</v>
      </c>
      <c r="AQ438" s="7" t="e">
        <f ca="1"/>
        <v>#REF!</v>
      </c>
      <c r="AR438" s="7" t="e">
        <f ca="1"/>
        <v>#REF!</v>
      </c>
      <c r="AS438" s="7">
        <f ca="1"/>
        <v>-0.63633155866502356</v>
      </c>
      <c r="AT438" s="7" t="e">
        <f ca="1"/>
        <v>#REF!</v>
      </c>
      <c r="AU438" s="7" t="e">
        <f ca="1"/>
        <v>#REF!</v>
      </c>
      <c r="AV438" s="7" t="e">
        <f ca="1"/>
        <v>#REF!</v>
      </c>
    </row>
    <row r="439" spans="37:48" x14ac:dyDescent="0.25">
      <c r="AK439" t="str">
        <f ca="1"/>
        <v>Obs. 772</v>
      </c>
      <c r="AL439" s="7">
        <f ca="1"/>
        <v>73.599999999999994</v>
      </c>
      <c r="AN439" s="7" t="e">
        <f ca="1"/>
        <v>#REF!</v>
      </c>
      <c r="AO439" s="7" t="e">
        <f ca="1"/>
        <v>#REF!</v>
      </c>
      <c r="AP439" s="7">
        <f ca="1"/>
        <v>8.1571630997973682E-2</v>
      </c>
      <c r="AQ439" s="7" t="e">
        <f ca="1"/>
        <v>#REF!</v>
      </c>
      <c r="AR439" s="7" t="e">
        <f ca="1"/>
        <v>#REF!</v>
      </c>
      <c r="AS439" s="7">
        <f ca="1"/>
        <v>-0.62890421763218984</v>
      </c>
      <c r="AT439" s="7" t="e">
        <f ca="1"/>
        <v>#REF!</v>
      </c>
      <c r="AU439" s="7" t="e">
        <f ca="1"/>
        <v>#REF!</v>
      </c>
      <c r="AV439" s="7" t="e">
        <f ca="1"/>
        <v>#REF!</v>
      </c>
    </row>
    <row r="440" spans="37:48" x14ac:dyDescent="0.25">
      <c r="AK440" t="str">
        <f ca="1"/>
        <v>Obs. 773</v>
      </c>
      <c r="AL440" s="7">
        <f ca="1"/>
        <v>73.400000000000006</v>
      </c>
      <c r="AN440" s="7" t="e">
        <f ca="1"/>
        <v>#REF!</v>
      </c>
      <c r="AO440" s="7" t="e">
        <f ca="1"/>
        <v>#REF!</v>
      </c>
      <c r="AP440" s="7">
        <f ca="1"/>
        <v>7.6629858464879477E-2</v>
      </c>
      <c r="AQ440" s="7" t="e">
        <f ca="1"/>
        <v>#REF!</v>
      </c>
      <c r="AR440" s="7" t="e">
        <f ca="1"/>
        <v>#REF!</v>
      </c>
      <c r="AS440" s="7">
        <f ca="1"/>
        <v>-0.62890421763218984</v>
      </c>
      <c r="AT440" s="7" t="e">
        <f ca="1"/>
        <v>#REF!</v>
      </c>
      <c r="AU440" s="7" t="e">
        <f ca="1"/>
        <v>#REF!</v>
      </c>
      <c r="AV440" s="7" t="e">
        <f ca="1"/>
        <v>#REF!</v>
      </c>
    </row>
    <row r="441" spans="37:48" x14ac:dyDescent="0.25">
      <c r="AK441" t="str">
        <f ca="1"/>
        <v>Obs. 774</v>
      </c>
      <c r="AL441" s="7">
        <f ca="1"/>
        <v>72.099999999999994</v>
      </c>
      <c r="AN441" s="7" t="e">
        <f ca="1"/>
        <v>#REF!</v>
      </c>
      <c r="AO441" s="7" t="e">
        <f ca="1"/>
        <v>#REF!</v>
      </c>
      <c r="AP441" s="7">
        <f ca="1"/>
        <v>6.7315432753563137E-2</v>
      </c>
      <c r="AQ441" s="7" t="e">
        <f ca="1"/>
        <v>#REF!</v>
      </c>
      <c r="AR441" s="7" t="e">
        <f ca="1"/>
        <v>#REF!</v>
      </c>
      <c r="AS441" s="7">
        <f ca="1"/>
        <v>-0.62890421763218984</v>
      </c>
      <c r="AT441" s="7" t="e">
        <f ca="1"/>
        <v>#REF!</v>
      </c>
      <c r="AU441" s="7" t="e">
        <f ca="1"/>
        <v>#REF!</v>
      </c>
      <c r="AV441" s="7" t="e">
        <f ca="1"/>
        <v>#REF!</v>
      </c>
    </row>
    <row r="442" spans="37:48" x14ac:dyDescent="0.25">
      <c r="AK442" t="str">
        <f ca="1"/>
        <v>Obs. 775</v>
      </c>
      <c r="AL442" s="7">
        <f ca="1"/>
        <v>73.099999999999994</v>
      </c>
      <c r="AN442" s="7" t="e">
        <f ca="1"/>
        <v>#REF!</v>
      </c>
      <c r="AO442" s="7" t="e">
        <f ca="1"/>
        <v>#REF!</v>
      </c>
      <c r="AP442" s="7">
        <f ca="1"/>
        <v>7.6111271949106551E-2</v>
      </c>
      <c r="AQ442" s="7" t="e">
        <f ca="1"/>
        <v>#REF!</v>
      </c>
      <c r="AR442" s="7" t="e">
        <f ca="1"/>
        <v>#REF!</v>
      </c>
      <c r="AS442" s="7">
        <f ca="1"/>
        <v>-0.62335641379693996</v>
      </c>
      <c r="AT442" s="7" t="e">
        <f ca="1"/>
        <v>#REF!</v>
      </c>
      <c r="AU442" s="7" t="e">
        <f ca="1"/>
        <v>#REF!</v>
      </c>
      <c r="AV442" s="7" t="e">
        <f ca="1"/>
        <v>#REF!</v>
      </c>
    </row>
    <row r="443" spans="37:48" x14ac:dyDescent="0.25">
      <c r="AK443" t="str">
        <f ca="1"/>
        <v>Obs. 776</v>
      </c>
      <c r="AL443" s="7">
        <f ca="1"/>
        <v>72.7</v>
      </c>
      <c r="AN443" s="7" t="e">
        <f ca="1"/>
        <v>#REF!</v>
      </c>
      <c r="AO443" s="7" t="e">
        <f ca="1"/>
        <v>#REF!</v>
      </c>
      <c r="AP443" s="7">
        <f ca="1"/>
        <v>6.6375225484534006E-2</v>
      </c>
      <c r="AQ443" s="7" t="e">
        <f ca="1"/>
        <v>#REF!</v>
      </c>
      <c r="AR443" s="7" t="e">
        <f ca="1"/>
        <v>#REF!</v>
      </c>
      <c r="AS443" s="7">
        <f ca="1"/>
        <v>-0.62335641379693996</v>
      </c>
      <c r="AT443" s="7" t="e">
        <f ca="1"/>
        <v>#REF!</v>
      </c>
      <c r="AU443" s="7" t="e">
        <f ca="1"/>
        <v>#REF!</v>
      </c>
      <c r="AV443" s="7" t="e">
        <f ca="1"/>
        <v>#REF!</v>
      </c>
    </row>
    <row r="444" spans="37:48" x14ac:dyDescent="0.25">
      <c r="AK444" t="str">
        <f ca="1"/>
        <v>Obs. 777</v>
      </c>
      <c r="AL444" s="7">
        <f ca="1"/>
        <v>73.599999999999994</v>
      </c>
      <c r="AN444" s="7" t="e">
        <f ca="1"/>
        <v>#REF!</v>
      </c>
      <c r="AO444" s="7" t="e">
        <f ca="1"/>
        <v>#REF!</v>
      </c>
      <c r="AP444" s="7">
        <f ca="1"/>
        <v>7.3305238626953206E-2</v>
      </c>
      <c r="AQ444" s="7" t="e">
        <f ca="1"/>
        <v>#REF!</v>
      </c>
      <c r="AR444" s="7" t="e">
        <f ca="1"/>
        <v>#REF!</v>
      </c>
      <c r="AS444" s="7">
        <f ca="1"/>
        <v>-0.62335641379693996</v>
      </c>
      <c r="AT444" s="7" t="e">
        <f ca="1"/>
        <v>#REF!</v>
      </c>
      <c r="AU444" s="7" t="e">
        <f ca="1"/>
        <v>#REF!</v>
      </c>
      <c r="AV444" s="7" t="e">
        <f ca="1"/>
        <v>#REF!</v>
      </c>
    </row>
    <row r="445" spans="37:48" x14ac:dyDescent="0.25">
      <c r="AK445" t="str">
        <f ca="1"/>
        <v>Obs. 778</v>
      </c>
      <c r="AL445" s="7">
        <f ca="1"/>
        <v>73.3</v>
      </c>
      <c r="AN445" s="7" t="e">
        <f ca="1"/>
        <v>#REF!</v>
      </c>
      <c r="AO445" s="7" t="e">
        <f ca="1"/>
        <v>#REF!</v>
      </c>
      <c r="AP445" s="7">
        <f ca="1"/>
        <v>6.6366645645439634E-2</v>
      </c>
      <c r="AQ445" s="7" t="e">
        <f ca="1"/>
        <v>#REF!</v>
      </c>
      <c r="AR445" s="7" t="e">
        <f ca="1"/>
        <v>#REF!</v>
      </c>
      <c r="AS445" s="7">
        <f ca="1"/>
        <v>-0.62335641379693996</v>
      </c>
      <c r="AT445" s="7" t="e">
        <f ca="1"/>
        <v>#REF!</v>
      </c>
      <c r="AU445" s="7" t="e">
        <f ca="1"/>
        <v>#REF!</v>
      </c>
      <c r="AV445" s="7" t="e">
        <f ca="1"/>
        <v>#REF!</v>
      </c>
    </row>
    <row r="446" spans="37:48" x14ac:dyDescent="0.25">
      <c r="AK446" t="str">
        <f ca="1"/>
        <v>Obs. 779</v>
      </c>
      <c r="AL446" s="7">
        <f ca="1"/>
        <v>72.900000000000006</v>
      </c>
      <c r="AN446" s="7" t="e">
        <f ca="1"/>
        <v>#REF!</v>
      </c>
      <c r="AO446" s="7" t="e">
        <f ca="1"/>
        <v>#REF!</v>
      </c>
      <c r="AP446" s="7">
        <f ca="1"/>
        <v>7.4548186207031644E-2</v>
      </c>
      <c r="AQ446" s="7" t="e">
        <f ca="1"/>
        <v>#REF!</v>
      </c>
      <c r="AR446" s="7" t="e">
        <f ca="1"/>
        <v>#REF!</v>
      </c>
      <c r="AS446" s="7">
        <f ca="1"/>
        <v>-0.62335641379693996</v>
      </c>
      <c r="AT446" s="7" t="e">
        <f ca="1"/>
        <v>#REF!</v>
      </c>
      <c r="AU446" s="7" t="e">
        <f ca="1"/>
        <v>#REF!</v>
      </c>
      <c r="AV446" s="7" t="e">
        <f ca="1"/>
        <v>#REF!</v>
      </c>
    </row>
    <row r="447" spans="37:48" x14ac:dyDescent="0.25">
      <c r="AK447" t="str">
        <f ca="1"/>
        <v>Obs. 780</v>
      </c>
      <c r="AL447" s="7">
        <f ca="1"/>
        <v>72.3</v>
      </c>
      <c r="AN447" s="7" t="e">
        <f ca="1"/>
        <v>#REF!</v>
      </c>
      <c r="AO447" s="7" t="e">
        <f ca="1"/>
        <v>#REF!</v>
      </c>
      <c r="AP447" s="7">
        <f ca="1"/>
        <v>6.652869930357562E-2</v>
      </c>
      <c r="AQ447" s="7" t="e">
        <f ca="1"/>
        <v>#REF!</v>
      </c>
      <c r="AR447" s="7" t="e">
        <f ca="1"/>
        <v>#REF!</v>
      </c>
      <c r="AS447" s="7">
        <f ca="1"/>
        <v>-0.62335641379693996</v>
      </c>
      <c r="AT447" s="7" t="e">
        <f ca="1"/>
        <v>#REF!</v>
      </c>
      <c r="AU447" s="7" t="e">
        <f ca="1"/>
        <v>#REF!</v>
      </c>
      <c r="AV447" s="7" t="e">
        <f ca="1"/>
        <v>#REF!</v>
      </c>
    </row>
    <row r="448" spans="37:48" x14ac:dyDescent="0.25">
      <c r="AK448" t="str">
        <f ca="1"/>
        <v>Obs. 781</v>
      </c>
      <c r="AL448" s="7">
        <f ca="1"/>
        <v>69.7</v>
      </c>
      <c r="AN448" s="7" t="e">
        <f ca="1"/>
        <v>#REF!</v>
      </c>
      <c r="AO448" s="7" t="e">
        <f ca="1"/>
        <v>#REF!</v>
      </c>
      <c r="AP448" s="7">
        <f ca="1"/>
        <v>6.8513619247407426E-2</v>
      </c>
      <c r="AQ448" s="7" t="e">
        <f ca="1"/>
        <v>#REF!</v>
      </c>
      <c r="AR448" s="7" t="e">
        <f ca="1"/>
        <v>#REF!</v>
      </c>
      <c r="AS448" s="7">
        <f ca="1"/>
        <v>-0.62335641379693996</v>
      </c>
      <c r="AT448" s="7" t="e">
        <f ca="1"/>
        <v>#REF!</v>
      </c>
      <c r="AU448" s="7" t="e">
        <f ca="1"/>
        <v>#REF!</v>
      </c>
      <c r="AV448" s="7" t="e">
        <f ca="1"/>
        <v>#REF!</v>
      </c>
    </row>
    <row r="449" spans="37:48" x14ac:dyDescent="0.25">
      <c r="AK449" t="str">
        <f ca="1"/>
        <v>Obs. 782</v>
      </c>
      <c r="AL449" s="7">
        <f ca="1"/>
        <v>69.3</v>
      </c>
      <c r="AN449" s="7" t="e">
        <f ca="1"/>
        <v>#REF!</v>
      </c>
      <c r="AO449" s="7" t="e">
        <f ca="1"/>
        <v>#REF!</v>
      </c>
      <c r="AP449" s="7">
        <f ca="1"/>
        <v>6.7937325583584729E-2</v>
      </c>
      <c r="AQ449" s="7" t="e">
        <f ca="1"/>
        <v>#REF!</v>
      </c>
      <c r="AR449" s="7" t="e">
        <f ca="1"/>
        <v>#REF!</v>
      </c>
      <c r="AS449" s="7">
        <f ca="1"/>
        <v>-0.62335641379693996</v>
      </c>
      <c r="AT449" s="7" t="e">
        <f ca="1"/>
        <v>#REF!</v>
      </c>
      <c r="AU449" s="7" t="e">
        <f ca="1"/>
        <v>#REF!</v>
      </c>
      <c r="AV449" s="7" t="e">
        <f ca="1"/>
        <v>#REF!</v>
      </c>
    </row>
    <row r="450" spans="37:48" x14ac:dyDescent="0.25">
      <c r="AK450" t="str">
        <f ca="1"/>
        <v>Obs. 783</v>
      </c>
      <c r="AL450" s="7">
        <f ca="1"/>
        <v>73</v>
      </c>
      <c r="AN450" s="7" t="e">
        <f ca="1"/>
        <v>#REF!</v>
      </c>
      <c r="AO450" s="7" t="e">
        <f ca="1"/>
        <v>#REF!</v>
      </c>
      <c r="AP450" s="7">
        <f ca="1"/>
        <v>6.9465334722585564E-2</v>
      </c>
      <c r="AQ450" s="7" t="e">
        <f ca="1"/>
        <v>#REF!</v>
      </c>
      <c r="AR450" s="7" t="e">
        <f ca="1"/>
        <v>#REF!</v>
      </c>
      <c r="AS450" s="7">
        <f ca="1"/>
        <v>-0.62335641379693996</v>
      </c>
      <c r="AT450" s="7" t="e">
        <f ca="1"/>
        <v>#REF!</v>
      </c>
      <c r="AU450" s="7" t="e">
        <f ca="1"/>
        <v>#REF!</v>
      </c>
      <c r="AV450" s="7" t="e">
        <f ca="1"/>
        <v>#REF!</v>
      </c>
    </row>
    <row r="451" spans="37:48" x14ac:dyDescent="0.25">
      <c r="AK451" t="str">
        <f ca="1"/>
        <v>Obs. 784</v>
      </c>
      <c r="AL451" s="7">
        <f ca="1"/>
        <v>71.400000000000006</v>
      </c>
      <c r="AN451" s="7" t="e">
        <f ca="1"/>
        <v>#REF!</v>
      </c>
      <c r="AO451" s="7" t="e">
        <f ca="1"/>
        <v>#REF!</v>
      </c>
      <c r="AP451" s="7">
        <f ca="1"/>
        <v>6.6918931753858588E-2</v>
      </c>
      <c r="AQ451" s="7" t="e">
        <f ca="1"/>
        <v>#REF!</v>
      </c>
      <c r="AR451" s="7" t="e">
        <f ca="1"/>
        <v>#REF!</v>
      </c>
      <c r="AS451" s="7">
        <f ca="1"/>
        <v>-0.62335641379693996</v>
      </c>
      <c r="AT451" s="7" t="e">
        <f ca="1"/>
        <v>#REF!</v>
      </c>
      <c r="AU451" s="7" t="e">
        <f ca="1"/>
        <v>#REF!</v>
      </c>
      <c r="AV451" s="7" t="e">
        <f ca="1"/>
        <v>#REF!</v>
      </c>
    </row>
    <row r="452" spans="37:48" x14ac:dyDescent="0.25">
      <c r="AK452" t="str">
        <f ca="1"/>
        <v>Obs. 785</v>
      </c>
      <c r="AL452" s="7">
        <f ca="1"/>
        <v>71.2</v>
      </c>
      <c r="AN452" s="7" t="e">
        <f ca="1"/>
        <v>#REF!</v>
      </c>
      <c r="AO452" s="7" t="e">
        <f ca="1"/>
        <v>#REF!</v>
      </c>
      <c r="AP452" s="7">
        <f ca="1"/>
        <v>6.8154812042795443E-2</v>
      </c>
      <c r="AQ452" s="7" t="e">
        <f ca="1"/>
        <v>#REF!</v>
      </c>
      <c r="AR452" s="7" t="e">
        <f ca="1"/>
        <v>#REF!</v>
      </c>
      <c r="AS452" s="7">
        <f ca="1"/>
        <v>-0.62335641379693996</v>
      </c>
      <c r="AT452" s="7" t="e">
        <f ca="1"/>
        <v>#REF!</v>
      </c>
      <c r="AU452" s="7" t="e">
        <f ca="1"/>
        <v>#REF!</v>
      </c>
      <c r="AV452" s="7" t="e">
        <f ca="1"/>
        <v>#REF!</v>
      </c>
    </row>
    <row r="453" spans="37:48" x14ac:dyDescent="0.25">
      <c r="AK453" t="str">
        <f ca="1"/>
        <v>Obs. 786</v>
      </c>
      <c r="AL453" s="7">
        <f ca="1"/>
        <v>72</v>
      </c>
      <c r="AN453" s="7" t="e">
        <f ca="1"/>
        <v>#REF!</v>
      </c>
      <c r="AO453" s="7" t="e">
        <f ca="1"/>
        <v>#REF!</v>
      </c>
      <c r="AP453" s="7">
        <f ca="1"/>
        <v>6.878185856339547E-2</v>
      </c>
      <c r="AQ453" s="7" t="e">
        <f ca="1"/>
        <v>#REF!</v>
      </c>
      <c r="AR453" s="7" t="e">
        <f ca="1"/>
        <v>#REF!</v>
      </c>
      <c r="AS453" s="7">
        <f ca="1"/>
        <v>-0.60317578841021124</v>
      </c>
      <c r="AT453" s="7" t="e">
        <f ca="1"/>
        <v>#REF!</v>
      </c>
      <c r="AU453" s="7" t="e">
        <f ca="1"/>
        <v>#REF!</v>
      </c>
      <c r="AV453" s="7" t="e">
        <f ca="1"/>
        <v>#REF!</v>
      </c>
    </row>
    <row r="454" spans="37:48" x14ac:dyDescent="0.25">
      <c r="AK454" t="str">
        <f ca="1"/>
        <v>Obs. 788</v>
      </c>
      <c r="AL454" s="7">
        <f ca="1"/>
        <v>76</v>
      </c>
      <c r="AN454" s="7" t="e">
        <f ca="1"/>
        <v>#REF!</v>
      </c>
      <c r="AO454" s="7" t="e">
        <f ca="1"/>
        <v>#REF!</v>
      </c>
      <c r="AP454" s="7">
        <f ca="1"/>
        <v>6.6899120730519221E-2</v>
      </c>
      <c r="AQ454" s="7" t="e">
        <f ca="1"/>
        <v>#REF!</v>
      </c>
      <c r="AR454" s="7" t="e">
        <f ca="1"/>
        <v>#REF!</v>
      </c>
      <c r="AS454" s="7">
        <f ca="1"/>
        <v>-0.60317578841021124</v>
      </c>
      <c r="AT454" s="7" t="e">
        <f ca="1"/>
        <v>#REF!</v>
      </c>
      <c r="AU454" s="7" t="e">
        <f ca="1"/>
        <v>#REF!</v>
      </c>
      <c r="AV454" s="7" t="e">
        <f ca="1"/>
        <v>#REF!</v>
      </c>
    </row>
    <row r="455" spans="37:48" x14ac:dyDescent="0.25">
      <c r="AK455" t="str">
        <f ca="1"/>
        <v>Obs. 789</v>
      </c>
      <c r="AL455" s="7">
        <f ca="1"/>
        <v>76</v>
      </c>
      <c r="AN455" s="7" t="e">
        <f ca="1"/>
        <v>#REF!</v>
      </c>
      <c r="AO455" s="7" t="e">
        <f ca="1"/>
        <v>#REF!</v>
      </c>
      <c r="AP455" s="7">
        <f ca="1"/>
        <v>6.2832149441117494E-2</v>
      </c>
      <c r="AQ455" s="7" t="e">
        <f ca="1"/>
        <v>#REF!</v>
      </c>
      <c r="AR455" s="7" t="e">
        <f ca="1"/>
        <v>#REF!</v>
      </c>
      <c r="AS455" s="7">
        <f ca="1"/>
        <v>-0.60317578841021124</v>
      </c>
      <c r="AT455" s="7" t="e">
        <f ca="1"/>
        <v>#REF!</v>
      </c>
      <c r="AU455" s="7" t="e">
        <f ca="1"/>
        <v>#REF!</v>
      </c>
      <c r="AV455" s="7" t="e">
        <f ca="1"/>
        <v>#REF!</v>
      </c>
    </row>
    <row r="456" spans="37:48" x14ac:dyDescent="0.25">
      <c r="AK456" t="str">
        <f ca="1"/>
        <v>Obs. 790</v>
      </c>
      <c r="AL456" s="7">
        <f ca="1"/>
        <v>75.5</v>
      </c>
      <c r="AN456" s="7" t="e">
        <f ca="1"/>
        <v>#REF!</v>
      </c>
      <c r="AO456" s="7" t="e">
        <f ca="1"/>
        <v>#REF!</v>
      </c>
      <c r="AP456" s="7">
        <f ca="1"/>
        <v>6.208130852822355E-2</v>
      </c>
      <c r="AQ456" s="7" t="e">
        <f ca="1"/>
        <v>#REF!</v>
      </c>
      <c r="AR456" s="7" t="e">
        <f ca="1"/>
        <v>#REF!</v>
      </c>
      <c r="AS456" s="7">
        <f ca="1"/>
        <v>-0.60317578841021124</v>
      </c>
      <c r="AT456" s="7" t="e">
        <f ca="1"/>
        <v>#REF!</v>
      </c>
      <c r="AU456" s="7" t="e">
        <f ca="1"/>
        <v>#REF!</v>
      </c>
      <c r="AV456" s="7" t="e">
        <f ca="1"/>
        <v>#REF!</v>
      </c>
    </row>
    <row r="457" spans="37:48" x14ac:dyDescent="0.25">
      <c r="AK457" t="str">
        <f ca="1"/>
        <v>Obs. 791</v>
      </c>
      <c r="AL457" s="7">
        <f ca="1"/>
        <v>75.3</v>
      </c>
      <c r="AN457" s="7" t="e">
        <f ca="1"/>
        <v>#REF!</v>
      </c>
      <c r="AO457" s="7" t="e">
        <f ca="1"/>
        <v>#REF!</v>
      </c>
      <c r="AP457" s="7">
        <f ca="1"/>
        <v>6.1294724242221529E-2</v>
      </c>
      <c r="AQ457" s="7" t="e">
        <f ca="1"/>
        <v>#REF!</v>
      </c>
      <c r="AR457" s="7" t="e">
        <f ca="1"/>
        <v>#REF!</v>
      </c>
      <c r="AS457" s="7">
        <f ca="1"/>
        <v>-0.60317578841021124</v>
      </c>
      <c r="AT457" s="7" t="e">
        <f ca="1"/>
        <v>#REF!</v>
      </c>
      <c r="AU457" s="7" t="e">
        <f ca="1"/>
        <v>#REF!</v>
      </c>
      <c r="AV457" s="7" t="e">
        <f ca="1"/>
        <v>#REF!</v>
      </c>
    </row>
    <row r="458" spans="37:48" x14ac:dyDescent="0.25">
      <c r="AK458" t="str">
        <f ca="1"/>
        <v>Obs. 792</v>
      </c>
      <c r="AL458" s="7">
        <f ca="1"/>
        <v>75</v>
      </c>
      <c r="AN458" s="7" t="e">
        <f ca="1"/>
        <v>#REF!</v>
      </c>
      <c r="AO458" s="7" t="e">
        <f ca="1"/>
        <v>#REF!</v>
      </c>
      <c r="AP458" s="7">
        <f ca="1"/>
        <v>7.6648543073331965E-2</v>
      </c>
      <c r="AQ458" s="7" t="e">
        <f ca="1"/>
        <v>#REF!</v>
      </c>
      <c r="AR458" s="7" t="e">
        <f ca="1"/>
        <v>#REF!</v>
      </c>
      <c r="AS458" s="7">
        <f ca="1"/>
        <v>-0.60317578841021124</v>
      </c>
      <c r="AT458" s="7" t="e">
        <f ca="1"/>
        <v>#REF!</v>
      </c>
      <c r="AU458" s="7" t="e">
        <f ca="1"/>
        <v>#REF!</v>
      </c>
      <c r="AV458" s="7" t="e">
        <f ca="1"/>
        <v>#REF!</v>
      </c>
    </row>
    <row r="459" spans="37:48" x14ac:dyDescent="0.25">
      <c r="AK459" t="str">
        <f ca="1"/>
        <v>Obs. 793</v>
      </c>
      <c r="AL459" s="7">
        <f ca="1"/>
        <v>75.099999999999994</v>
      </c>
      <c r="AN459" s="7" t="e">
        <f ca="1"/>
        <v>#REF!</v>
      </c>
      <c r="AO459" s="7" t="e">
        <f ca="1"/>
        <v>#REF!</v>
      </c>
      <c r="AP459" s="7">
        <f ca="1"/>
        <v>6.6597721288705766E-2</v>
      </c>
      <c r="AQ459" s="7" t="e">
        <f ca="1"/>
        <v>#REF!</v>
      </c>
      <c r="AR459" s="7" t="e">
        <f ca="1"/>
        <v>#REF!</v>
      </c>
      <c r="AS459" s="7">
        <f ca="1"/>
        <v>-0.60317578841021124</v>
      </c>
      <c r="AT459" s="7" t="e">
        <f ca="1"/>
        <v>#REF!</v>
      </c>
      <c r="AU459" s="7" t="e">
        <f ca="1"/>
        <v>#REF!</v>
      </c>
      <c r="AV459" s="7" t="e">
        <f ca="1"/>
        <v>#REF!</v>
      </c>
    </row>
    <row r="460" spans="37:48" x14ac:dyDescent="0.25">
      <c r="AK460" t="str">
        <f ca="1"/>
        <v>Obs. 794</v>
      </c>
      <c r="AL460" s="7">
        <f ca="1"/>
        <v>74.599999999999994</v>
      </c>
      <c r="AN460" s="7" t="e">
        <f ca="1"/>
        <v>#REF!</v>
      </c>
      <c r="AO460" s="7" t="e">
        <f ca="1"/>
        <v>#REF!</v>
      </c>
      <c r="AP460" s="7">
        <f ca="1"/>
        <v>6.0728674359840001E-2</v>
      </c>
      <c r="AQ460" s="7" t="e">
        <f ca="1"/>
        <v>#REF!</v>
      </c>
      <c r="AR460" s="7" t="e">
        <f ca="1"/>
        <v>#REF!</v>
      </c>
      <c r="AS460" s="7">
        <f ca="1"/>
        <v>-0.59046081866695443</v>
      </c>
      <c r="AT460" s="7" t="e">
        <f ca="1"/>
        <v>#REF!</v>
      </c>
      <c r="AU460" s="7" t="e">
        <f ca="1"/>
        <v>#REF!</v>
      </c>
      <c r="AV460" s="7" t="e">
        <f ca="1"/>
        <v>#REF!</v>
      </c>
    </row>
    <row r="461" spans="37:48" x14ac:dyDescent="0.25">
      <c r="AK461" t="str">
        <f ca="1"/>
        <v>Obs. 795</v>
      </c>
      <c r="AL461" s="7">
        <f ca="1"/>
        <v>74.7</v>
      </c>
      <c r="AN461" s="7" t="e">
        <f ca="1"/>
        <v>#REF!</v>
      </c>
      <c r="AO461" s="7" t="e">
        <f ca="1"/>
        <v>#REF!</v>
      </c>
      <c r="AP461" s="7">
        <f ca="1"/>
        <v>6.2132618587241215E-2</v>
      </c>
      <c r="AQ461" s="7" t="e">
        <f ca="1"/>
        <v>#REF!</v>
      </c>
      <c r="AR461" s="7" t="e">
        <f ca="1"/>
        <v>#REF!</v>
      </c>
      <c r="AS461" s="7">
        <f ca="1"/>
        <v>-0.59046081866695443</v>
      </c>
      <c r="AT461" s="7" t="e">
        <f ca="1"/>
        <v>#REF!</v>
      </c>
      <c r="AU461" s="7" t="e">
        <f ca="1"/>
        <v>#REF!</v>
      </c>
      <c r="AV461" s="7" t="e">
        <f ca="1"/>
        <v>#REF!</v>
      </c>
    </row>
    <row r="462" spans="37:48" x14ac:dyDescent="0.25">
      <c r="AK462" t="str">
        <f ca="1"/>
        <v>Obs. 796</v>
      </c>
      <c r="AL462" s="7">
        <f ca="1"/>
        <v>74.400000000000006</v>
      </c>
      <c r="AN462" s="7" t="e">
        <f ca="1"/>
        <v>#REF!</v>
      </c>
      <c r="AO462" s="7" t="e">
        <f ca="1"/>
        <v>#REF!</v>
      </c>
      <c r="AP462" s="7">
        <f ca="1"/>
        <v>6.0703762518968606E-2</v>
      </c>
      <c r="AQ462" s="7" t="e">
        <f ca="1"/>
        <v>#REF!</v>
      </c>
      <c r="AR462" s="7" t="e">
        <f ca="1"/>
        <v>#REF!</v>
      </c>
      <c r="AS462" s="7">
        <f ca="1"/>
        <v>-0.59046081866695443</v>
      </c>
      <c r="AT462" s="7" t="e">
        <f ca="1"/>
        <v>#REF!</v>
      </c>
      <c r="AU462" s="7" t="e">
        <f ca="1"/>
        <v>#REF!</v>
      </c>
      <c r="AV462" s="7" t="e">
        <f ca="1"/>
        <v>#REF!</v>
      </c>
    </row>
    <row r="463" spans="37:48" x14ac:dyDescent="0.25">
      <c r="AK463" t="str">
        <f ca="1"/>
        <v>Obs. 797</v>
      </c>
      <c r="AL463" s="7">
        <f ca="1"/>
        <v>74.2</v>
      </c>
      <c r="AN463" s="7" t="e">
        <f ca="1"/>
        <v>#REF!</v>
      </c>
      <c r="AO463" s="7" t="e">
        <f ca="1"/>
        <v>#REF!</v>
      </c>
      <c r="AP463" s="7">
        <f ca="1"/>
        <v>6.0813866526672686E-2</v>
      </c>
      <c r="AQ463" s="7" t="e">
        <f ca="1"/>
        <v>#REF!</v>
      </c>
      <c r="AR463" s="7" t="e">
        <f ca="1"/>
        <v>#REF!</v>
      </c>
      <c r="AS463" s="7">
        <f ca="1"/>
        <v>-0.59046081866695443</v>
      </c>
      <c r="AT463" s="7" t="e">
        <f ca="1"/>
        <v>#REF!</v>
      </c>
      <c r="AU463" s="7" t="e">
        <f ca="1"/>
        <v>#REF!</v>
      </c>
      <c r="AV463" s="7" t="e">
        <f ca="1"/>
        <v>#REF!</v>
      </c>
    </row>
    <row r="464" spans="37:48" x14ac:dyDescent="0.25">
      <c r="AK464" t="str">
        <f ca="1"/>
        <v>Obs. 798</v>
      </c>
      <c r="AL464" s="7">
        <f ca="1"/>
        <v>74.400000000000006</v>
      </c>
      <c r="AN464" s="7" t="e">
        <f ca="1"/>
        <v>#REF!</v>
      </c>
      <c r="AO464" s="7" t="e">
        <f ca="1"/>
        <v>#REF!</v>
      </c>
      <c r="AP464" s="7">
        <f ca="1"/>
        <v>7.2318616301240923E-2</v>
      </c>
      <c r="AQ464" s="7" t="e">
        <f ca="1"/>
        <v>#REF!</v>
      </c>
      <c r="AR464" s="7" t="e">
        <f ca="1"/>
        <v>#REF!</v>
      </c>
      <c r="AS464" s="7">
        <f ca="1"/>
        <v>-0.59046081866695443</v>
      </c>
      <c r="AT464" s="7" t="e">
        <f ca="1"/>
        <v>#REF!</v>
      </c>
      <c r="AU464" s="7" t="e">
        <f ca="1"/>
        <v>#REF!</v>
      </c>
      <c r="AV464" s="7" t="e">
        <f ca="1"/>
        <v>#REF!</v>
      </c>
    </row>
    <row r="465" spans="37:48" x14ac:dyDescent="0.25">
      <c r="AK465" t="str">
        <f ca="1"/>
        <v>Obs. 799</v>
      </c>
      <c r="AL465" s="7">
        <f ca="1"/>
        <v>74.400000000000006</v>
      </c>
      <c r="AN465" s="7" t="e">
        <f ca="1"/>
        <v>#REF!</v>
      </c>
      <c r="AO465" s="7" t="e">
        <f ca="1"/>
        <v>#REF!</v>
      </c>
      <c r="AP465" s="7">
        <f ca="1"/>
        <v>6.1957114887731146E-2</v>
      </c>
      <c r="AQ465" s="7" t="e">
        <f ca="1"/>
        <v>#REF!</v>
      </c>
      <c r="AR465" s="7" t="e">
        <f ca="1"/>
        <v>#REF!</v>
      </c>
      <c r="AS465" s="7">
        <f ca="1"/>
        <v>-0.59046081866695443</v>
      </c>
      <c r="AT465" s="7" t="e">
        <f ca="1"/>
        <v>#REF!</v>
      </c>
      <c r="AU465" s="7" t="e">
        <f ca="1"/>
        <v>#REF!</v>
      </c>
      <c r="AV465" s="7" t="e">
        <f ca="1"/>
        <v>#REF!</v>
      </c>
    </row>
    <row r="466" spans="37:48" x14ac:dyDescent="0.25">
      <c r="AK466" t="str">
        <f ca="1"/>
        <v>Obs. 800</v>
      </c>
      <c r="AL466" s="7">
        <f ca="1"/>
        <v>73.599999999999994</v>
      </c>
      <c r="AN466" s="7" t="e">
        <f ca="1"/>
        <v>#REF!</v>
      </c>
      <c r="AO466" s="7" t="e">
        <f ca="1"/>
        <v>#REF!</v>
      </c>
      <c r="AP466" s="7">
        <f ca="1"/>
        <v>6.1529547360046316E-2</v>
      </c>
      <c r="AQ466" s="7" t="e">
        <f ca="1"/>
        <v>#REF!</v>
      </c>
      <c r="AR466" s="7" t="e">
        <f ca="1"/>
        <v>#REF!</v>
      </c>
      <c r="AS466" s="7">
        <f ca="1"/>
        <v>-0.57963781842623852</v>
      </c>
      <c r="AT466" s="7" t="e">
        <f ca="1"/>
        <v>#REF!</v>
      </c>
      <c r="AU466" s="7" t="e">
        <f ca="1"/>
        <v>#REF!</v>
      </c>
      <c r="AV466" s="7" t="e">
        <f ca="1"/>
        <v>#REF!</v>
      </c>
    </row>
    <row r="467" spans="37:48" x14ac:dyDescent="0.25">
      <c r="AK467" t="str">
        <f ca="1"/>
        <v>Obs. 801</v>
      </c>
      <c r="AL467" s="7">
        <f ca="1"/>
        <v>73.400000000000006</v>
      </c>
      <c r="AN467" s="7" t="e">
        <f ca="1"/>
        <v>#REF!</v>
      </c>
      <c r="AO467" s="7" t="e">
        <f ca="1"/>
        <v>#REF!</v>
      </c>
      <c r="AP467" s="7">
        <f ca="1"/>
        <v>7.3654103022916528E-2</v>
      </c>
      <c r="AQ467" s="7" t="e">
        <f ca="1"/>
        <v>#REF!</v>
      </c>
      <c r="AR467" s="7" t="e">
        <f ca="1"/>
        <v>#REF!</v>
      </c>
      <c r="AS467" s="7">
        <f ca="1"/>
        <v>-0.57963781842623852</v>
      </c>
      <c r="AT467" s="7" t="e">
        <f ca="1"/>
        <v>#REF!</v>
      </c>
      <c r="AU467" s="7" t="e">
        <f ca="1"/>
        <v>#REF!</v>
      </c>
      <c r="AV467" s="7" t="e">
        <f ca="1"/>
        <v>#REF!</v>
      </c>
    </row>
    <row r="468" spans="37:48" x14ac:dyDescent="0.25">
      <c r="AK468" t="str">
        <f ca="1"/>
        <v>Obs. 802</v>
      </c>
      <c r="AL468" s="7">
        <f ca="1"/>
        <v>72.8</v>
      </c>
      <c r="AN468" s="7" t="e">
        <f ca="1"/>
        <v>#REF!</v>
      </c>
      <c r="AO468" s="7" t="e">
        <f ca="1"/>
        <v>#REF!</v>
      </c>
      <c r="AP468" s="7">
        <f ca="1"/>
        <v>6.632876927520609E-2</v>
      </c>
      <c r="AQ468" s="7" t="e">
        <f ca="1"/>
        <v>#REF!</v>
      </c>
      <c r="AR468" s="7" t="e">
        <f ca="1"/>
        <v>#REF!</v>
      </c>
      <c r="AS468" s="7">
        <f ca="1"/>
        <v>-0.57963781842623852</v>
      </c>
      <c r="AT468" s="7" t="e">
        <f ca="1"/>
        <v>#REF!</v>
      </c>
      <c r="AU468" s="7" t="e">
        <f ca="1"/>
        <v>#REF!</v>
      </c>
      <c r="AV468" s="7" t="e">
        <f ca="1"/>
        <v>#REF!</v>
      </c>
    </row>
    <row r="469" spans="37:48" x14ac:dyDescent="0.25">
      <c r="AK469" t="str">
        <f ca="1"/>
        <v>Obs. 820</v>
      </c>
      <c r="AL469" s="7">
        <f ca="1"/>
        <v>73.3</v>
      </c>
      <c r="AN469" s="7" t="e">
        <f ca="1"/>
        <v>#REF!</v>
      </c>
      <c r="AO469" s="7" t="e">
        <f ca="1"/>
        <v>#REF!</v>
      </c>
      <c r="AP469" s="7">
        <f ca="1"/>
        <v>6.7424780351431415E-2</v>
      </c>
      <c r="AQ469" s="7" t="e">
        <f ca="1"/>
        <v>#REF!</v>
      </c>
      <c r="AR469" s="7" t="e">
        <f ca="1"/>
        <v>#REF!</v>
      </c>
      <c r="AS469" s="7">
        <f ca="1"/>
        <v>-0.57963781842623852</v>
      </c>
      <c r="AT469" s="7" t="e">
        <f ca="1"/>
        <v>#REF!</v>
      </c>
      <c r="AU469" s="7" t="e">
        <f ca="1"/>
        <v>#REF!</v>
      </c>
      <c r="AV469" s="7" t="e">
        <f ca="1"/>
        <v>#REF!</v>
      </c>
    </row>
    <row r="470" spans="37:48" x14ac:dyDescent="0.25">
      <c r="AK470" t="str">
        <f ca="1"/>
        <v>Obs. 821</v>
      </c>
      <c r="AL470" s="7">
        <f ca="1"/>
        <v>73</v>
      </c>
      <c r="AN470" s="7" t="e">
        <f ca="1"/>
        <v>#REF!</v>
      </c>
      <c r="AO470" s="7" t="e">
        <f ca="1"/>
        <v>#REF!</v>
      </c>
      <c r="AP470" s="7">
        <f ca="1"/>
        <v>6.6091926424252614E-2</v>
      </c>
      <c r="AQ470" s="7" t="e">
        <f ca="1"/>
        <v>#REF!</v>
      </c>
      <c r="AR470" s="7" t="e">
        <f ca="1"/>
        <v>#REF!</v>
      </c>
      <c r="AS470" s="7">
        <f ca="1"/>
        <v>-0.57963781842623852</v>
      </c>
      <c r="AT470" s="7" t="e">
        <f ca="1"/>
        <v>#REF!</v>
      </c>
      <c r="AU470" s="7" t="e">
        <f ca="1"/>
        <v>#REF!</v>
      </c>
      <c r="AV470" s="7" t="e">
        <f ca="1"/>
        <v>#REF!</v>
      </c>
    </row>
    <row r="471" spans="37:48" x14ac:dyDescent="0.25">
      <c r="AK471" t="str">
        <f ca="1"/>
        <v>Obs. 822</v>
      </c>
      <c r="AL471" s="7">
        <f ca="1"/>
        <v>73</v>
      </c>
      <c r="AN471" s="7" t="e">
        <f ca="1"/>
        <v>#REF!</v>
      </c>
      <c r="AO471" s="7" t="e">
        <f ca="1"/>
        <v>#REF!</v>
      </c>
      <c r="AP471" s="7">
        <f ca="1"/>
        <v>6.5793014714486286E-2</v>
      </c>
      <c r="AQ471" s="7" t="e">
        <f ca="1"/>
        <v>#REF!</v>
      </c>
      <c r="AR471" s="7" t="e">
        <f ca="1"/>
        <v>#REF!</v>
      </c>
      <c r="AS471" s="7">
        <f ca="1"/>
        <v>-0.57067028430202504</v>
      </c>
      <c r="AT471" s="7" t="e">
        <f ca="1"/>
        <v>#REF!</v>
      </c>
      <c r="AU471" s="7" t="e">
        <f ca="1"/>
        <v>#REF!</v>
      </c>
      <c r="AV471" s="7" t="e">
        <f ca="1"/>
        <v>#REF!</v>
      </c>
    </row>
    <row r="472" spans="37:48" x14ac:dyDescent="0.25">
      <c r="AK472" t="str">
        <f ca="1"/>
        <v>Obs. 823</v>
      </c>
      <c r="AL472" s="7">
        <f ca="1"/>
        <v>72</v>
      </c>
      <c r="AN472" s="7" t="e">
        <f ca="1"/>
        <v>#REF!</v>
      </c>
      <c r="AO472" s="7" t="e">
        <f ca="1"/>
        <v>#REF!</v>
      </c>
      <c r="AP472" s="7">
        <f ca="1"/>
        <v>7.8329601406866928E-2</v>
      </c>
      <c r="AQ472" s="7" t="e">
        <f ca="1"/>
        <v>#REF!</v>
      </c>
      <c r="AR472" s="7" t="e">
        <f ca="1"/>
        <v>#REF!</v>
      </c>
      <c r="AS472" s="7">
        <f ca="1"/>
        <v>-0.57067028430202504</v>
      </c>
      <c r="AT472" s="7" t="e">
        <f ca="1"/>
        <v>#REF!</v>
      </c>
      <c r="AU472" s="7" t="e">
        <f ca="1"/>
        <v>#REF!</v>
      </c>
      <c r="AV472" s="7" t="e">
        <f ca="1"/>
        <v>#REF!</v>
      </c>
    </row>
    <row r="473" spans="37:48" x14ac:dyDescent="0.25">
      <c r="AK473" t="str">
        <f ca="1"/>
        <v>Obs. 824</v>
      </c>
      <c r="AL473" s="7">
        <f ca="1"/>
        <v>72</v>
      </c>
      <c r="AN473" s="7" t="e">
        <f ca="1"/>
        <v>#REF!</v>
      </c>
      <c r="AO473" s="7" t="e">
        <f ca="1"/>
        <v>#REF!</v>
      </c>
      <c r="AP473" s="7">
        <f ca="1"/>
        <v>6.4690091985487475E-2</v>
      </c>
      <c r="AQ473" s="7" t="e">
        <f ca="1"/>
        <v>#REF!</v>
      </c>
      <c r="AR473" s="7" t="e">
        <f ca="1"/>
        <v>#REF!</v>
      </c>
      <c r="AS473" s="7">
        <f ca="1"/>
        <v>-0.57067028430202504</v>
      </c>
      <c r="AT473" s="7" t="e">
        <f ca="1"/>
        <v>#REF!</v>
      </c>
      <c r="AU473" s="7" t="e">
        <f ca="1"/>
        <v>#REF!</v>
      </c>
      <c r="AV473" s="7" t="e">
        <f ca="1"/>
        <v>#REF!</v>
      </c>
    </row>
    <row r="474" spans="37:48" x14ac:dyDescent="0.25">
      <c r="AK474" t="str">
        <f ca="1"/>
        <v>Obs. 825</v>
      </c>
      <c r="AL474" s="7">
        <f ca="1"/>
        <v>71.400000000000006</v>
      </c>
      <c r="AN474" s="7" t="e">
        <f ca="1"/>
        <v>#REF!</v>
      </c>
      <c r="AO474" s="7" t="e">
        <f ca="1"/>
        <v>#REF!</v>
      </c>
      <c r="AP474" s="7">
        <f ca="1"/>
        <v>6.6068375744134711E-2</v>
      </c>
      <c r="AQ474" s="7" t="e">
        <f ca="1"/>
        <v>#REF!</v>
      </c>
      <c r="AR474" s="7" t="e">
        <f ca="1"/>
        <v>#REF!</v>
      </c>
      <c r="AS474" s="7">
        <f ca="1"/>
        <v>-0.57067028430202504</v>
      </c>
      <c r="AT474" s="7" t="e">
        <f ca="1"/>
        <v>#REF!</v>
      </c>
      <c r="AU474" s="7" t="e">
        <f ca="1"/>
        <v>#REF!</v>
      </c>
      <c r="AV474" s="7" t="e">
        <f ca="1"/>
        <v>#REF!</v>
      </c>
    </row>
    <row r="475" spans="37:48" x14ac:dyDescent="0.25">
      <c r="AK475" t="str">
        <f ca="1"/>
        <v>Obs. 826</v>
      </c>
      <c r="AL475" s="7">
        <f ca="1"/>
        <v>71.7</v>
      </c>
      <c r="AN475" s="7" t="e">
        <f ca="1"/>
        <v>#REF!</v>
      </c>
      <c r="AO475" s="7" t="e">
        <f ca="1"/>
        <v>#REF!</v>
      </c>
      <c r="AP475" s="7">
        <f ca="1"/>
        <v>6.5891013854573188E-2</v>
      </c>
      <c r="AQ475" s="7" t="e">
        <f ca="1"/>
        <v>#REF!</v>
      </c>
      <c r="AR475" s="7" t="e">
        <f ca="1"/>
        <v>#REF!</v>
      </c>
      <c r="AS475" s="7">
        <f ca="1"/>
        <v>-0.57067028430202504</v>
      </c>
      <c r="AT475" s="7" t="e">
        <f ca="1"/>
        <v>#REF!</v>
      </c>
      <c r="AU475" s="7" t="e">
        <f ca="1"/>
        <v>#REF!</v>
      </c>
      <c r="AV475" s="7" t="e">
        <f ca="1"/>
        <v>#REF!</v>
      </c>
    </row>
    <row r="476" spans="37:48" x14ac:dyDescent="0.25">
      <c r="AK476" t="str">
        <f ca="1"/>
        <v>Obs. 827</v>
      </c>
      <c r="AL476" s="7">
        <f ca="1"/>
        <v>71.2</v>
      </c>
      <c r="AN476" s="7" t="e">
        <f ca="1"/>
        <v>#REF!</v>
      </c>
      <c r="AO476" s="7" t="e">
        <f ca="1"/>
        <v>#REF!</v>
      </c>
      <c r="AP476" s="7">
        <f ca="1"/>
        <v>7.3127511658203498E-2</v>
      </c>
      <c r="AQ476" s="7" t="e">
        <f ca="1"/>
        <v>#REF!</v>
      </c>
      <c r="AR476" s="7" t="e">
        <f ca="1"/>
        <v>#REF!</v>
      </c>
      <c r="AS476" s="7">
        <f ca="1"/>
        <v>-0.56174840893422073</v>
      </c>
      <c r="AT476" s="7" t="e">
        <f ca="1"/>
        <v>#REF!</v>
      </c>
      <c r="AU476" s="7" t="e">
        <f ca="1"/>
        <v>#REF!</v>
      </c>
      <c r="AV476" s="7" t="e">
        <f ca="1"/>
        <v>#REF!</v>
      </c>
    </row>
    <row r="477" spans="37:48" x14ac:dyDescent="0.25">
      <c r="AK477" t="str">
        <f ca="1"/>
        <v>Obs. 828</v>
      </c>
      <c r="AL477" s="7">
        <f ca="1"/>
        <v>75</v>
      </c>
      <c r="AN477" s="7" t="e">
        <f ca="1"/>
        <v>#REF!</v>
      </c>
      <c r="AO477" s="7" t="e">
        <f ca="1"/>
        <v>#REF!</v>
      </c>
      <c r="AP477" s="7">
        <f ca="1"/>
        <v>7.1506372123127632E-2</v>
      </c>
      <c r="AQ477" s="7" t="e">
        <f ca="1"/>
        <v>#REF!</v>
      </c>
      <c r="AR477" s="7" t="e">
        <f ca="1"/>
        <v>#REF!</v>
      </c>
      <c r="AS477" s="7">
        <f ca="1"/>
        <v>-0.56174840893422073</v>
      </c>
      <c r="AT477" s="7" t="e">
        <f ca="1"/>
        <v>#REF!</v>
      </c>
      <c r="AU477" s="7" t="e">
        <f ca="1"/>
        <v>#REF!</v>
      </c>
      <c r="AV477" s="7" t="e">
        <f ca="1"/>
        <v>#REF!</v>
      </c>
    </row>
    <row r="478" spans="37:48" x14ac:dyDescent="0.25">
      <c r="AK478" t="str">
        <f ca="1"/>
        <v>Obs. 829</v>
      </c>
      <c r="AL478" s="7">
        <f ca="1"/>
        <v>71</v>
      </c>
      <c r="AN478" s="7" t="e">
        <f ca="1"/>
        <v>#REF!</v>
      </c>
      <c r="AO478" s="7" t="e">
        <f ca="1"/>
        <v>#REF!</v>
      </c>
      <c r="AP478" s="7">
        <f ca="1"/>
        <v>6.4908284076755321E-2</v>
      </c>
      <c r="AQ478" s="7" t="e">
        <f ca="1"/>
        <v>#REF!</v>
      </c>
      <c r="AR478" s="7" t="e">
        <f ca="1"/>
        <v>#REF!</v>
      </c>
      <c r="AS478" s="7">
        <f ca="1"/>
        <v>-0.56174840893422073</v>
      </c>
      <c r="AT478" s="7" t="e">
        <f ca="1"/>
        <v>#REF!</v>
      </c>
      <c r="AU478" s="7" t="e">
        <f ca="1"/>
        <v>#REF!</v>
      </c>
      <c r="AV478" s="7" t="e">
        <f ca="1"/>
        <v>#REF!</v>
      </c>
    </row>
    <row r="479" spans="37:48" x14ac:dyDescent="0.25">
      <c r="AK479" t="str">
        <f ca="1"/>
        <v>Obs. 830</v>
      </c>
      <c r="AL479" s="7">
        <f ca="1"/>
        <v>70</v>
      </c>
      <c r="AN479" s="7" t="e">
        <f ca="1"/>
        <v>#REF!</v>
      </c>
      <c r="AO479" s="7" t="e">
        <f ca="1"/>
        <v>#REF!</v>
      </c>
      <c r="AP479" s="7">
        <f ca="1"/>
        <v>8.3608427467020588E-2</v>
      </c>
      <c r="AQ479" s="7" t="e">
        <f ca="1"/>
        <v>#REF!</v>
      </c>
      <c r="AR479" s="7" t="e">
        <f ca="1"/>
        <v>#REF!</v>
      </c>
      <c r="AS479" s="7">
        <f ca="1"/>
        <v>-0.56174840893422073</v>
      </c>
      <c r="AT479" s="7" t="e">
        <f ca="1"/>
        <v>#REF!</v>
      </c>
      <c r="AU479" s="7" t="e">
        <f ca="1"/>
        <v>#REF!</v>
      </c>
      <c r="AV479" s="7" t="e">
        <f ca="1"/>
        <v>#REF!</v>
      </c>
    </row>
    <row r="480" spans="37:48" x14ac:dyDescent="0.25">
      <c r="AK480" t="str">
        <f ca="1"/>
        <v>Obs. 831</v>
      </c>
      <c r="AL480" s="7">
        <f ca="1"/>
        <v>69.900000000000006</v>
      </c>
      <c r="AN480" s="7" t="e">
        <f ca="1"/>
        <v>#REF!</v>
      </c>
      <c r="AO480" s="7" t="e">
        <f ca="1"/>
        <v>#REF!</v>
      </c>
      <c r="AP480" s="7">
        <f ca="1"/>
        <v>6.7068202640072322E-2</v>
      </c>
      <c r="AQ480" s="7" t="e">
        <f ca="1"/>
        <v>#REF!</v>
      </c>
      <c r="AR480" s="7" t="e">
        <f ca="1"/>
        <v>#REF!</v>
      </c>
      <c r="AS480" s="7">
        <f ca="1"/>
        <v>-0.56174840893422073</v>
      </c>
      <c r="AT480" s="7" t="e">
        <f ca="1"/>
        <v>#REF!</v>
      </c>
      <c r="AU480" s="7" t="e">
        <f ca="1"/>
        <v>#REF!</v>
      </c>
      <c r="AV480" s="7" t="e">
        <f ca="1"/>
        <v>#REF!</v>
      </c>
    </row>
    <row r="481" spans="37:48" x14ac:dyDescent="0.25">
      <c r="AK481" t="str">
        <f ca="1"/>
        <v>Obs. 832</v>
      </c>
      <c r="AL481" s="7">
        <f ca="1"/>
        <v>73</v>
      </c>
      <c r="AN481" s="7" t="e">
        <f ca="1"/>
        <v>#REF!</v>
      </c>
      <c r="AO481" s="7" t="e">
        <f ca="1"/>
        <v>#REF!</v>
      </c>
      <c r="AP481" s="7">
        <f ca="1"/>
        <v>6.7492139335630114E-2</v>
      </c>
      <c r="AQ481" s="7" t="e">
        <f ca="1"/>
        <v>#REF!</v>
      </c>
      <c r="AR481" s="7" t="e">
        <f ca="1"/>
        <v>#REF!</v>
      </c>
      <c r="AS481" s="7">
        <f ca="1"/>
        <v>-0.55287102664223609</v>
      </c>
      <c r="AT481" s="7" t="e">
        <f ca="1"/>
        <v>#REF!</v>
      </c>
      <c r="AU481" s="7" t="e">
        <f ca="1"/>
        <v>#REF!</v>
      </c>
      <c r="AV481" s="7" t="e">
        <f ca="1"/>
        <v>#REF!</v>
      </c>
    </row>
    <row r="482" spans="37:48" x14ac:dyDescent="0.25">
      <c r="AK482" t="str">
        <f ca="1"/>
        <v>Obs. 833</v>
      </c>
      <c r="AL482" s="7">
        <f ca="1"/>
        <v>68.900000000000006</v>
      </c>
      <c r="AN482" s="7" t="e">
        <f ca="1"/>
        <v>#REF!</v>
      </c>
      <c r="AO482" s="7" t="e">
        <f ca="1"/>
        <v>#REF!</v>
      </c>
      <c r="AP482" s="7">
        <f ca="1"/>
        <v>6.7149779009176278E-2</v>
      </c>
      <c r="AQ482" s="7" t="e">
        <f ca="1"/>
        <v>#REF!</v>
      </c>
      <c r="AR482" s="7" t="e">
        <f ca="1"/>
        <v>#REF!</v>
      </c>
      <c r="AS482" s="7">
        <f ca="1"/>
        <v>-0.55287102664223609</v>
      </c>
      <c r="AT482" s="7" t="e">
        <f ca="1"/>
        <v>#REF!</v>
      </c>
      <c r="AU482" s="7" t="e">
        <f ca="1"/>
        <v>#REF!</v>
      </c>
      <c r="AV482" s="7" t="e">
        <f ca="1"/>
        <v>#REF!</v>
      </c>
    </row>
    <row r="483" spans="37:48" x14ac:dyDescent="0.25">
      <c r="AK483" t="str">
        <f ca="1"/>
        <v>Obs. 834</v>
      </c>
      <c r="AL483" s="7">
        <f ca="1"/>
        <v>69</v>
      </c>
      <c r="AN483" s="7" t="e">
        <f ca="1"/>
        <v>#REF!</v>
      </c>
      <c r="AO483" s="7" t="e">
        <f ca="1"/>
        <v>#REF!</v>
      </c>
      <c r="AP483" s="7">
        <f ca="1"/>
        <v>6.8070832745718318E-2</v>
      </c>
      <c r="AQ483" s="7" t="e">
        <f ca="1"/>
        <v>#REF!</v>
      </c>
      <c r="AR483" s="7" t="e">
        <f ca="1"/>
        <v>#REF!</v>
      </c>
      <c r="AS483" s="7">
        <f ca="1"/>
        <v>-0.55287102664223609</v>
      </c>
      <c r="AT483" s="7" t="e">
        <f ca="1"/>
        <v>#REF!</v>
      </c>
      <c r="AU483" s="7" t="e">
        <f ca="1"/>
        <v>#REF!</v>
      </c>
      <c r="AV483" s="7" t="e">
        <f ca="1"/>
        <v>#REF!</v>
      </c>
    </row>
    <row r="484" spans="37:48" x14ac:dyDescent="0.25">
      <c r="AK484" t="str">
        <f ca="1"/>
        <v>Obs. 836</v>
      </c>
      <c r="AL484" s="7">
        <f ca="1"/>
        <v>57.9</v>
      </c>
      <c r="AN484" s="7" t="e">
        <f ca="1"/>
        <v>#REF!</v>
      </c>
      <c r="AO484" s="7" t="e">
        <f ca="1"/>
        <v>#REF!</v>
      </c>
      <c r="AP484" s="7">
        <f ca="1"/>
        <v>1.0347948674981073</v>
      </c>
      <c r="AQ484" s="7" t="e">
        <f ca="1"/>
        <v>#REF!</v>
      </c>
      <c r="AR484" s="7" t="e">
        <f ca="1"/>
        <v>#REF!</v>
      </c>
      <c r="AS484" s="7">
        <f ca="1"/>
        <v>-0.55287102664223609</v>
      </c>
      <c r="AT484" s="7" t="e">
        <f ca="1"/>
        <v>#REF!</v>
      </c>
      <c r="AU484" s="7" t="e">
        <f ca="1"/>
        <v>#REF!</v>
      </c>
      <c r="AV484" s="7" t="e">
        <f ca="1"/>
        <v>#REF!</v>
      </c>
    </row>
    <row r="485" spans="37:48" x14ac:dyDescent="0.25">
      <c r="AK485" t="str">
        <f ca="1"/>
        <v>Obs. 855</v>
      </c>
      <c r="AL485" s="7">
        <f ca="1"/>
        <v>62.9</v>
      </c>
      <c r="AN485" s="7" t="e">
        <f ca="1"/>
        <v>#REF!</v>
      </c>
      <c r="AO485" s="7" t="e">
        <f ca="1"/>
        <v>#REF!</v>
      </c>
      <c r="AP485" s="7">
        <f ca="1"/>
        <v>0.10094996499092369</v>
      </c>
      <c r="AQ485" s="7" t="e">
        <f ca="1"/>
        <v>#REF!</v>
      </c>
      <c r="AR485" s="7" t="e">
        <f ca="1"/>
        <v>#REF!</v>
      </c>
      <c r="AS485" s="7">
        <f ca="1"/>
        <v>-0.55287102664223609</v>
      </c>
      <c r="AT485" s="7" t="e">
        <f ca="1"/>
        <v>#REF!</v>
      </c>
      <c r="AU485" s="7" t="e">
        <f ca="1"/>
        <v>#REF!</v>
      </c>
      <c r="AV485" s="7" t="e">
        <f ca="1"/>
        <v>#REF!</v>
      </c>
    </row>
    <row r="486" spans="37:48" x14ac:dyDescent="0.25">
      <c r="AK486" t="str">
        <f ca="1"/>
        <v>Obs. 856</v>
      </c>
      <c r="AL486" s="7">
        <f ca="1"/>
        <v>62.1</v>
      </c>
      <c r="AN486" s="7" t="e">
        <f ca="1"/>
        <v>#REF!</v>
      </c>
      <c r="AO486" s="7" t="e">
        <f ca="1"/>
        <v>#REF!</v>
      </c>
      <c r="AP486" s="7">
        <f ca="1"/>
        <v>0.11929187753046379</v>
      </c>
      <c r="AQ486" s="7" t="e">
        <f ca="1"/>
        <v>#REF!</v>
      </c>
      <c r="AR486" s="7" t="e">
        <f ca="1"/>
        <v>#REF!</v>
      </c>
      <c r="AS486" s="7">
        <f ca="1"/>
        <v>-0.55287102664223609</v>
      </c>
      <c r="AT486" s="7" t="e">
        <f ca="1"/>
        <v>#REF!</v>
      </c>
      <c r="AU486" s="7" t="e">
        <f ca="1"/>
        <v>#REF!</v>
      </c>
      <c r="AV486" s="7" t="e">
        <f ca="1"/>
        <v>#REF!</v>
      </c>
    </row>
    <row r="487" spans="37:48" x14ac:dyDescent="0.25">
      <c r="AK487" t="str">
        <f ca="1"/>
        <v>Obs. 857</v>
      </c>
      <c r="AL487" s="7">
        <f ca="1"/>
        <v>61.4</v>
      </c>
      <c r="AN487" s="7" t="e">
        <f ca="1"/>
        <v>#REF!</v>
      </c>
      <c r="AO487" s="7" t="e">
        <f ca="1"/>
        <v>#REF!</v>
      </c>
      <c r="AP487" s="7">
        <f ca="1"/>
        <v>9.9995655265017205E-2</v>
      </c>
      <c r="AQ487" s="7" t="e">
        <f ca="1"/>
        <v>#REF!</v>
      </c>
      <c r="AR487" s="7" t="e">
        <f ca="1"/>
        <v>#REF!</v>
      </c>
      <c r="AS487" s="7">
        <f ca="1"/>
        <v>-0.55287102664223609</v>
      </c>
      <c r="AT487" s="7" t="e">
        <f ca="1"/>
        <v>#REF!</v>
      </c>
      <c r="AU487" s="7" t="e">
        <f ca="1"/>
        <v>#REF!</v>
      </c>
      <c r="AV487" s="7" t="e">
        <f ca="1"/>
        <v>#REF!</v>
      </c>
    </row>
    <row r="488" spans="37:48" x14ac:dyDescent="0.25">
      <c r="AK488" t="str">
        <f ca="1"/>
        <v>Obs. 858</v>
      </c>
      <c r="AL488" s="7">
        <f ca="1"/>
        <v>67</v>
      </c>
      <c r="AN488" s="7" t="e">
        <f ca="1"/>
        <v>#REF!</v>
      </c>
      <c r="AO488" s="7" t="e">
        <f ca="1"/>
        <v>#REF!</v>
      </c>
      <c r="AP488" s="7">
        <f ca="1"/>
        <v>0.10047138578663928</v>
      </c>
      <c r="AQ488" s="7" t="e">
        <f ca="1"/>
        <v>#REF!</v>
      </c>
      <c r="AR488" s="7" t="e">
        <f ca="1"/>
        <v>#REF!</v>
      </c>
      <c r="AS488" s="7">
        <f ca="1"/>
        <v>-0.54051528578164909</v>
      </c>
      <c r="AT488" s="7" t="e">
        <f ca="1"/>
        <v>#REF!</v>
      </c>
      <c r="AU488" s="7" t="e">
        <f ca="1"/>
        <v>#REF!</v>
      </c>
      <c r="AV488" s="7" t="e">
        <f ca="1"/>
        <v>#REF!</v>
      </c>
    </row>
    <row r="489" spans="37:48" x14ac:dyDescent="0.25">
      <c r="AK489" t="str">
        <f ca="1"/>
        <v>Obs. 859</v>
      </c>
      <c r="AL489" s="7">
        <f ca="1"/>
        <v>62</v>
      </c>
      <c r="AN489" s="7" t="e">
        <f ca="1"/>
        <v>#REF!</v>
      </c>
      <c r="AO489" s="7" t="e">
        <f ca="1"/>
        <v>#REF!</v>
      </c>
      <c r="AP489" s="7">
        <f ca="1"/>
        <v>0.10058672405108819</v>
      </c>
      <c r="AQ489" s="7" t="e">
        <f ca="1"/>
        <v>#REF!</v>
      </c>
      <c r="AR489" s="7" t="e">
        <f ca="1"/>
        <v>#REF!</v>
      </c>
      <c r="AS489" s="7">
        <f ca="1"/>
        <v>-0.54051528578164909</v>
      </c>
      <c r="AT489" s="7" t="e">
        <f ca="1"/>
        <v>#REF!</v>
      </c>
      <c r="AU489" s="7" t="e">
        <f ca="1"/>
        <v>#REF!</v>
      </c>
      <c r="AV489" s="7" t="e">
        <f ca="1"/>
        <v>#REF!</v>
      </c>
    </row>
    <row r="490" spans="37:48" x14ac:dyDescent="0.25">
      <c r="AK490" t="str">
        <f ca="1"/>
        <v>Obs. 860</v>
      </c>
      <c r="AL490" s="7">
        <f ca="1"/>
        <v>59.7</v>
      </c>
      <c r="AN490" s="7" t="e">
        <f ca="1"/>
        <v>#REF!</v>
      </c>
      <c r="AO490" s="7" t="e">
        <f ca="1"/>
        <v>#REF!</v>
      </c>
      <c r="AP490" s="7">
        <f ca="1"/>
        <v>0.10111992474803004</v>
      </c>
      <c r="AQ490" s="7" t="e">
        <f ca="1"/>
        <v>#REF!</v>
      </c>
      <c r="AR490" s="7" t="e">
        <f ca="1"/>
        <v>#REF!</v>
      </c>
      <c r="AS490" s="7">
        <f ca="1"/>
        <v>-0.54051528578164909</v>
      </c>
      <c r="AT490" s="7" t="e">
        <f ca="1"/>
        <v>#REF!</v>
      </c>
      <c r="AU490" s="7" t="e">
        <f ca="1"/>
        <v>#REF!</v>
      </c>
      <c r="AV490" s="7" t="e">
        <f ca="1"/>
        <v>#REF!</v>
      </c>
    </row>
    <row r="491" spans="37:48" x14ac:dyDescent="0.25">
      <c r="AK491" t="str">
        <f ca="1"/>
        <v>Obs. 861</v>
      </c>
      <c r="AL491" s="7">
        <f ca="1"/>
        <v>59.4</v>
      </c>
      <c r="AN491" s="7" t="e">
        <f ca="1"/>
        <v>#REF!</v>
      </c>
      <c r="AO491" s="7" t="e">
        <f ca="1"/>
        <v>#REF!</v>
      </c>
      <c r="AP491" s="7">
        <f ca="1"/>
        <v>0.11345293775027979</v>
      </c>
      <c r="AQ491" s="7" t="e">
        <f ca="1"/>
        <v>#REF!</v>
      </c>
      <c r="AR491" s="7" t="e">
        <f ca="1"/>
        <v>#REF!</v>
      </c>
      <c r="AS491" s="7">
        <f ca="1"/>
        <v>-0.54051528578164909</v>
      </c>
      <c r="AT491" s="7" t="e">
        <f ca="1"/>
        <v>#REF!</v>
      </c>
      <c r="AU491" s="7" t="e">
        <f ca="1"/>
        <v>#REF!</v>
      </c>
      <c r="AV491" s="7" t="e">
        <f ca="1"/>
        <v>#REF!</v>
      </c>
    </row>
    <row r="492" spans="37:48" x14ac:dyDescent="0.25">
      <c r="AK492" t="str">
        <f ca="1"/>
        <v>Obs. 862</v>
      </c>
      <c r="AL492" s="7">
        <f ca="1"/>
        <v>59.1</v>
      </c>
      <c r="AN492" s="7" t="e">
        <f ca="1"/>
        <v>#REF!</v>
      </c>
      <c r="AO492" s="7" t="e">
        <f ca="1"/>
        <v>#REF!</v>
      </c>
      <c r="AP492" s="7">
        <f ca="1"/>
        <v>0.10530519515114709</v>
      </c>
      <c r="AQ492" s="7" t="e">
        <f ca="1"/>
        <v>#REF!</v>
      </c>
      <c r="AR492" s="7" t="e">
        <f ca="1"/>
        <v>#REF!</v>
      </c>
      <c r="AS492" s="7">
        <f ca="1"/>
        <v>-0.53349185558387491</v>
      </c>
      <c r="AT492" s="7" t="e">
        <f ca="1"/>
        <v>#REF!</v>
      </c>
      <c r="AU492" s="7" t="e">
        <f ca="1"/>
        <v>#REF!</v>
      </c>
      <c r="AV492" s="7" t="e">
        <f ca="1"/>
        <v>#REF!</v>
      </c>
    </row>
    <row r="493" spans="37:48" x14ac:dyDescent="0.25">
      <c r="AK493" t="str">
        <f ca="1"/>
        <v>Obs. 863</v>
      </c>
      <c r="AL493" s="7">
        <f ca="1"/>
        <v>58.8</v>
      </c>
      <c r="AN493" s="7" t="e">
        <f ca="1"/>
        <v>#REF!</v>
      </c>
      <c r="AO493" s="7" t="e">
        <f ca="1"/>
        <v>#REF!</v>
      </c>
      <c r="AP493" s="7">
        <f ca="1"/>
        <v>0.10417372426791754</v>
      </c>
      <c r="AQ493" s="7" t="e">
        <f ca="1"/>
        <v>#REF!</v>
      </c>
      <c r="AR493" s="7" t="e">
        <f ca="1"/>
        <v>#REF!</v>
      </c>
      <c r="AS493" s="7">
        <f ca="1"/>
        <v>-0.53349185558387491</v>
      </c>
      <c r="AT493" s="7" t="e">
        <f ca="1"/>
        <v>#REF!</v>
      </c>
      <c r="AU493" s="7" t="e">
        <f ca="1"/>
        <v>#REF!</v>
      </c>
      <c r="AV493" s="7" t="e">
        <f ca="1"/>
        <v>#REF!</v>
      </c>
    </row>
    <row r="494" spans="37:48" x14ac:dyDescent="0.25">
      <c r="AK494" t="str">
        <f ca="1"/>
        <v>Obs. 864</v>
      </c>
      <c r="AL494" s="7">
        <f ca="1"/>
        <v>58.5</v>
      </c>
      <c r="AN494" s="7" t="e">
        <f ca="1"/>
        <v>#REF!</v>
      </c>
      <c r="AO494" s="7" t="e">
        <f ca="1"/>
        <v>#REF!</v>
      </c>
      <c r="AP494" s="7">
        <f ca="1"/>
        <v>0.11801748249966854</v>
      </c>
      <c r="AQ494" s="7" t="e">
        <f ca="1"/>
        <v>#REF!</v>
      </c>
      <c r="AR494" s="7" t="e">
        <f ca="1"/>
        <v>#REF!</v>
      </c>
      <c r="AS494" s="7">
        <f ca="1"/>
        <v>-0.53349185558387491</v>
      </c>
      <c r="AT494" s="7" t="e">
        <f ca="1"/>
        <v>#REF!</v>
      </c>
      <c r="AU494" s="7" t="e">
        <f ca="1"/>
        <v>#REF!</v>
      </c>
      <c r="AV494" s="7" t="e">
        <f ca="1"/>
        <v>#REF!</v>
      </c>
    </row>
    <row r="495" spans="37:48" x14ac:dyDescent="0.25">
      <c r="AK495" t="str">
        <f ca="1"/>
        <v>Obs. 868</v>
      </c>
      <c r="AL495" s="7">
        <f ca="1"/>
        <v>77.3</v>
      </c>
      <c r="AN495" s="7" t="e">
        <f ca="1"/>
        <v>#REF!</v>
      </c>
      <c r="AO495" s="7" t="e">
        <f ca="1"/>
        <v>#REF!</v>
      </c>
      <c r="AP495" s="7">
        <f ca="1"/>
        <v>0.12113517045518914</v>
      </c>
      <c r="AQ495" s="7" t="e">
        <f ca="1"/>
        <v>#REF!</v>
      </c>
      <c r="AR495" s="7" t="e">
        <f ca="1"/>
        <v>#REF!</v>
      </c>
      <c r="AS495" s="7">
        <f ca="1"/>
        <v>-0.53349185558387491</v>
      </c>
      <c r="AT495" s="7" t="e">
        <f ca="1"/>
        <v>#REF!</v>
      </c>
      <c r="AU495" s="7" t="e">
        <f ca="1"/>
        <v>#REF!</v>
      </c>
      <c r="AV495" s="7" t="e">
        <f ca="1"/>
        <v>#REF!</v>
      </c>
    </row>
    <row r="496" spans="37:48" x14ac:dyDescent="0.25">
      <c r="AK496" t="str">
        <f ca="1"/>
        <v>Obs. 869</v>
      </c>
      <c r="AL496" s="7">
        <f ca="1"/>
        <v>76.900000000000006</v>
      </c>
      <c r="AN496" s="7" t="e">
        <f ca="1"/>
        <v>#REF!</v>
      </c>
      <c r="AO496" s="7" t="e">
        <f ca="1"/>
        <v>#REF!</v>
      </c>
      <c r="AP496" s="7">
        <f ca="1"/>
        <v>0.12131353285078639</v>
      </c>
      <c r="AQ496" s="7" t="e">
        <f ca="1"/>
        <v>#REF!</v>
      </c>
      <c r="AR496" s="7" t="e">
        <f ca="1"/>
        <v>#REF!</v>
      </c>
      <c r="AS496" s="7">
        <f ca="1"/>
        <v>-0.53349185558387491</v>
      </c>
      <c r="AT496" s="7" t="e">
        <f ca="1"/>
        <v>#REF!</v>
      </c>
      <c r="AU496" s="7" t="e">
        <f ca="1"/>
        <v>#REF!</v>
      </c>
      <c r="AV496" s="7" t="e">
        <f ca="1"/>
        <v>#REF!</v>
      </c>
    </row>
    <row r="497" spans="37:48" x14ac:dyDescent="0.25">
      <c r="AK497" t="str">
        <f ca="1"/>
        <v>Obs. 870</v>
      </c>
      <c r="AL497" s="7">
        <f ca="1"/>
        <v>76.3</v>
      </c>
      <c r="AN497" s="7" t="e">
        <f ca="1"/>
        <v>#REF!</v>
      </c>
      <c r="AO497" s="7" t="e">
        <f ca="1"/>
        <v>#REF!</v>
      </c>
      <c r="AP497" s="7">
        <f ca="1"/>
        <v>0.12082690575000883</v>
      </c>
      <c r="AQ497" s="7" t="e">
        <f ca="1"/>
        <v>#REF!</v>
      </c>
      <c r="AR497" s="7" t="e">
        <f ca="1"/>
        <v>#REF!</v>
      </c>
      <c r="AS497" s="7">
        <f ca="1"/>
        <v>-0.53349185558387491</v>
      </c>
      <c r="AT497" s="7" t="e">
        <f ca="1"/>
        <v>#REF!</v>
      </c>
      <c r="AU497" s="7" t="e">
        <f ca="1"/>
        <v>#REF!</v>
      </c>
      <c r="AV497" s="7" t="e">
        <f ca="1"/>
        <v>#REF!</v>
      </c>
    </row>
    <row r="498" spans="37:48" x14ac:dyDescent="0.25">
      <c r="AK498" t="str">
        <f ca="1"/>
        <v>Obs. 871</v>
      </c>
      <c r="AL498" s="7">
        <f ca="1"/>
        <v>76.099999999999994</v>
      </c>
      <c r="AN498" s="7" t="e">
        <f ca="1"/>
        <v>#REF!</v>
      </c>
      <c r="AO498" s="7" t="e">
        <f ca="1"/>
        <v>#REF!</v>
      </c>
      <c r="AP498" s="7">
        <f ca="1"/>
        <v>0.12125396670385383</v>
      </c>
      <c r="AQ498" s="7" t="e">
        <f ca="1"/>
        <v>#REF!</v>
      </c>
      <c r="AR498" s="7" t="e">
        <f ca="1"/>
        <v>#REF!</v>
      </c>
      <c r="AS498" s="7">
        <f ca="1"/>
        <v>-0.53349185558387491</v>
      </c>
      <c r="AT498" s="7" t="e">
        <f ca="1"/>
        <v>#REF!</v>
      </c>
      <c r="AU498" s="7" t="e">
        <f ca="1"/>
        <v>#REF!</v>
      </c>
      <c r="AV498" s="7" t="e">
        <f ca="1"/>
        <v>#REF!</v>
      </c>
    </row>
    <row r="499" spans="37:48" x14ac:dyDescent="0.25">
      <c r="AK499" t="str">
        <f ca="1"/>
        <v>Obs. 872</v>
      </c>
      <c r="AL499" s="7">
        <f ca="1"/>
        <v>75.599999999999994</v>
      </c>
      <c r="AN499" s="7" t="e">
        <f ca="1"/>
        <v>#REF!</v>
      </c>
      <c r="AO499" s="7" t="e">
        <f ca="1"/>
        <v>#REF!</v>
      </c>
      <c r="AP499" s="7">
        <f ca="1"/>
        <v>9.4889579721897627E-2</v>
      </c>
      <c r="AQ499" s="7" t="e">
        <f ca="1"/>
        <v>#REF!</v>
      </c>
      <c r="AR499" s="7" t="e">
        <f ca="1"/>
        <v>#REF!</v>
      </c>
      <c r="AS499" s="7">
        <f ca="1"/>
        <v>-0.52126361871264315</v>
      </c>
      <c r="AT499" s="7" t="e">
        <f ca="1"/>
        <v>#REF!</v>
      </c>
      <c r="AU499" s="7" t="e">
        <f ca="1"/>
        <v>#REF!</v>
      </c>
      <c r="AV499" s="7" t="e">
        <f ca="1"/>
        <v>#REF!</v>
      </c>
    </row>
    <row r="500" spans="37:48" x14ac:dyDescent="0.25">
      <c r="AK500" t="str">
        <f ca="1"/>
        <v>Obs. 873</v>
      </c>
      <c r="AL500" s="7">
        <f ca="1"/>
        <v>74.900000000000006</v>
      </c>
      <c r="AN500" s="7" t="e">
        <f ca="1"/>
        <v>#REF!</v>
      </c>
      <c r="AO500" s="7" t="e">
        <f ca="1"/>
        <v>#REF!</v>
      </c>
      <c r="AP500" s="7">
        <f ca="1"/>
        <v>9.4879996652228432E-2</v>
      </c>
      <c r="AQ500" s="7" t="e">
        <f ca="1"/>
        <v>#REF!</v>
      </c>
      <c r="AR500" s="7" t="e">
        <f ca="1"/>
        <v>#REF!</v>
      </c>
      <c r="AS500" s="7">
        <f ca="1"/>
        <v>-0.52126361871264315</v>
      </c>
      <c r="AT500" s="7" t="e">
        <f ca="1"/>
        <v>#REF!</v>
      </c>
      <c r="AU500" s="7" t="e">
        <f ca="1"/>
        <v>#REF!</v>
      </c>
      <c r="AV500" s="7" t="e">
        <f ca="1"/>
        <v>#REF!</v>
      </c>
    </row>
    <row r="501" spans="37:48" x14ac:dyDescent="0.25">
      <c r="AK501" t="str">
        <f ca="1"/>
        <v>Obs. 874</v>
      </c>
      <c r="AL501" s="7">
        <f ca="1"/>
        <v>74.2</v>
      </c>
      <c r="AN501" s="7" t="e">
        <f ca="1"/>
        <v>#REF!</v>
      </c>
      <c r="AO501" s="7" t="e">
        <f ca="1"/>
        <v>#REF!</v>
      </c>
      <c r="AP501" s="7">
        <f ca="1"/>
        <v>0.1036939844266182</v>
      </c>
      <c r="AQ501" s="7" t="e">
        <f ca="1"/>
        <v>#REF!</v>
      </c>
      <c r="AR501" s="7" t="e">
        <f ca="1"/>
        <v>#REF!</v>
      </c>
      <c r="AS501" s="7">
        <f ca="1"/>
        <v>-0.52126361871264315</v>
      </c>
      <c r="AT501" s="7" t="e">
        <f ca="1"/>
        <v>#REF!</v>
      </c>
      <c r="AU501" s="7" t="e">
        <f ca="1"/>
        <v>#REF!</v>
      </c>
      <c r="AV501" s="7" t="e">
        <f ca="1"/>
        <v>#REF!</v>
      </c>
    </row>
    <row r="502" spans="37:48" x14ac:dyDescent="0.25">
      <c r="AK502" t="str">
        <f ca="1"/>
        <v>Obs. 875</v>
      </c>
      <c r="AL502" s="7">
        <f ca="1"/>
        <v>73</v>
      </c>
      <c r="AN502" s="7" t="e">
        <f ca="1"/>
        <v>#REF!</v>
      </c>
      <c r="AO502" s="7" t="e">
        <f ca="1"/>
        <v>#REF!</v>
      </c>
      <c r="AP502" s="7">
        <f ca="1"/>
        <v>0.10640800585263469</v>
      </c>
      <c r="AQ502" s="7" t="e">
        <f ca="1"/>
        <v>#REF!</v>
      </c>
      <c r="AR502" s="7" t="e">
        <f ca="1"/>
        <v>#REF!</v>
      </c>
      <c r="AS502" s="7">
        <f ca="1"/>
        <v>-0.52126361871264315</v>
      </c>
      <c r="AT502" s="7" t="e">
        <f ca="1"/>
        <v>#REF!</v>
      </c>
      <c r="AU502" s="7" t="e">
        <f ca="1"/>
        <v>#REF!</v>
      </c>
      <c r="AV502" s="7" t="e">
        <f ca="1"/>
        <v>#REF!</v>
      </c>
    </row>
    <row r="503" spans="37:48" x14ac:dyDescent="0.25">
      <c r="AK503" t="str">
        <f ca="1"/>
        <v>Obs. 876</v>
      </c>
      <c r="AL503" s="7">
        <f ca="1"/>
        <v>73</v>
      </c>
      <c r="AN503" s="7" t="e">
        <f ca="1"/>
        <v>#REF!</v>
      </c>
      <c r="AO503" s="7" t="e">
        <f ca="1"/>
        <v>#REF!</v>
      </c>
      <c r="AP503" s="7">
        <f ca="1"/>
        <v>0.10795105705070361</v>
      </c>
      <c r="AQ503" s="7" t="e">
        <f ca="1"/>
        <v>#REF!</v>
      </c>
      <c r="AR503" s="7" t="e">
        <f ca="1"/>
        <v>#REF!</v>
      </c>
      <c r="AS503" s="7">
        <f ca="1"/>
        <v>-0.52126361871264315</v>
      </c>
      <c r="AT503" s="7" t="e">
        <f ca="1"/>
        <v>#REF!</v>
      </c>
      <c r="AU503" s="7" t="e">
        <f ca="1"/>
        <v>#REF!</v>
      </c>
      <c r="AV503" s="7" t="e">
        <f ca="1"/>
        <v>#REF!</v>
      </c>
    </row>
    <row r="504" spans="37:48" x14ac:dyDescent="0.25">
      <c r="AK504" t="str">
        <f ca="1"/>
        <v>Obs. 877</v>
      </c>
      <c r="AL504" s="7">
        <f ca="1"/>
        <v>72.8</v>
      </c>
      <c r="AN504" s="7" t="e">
        <f ca="1"/>
        <v>#REF!</v>
      </c>
      <c r="AO504" s="7" t="e">
        <f ca="1"/>
        <v>#REF!</v>
      </c>
      <c r="AP504" s="7">
        <f ca="1"/>
        <v>9.7705378701321788E-2</v>
      </c>
      <c r="AQ504" s="7" t="e">
        <f ca="1"/>
        <v>#REF!</v>
      </c>
      <c r="AR504" s="7" t="e">
        <f ca="1"/>
        <v>#REF!</v>
      </c>
      <c r="AS504" s="7">
        <f ca="1"/>
        <v>-0.52126361871264315</v>
      </c>
      <c r="AT504" s="7" t="e">
        <f ca="1"/>
        <v>#REF!</v>
      </c>
      <c r="AU504" s="7" t="e">
        <f ca="1"/>
        <v>#REF!</v>
      </c>
      <c r="AV504" s="7" t="e">
        <f ca="1"/>
        <v>#REF!</v>
      </c>
    </row>
    <row r="505" spans="37:48" x14ac:dyDescent="0.25">
      <c r="AK505" t="str">
        <f ca="1"/>
        <v>Obs. 878</v>
      </c>
      <c r="AL505" s="7">
        <f ca="1"/>
        <v>72.3</v>
      </c>
      <c r="AN505" s="7" t="e">
        <f ca="1"/>
        <v>#REF!</v>
      </c>
      <c r="AO505" s="7" t="e">
        <f ca="1"/>
        <v>#REF!</v>
      </c>
      <c r="AP505" s="7">
        <f ca="1"/>
        <v>0.10764666205181142</v>
      </c>
      <c r="AQ505" s="7" t="e">
        <f ca="1"/>
        <v>#REF!</v>
      </c>
      <c r="AR505" s="7" t="e">
        <f ca="1"/>
        <v>#REF!</v>
      </c>
      <c r="AS505" s="7">
        <f ca="1"/>
        <v>-0.52126361871264315</v>
      </c>
      <c r="AT505" s="7" t="e">
        <f ca="1"/>
        <v>#REF!</v>
      </c>
      <c r="AU505" s="7" t="e">
        <f ca="1"/>
        <v>#REF!</v>
      </c>
      <c r="AV505" s="7" t="e">
        <f ca="1"/>
        <v>#REF!</v>
      </c>
    </row>
    <row r="506" spans="37:48" x14ac:dyDescent="0.25">
      <c r="AK506" t="str">
        <f ca="1"/>
        <v>Obs. 884</v>
      </c>
      <c r="AL506" s="7">
        <f ca="1"/>
        <v>64.2</v>
      </c>
      <c r="AN506" s="7" t="e">
        <f ca="1"/>
        <v>#REF!</v>
      </c>
      <c r="AO506" s="7" t="e">
        <f ca="1"/>
        <v>#REF!</v>
      </c>
      <c r="AP506" s="7">
        <f ca="1"/>
        <v>0.13940832717631266</v>
      </c>
      <c r="AQ506" s="7" t="e">
        <f ca="1"/>
        <v>#REF!</v>
      </c>
      <c r="AR506" s="7" t="e">
        <f ca="1"/>
        <v>#REF!</v>
      </c>
      <c r="AS506" s="7">
        <f ca="1"/>
        <v>-0.52126361871264315</v>
      </c>
      <c r="AT506" s="7" t="e">
        <f ca="1"/>
        <v>#REF!</v>
      </c>
      <c r="AU506" s="7" t="e">
        <f ca="1"/>
        <v>#REF!</v>
      </c>
      <c r="AV506" s="7" t="e">
        <f ca="1"/>
        <v>#REF!</v>
      </c>
    </row>
    <row r="507" spans="37:48" x14ac:dyDescent="0.25">
      <c r="AK507" t="str">
        <f ca="1"/>
        <v>Obs. 885</v>
      </c>
      <c r="AL507" s="7">
        <f ca="1"/>
        <v>63.7</v>
      </c>
      <c r="AN507" s="7" t="e">
        <f ca="1"/>
        <v>#REF!</v>
      </c>
      <c r="AO507" s="7" t="e">
        <f ca="1"/>
        <v>#REF!</v>
      </c>
      <c r="AP507" s="7">
        <f ca="1"/>
        <v>0.1381721678767367</v>
      </c>
      <c r="AQ507" s="7" t="e">
        <f ca="1"/>
        <v>#REF!</v>
      </c>
      <c r="AR507" s="7" t="e">
        <f ca="1"/>
        <v>#REF!</v>
      </c>
      <c r="AS507" s="7">
        <f ca="1"/>
        <v>-0.50738317096904828</v>
      </c>
      <c r="AT507" s="7" t="e">
        <f ca="1"/>
        <v>#REF!</v>
      </c>
      <c r="AU507" s="7" t="e">
        <f ca="1"/>
        <v>#REF!</v>
      </c>
      <c r="AV507" s="7" t="e">
        <f ca="1"/>
        <v>#REF!</v>
      </c>
    </row>
    <row r="508" spans="37:48" x14ac:dyDescent="0.25">
      <c r="AK508" t="str">
        <f ca="1"/>
        <v>Obs. 886</v>
      </c>
      <c r="AL508" s="7">
        <f ca="1"/>
        <v>63.3</v>
      </c>
      <c r="AN508" s="7" t="e">
        <f ca="1"/>
        <v>#REF!</v>
      </c>
      <c r="AO508" s="7" t="e">
        <f ca="1"/>
        <v>#REF!</v>
      </c>
      <c r="AP508" s="7">
        <f ca="1"/>
        <v>0.13642198149961807</v>
      </c>
      <c r="AQ508" s="7" t="e">
        <f ca="1"/>
        <v>#REF!</v>
      </c>
      <c r="AR508" s="7" t="e">
        <f ca="1"/>
        <v>#REF!</v>
      </c>
      <c r="AS508" s="7">
        <f ca="1"/>
        <v>-0.50738317096904828</v>
      </c>
      <c r="AT508" s="7" t="e">
        <f ca="1"/>
        <v>#REF!</v>
      </c>
      <c r="AU508" s="7" t="e">
        <f ca="1"/>
        <v>#REF!</v>
      </c>
      <c r="AV508" s="7" t="e">
        <f ca="1"/>
        <v>#REF!</v>
      </c>
    </row>
    <row r="509" spans="37:48" x14ac:dyDescent="0.25">
      <c r="AK509" t="str">
        <f ca="1"/>
        <v>Obs. 887</v>
      </c>
      <c r="AL509" s="7">
        <f ca="1"/>
        <v>62.6</v>
      </c>
      <c r="AN509" s="7" t="e">
        <f ca="1"/>
        <v>#REF!</v>
      </c>
      <c r="AO509" s="7" t="e">
        <f ca="1"/>
        <v>#REF!</v>
      </c>
      <c r="AP509" s="7">
        <f ca="1"/>
        <v>0.13574033494036253</v>
      </c>
      <c r="AQ509" s="7" t="e">
        <f ca="1"/>
        <v>#REF!</v>
      </c>
      <c r="AR509" s="7" t="e">
        <f ca="1"/>
        <v>#REF!</v>
      </c>
      <c r="AS509" s="7">
        <f ca="1"/>
        <v>-0.50738317096904828</v>
      </c>
      <c r="AT509" s="7" t="e">
        <f ca="1"/>
        <v>#REF!</v>
      </c>
      <c r="AU509" s="7" t="e">
        <f ca="1"/>
        <v>#REF!</v>
      </c>
      <c r="AV509" s="7" t="e">
        <f ca="1"/>
        <v>#REF!</v>
      </c>
    </row>
    <row r="510" spans="37:48" x14ac:dyDescent="0.25">
      <c r="AK510" t="str">
        <f ca="1"/>
        <v>Obs. 888</v>
      </c>
      <c r="AL510" s="7">
        <f ca="1"/>
        <v>61.8</v>
      </c>
      <c r="AN510" s="7" t="e">
        <f ca="1"/>
        <v>#REF!</v>
      </c>
      <c r="AO510" s="7" t="e">
        <f ca="1"/>
        <v>#REF!</v>
      </c>
      <c r="AP510" s="7">
        <f ca="1"/>
        <v>0.13855033368348649</v>
      </c>
      <c r="AQ510" s="7" t="e">
        <f ca="1"/>
        <v>#REF!</v>
      </c>
      <c r="AR510" s="7" t="e">
        <f ca="1"/>
        <v>#REF!</v>
      </c>
      <c r="AS510" s="7">
        <f ca="1"/>
        <v>-0.50738317096904828</v>
      </c>
      <c r="AT510" s="7" t="e">
        <f ca="1"/>
        <v>#REF!</v>
      </c>
      <c r="AU510" s="7" t="e">
        <f ca="1"/>
        <v>#REF!</v>
      </c>
      <c r="AV510" s="7" t="e">
        <f ca="1"/>
        <v>#REF!</v>
      </c>
    </row>
    <row r="511" spans="37:48" x14ac:dyDescent="0.25">
      <c r="AK511" t="str">
        <f ca="1"/>
        <v>Obs. 889</v>
      </c>
      <c r="AL511" s="7">
        <f ca="1"/>
        <v>68</v>
      </c>
      <c r="AN511" s="7" t="e">
        <f ca="1"/>
        <v>#REF!</v>
      </c>
      <c r="AO511" s="7" t="e">
        <f ca="1"/>
        <v>#REF!</v>
      </c>
      <c r="AP511" s="7">
        <f ca="1"/>
        <v>0.13811047549830865</v>
      </c>
      <c r="AQ511" s="7" t="e">
        <f ca="1"/>
        <v>#REF!</v>
      </c>
      <c r="AR511" s="7" t="e">
        <f ca="1"/>
        <v>#REF!</v>
      </c>
      <c r="AS511" s="7">
        <f ca="1"/>
        <v>-0.50738317096904828</v>
      </c>
      <c r="AT511" s="7" t="e">
        <f ca="1"/>
        <v>#REF!</v>
      </c>
      <c r="AU511" s="7" t="e">
        <f ca="1"/>
        <v>#REF!</v>
      </c>
      <c r="AV511" s="7" t="e">
        <f ca="1"/>
        <v>#REF!</v>
      </c>
    </row>
    <row r="512" spans="37:48" x14ac:dyDescent="0.25">
      <c r="AK512" t="str">
        <f ca="1"/>
        <v>Obs. 890</v>
      </c>
      <c r="AL512" s="7">
        <f ca="1"/>
        <v>59.8</v>
      </c>
      <c r="AN512" s="7" t="e">
        <f ca="1"/>
        <v>#REF!</v>
      </c>
      <c r="AO512" s="7" t="e">
        <f ca="1"/>
        <v>#REF!</v>
      </c>
      <c r="AP512" s="7">
        <f ca="1"/>
        <v>0.13943042015010515</v>
      </c>
      <c r="AQ512" s="7" t="e">
        <f ca="1"/>
        <v>#REF!</v>
      </c>
      <c r="AR512" s="7" t="e">
        <f ca="1"/>
        <v>#REF!</v>
      </c>
      <c r="AS512" s="7">
        <f ca="1"/>
        <v>-0.50738317096904828</v>
      </c>
      <c r="AT512" s="7" t="e">
        <f ca="1"/>
        <v>#REF!</v>
      </c>
      <c r="AU512" s="7" t="e">
        <f ca="1"/>
        <v>#REF!</v>
      </c>
      <c r="AV512" s="7" t="e">
        <f ca="1"/>
        <v>#REF!</v>
      </c>
    </row>
    <row r="513" spans="37:48" x14ac:dyDescent="0.25">
      <c r="AK513" t="str">
        <f ca="1"/>
        <v>Obs. 891</v>
      </c>
      <c r="AL513" s="7">
        <f ca="1"/>
        <v>58.5</v>
      </c>
      <c r="AN513" s="7" t="e">
        <f ca="1"/>
        <v>#REF!</v>
      </c>
      <c r="AO513" s="7" t="e">
        <f ca="1"/>
        <v>#REF!</v>
      </c>
      <c r="AP513" s="7">
        <f ca="1"/>
        <v>0.15801679277924224</v>
      </c>
      <c r="AQ513" s="7" t="e">
        <f ca="1"/>
        <v>#REF!</v>
      </c>
      <c r="AR513" s="7" t="e">
        <f ca="1"/>
        <v>#REF!</v>
      </c>
      <c r="AS513" s="7">
        <f ca="1"/>
        <v>-0.50738317096904828</v>
      </c>
      <c r="AT513" s="7" t="e">
        <f ca="1"/>
        <v>#REF!</v>
      </c>
      <c r="AU513" s="7" t="e">
        <f ca="1"/>
        <v>#REF!</v>
      </c>
      <c r="AV513" s="7" t="e">
        <f ca="1"/>
        <v>#REF!</v>
      </c>
    </row>
    <row r="514" spans="37:48" x14ac:dyDescent="0.25">
      <c r="AK514" t="str">
        <f ca="1"/>
        <v>Obs. 900</v>
      </c>
      <c r="AL514" s="7">
        <f ca="1"/>
        <v>69.7</v>
      </c>
      <c r="AN514" s="7" t="e">
        <f ca="1"/>
        <v>#REF!</v>
      </c>
      <c r="AO514" s="7" t="e">
        <f ca="1"/>
        <v>#REF!</v>
      </c>
      <c r="AP514" s="7">
        <f ca="1"/>
        <v>8.1473934662572023E-2</v>
      </c>
      <c r="AQ514" s="7" t="e">
        <f ca="1"/>
        <v>#REF!</v>
      </c>
      <c r="AR514" s="7" t="e">
        <f ca="1"/>
        <v>#REF!</v>
      </c>
      <c r="AS514" s="7">
        <f ca="1"/>
        <v>-0.50738317096904828</v>
      </c>
      <c r="AT514" s="7" t="e">
        <f ca="1"/>
        <v>#REF!</v>
      </c>
      <c r="AU514" s="7" t="e">
        <f ca="1"/>
        <v>#REF!</v>
      </c>
      <c r="AV514" s="7" t="e">
        <f ca="1"/>
        <v>#REF!</v>
      </c>
    </row>
    <row r="515" spans="37:48" x14ac:dyDescent="0.25">
      <c r="AK515" t="str">
        <f ca="1"/>
        <v>Obs. 901</v>
      </c>
      <c r="AL515" s="7">
        <f ca="1"/>
        <v>69.599999999999994</v>
      </c>
      <c r="AN515" s="7" t="e">
        <f ca="1"/>
        <v>#REF!</v>
      </c>
      <c r="AO515" s="7" t="e">
        <f ca="1"/>
        <v>#REF!</v>
      </c>
      <c r="AP515" s="7">
        <f ca="1"/>
        <v>8.0303113611145477E-2</v>
      </c>
      <c r="AQ515" s="7" t="e">
        <f ca="1"/>
        <v>#REF!</v>
      </c>
      <c r="AR515" s="7" t="e">
        <f ca="1"/>
        <v>#REF!</v>
      </c>
      <c r="AS515" s="7">
        <f ca="1"/>
        <v>-0.50738317096904828</v>
      </c>
      <c r="AT515" s="7" t="e">
        <f ca="1"/>
        <v>#REF!</v>
      </c>
      <c r="AU515" s="7" t="e">
        <f ca="1"/>
        <v>#REF!</v>
      </c>
      <c r="AV515" s="7" t="e">
        <f ca="1"/>
        <v>#REF!</v>
      </c>
    </row>
    <row r="516" spans="37:48" x14ac:dyDescent="0.25">
      <c r="AK516" t="str">
        <f ca="1"/>
        <v>Obs. 902</v>
      </c>
      <c r="AL516" s="7">
        <f ca="1"/>
        <v>69.400000000000006</v>
      </c>
      <c r="AN516" s="7" t="e">
        <f ca="1"/>
        <v>#REF!</v>
      </c>
      <c r="AO516" s="7" t="e">
        <f ca="1"/>
        <v>#REF!</v>
      </c>
      <c r="AP516" s="7">
        <f ca="1"/>
        <v>8.8188161293600006E-2</v>
      </c>
      <c r="AQ516" s="7" t="e">
        <f ca="1"/>
        <v>#REF!</v>
      </c>
      <c r="AR516" s="7" t="e">
        <f ca="1"/>
        <v>#REF!</v>
      </c>
      <c r="AS516" s="7">
        <f ca="1"/>
        <v>-0.4918835074548818</v>
      </c>
      <c r="AT516" s="7" t="e">
        <f ca="1"/>
        <v>#REF!</v>
      </c>
      <c r="AU516" s="7" t="e">
        <f ca="1"/>
        <v>#REF!</v>
      </c>
      <c r="AV516" s="7" t="e">
        <f ca="1"/>
        <v>#REF!</v>
      </c>
    </row>
    <row r="517" spans="37:48" x14ac:dyDescent="0.25">
      <c r="AK517" t="str">
        <f ca="1"/>
        <v>Obs. 903</v>
      </c>
      <c r="AL517" s="7">
        <f ca="1"/>
        <v>69.2</v>
      </c>
      <c r="AN517" s="7" t="e">
        <f ca="1"/>
        <v>#REF!</v>
      </c>
      <c r="AO517" s="7" t="e">
        <f ca="1"/>
        <v>#REF!</v>
      </c>
      <c r="AP517" s="7">
        <f ca="1"/>
        <v>7.9085373521733324E-2</v>
      </c>
      <c r="AQ517" s="7" t="e">
        <f ca="1"/>
        <v>#REF!</v>
      </c>
      <c r="AR517" s="7" t="e">
        <f ca="1"/>
        <v>#REF!</v>
      </c>
      <c r="AS517" s="7">
        <f ca="1"/>
        <v>-0.4918835074548818</v>
      </c>
      <c r="AT517" s="7" t="e">
        <f ca="1"/>
        <v>#REF!</v>
      </c>
      <c r="AU517" s="7" t="e">
        <f ca="1"/>
        <v>#REF!</v>
      </c>
      <c r="AV517" s="7" t="e">
        <f ca="1"/>
        <v>#REF!</v>
      </c>
    </row>
    <row r="518" spans="37:48" x14ac:dyDescent="0.25">
      <c r="AK518" t="str">
        <f ca="1"/>
        <v>Obs. 904</v>
      </c>
      <c r="AL518" s="7">
        <f ca="1"/>
        <v>69.099999999999994</v>
      </c>
      <c r="AN518" s="7" t="e">
        <f ca="1"/>
        <v>#REF!</v>
      </c>
      <c r="AO518" s="7" t="e">
        <f ca="1"/>
        <v>#REF!</v>
      </c>
      <c r="AP518" s="7">
        <f ca="1"/>
        <v>7.9502173752709265E-2</v>
      </c>
      <c r="AQ518" s="7" t="e">
        <f ca="1"/>
        <v>#REF!</v>
      </c>
      <c r="AR518" s="7" t="e">
        <f ca="1"/>
        <v>#REF!</v>
      </c>
      <c r="AS518" s="7">
        <f ca="1"/>
        <v>-0.4918835074548818</v>
      </c>
      <c r="AT518" s="7" t="e">
        <f ca="1"/>
        <v>#REF!</v>
      </c>
      <c r="AU518" s="7" t="e">
        <f ca="1"/>
        <v>#REF!</v>
      </c>
      <c r="AV518" s="7" t="e">
        <f ca="1"/>
        <v>#REF!</v>
      </c>
    </row>
    <row r="519" spans="37:48" x14ac:dyDescent="0.25">
      <c r="AK519" t="str">
        <f ca="1"/>
        <v>Obs. 905</v>
      </c>
      <c r="AL519" s="7">
        <f ca="1"/>
        <v>68.900000000000006</v>
      </c>
      <c r="AN519" s="7" t="e">
        <f ca="1"/>
        <v>#REF!</v>
      </c>
      <c r="AO519" s="7" t="e">
        <f ca="1"/>
        <v>#REF!</v>
      </c>
      <c r="AP519" s="7">
        <f ca="1"/>
        <v>7.8600066344897135E-2</v>
      </c>
      <c r="AQ519" s="7" t="e">
        <f ca="1"/>
        <v>#REF!</v>
      </c>
      <c r="AR519" s="7" t="e">
        <f ca="1"/>
        <v>#REF!</v>
      </c>
      <c r="AS519" s="7">
        <f ca="1"/>
        <v>-0.4918835074548818</v>
      </c>
      <c r="AT519" s="7" t="e">
        <f ca="1"/>
        <v>#REF!</v>
      </c>
      <c r="AU519" s="7" t="e">
        <f ca="1"/>
        <v>#REF!</v>
      </c>
      <c r="AV519" s="7" t="e">
        <f ca="1"/>
        <v>#REF!</v>
      </c>
    </row>
    <row r="520" spans="37:48" x14ac:dyDescent="0.25">
      <c r="AK520" t="str">
        <f ca="1"/>
        <v>Obs. 906</v>
      </c>
      <c r="AL520" s="7">
        <f ca="1"/>
        <v>68.7</v>
      </c>
      <c r="AN520" s="7" t="e">
        <f ca="1"/>
        <v>#REF!</v>
      </c>
      <c r="AO520" s="7" t="e">
        <f ca="1"/>
        <v>#REF!</v>
      </c>
      <c r="AP520" s="7">
        <f ca="1"/>
        <v>7.8414083947455471E-2</v>
      </c>
      <c r="AQ520" s="7" t="e">
        <f ca="1"/>
        <v>#REF!</v>
      </c>
      <c r="AR520" s="7" t="e">
        <f ca="1"/>
        <v>#REF!</v>
      </c>
      <c r="AS520" s="7">
        <f ca="1"/>
        <v>-0.4918835074548818</v>
      </c>
      <c r="AT520" s="7" t="e">
        <f ca="1"/>
        <v>#REF!</v>
      </c>
      <c r="AU520" s="7" t="e">
        <f ca="1"/>
        <v>#REF!</v>
      </c>
      <c r="AV520" s="7" t="e">
        <f ca="1"/>
        <v>#REF!</v>
      </c>
    </row>
    <row r="521" spans="37:48" x14ac:dyDescent="0.25">
      <c r="AK521" t="str">
        <f ca="1"/>
        <v>Obs. 907</v>
      </c>
      <c r="AL521" s="7">
        <f ca="1"/>
        <v>68.599999999999994</v>
      </c>
      <c r="AN521" s="7" t="e">
        <f ca="1"/>
        <v>#REF!</v>
      </c>
      <c r="AO521" s="7" t="e">
        <f ca="1"/>
        <v>#REF!</v>
      </c>
      <c r="AP521" s="7">
        <f ca="1"/>
        <v>7.8162454714686039E-2</v>
      </c>
      <c r="AQ521" s="7" t="e">
        <f ca="1"/>
        <v>#REF!</v>
      </c>
      <c r="AR521" s="7" t="e">
        <f ca="1"/>
        <v>#REF!</v>
      </c>
      <c r="AS521" s="7">
        <f ca="1"/>
        <v>-0.48332360885611292</v>
      </c>
      <c r="AT521" s="7" t="e">
        <f ca="1"/>
        <v>#REF!</v>
      </c>
      <c r="AU521" s="7" t="e">
        <f ca="1"/>
        <v>#REF!</v>
      </c>
      <c r="AV521" s="7" t="e">
        <f ca="1"/>
        <v>#REF!</v>
      </c>
    </row>
    <row r="522" spans="37:48" x14ac:dyDescent="0.25">
      <c r="AK522" t="str">
        <f ca="1"/>
        <v>Obs. 908</v>
      </c>
      <c r="AL522" s="7">
        <f ca="1"/>
        <v>68.5</v>
      </c>
      <c r="AN522" s="7" t="e">
        <f ca="1"/>
        <v>#REF!</v>
      </c>
      <c r="AO522" s="7" t="e">
        <f ca="1"/>
        <v>#REF!</v>
      </c>
      <c r="AP522" s="7">
        <f ca="1"/>
        <v>7.810800757533487E-2</v>
      </c>
      <c r="AQ522" s="7" t="e">
        <f ca="1"/>
        <v>#REF!</v>
      </c>
      <c r="AR522" s="7" t="e">
        <f ca="1"/>
        <v>#REF!</v>
      </c>
      <c r="AS522" s="7">
        <f ca="1"/>
        <v>-0.48332360885611292</v>
      </c>
      <c r="AT522" s="7" t="e">
        <f ca="1"/>
        <v>#REF!</v>
      </c>
      <c r="AU522" s="7" t="e">
        <f ca="1"/>
        <v>#REF!</v>
      </c>
      <c r="AV522" s="7" t="e">
        <f ca="1"/>
        <v>#REF!</v>
      </c>
    </row>
    <row r="523" spans="37:48" x14ac:dyDescent="0.25">
      <c r="AK523" t="str">
        <f ca="1"/>
        <v>Obs. 909</v>
      </c>
      <c r="AL523" s="7">
        <f ca="1"/>
        <v>68.3</v>
      </c>
      <c r="AN523" s="7" t="e">
        <f ca="1"/>
        <v>#REF!</v>
      </c>
      <c r="AO523" s="7" t="e">
        <f ca="1"/>
        <v>#REF!</v>
      </c>
      <c r="AP523" s="7">
        <f ca="1"/>
        <v>7.8217160232311914E-2</v>
      </c>
      <c r="AQ523" s="7" t="e">
        <f ca="1"/>
        <v>#REF!</v>
      </c>
      <c r="AR523" s="7" t="e">
        <f ca="1"/>
        <v>#REF!</v>
      </c>
      <c r="AS523" s="7">
        <f ca="1"/>
        <v>-0.48332360885611292</v>
      </c>
      <c r="AT523" s="7" t="e">
        <f ca="1"/>
        <v>#REF!</v>
      </c>
      <c r="AU523" s="7" t="e">
        <f ca="1"/>
        <v>#REF!</v>
      </c>
      <c r="AV523" s="7" t="e">
        <f ca="1"/>
        <v>#REF!</v>
      </c>
    </row>
    <row r="524" spans="37:48" x14ac:dyDescent="0.25">
      <c r="AK524" t="str">
        <f ca="1"/>
        <v>Obs. 910</v>
      </c>
      <c r="AL524" s="7">
        <f ca="1"/>
        <v>68.099999999999994</v>
      </c>
      <c r="AN524" s="7" t="e">
        <f ca="1"/>
        <v>#REF!</v>
      </c>
      <c r="AO524" s="7" t="e">
        <f ca="1"/>
        <v>#REF!</v>
      </c>
      <c r="AP524" s="7">
        <f ca="1"/>
        <v>7.8466906327985364E-2</v>
      </c>
      <c r="AQ524" s="7" t="e">
        <f ca="1"/>
        <v>#REF!</v>
      </c>
      <c r="AR524" s="7" t="e">
        <f ca="1"/>
        <v>#REF!</v>
      </c>
      <c r="AS524" s="7">
        <f ca="1"/>
        <v>-0.48332360885611292</v>
      </c>
      <c r="AT524" s="7" t="e">
        <f ca="1"/>
        <v>#REF!</v>
      </c>
      <c r="AU524" s="7" t="e">
        <f ca="1"/>
        <v>#REF!</v>
      </c>
      <c r="AV524" s="7" t="e">
        <f ca="1"/>
        <v>#REF!</v>
      </c>
    </row>
    <row r="525" spans="37:48" x14ac:dyDescent="0.25">
      <c r="AK525" t="str">
        <f ca="1"/>
        <v>Obs. 911</v>
      </c>
      <c r="AL525" s="7">
        <f ca="1"/>
        <v>68</v>
      </c>
      <c r="AN525" s="7" t="e">
        <f ca="1"/>
        <v>#REF!</v>
      </c>
      <c r="AO525" s="7" t="e">
        <f ca="1"/>
        <v>#REF!</v>
      </c>
      <c r="AP525" s="7">
        <f ca="1"/>
        <v>7.9005356395191767E-2</v>
      </c>
      <c r="AQ525" s="7" t="e">
        <f ca="1"/>
        <v>#REF!</v>
      </c>
      <c r="AR525" s="7" t="e">
        <f ca="1"/>
        <v>#REF!</v>
      </c>
      <c r="AS525" s="7">
        <f ca="1"/>
        <v>-0.48332360885611292</v>
      </c>
      <c r="AT525" s="7" t="e">
        <f ca="1"/>
        <v>#REF!</v>
      </c>
      <c r="AU525" s="7" t="e">
        <f ca="1"/>
        <v>#REF!</v>
      </c>
      <c r="AV525" s="7" t="e">
        <f ca="1"/>
        <v>#REF!</v>
      </c>
    </row>
    <row r="526" spans="37:48" x14ac:dyDescent="0.25">
      <c r="AK526" t="str">
        <f ca="1"/>
        <v>Obs. 912</v>
      </c>
      <c r="AL526" s="7">
        <f ca="1"/>
        <v>67.900000000000006</v>
      </c>
      <c r="AN526" s="7" t="e">
        <f ca="1"/>
        <v>#REF!</v>
      </c>
      <c r="AO526" s="7" t="e">
        <f ca="1"/>
        <v>#REF!</v>
      </c>
      <c r="AP526" s="7">
        <f ca="1"/>
        <v>7.9515221252208806E-2</v>
      </c>
      <c r="AQ526" s="7" t="e">
        <f ca="1"/>
        <v>#REF!</v>
      </c>
      <c r="AR526" s="7" t="e">
        <f ca="1"/>
        <v>#REF!</v>
      </c>
      <c r="AS526" s="7">
        <f ca="1"/>
        <v>-0.47479897905845492</v>
      </c>
      <c r="AT526" s="7" t="e">
        <f ca="1"/>
        <v>#REF!</v>
      </c>
      <c r="AU526" s="7" t="e">
        <f ca="1"/>
        <v>#REF!</v>
      </c>
      <c r="AV526" s="7" t="e">
        <f ca="1"/>
        <v>#REF!</v>
      </c>
    </row>
    <row r="527" spans="37:48" x14ac:dyDescent="0.25">
      <c r="AK527" t="str">
        <f ca="1"/>
        <v>Obs. 913</v>
      </c>
      <c r="AL527" s="7">
        <f ca="1"/>
        <v>67.8</v>
      </c>
      <c r="AN527" s="7" t="e">
        <f ca="1"/>
        <v>#REF!</v>
      </c>
      <c r="AO527" s="7" t="e">
        <f ca="1"/>
        <v>#REF!</v>
      </c>
      <c r="AP527" s="7">
        <f ca="1"/>
        <v>7.9761618126889727E-2</v>
      </c>
      <c r="AQ527" s="7" t="e">
        <f ca="1"/>
        <v>#REF!</v>
      </c>
      <c r="AR527" s="7" t="e">
        <f ca="1"/>
        <v>#REF!</v>
      </c>
      <c r="AS527" s="7">
        <f ca="1"/>
        <v>-0.47479897905845492</v>
      </c>
      <c r="AT527" s="7" t="e">
        <f ca="1"/>
        <v>#REF!</v>
      </c>
      <c r="AU527" s="7" t="e">
        <f ca="1"/>
        <v>#REF!</v>
      </c>
      <c r="AV527" s="7" t="e">
        <f ca="1"/>
        <v>#REF!</v>
      </c>
    </row>
    <row r="528" spans="37:48" x14ac:dyDescent="0.25">
      <c r="AK528" t="str">
        <f ca="1"/>
        <v>Obs. 914</v>
      </c>
      <c r="AL528" s="7">
        <f ca="1"/>
        <v>67.7</v>
      </c>
      <c r="AN528" s="7" t="e">
        <f ca="1"/>
        <v>#REF!</v>
      </c>
      <c r="AO528" s="7" t="e">
        <f ca="1"/>
        <v>#REF!</v>
      </c>
      <c r="AP528" s="7">
        <f ca="1"/>
        <v>0.11025948414490802</v>
      </c>
      <c r="AQ528" s="7" t="e">
        <f ca="1"/>
        <v>#REF!</v>
      </c>
      <c r="AR528" s="7" t="e">
        <f ca="1"/>
        <v>#REF!</v>
      </c>
      <c r="AS528" s="7">
        <f ca="1"/>
        <v>-0.47479897905845492</v>
      </c>
      <c r="AT528" s="7" t="e">
        <f ca="1"/>
        <v>#REF!</v>
      </c>
      <c r="AU528" s="7" t="e">
        <f ca="1"/>
        <v>#REF!</v>
      </c>
      <c r="AV528" s="7" t="e">
        <f ca="1"/>
        <v>#REF!</v>
      </c>
    </row>
    <row r="529" spans="37:48" x14ac:dyDescent="0.25">
      <c r="AK529" t="str">
        <f ca="1"/>
        <v>Obs. 932</v>
      </c>
      <c r="AL529" s="7">
        <f ca="1"/>
        <v>82.2</v>
      </c>
      <c r="AN529" s="7" t="e">
        <f ca="1"/>
        <v>#REF!</v>
      </c>
      <c r="AO529" s="7" t="e">
        <f ca="1"/>
        <v>#REF!</v>
      </c>
      <c r="AP529" s="7">
        <f ca="1"/>
        <v>7.7985207592548469E-2</v>
      </c>
      <c r="AQ529" s="7" t="e">
        <f ca="1"/>
        <v>#REF!</v>
      </c>
      <c r="AR529" s="7" t="e">
        <f ca="1"/>
        <v>#REF!</v>
      </c>
      <c r="AS529" s="7">
        <f ca="1"/>
        <v>-0.46970075330452549</v>
      </c>
      <c r="AT529" s="7" t="e">
        <f ca="1"/>
        <v>#REF!</v>
      </c>
      <c r="AU529" s="7" t="e">
        <f ca="1"/>
        <v>#REF!</v>
      </c>
      <c r="AV529" s="7" t="e">
        <f ca="1"/>
        <v>#REF!</v>
      </c>
    </row>
    <row r="530" spans="37:48" x14ac:dyDescent="0.25">
      <c r="AK530" t="str">
        <f ca="1"/>
        <v>Obs. 933</v>
      </c>
      <c r="AL530" s="7">
        <f ca="1"/>
        <v>82</v>
      </c>
      <c r="AN530" s="7" t="e">
        <f ca="1"/>
        <v>#REF!</v>
      </c>
      <c r="AO530" s="7" t="e">
        <f ca="1"/>
        <v>#REF!</v>
      </c>
      <c r="AP530" s="7">
        <f ca="1"/>
        <v>7.6611501093417855E-2</v>
      </c>
      <c r="AQ530" s="7" t="e">
        <f ca="1"/>
        <v>#REF!</v>
      </c>
      <c r="AR530" s="7" t="e">
        <f ca="1"/>
        <v>#REF!</v>
      </c>
      <c r="AS530" s="7">
        <f ca="1"/>
        <v>-0.46970075330452549</v>
      </c>
      <c r="AT530" s="7" t="e">
        <f ca="1"/>
        <v>#REF!</v>
      </c>
      <c r="AU530" s="7" t="e">
        <f ca="1"/>
        <v>#REF!</v>
      </c>
      <c r="AV530" s="7" t="e">
        <f ca="1"/>
        <v>#REF!</v>
      </c>
    </row>
    <row r="531" spans="37:48" x14ac:dyDescent="0.25">
      <c r="AK531" t="str">
        <f ca="1"/>
        <v>Obs. 934</v>
      </c>
      <c r="AL531" s="7">
        <f ca="1"/>
        <v>81.5</v>
      </c>
      <c r="AN531" s="7" t="e">
        <f ca="1"/>
        <v>#REF!</v>
      </c>
      <c r="AO531" s="7" t="e">
        <f ca="1"/>
        <v>#REF!</v>
      </c>
      <c r="AP531" s="7">
        <f ca="1"/>
        <v>8.0281390930139418E-2</v>
      </c>
      <c r="AQ531" s="7" t="e">
        <f ca="1"/>
        <v>#REF!</v>
      </c>
      <c r="AR531" s="7" t="e">
        <f ca="1"/>
        <v>#REF!</v>
      </c>
      <c r="AS531" s="7">
        <f ca="1"/>
        <v>-0.46970075330452549</v>
      </c>
      <c r="AT531" s="7" t="e">
        <f ca="1"/>
        <v>#REF!</v>
      </c>
      <c r="AU531" s="7" t="e">
        <f ca="1"/>
        <v>#REF!</v>
      </c>
      <c r="AV531" s="7" t="e">
        <f ca="1"/>
        <v>#REF!</v>
      </c>
    </row>
    <row r="532" spans="37:48" x14ac:dyDescent="0.25">
      <c r="AK532" t="str">
        <f ca="1"/>
        <v>Obs. 935</v>
      </c>
      <c r="AL532" s="7">
        <f ca="1"/>
        <v>81.7</v>
      </c>
      <c r="AN532" s="7" t="e">
        <f ca="1"/>
        <v>#REF!</v>
      </c>
      <c r="AO532" s="7" t="e">
        <f ca="1"/>
        <v>#REF!</v>
      </c>
      <c r="AP532" s="7">
        <f ca="1"/>
        <v>8.9366976880371193E-2</v>
      </c>
      <c r="AQ532" s="7" t="e">
        <f ca="1"/>
        <v>#REF!</v>
      </c>
      <c r="AR532" s="7" t="e">
        <f ca="1"/>
        <v>#REF!</v>
      </c>
      <c r="AS532" s="7">
        <f ca="1"/>
        <v>-0.46970075330452549</v>
      </c>
      <c r="AT532" s="7" t="e">
        <f ca="1"/>
        <v>#REF!</v>
      </c>
      <c r="AU532" s="7" t="e">
        <f ca="1"/>
        <v>#REF!</v>
      </c>
      <c r="AV532" s="7" t="e">
        <f ca="1"/>
        <v>#REF!</v>
      </c>
    </row>
    <row r="533" spans="37:48" x14ac:dyDescent="0.25">
      <c r="AK533" t="str">
        <f ca="1"/>
        <v>Obs. 936</v>
      </c>
      <c r="AL533" s="7">
        <f ca="1"/>
        <v>81.3</v>
      </c>
      <c r="AN533" s="7" t="e">
        <f ca="1"/>
        <v>#REF!</v>
      </c>
      <c r="AO533" s="7" t="e">
        <f ca="1"/>
        <v>#REF!</v>
      </c>
      <c r="AP533" s="7">
        <f ca="1"/>
        <v>8.7803562436112995E-2</v>
      </c>
      <c r="AQ533" s="7" t="e">
        <f ca="1"/>
        <v>#REF!</v>
      </c>
      <c r="AR533" s="7" t="e">
        <f ca="1"/>
        <v>#REF!</v>
      </c>
      <c r="AS533" s="7">
        <f ca="1"/>
        <v>-0.46970075330452549</v>
      </c>
      <c r="AT533" s="7" t="e">
        <f ca="1"/>
        <v>#REF!</v>
      </c>
      <c r="AU533" s="7" t="e">
        <f ca="1"/>
        <v>#REF!</v>
      </c>
      <c r="AV533" s="7" t="e">
        <f ca="1"/>
        <v>#REF!</v>
      </c>
    </row>
    <row r="534" spans="37:48" x14ac:dyDescent="0.25">
      <c r="AK534" t="str">
        <f ca="1"/>
        <v>Obs. 937</v>
      </c>
      <c r="AL534" s="7">
        <f ca="1"/>
        <v>81.099999999999994</v>
      </c>
      <c r="AN534" s="7" t="e">
        <f ca="1"/>
        <v>#REF!</v>
      </c>
      <c r="AO534" s="7" t="e">
        <f ca="1"/>
        <v>#REF!</v>
      </c>
      <c r="AP534" s="7">
        <f ca="1"/>
        <v>7.3212614287299055E-2</v>
      </c>
      <c r="AQ534" s="7" t="e">
        <f ca="1"/>
        <v>#REF!</v>
      </c>
      <c r="AR534" s="7" t="e">
        <f ca="1"/>
        <v>#REF!</v>
      </c>
      <c r="AS534" s="7">
        <f ca="1"/>
        <v>-0.46123068213767926</v>
      </c>
      <c r="AT534" s="7" t="e">
        <f ca="1"/>
        <v>#REF!</v>
      </c>
      <c r="AU534" s="7" t="e">
        <f ca="1"/>
        <v>#REF!</v>
      </c>
      <c r="AV534" s="7" t="e">
        <f ca="1"/>
        <v>#REF!</v>
      </c>
    </row>
    <row r="535" spans="37:48" x14ac:dyDescent="0.25">
      <c r="AK535" t="str">
        <f ca="1"/>
        <v>Obs. 938</v>
      </c>
      <c r="AL535" s="7">
        <f ca="1"/>
        <v>89</v>
      </c>
      <c r="AN535" s="7" t="e">
        <f ca="1"/>
        <v>#REF!</v>
      </c>
      <c r="AO535" s="7" t="e">
        <f ca="1"/>
        <v>#REF!</v>
      </c>
      <c r="AP535" s="7">
        <f ca="1"/>
        <v>7.6156262539743336E-2</v>
      </c>
      <c r="AQ535" s="7" t="e">
        <f ca="1"/>
        <v>#REF!</v>
      </c>
      <c r="AR535" s="7" t="e">
        <f ca="1"/>
        <v>#REF!</v>
      </c>
      <c r="AS535" s="7">
        <f ca="1"/>
        <v>-0.46123068213767926</v>
      </c>
      <c r="AT535" s="7" t="e">
        <f ca="1"/>
        <v>#REF!</v>
      </c>
      <c r="AU535" s="7" t="e">
        <f ca="1"/>
        <v>#REF!</v>
      </c>
      <c r="AV535" s="7" t="e">
        <f ca="1"/>
        <v>#REF!</v>
      </c>
    </row>
    <row r="536" spans="37:48" x14ac:dyDescent="0.25">
      <c r="AK536" t="str">
        <f ca="1"/>
        <v>Obs. 939</v>
      </c>
      <c r="AL536" s="7">
        <f ca="1"/>
        <v>89</v>
      </c>
      <c r="AN536" s="7" t="e">
        <f ca="1"/>
        <v>#REF!</v>
      </c>
      <c r="AO536" s="7" t="e">
        <f ca="1"/>
        <v>#REF!</v>
      </c>
      <c r="AP536" s="7">
        <f ca="1"/>
        <v>7.8909241981227271E-2</v>
      </c>
      <c r="AQ536" s="7" t="e">
        <f ca="1"/>
        <v>#REF!</v>
      </c>
      <c r="AR536" s="7" t="e">
        <f ca="1"/>
        <v>#REF!</v>
      </c>
      <c r="AS536" s="7">
        <f ca="1"/>
        <v>-0.46123068213767926</v>
      </c>
      <c r="AT536" s="7" t="e">
        <f ca="1"/>
        <v>#REF!</v>
      </c>
      <c r="AU536" s="7" t="e">
        <f ca="1"/>
        <v>#REF!</v>
      </c>
      <c r="AV536" s="7" t="e">
        <f ca="1"/>
        <v>#REF!</v>
      </c>
    </row>
    <row r="537" spans="37:48" x14ac:dyDescent="0.25">
      <c r="AK537" t="str">
        <f ca="1"/>
        <v>Obs. 940</v>
      </c>
      <c r="AL537" s="7">
        <f ca="1"/>
        <v>86</v>
      </c>
      <c r="AN537" s="7" t="e">
        <f ca="1"/>
        <v>#REF!</v>
      </c>
      <c r="AO537" s="7" t="e">
        <f ca="1"/>
        <v>#REF!</v>
      </c>
      <c r="AP537" s="7">
        <f ca="1"/>
        <v>7.3590192444705466E-2</v>
      </c>
      <c r="AQ537" s="7" t="e">
        <f ca="1"/>
        <v>#REF!</v>
      </c>
      <c r="AR537" s="7" t="e">
        <f ca="1"/>
        <v>#REF!</v>
      </c>
      <c r="AS537" s="7">
        <f ca="1"/>
        <v>-0.45616451589519369</v>
      </c>
      <c r="AT537" s="7" t="e">
        <f ca="1"/>
        <v>#REF!</v>
      </c>
      <c r="AU537" s="7" t="e">
        <f ca="1"/>
        <v>#REF!</v>
      </c>
      <c r="AV537" s="7" t="e">
        <f ca="1"/>
        <v>#REF!</v>
      </c>
    </row>
    <row r="538" spans="37:48" x14ac:dyDescent="0.25">
      <c r="AK538" t="str">
        <f ca="1"/>
        <v>Obs. 941</v>
      </c>
      <c r="AL538" s="7">
        <f ca="1"/>
        <v>81</v>
      </c>
      <c r="AN538" s="7" t="e">
        <f ca="1"/>
        <v>#REF!</v>
      </c>
      <c r="AO538" s="7" t="e">
        <f ca="1"/>
        <v>#REF!</v>
      </c>
      <c r="AP538" s="7">
        <f ca="1"/>
        <v>7.3085042018918051E-2</v>
      </c>
      <c r="AQ538" s="7" t="e">
        <f ca="1"/>
        <v>#REF!</v>
      </c>
      <c r="AR538" s="7" t="e">
        <f ca="1"/>
        <v>#REF!</v>
      </c>
      <c r="AS538" s="7">
        <f ca="1"/>
        <v>-0.45616451589519369</v>
      </c>
      <c r="AT538" s="7" t="e">
        <f ca="1"/>
        <v>#REF!</v>
      </c>
      <c r="AU538" s="7" t="e">
        <f ca="1"/>
        <v>#REF!</v>
      </c>
      <c r="AV538" s="7" t="e">
        <f ca="1"/>
        <v>#REF!</v>
      </c>
    </row>
    <row r="539" spans="37:48" x14ac:dyDescent="0.25">
      <c r="AK539" t="str">
        <f ca="1"/>
        <v>Obs. 942</v>
      </c>
      <c r="AL539" s="7">
        <f ca="1"/>
        <v>82</v>
      </c>
      <c r="AN539" s="7" t="e">
        <f ca="1"/>
        <v>#REF!</v>
      </c>
      <c r="AO539" s="7" t="e">
        <f ca="1"/>
        <v>#REF!</v>
      </c>
      <c r="AP539" s="7">
        <f ca="1"/>
        <v>7.2626614571222159E-2</v>
      </c>
      <c r="AQ539" s="7" t="e">
        <f ca="1"/>
        <v>#REF!</v>
      </c>
      <c r="AR539" s="7" t="e">
        <f ca="1"/>
        <v>#REF!</v>
      </c>
      <c r="AS539" s="7">
        <f ca="1"/>
        <v>-0.45616451589519369</v>
      </c>
      <c r="AT539" s="7" t="e">
        <f ca="1"/>
        <v>#REF!</v>
      </c>
      <c r="AU539" s="7" t="e">
        <f ca="1"/>
        <v>#REF!</v>
      </c>
      <c r="AV539" s="7" t="e">
        <f ca="1"/>
        <v>#REF!</v>
      </c>
    </row>
    <row r="540" spans="37:48" x14ac:dyDescent="0.25">
      <c r="AK540" t="str">
        <f ca="1"/>
        <v>Obs. 943</v>
      </c>
      <c r="AL540" s="7">
        <f ca="1"/>
        <v>79.3</v>
      </c>
      <c r="AN540" s="7" t="e">
        <f ca="1"/>
        <v>#REF!</v>
      </c>
      <c r="AO540" s="7" t="e">
        <f ca="1"/>
        <v>#REF!</v>
      </c>
      <c r="AP540" s="7">
        <f ca="1"/>
        <v>7.3291939627843306E-2</v>
      </c>
      <c r="AQ540" s="7" t="e">
        <f ca="1"/>
        <v>#REF!</v>
      </c>
      <c r="AR540" s="7" t="e">
        <f ca="1"/>
        <v>#REF!</v>
      </c>
      <c r="AS540" s="7">
        <f ca="1"/>
        <v>-0.45616451589519369</v>
      </c>
      <c r="AT540" s="7" t="e">
        <f ca="1"/>
        <v>#REF!</v>
      </c>
      <c r="AU540" s="7" t="e">
        <f ca="1"/>
        <v>#REF!</v>
      </c>
      <c r="AV540" s="7" t="e">
        <f ca="1"/>
        <v>#REF!</v>
      </c>
    </row>
    <row r="541" spans="37:48" x14ac:dyDescent="0.25">
      <c r="AK541" t="str">
        <f ca="1"/>
        <v>Obs. 944</v>
      </c>
      <c r="AL541" s="7">
        <f ca="1"/>
        <v>79.2</v>
      </c>
      <c r="AN541" s="7" t="e">
        <f ca="1"/>
        <v>#REF!</v>
      </c>
      <c r="AO541" s="7" t="e">
        <f ca="1"/>
        <v>#REF!</v>
      </c>
      <c r="AP541" s="7">
        <f ca="1"/>
        <v>7.3865031130298381E-2</v>
      </c>
      <c r="AQ541" s="7" t="e">
        <f ca="1"/>
        <v>#REF!</v>
      </c>
      <c r="AR541" s="7" t="e">
        <f ca="1"/>
        <v>#REF!</v>
      </c>
      <c r="AS541" s="7">
        <f ca="1"/>
        <v>-0.45616451589519369</v>
      </c>
      <c r="AT541" s="7" t="e">
        <f ca="1"/>
        <v>#REF!</v>
      </c>
      <c r="AU541" s="7" t="e">
        <f ca="1"/>
        <v>#REF!</v>
      </c>
      <c r="AV541" s="7" t="e">
        <f ca="1"/>
        <v>#REF!</v>
      </c>
    </row>
    <row r="542" spans="37:48" x14ac:dyDescent="0.25">
      <c r="AK542" t="str">
        <f ca="1"/>
        <v>Obs. 945</v>
      </c>
      <c r="AL542" s="7">
        <f ca="1"/>
        <v>79</v>
      </c>
      <c r="AN542" s="7" t="e">
        <f ca="1"/>
        <v>#REF!</v>
      </c>
      <c r="AO542" s="7" t="e">
        <f ca="1"/>
        <v>#REF!</v>
      </c>
      <c r="AP542" s="7">
        <f ca="1"/>
        <v>7.244942102799512E-2</v>
      </c>
      <c r="AQ542" s="7" t="e">
        <f ca="1"/>
        <v>#REF!</v>
      </c>
      <c r="AR542" s="7" t="e">
        <f ca="1"/>
        <v>#REF!</v>
      </c>
      <c r="AS542" s="7">
        <f ca="1"/>
        <v>-0.44774677320100181</v>
      </c>
      <c r="AT542" s="7" t="e">
        <f ca="1"/>
        <v>#REF!</v>
      </c>
      <c r="AU542" s="7" t="e">
        <f ca="1"/>
        <v>#REF!</v>
      </c>
      <c r="AV542" s="7" t="e">
        <f ca="1"/>
        <v>#REF!</v>
      </c>
    </row>
    <row r="543" spans="37:48" x14ac:dyDescent="0.25">
      <c r="AK543" t="str">
        <f ca="1"/>
        <v>Obs. 946</v>
      </c>
      <c r="AL543" s="7">
        <f ca="1"/>
        <v>78.8</v>
      </c>
      <c r="AN543" s="7" t="e">
        <f ca="1"/>
        <v>#REF!</v>
      </c>
      <c r="AO543" s="7" t="e">
        <f ca="1"/>
        <v>#REF!</v>
      </c>
      <c r="AP543" s="7">
        <f ca="1"/>
        <v>7.3354441913742227E-2</v>
      </c>
      <c r="AQ543" s="7" t="e">
        <f ca="1"/>
        <v>#REF!</v>
      </c>
      <c r="AR543" s="7" t="e">
        <f ca="1"/>
        <v>#REF!</v>
      </c>
      <c r="AS543" s="7">
        <f ca="1"/>
        <v>-0.44774677320100181</v>
      </c>
      <c r="AT543" s="7" t="e">
        <f ca="1"/>
        <v>#REF!</v>
      </c>
      <c r="AU543" s="7" t="e">
        <f ca="1"/>
        <v>#REF!</v>
      </c>
      <c r="AV543" s="7" t="e">
        <f ca="1"/>
        <v>#REF!</v>
      </c>
    </row>
    <row r="544" spans="37:48" x14ac:dyDescent="0.25">
      <c r="AK544" t="str">
        <f ca="1"/>
        <v>Obs. 948</v>
      </c>
      <c r="AL544" s="7">
        <f ca="1"/>
        <v>65.5</v>
      </c>
      <c r="AN544" s="7" t="e">
        <f ca="1"/>
        <v>#REF!</v>
      </c>
      <c r="AO544" s="7" t="e">
        <f ca="1"/>
        <v>#REF!</v>
      </c>
      <c r="AP544" s="7">
        <f ca="1"/>
        <v>0.12828669729650416</v>
      </c>
      <c r="AQ544" s="7" t="e">
        <f ca="1"/>
        <v>#REF!</v>
      </c>
      <c r="AR544" s="7" t="e">
        <f ca="1"/>
        <v>#REF!</v>
      </c>
      <c r="AS544" s="7">
        <f ca="1"/>
        <v>-0.44438857281516719</v>
      </c>
      <c r="AT544" s="7" t="e">
        <f ca="1"/>
        <v>#REF!</v>
      </c>
      <c r="AU544" s="7" t="e">
        <f ca="1"/>
        <v>#REF!</v>
      </c>
      <c r="AV544" s="7" t="e">
        <f ca="1"/>
        <v>#REF!</v>
      </c>
    </row>
    <row r="545" spans="37:48" x14ac:dyDescent="0.25">
      <c r="AK545" t="str">
        <f ca="1"/>
        <v>Obs. 949</v>
      </c>
      <c r="AL545" s="7">
        <f ca="1"/>
        <v>64.599999999999994</v>
      </c>
      <c r="AN545" s="7" t="e">
        <f ca="1"/>
        <v>#REF!</v>
      </c>
      <c r="AO545" s="7" t="e">
        <f ca="1"/>
        <v>#REF!</v>
      </c>
      <c r="AP545" s="7">
        <f ca="1"/>
        <v>0.10231296690464567</v>
      </c>
      <c r="AQ545" s="7" t="e">
        <f ca="1"/>
        <v>#REF!</v>
      </c>
      <c r="AR545" s="7" t="e">
        <f ca="1"/>
        <v>#REF!</v>
      </c>
      <c r="AS545" s="7">
        <f ca="1"/>
        <v>-0.44438857281516719</v>
      </c>
      <c r="AT545" s="7" t="e">
        <f ca="1"/>
        <v>#REF!</v>
      </c>
      <c r="AU545" s="7" t="e">
        <f ca="1"/>
        <v>#REF!</v>
      </c>
      <c r="AV545" s="7" t="e">
        <f ca="1"/>
        <v>#REF!</v>
      </c>
    </row>
    <row r="546" spans="37:48" x14ac:dyDescent="0.25">
      <c r="AK546" t="str">
        <f ca="1"/>
        <v>Obs. 950</v>
      </c>
      <c r="AL546" s="7">
        <f ca="1"/>
        <v>63.5</v>
      </c>
      <c r="AN546" s="7" t="e">
        <f ca="1"/>
        <v>#REF!</v>
      </c>
      <c r="AO546" s="7" t="e">
        <f ca="1"/>
        <v>#REF!</v>
      </c>
      <c r="AP546" s="7">
        <f ca="1"/>
        <v>0.10801632815780246</v>
      </c>
      <c r="AQ546" s="7" t="e">
        <f ca="1"/>
        <v>#REF!</v>
      </c>
      <c r="AR546" s="7" t="e">
        <f ca="1"/>
        <v>#REF!</v>
      </c>
      <c r="AS546" s="7">
        <f ca="1"/>
        <v>-0.44438857281516719</v>
      </c>
      <c r="AT546" s="7" t="e">
        <f ca="1"/>
        <v>#REF!</v>
      </c>
      <c r="AU546" s="7" t="e">
        <f ca="1"/>
        <v>#REF!</v>
      </c>
      <c r="AV546" s="7" t="e">
        <f ca="1"/>
        <v>#REF!</v>
      </c>
    </row>
    <row r="547" spans="37:48" x14ac:dyDescent="0.25">
      <c r="AK547" t="str">
        <f ca="1"/>
        <v>Obs. 951</v>
      </c>
      <c r="AL547" s="7">
        <f ca="1"/>
        <v>62.8</v>
      </c>
      <c r="AN547" s="7" t="e">
        <f ca="1"/>
        <v>#REF!</v>
      </c>
      <c r="AO547" s="7" t="e">
        <f ca="1"/>
        <v>#REF!</v>
      </c>
      <c r="AP547" s="7">
        <f ca="1"/>
        <v>9.9430368209802514E-2</v>
      </c>
      <c r="AQ547" s="7" t="e">
        <f ca="1"/>
        <v>#REF!</v>
      </c>
      <c r="AR547" s="7" t="e">
        <f ca="1"/>
        <v>#REF!</v>
      </c>
      <c r="AS547" s="7">
        <f ca="1"/>
        <v>-0.44438857281516719</v>
      </c>
      <c r="AT547" s="7" t="e">
        <f ca="1"/>
        <v>#REF!</v>
      </c>
      <c r="AU547" s="7" t="e">
        <f ca="1"/>
        <v>#REF!</v>
      </c>
      <c r="AV547" s="7" t="e">
        <f ca="1"/>
        <v>#REF!</v>
      </c>
    </row>
    <row r="548" spans="37:48" x14ac:dyDescent="0.25">
      <c r="AK548" t="str">
        <f ca="1"/>
        <v>Obs. 952</v>
      </c>
      <c r="AL548" s="7">
        <f ca="1"/>
        <v>62.3</v>
      </c>
      <c r="AN548" s="7" t="e">
        <f ca="1"/>
        <v>#REF!</v>
      </c>
      <c r="AO548" s="7" t="e">
        <f ca="1"/>
        <v>#REF!</v>
      </c>
      <c r="AP548" s="7">
        <f ca="1"/>
        <v>9.9326496458742558E-2</v>
      </c>
      <c r="AQ548" s="7" t="e">
        <f ca="1"/>
        <v>#REF!</v>
      </c>
      <c r="AR548" s="7" t="e">
        <f ca="1"/>
        <v>#REF!</v>
      </c>
      <c r="AS548" s="7">
        <f ca="1"/>
        <v>-0.44438857281516719</v>
      </c>
      <c r="AT548" s="7" t="e">
        <f ca="1"/>
        <v>#REF!</v>
      </c>
      <c r="AU548" s="7" t="e">
        <f ca="1"/>
        <v>#REF!</v>
      </c>
      <c r="AV548" s="7" t="e">
        <f ca="1"/>
        <v>#REF!</v>
      </c>
    </row>
    <row r="549" spans="37:48" x14ac:dyDescent="0.25">
      <c r="AK549" t="str">
        <f ca="1"/>
        <v>Obs. 953</v>
      </c>
      <c r="AL549" s="7">
        <f ca="1"/>
        <v>61.7</v>
      </c>
      <c r="AN549" s="7" t="e">
        <f ca="1"/>
        <v>#REF!</v>
      </c>
      <c r="AO549" s="7" t="e">
        <f ca="1"/>
        <v>#REF!</v>
      </c>
      <c r="AP549" s="7">
        <f ca="1"/>
        <v>0.10314295591031439</v>
      </c>
      <c r="AQ549" s="7" t="e">
        <f ca="1"/>
        <v>#REF!</v>
      </c>
      <c r="AR549" s="7" t="e">
        <f ca="1"/>
        <v>#REF!</v>
      </c>
      <c r="AS549" s="7">
        <f ca="1"/>
        <v>-0.44438857281516719</v>
      </c>
      <c r="AT549" s="7" t="e">
        <f ca="1"/>
        <v>#REF!</v>
      </c>
      <c r="AU549" s="7" t="e">
        <f ca="1"/>
        <v>#REF!</v>
      </c>
      <c r="AV549" s="7" t="e">
        <f ca="1"/>
        <v>#REF!</v>
      </c>
    </row>
    <row r="550" spans="37:48" x14ac:dyDescent="0.25">
      <c r="AK550" t="str">
        <f ca="1"/>
        <v>Obs. 954</v>
      </c>
      <c r="AL550" s="7">
        <f ca="1"/>
        <v>61.6</v>
      </c>
      <c r="AN550" s="7" t="e">
        <f ca="1"/>
        <v>#REF!</v>
      </c>
      <c r="AO550" s="7" t="e">
        <f ca="1"/>
        <v>#REF!</v>
      </c>
      <c r="AP550" s="7">
        <f ca="1"/>
        <v>0.10029213753608296</v>
      </c>
      <c r="AQ550" s="7" t="e">
        <f ca="1"/>
        <v>#REF!</v>
      </c>
      <c r="AR550" s="7" t="e">
        <f ca="1"/>
        <v>#REF!</v>
      </c>
      <c r="AS550" s="7">
        <f ca="1"/>
        <v>-0.44438857281516719</v>
      </c>
      <c r="AT550" s="7" t="e">
        <f ca="1"/>
        <v>#REF!</v>
      </c>
      <c r="AU550" s="7" t="e">
        <f ca="1"/>
        <v>#REF!</v>
      </c>
      <c r="AV550" s="7" t="e">
        <f ca="1"/>
        <v>#REF!</v>
      </c>
    </row>
    <row r="551" spans="37:48" x14ac:dyDescent="0.25">
      <c r="AK551" t="str">
        <f ca="1"/>
        <v>Obs. 955</v>
      </c>
      <c r="AL551" s="7">
        <f ca="1"/>
        <v>61.6</v>
      </c>
      <c r="AN551" s="7" t="e">
        <f ca="1"/>
        <v>#REF!</v>
      </c>
      <c r="AO551" s="7" t="e">
        <f ca="1"/>
        <v>#REF!</v>
      </c>
      <c r="AP551" s="7">
        <f ca="1"/>
        <v>9.9006928712157508E-2</v>
      </c>
      <c r="AQ551" s="7" t="e">
        <f ca="1"/>
        <v>#REF!</v>
      </c>
      <c r="AR551" s="7" t="e">
        <f ca="1"/>
        <v>#REF!</v>
      </c>
      <c r="AS551" s="7">
        <f ca="1"/>
        <v>-0.43267393579163727</v>
      </c>
      <c r="AT551" s="7" t="e">
        <f ca="1"/>
        <v>#REF!</v>
      </c>
      <c r="AU551" s="7" t="e">
        <f ca="1"/>
        <v>#REF!</v>
      </c>
      <c r="AV551" s="7" t="e">
        <f ca="1"/>
        <v>#REF!</v>
      </c>
    </row>
    <row r="552" spans="37:48" x14ac:dyDescent="0.25">
      <c r="AK552" t="str">
        <f ca="1"/>
        <v>Obs. 956</v>
      </c>
      <c r="AL552" s="7">
        <f ca="1"/>
        <v>61.4</v>
      </c>
      <c r="AN552" s="7" t="e">
        <f ca="1"/>
        <v>#REF!</v>
      </c>
      <c r="AO552" s="7" t="e">
        <f ca="1"/>
        <v>#REF!</v>
      </c>
      <c r="AP552" s="7">
        <f ca="1"/>
        <v>0.10008058547448483</v>
      </c>
      <c r="AQ552" s="7" t="e">
        <f ca="1"/>
        <v>#REF!</v>
      </c>
      <c r="AR552" s="7" t="e">
        <f ca="1"/>
        <v>#REF!</v>
      </c>
      <c r="AS552" s="7">
        <f ca="1"/>
        <v>-0.43267393579163727</v>
      </c>
      <c r="AT552" s="7" t="e">
        <f ca="1"/>
        <v>#REF!</v>
      </c>
      <c r="AU552" s="7" t="e">
        <f ca="1"/>
        <v>#REF!</v>
      </c>
      <c r="AV552" s="7" t="e">
        <f ca="1"/>
        <v>#REF!</v>
      </c>
    </row>
    <row r="553" spans="37:48" x14ac:dyDescent="0.25">
      <c r="AK553" t="str">
        <f ca="1"/>
        <v>Obs. 957</v>
      </c>
      <c r="AL553" s="7">
        <f ca="1"/>
        <v>65</v>
      </c>
      <c r="AN553" s="7" t="e">
        <f ca="1"/>
        <v>#REF!</v>
      </c>
      <c r="AO553" s="7" t="e">
        <f ca="1"/>
        <v>#REF!</v>
      </c>
      <c r="AP553" s="7">
        <f ca="1"/>
        <v>0.10767077872492714</v>
      </c>
      <c r="AQ553" s="7" t="e">
        <f ca="1"/>
        <v>#REF!</v>
      </c>
      <c r="AR553" s="7" t="e">
        <f ca="1"/>
        <v>#REF!</v>
      </c>
      <c r="AS553" s="7">
        <f ca="1"/>
        <v>-0.43267393579163727</v>
      </c>
      <c r="AT553" s="7" t="e">
        <f ca="1"/>
        <v>#REF!</v>
      </c>
      <c r="AU553" s="7" t="e">
        <f ca="1"/>
        <v>#REF!</v>
      </c>
      <c r="AV553" s="7" t="e">
        <f ca="1"/>
        <v>#REF!</v>
      </c>
    </row>
    <row r="554" spans="37:48" x14ac:dyDescent="0.25">
      <c r="AK554" t="str">
        <f ca="1"/>
        <v>Obs. 980</v>
      </c>
      <c r="AL554" s="7">
        <f ca="1"/>
        <v>74.5</v>
      </c>
      <c r="AN554" s="7" t="e">
        <f ca="1"/>
        <v>#REF!</v>
      </c>
      <c r="AO554" s="7" t="e">
        <f ca="1"/>
        <v>#REF!</v>
      </c>
      <c r="AP554" s="7">
        <f ca="1"/>
        <v>6.5797797478565775E-2</v>
      </c>
      <c r="AQ554" s="7" t="e">
        <f ca="1"/>
        <v>#REF!</v>
      </c>
      <c r="AR554" s="7" t="e">
        <f ca="1"/>
        <v>#REF!</v>
      </c>
      <c r="AS554" s="7">
        <f ca="1"/>
        <v>-0.43267393579163727</v>
      </c>
      <c r="AT554" s="7" t="e">
        <f ca="1"/>
        <v>#REF!</v>
      </c>
      <c r="AU554" s="7" t="e">
        <f ca="1"/>
        <v>#REF!</v>
      </c>
      <c r="AV554" s="7" t="e">
        <f ca="1"/>
        <v>#REF!</v>
      </c>
    </row>
    <row r="555" spans="37:48" x14ac:dyDescent="0.25">
      <c r="AK555" t="str">
        <f ca="1"/>
        <v>Obs. 981</v>
      </c>
      <c r="AL555" s="7">
        <f ca="1"/>
        <v>74.5</v>
      </c>
      <c r="AN555" s="7" t="e">
        <f ca="1"/>
        <v>#REF!</v>
      </c>
      <c r="AO555" s="7" t="e">
        <f ca="1"/>
        <v>#REF!</v>
      </c>
      <c r="AP555" s="7">
        <f ca="1"/>
        <v>6.6166450174440505E-2</v>
      </c>
      <c r="AQ555" s="7" t="e">
        <f ca="1"/>
        <v>#REF!</v>
      </c>
      <c r="AR555" s="7" t="e">
        <f ca="1"/>
        <v>#REF!</v>
      </c>
      <c r="AS555" s="7">
        <f ca="1"/>
        <v>-0.42600652312983872</v>
      </c>
      <c r="AT555" s="7" t="e">
        <f ca="1"/>
        <v>#REF!</v>
      </c>
      <c r="AU555" s="7" t="e">
        <f ca="1"/>
        <v>#REF!</v>
      </c>
      <c r="AV555" s="7" t="e">
        <f ca="1"/>
        <v>#REF!</v>
      </c>
    </row>
    <row r="556" spans="37:48" x14ac:dyDescent="0.25">
      <c r="AK556" t="str">
        <f ca="1"/>
        <v>Obs. 982</v>
      </c>
      <c r="AL556" s="7">
        <f ca="1"/>
        <v>74.2</v>
      </c>
      <c r="AN556" s="7" t="e">
        <f ca="1"/>
        <v>#REF!</v>
      </c>
      <c r="AO556" s="7" t="e">
        <f ca="1"/>
        <v>#REF!</v>
      </c>
      <c r="AP556" s="7">
        <f ca="1"/>
        <v>6.7353246339827991E-2</v>
      </c>
      <c r="AQ556" s="7" t="e">
        <f ca="1"/>
        <v>#REF!</v>
      </c>
      <c r="AR556" s="7" t="e">
        <f ca="1"/>
        <v>#REF!</v>
      </c>
      <c r="AS556" s="7">
        <f ca="1"/>
        <v>-0.42600652312983872</v>
      </c>
      <c r="AT556" s="7" t="e">
        <f ca="1"/>
        <v>#REF!</v>
      </c>
      <c r="AU556" s="7" t="e">
        <f ca="1"/>
        <v>#REF!</v>
      </c>
      <c r="AV556" s="7" t="e">
        <f ca="1"/>
        <v>#REF!</v>
      </c>
    </row>
    <row r="557" spans="37:48" x14ac:dyDescent="0.25">
      <c r="AK557" t="str">
        <f ca="1"/>
        <v>Obs. 983</v>
      </c>
      <c r="AL557" s="7">
        <f ca="1"/>
        <v>73.900000000000006</v>
      </c>
      <c r="AN557" s="7" t="e">
        <f ca="1"/>
        <v>#REF!</v>
      </c>
      <c r="AO557" s="7" t="e">
        <f ca="1"/>
        <v>#REF!</v>
      </c>
      <c r="AP557" s="7">
        <f ca="1"/>
        <v>6.717493619607931E-2</v>
      </c>
      <c r="AQ557" s="7" t="e">
        <f ca="1"/>
        <v>#REF!</v>
      </c>
      <c r="AR557" s="7" t="e">
        <f ca="1"/>
        <v>#REF!</v>
      </c>
      <c r="AS557" s="7">
        <f ca="1"/>
        <v>-0.42600652312983872</v>
      </c>
      <c r="AT557" s="7" t="e">
        <f ca="1"/>
        <v>#REF!</v>
      </c>
      <c r="AU557" s="7" t="e">
        <f ca="1"/>
        <v>#REF!</v>
      </c>
      <c r="AV557" s="7" t="e">
        <f ca="1"/>
        <v>#REF!</v>
      </c>
    </row>
    <row r="558" spans="37:48" x14ac:dyDescent="0.25">
      <c r="AK558" t="str">
        <f ca="1"/>
        <v>Obs. 984</v>
      </c>
      <c r="AL558" s="7">
        <f ca="1"/>
        <v>73.8</v>
      </c>
      <c r="AN558" s="7" t="e">
        <f ca="1"/>
        <v>#REF!</v>
      </c>
      <c r="AO558" s="7" t="e">
        <f ca="1"/>
        <v>#REF!</v>
      </c>
      <c r="AP558" s="7">
        <f ca="1"/>
        <v>7.3828580449574382E-2</v>
      </c>
      <c r="AQ558" s="7" t="e">
        <f ca="1"/>
        <v>#REF!</v>
      </c>
      <c r="AR558" s="7" t="e">
        <f ca="1"/>
        <v>#REF!</v>
      </c>
      <c r="AS558" s="7">
        <f ca="1"/>
        <v>-0.42600652312983872</v>
      </c>
      <c r="AT558" s="7" t="e">
        <f ca="1"/>
        <v>#REF!</v>
      </c>
      <c r="AU558" s="7" t="e">
        <f ca="1"/>
        <v>#REF!</v>
      </c>
      <c r="AV558" s="7" t="e">
        <f ca="1"/>
        <v>#REF!</v>
      </c>
    </row>
    <row r="559" spans="37:48" x14ac:dyDescent="0.25">
      <c r="AK559" t="str">
        <f ca="1"/>
        <v>Obs. 985</v>
      </c>
      <c r="AL559" s="7">
        <f ca="1"/>
        <v>73.2</v>
      </c>
      <c r="AN559" s="7" t="e">
        <f ca="1"/>
        <v>#REF!</v>
      </c>
      <c r="AO559" s="7" t="e">
        <f ca="1"/>
        <v>#REF!</v>
      </c>
      <c r="AP559" s="7">
        <f ca="1"/>
        <v>7.5270288026553639E-2</v>
      </c>
      <c r="AQ559" s="7" t="e">
        <f ca="1"/>
        <v>#REF!</v>
      </c>
      <c r="AR559" s="7" t="e">
        <f ca="1"/>
        <v>#REF!</v>
      </c>
      <c r="AS559" s="7">
        <f ca="1"/>
        <v>-0.42600652312983872</v>
      </c>
      <c r="AT559" s="7" t="e">
        <f ca="1"/>
        <v>#REF!</v>
      </c>
      <c r="AU559" s="7" t="e">
        <f ca="1"/>
        <v>#REF!</v>
      </c>
      <c r="AV559" s="7" t="e">
        <f ca="1"/>
        <v>#REF!</v>
      </c>
    </row>
    <row r="560" spans="37:48" x14ac:dyDescent="0.25">
      <c r="AK560" t="str">
        <f ca="1"/>
        <v>Obs. 986</v>
      </c>
      <c r="AL560" s="7">
        <f ca="1"/>
        <v>73.900000000000006</v>
      </c>
      <c r="AN560" s="7" t="e">
        <f ca="1"/>
        <v>#REF!</v>
      </c>
      <c r="AO560" s="7" t="e">
        <f ca="1"/>
        <v>#REF!</v>
      </c>
      <c r="AP560" s="7">
        <f ca="1"/>
        <v>8.7177898641200888E-2</v>
      </c>
      <c r="AQ560" s="7" t="e">
        <f ca="1"/>
        <v>#REF!</v>
      </c>
      <c r="AR560" s="7" t="e">
        <f ca="1"/>
        <v>#REF!</v>
      </c>
      <c r="AS560" s="7">
        <f ca="1"/>
        <v>-0.42600652312983872</v>
      </c>
      <c r="AT560" s="7" t="e">
        <f ca="1"/>
        <v>#REF!</v>
      </c>
      <c r="AU560" s="7" t="e">
        <f ca="1"/>
        <v>#REF!</v>
      </c>
      <c r="AV560" s="7" t="e">
        <f ca="1"/>
        <v>#REF!</v>
      </c>
    </row>
    <row r="561" spans="37:48" x14ac:dyDescent="0.25">
      <c r="AK561" t="str">
        <f ca="1"/>
        <v>Obs. 987</v>
      </c>
      <c r="AL561" s="7">
        <f ca="1"/>
        <v>74.400000000000006</v>
      </c>
      <c r="AN561" s="7" t="e">
        <f ca="1"/>
        <v>#REF!</v>
      </c>
      <c r="AO561" s="7" t="e">
        <f ca="1"/>
        <v>#REF!</v>
      </c>
      <c r="AP561" s="7">
        <f ca="1"/>
        <v>6.7943314423960302E-2</v>
      </c>
      <c r="AQ561" s="7" t="e">
        <f ca="1"/>
        <v>#REF!</v>
      </c>
      <c r="AR561" s="7" t="e">
        <f ca="1"/>
        <v>#REF!</v>
      </c>
      <c r="AS561" s="7">
        <f ca="1"/>
        <v>-0.42600652312983872</v>
      </c>
      <c r="AT561" s="7" t="e">
        <f ca="1"/>
        <v>#REF!</v>
      </c>
      <c r="AU561" s="7" t="e">
        <f ca="1"/>
        <v>#REF!</v>
      </c>
      <c r="AV561" s="7" t="e">
        <f ca="1"/>
        <v>#REF!</v>
      </c>
    </row>
    <row r="562" spans="37:48" x14ac:dyDescent="0.25">
      <c r="AK562" t="str">
        <f ca="1"/>
        <v>Obs. 988</v>
      </c>
      <c r="AL562" s="7">
        <f ca="1"/>
        <v>73.900000000000006</v>
      </c>
      <c r="AN562" s="7" t="e">
        <f ca="1"/>
        <v>#REF!</v>
      </c>
      <c r="AO562" s="7" t="e">
        <f ca="1"/>
        <v>#REF!</v>
      </c>
      <c r="AP562" s="7">
        <f ca="1"/>
        <v>6.3749289357258279E-2</v>
      </c>
      <c r="AQ562" s="7" t="e">
        <f ca="1"/>
        <v>#REF!</v>
      </c>
      <c r="AR562" s="7" t="e">
        <f ca="1"/>
        <v>#REF!</v>
      </c>
      <c r="AS562" s="7">
        <f ca="1"/>
        <v>-0.42600652312983872</v>
      </c>
      <c r="AT562" s="7" t="e">
        <f ca="1"/>
        <v>#REF!</v>
      </c>
      <c r="AU562" s="7" t="e">
        <f ca="1"/>
        <v>#REF!</v>
      </c>
      <c r="AV562" s="7" t="e">
        <f ca="1"/>
        <v>#REF!</v>
      </c>
    </row>
    <row r="563" spans="37:48" x14ac:dyDescent="0.25">
      <c r="AK563" t="str">
        <f ca="1"/>
        <v>Obs. 989</v>
      </c>
      <c r="AL563" s="7">
        <f ca="1"/>
        <v>73.900000000000006</v>
      </c>
      <c r="AN563" s="7" t="e">
        <f ca="1"/>
        <v>#REF!</v>
      </c>
      <c r="AO563" s="7" t="e">
        <f ca="1"/>
        <v>#REF!</v>
      </c>
      <c r="AP563" s="7">
        <f ca="1"/>
        <v>6.4066854056770484E-2</v>
      </c>
      <c r="AQ563" s="7" t="e">
        <f ca="1"/>
        <v>#REF!</v>
      </c>
      <c r="AR563" s="7" t="e">
        <f ca="1"/>
        <v>#REF!</v>
      </c>
      <c r="AS563" s="7">
        <f ca="1"/>
        <v>-0.41272795222137554</v>
      </c>
      <c r="AT563" s="7" t="e">
        <f ca="1"/>
        <v>#REF!</v>
      </c>
      <c r="AU563" s="7" t="e">
        <f ca="1"/>
        <v>#REF!</v>
      </c>
      <c r="AV563" s="7" t="e">
        <f ca="1"/>
        <v>#REF!</v>
      </c>
    </row>
    <row r="564" spans="37:48" x14ac:dyDescent="0.25">
      <c r="AK564" t="str">
        <f ca="1"/>
        <v>Obs. 990</v>
      </c>
      <c r="AL564" s="7">
        <f ca="1"/>
        <v>72.3</v>
      </c>
      <c r="AN564" s="7" t="e">
        <f ca="1"/>
        <v>#REF!</v>
      </c>
      <c r="AO564" s="7" t="e">
        <f ca="1"/>
        <v>#REF!</v>
      </c>
      <c r="AP564" s="7">
        <f ca="1"/>
        <v>6.618123941237937E-2</v>
      </c>
      <c r="AQ564" s="7" t="e">
        <f ca="1"/>
        <v>#REF!</v>
      </c>
      <c r="AR564" s="7" t="e">
        <f ca="1"/>
        <v>#REF!</v>
      </c>
      <c r="AS564" s="7">
        <f ca="1"/>
        <v>-0.41272795222137554</v>
      </c>
      <c r="AT564" s="7" t="e">
        <f ca="1"/>
        <v>#REF!</v>
      </c>
      <c r="AU564" s="7" t="e">
        <f ca="1"/>
        <v>#REF!</v>
      </c>
      <c r="AV564" s="7" t="e">
        <f ca="1"/>
        <v>#REF!</v>
      </c>
    </row>
    <row r="565" spans="37:48" x14ac:dyDescent="0.25">
      <c r="AK565" t="str">
        <f ca="1"/>
        <v>Obs. 991</v>
      </c>
      <c r="AL565" s="7">
        <f ca="1"/>
        <v>72.7</v>
      </c>
      <c r="AN565" s="7" t="e">
        <f ca="1"/>
        <v>#REF!</v>
      </c>
      <c r="AO565" s="7" t="e">
        <f ca="1"/>
        <v>#REF!</v>
      </c>
      <c r="AP565" s="7">
        <f ca="1"/>
        <v>6.7307210373776932E-2</v>
      </c>
      <c r="AQ565" s="7" t="e">
        <f ca="1"/>
        <v>#REF!</v>
      </c>
      <c r="AR565" s="7" t="e">
        <f ca="1"/>
        <v>#REF!</v>
      </c>
      <c r="AS565" s="7">
        <f ca="1"/>
        <v>-0.41272795222137554</v>
      </c>
      <c r="AT565" s="7" t="e">
        <f ca="1"/>
        <v>#REF!</v>
      </c>
      <c r="AU565" s="7" t="e">
        <f ca="1"/>
        <v>#REF!</v>
      </c>
      <c r="AV565" s="7" t="e">
        <f ca="1"/>
        <v>#REF!</v>
      </c>
    </row>
    <row r="566" spans="37:48" x14ac:dyDescent="0.25">
      <c r="AK566" t="str">
        <f ca="1"/>
        <v>Obs. 992</v>
      </c>
      <c r="AL566" s="7">
        <f ca="1"/>
        <v>71.7</v>
      </c>
      <c r="AN566" s="7" t="e">
        <f ca="1"/>
        <v>#REF!</v>
      </c>
      <c r="AO566" s="7" t="e">
        <f ca="1"/>
        <v>#REF!</v>
      </c>
      <c r="AP566" s="7">
        <f ca="1"/>
        <v>6.9495119969739533E-2</v>
      </c>
      <c r="AQ566" s="7" t="e">
        <f ca="1"/>
        <v>#REF!</v>
      </c>
      <c r="AR566" s="7" t="e">
        <f ca="1"/>
        <v>#REF!</v>
      </c>
      <c r="AS566" s="7">
        <f ca="1"/>
        <v>-0.40776731506460179</v>
      </c>
      <c r="AT566" s="7" t="e">
        <f ca="1"/>
        <v>#REF!</v>
      </c>
      <c r="AU566" s="7" t="e">
        <f ca="1"/>
        <v>#REF!</v>
      </c>
      <c r="AV566" s="7" t="e">
        <f ca="1"/>
        <v>#REF!</v>
      </c>
    </row>
    <row r="567" spans="37:48" x14ac:dyDescent="0.25">
      <c r="AK567" t="str">
        <f ca="1"/>
        <v>Obs. 993</v>
      </c>
      <c r="AL567" s="7">
        <f ca="1"/>
        <v>73</v>
      </c>
      <c r="AN567" s="7" t="e">
        <f ca="1"/>
        <v>#REF!</v>
      </c>
      <c r="AO567" s="7" t="e">
        <f ca="1"/>
        <v>#REF!</v>
      </c>
      <c r="AP567" s="7">
        <f ca="1"/>
        <v>6.9179530583700882E-2</v>
      </c>
      <c r="AQ567" s="7" t="e">
        <f ca="1"/>
        <v>#REF!</v>
      </c>
      <c r="AR567" s="7" t="e">
        <f ca="1"/>
        <v>#REF!</v>
      </c>
      <c r="AS567" s="7">
        <f ca="1"/>
        <v>-0.40776731506460179</v>
      </c>
      <c r="AT567" s="7" t="e">
        <f ca="1"/>
        <v>#REF!</v>
      </c>
      <c r="AU567" s="7" t="e">
        <f ca="1"/>
        <v>#REF!</v>
      </c>
      <c r="AV567" s="7" t="e">
        <f ca="1"/>
        <v>#REF!</v>
      </c>
    </row>
    <row r="568" spans="37:48" x14ac:dyDescent="0.25">
      <c r="AK568" t="str">
        <f ca="1"/>
        <v>Obs. 994</v>
      </c>
      <c r="AL568" s="7">
        <f ca="1"/>
        <v>71.8</v>
      </c>
      <c r="AN568" s="7" t="e">
        <f ca="1"/>
        <v>#REF!</v>
      </c>
      <c r="AO568" s="7" t="e">
        <f ca="1"/>
        <v>#REF!</v>
      </c>
      <c r="AP568" s="7">
        <f ca="1"/>
        <v>0.12358111862866977</v>
      </c>
      <c r="AQ568" s="7" t="e">
        <f ca="1"/>
        <v>#REF!</v>
      </c>
      <c r="AR568" s="7" t="e">
        <f ca="1"/>
        <v>#REF!</v>
      </c>
      <c r="AS568" s="7">
        <f ca="1"/>
        <v>-0.40776731506460179</v>
      </c>
      <c r="AT568" s="7" t="e">
        <f ca="1"/>
        <v>#REF!</v>
      </c>
      <c r="AU568" s="7" t="e">
        <f ca="1"/>
        <v>#REF!</v>
      </c>
      <c r="AV568" s="7" t="e">
        <f ca="1"/>
        <v>#REF!</v>
      </c>
    </row>
    <row r="569" spans="37:48" x14ac:dyDescent="0.25">
      <c r="AK569" t="str">
        <f ca="1"/>
        <v>Obs. 996</v>
      </c>
      <c r="AL569" s="7">
        <f ca="1"/>
        <v>89</v>
      </c>
      <c r="AN569" s="7" t="e">
        <f ca="1"/>
        <v>#REF!</v>
      </c>
      <c r="AO569" s="7" t="e">
        <f ca="1"/>
        <v>#REF!</v>
      </c>
      <c r="AP569" s="7">
        <f ca="1"/>
        <v>8.7256668877178478E-2</v>
      </c>
      <c r="AQ569" s="7" t="e">
        <f ca="1"/>
        <v>#REF!</v>
      </c>
      <c r="AR569" s="7" t="e">
        <f ca="1"/>
        <v>#REF!</v>
      </c>
      <c r="AS569" s="7">
        <f ca="1"/>
        <v>-0.40776731506460179</v>
      </c>
      <c r="AT569" s="7" t="e">
        <f ca="1"/>
        <v>#REF!</v>
      </c>
      <c r="AU569" s="7" t="e">
        <f ca="1"/>
        <v>#REF!</v>
      </c>
      <c r="AV569" s="7" t="e">
        <f ca="1"/>
        <v>#REF!</v>
      </c>
    </row>
    <row r="570" spans="37:48" x14ac:dyDescent="0.25">
      <c r="AK570" t="str">
        <f ca="1"/>
        <v>Obs. 997</v>
      </c>
      <c r="AL570" s="7">
        <f ca="1"/>
        <v>86</v>
      </c>
      <c r="AN570" s="7" t="e">
        <f ca="1"/>
        <v>#REF!</v>
      </c>
      <c r="AO570" s="7" t="e">
        <f ca="1"/>
        <v>#REF!</v>
      </c>
      <c r="AP570" s="7">
        <f ca="1"/>
        <v>8.6010504345654909E-2</v>
      </c>
      <c r="AQ570" s="7" t="e">
        <f ca="1"/>
        <v>#REF!</v>
      </c>
      <c r="AR570" s="7" t="e">
        <f ca="1"/>
        <v>#REF!</v>
      </c>
      <c r="AS570" s="7">
        <f ca="1"/>
        <v>-0.40776731506460179</v>
      </c>
      <c r="AT570" s="7" t="e">
        <f ca="1"/>
        <v>#REF!</v>
      </c>
      <c r="AU570" s="7" t="e">
        <f ca="1"/>
        <v>#REF!</v>
      </c>
      <c r="AV570" s="7" t="e">
        <f ca="1"/>
        <v>#REF!</v>
      </c>
    </row>
    <row r="571" spans="37:48" x14ac:dyDescent="0.25">
      <c r="AK571" t="str">
        <f ca="1"/>
        <v>Obs. 998</v>
      </c>
      <c r="AL571" s="7">
        <f ca="1"/>
        <v>86</v>
      </c>
      <c r="AN571" s="7" t="e">
        <f ca="1"/>
        <v>#REF!</v>
      </c>
      <c r="AO571" s="7" t="e">
        <f ca="1"/>
        <v>#REF!</v>
      </c>
      <c r="AP571" s="7">
        <f ca="1"/>
        <v>8.2173672752749047E-2</v>
      </c>
      <c r="AQ571" s="7" t="e">
        <f ca="1"/>
        <v>#REF!</v>
      </c>
      <c r="AR571" s="7" t="e">
        <f ca="1"/>
        <v>#REF!</v>
      </c>
      <c r="AS571" s="7">
        <f ca="1"/>
        <v>-0.40776731506460179</v>
      </c>
      <c r="AT571" s="7" t="e">
        <f ca="1"/>
        <v>#REF!</v>
      </c>
      <c r="AU571" s="7" t="e">
        <f ca="1"/>
        <v>#REF!</v>
      </c>
      <c r="AV571" s="7" t="e">
        <f ca="1"/>
        <v>#REF!</v>
      </c>
    </row>
    <row r="572" spans="37:48" x14ac:dyDescent="0.25">
      <c r="AK572" t="str">
        <f ca="1"/>
        <v>Obs. 999</v>
      </c>
      <c r="AL572" s="7">
        <f ca="1"/>
        <v>85</v>
      </c>
      <c r="AN572" s="7" t="e">
        <f ca="1"/>
        <v>#REF!</v>
      </c>
      <c r="AO572" s="7" t="e">
        <f ca="1"/>
        <v>#REF!</v>
      </c>
      <c r="AP572" s="7">
        <f ca="1"/>
        <v>8.2404613923123815E-2</v>
      </c>
      <c r="AQ572" s="7" t="e">
        <f ca="1"/>
        <v>#REF!</v>
      </c>
      <c r="AR572" s="7" t="e">
        <f ca="1"/>
        <v>#REF!</v>
      </c>
      <c r="AS572" s="7">
        <f ca="1"/>
        <v>-0.39787592189543292</v>
      </c>
      <c r="AT572" s="7" t="e">
        <f ca="1"/>
        <v>#REF!</v>
      </c>
      <c r="AU572" s="7" t="e">
        <f ca="1"/>
        <v>#REF!</v>
      </c>
      <c r="AV572" s="7" t="e">
        <f ca="1"/>
        <v>#REF!</v>
      </c>
    </row>
    <row r="573" spans="37:48" x14ac:dyDescent="0.25">
      <c r="AK573" t="str">
        <f ca="1"/>
        <v>Obs. 1000</v>
      </c>
      <c r="AL573" s="7">
        <f ca="1"/>
        <v>81</v>
      </c>
      <c r="AN573" s="7" t="e">
        <f ca="1"/>
        <v>#REF!</v>
      </c>
      <c r="AO573" s="7" t="e">
        <f ca="1"/>
        <v>#REF!</v>
      </c>
      <c r="AP573" s="7">
        <f ca="1"/>
        <v>8.3426771475581127E-2</v>
      </c>
      <c r="AQ573" s="7" t="e">
        <f ca="1"/>
        <v>#REF!</v>
      </c>
      <c r="AR573" s="7" t="e">
        <f ca="1"/>
        <v>#REF!</v>
      </c>
      <c r="AS573" s="7">
        <f ca="1"/>
        <v>-0.39787592189543292</v>
      </c>
      <c r="AT573" s="7" t="e">
        <f ca="1"/>
        <v>#REF!</v>
      </c>
      <c r="AU573" s="7" t="e">
        <f ca="1"/>
        <v>#REF!</v>
      </c>
      <c r="AV573" s="7" t="e">
        <f ca="1"/>
        <v>#REF!</v>
      </c>
    </row>
    <row r="574" spans="37:48" x14ac:dyDescent="0.25">
      <c r="AK574" t="str">
        <f ca="1"/>
        <v>Obs. 1001</v>
      </c>
      <c r="AL574" s="7">
        <f ca="1"/>
        <v>80</v>
      </c>
      <c r="AN574" s="7" t="e">
        <f ca="1"/>
        <v>#REF!</v>
      </c>
      <c r="AO574" s="7" t="e">
        <f ca="1"/>
        <v>#REF!</v>
      </c>
      <c r="AP574" s="7">
        <f ca="1"/>
        <v>8.4516432100057173E-2</v>
      </c>
      <c r="AQ574" s="7" t="e">
        <f ca="1"/>
        <v>#REF!</v>
      </c>
      <c r="AR574" s="7" t="e">
        <f ca="1"/>
        <v>#REF!</v>
      </c>
      <c r="AS574" s="7">
        <f ca="1"/>
        <v>-0.39787592189543292</v>
      </c>
      <c r="AT574" s="7" t="e">
        <f ca="1"/>
        <v>#REF!</v>
      </c>
      <c r="AU574" s="7" t="e">
        <f ca="1"/>
        <v>#REF!</v>
      </c>
      <c r="AV574" s="7" t="e">
        <f ca="1"/>
        <v>#REF!</v>
      </c>
    </row>
    <row r="575" spans="37:48" x14ac:dyDescent="0.25">
      <c r="AK575" t="str">
        <f ca="1"/>
        <v>Obs. 1002</v>
      </c>
      <c r="AL575" s="7">
        <f ca="1"/>
        <v>79.900000000000006</v>
      </c>
      <c r="AN575" s="7" t="e">
        <f ca="1"/>
        <v>#REF!</v>
      </c>
      <c r="AO575" s="7" t="e">
        <f ca="1"/>
        <v>#REF!</v>
      </c>
      <c r="AP575" s="7">
        <f ca="1"/>
        <v>7.7065240259886716E-2</v>
      </c>
      <c r="AQ575" s="7" t="e">
        <f ca="1"/>
        <v>#REF!</v>
      </c>
      <c r="AR575" s="7" t="e">
        <f ca="1"/>
        <v>#REF!</v>
      </c>
      <c r="AS575" s="7">
        <f ca="1"/>
        <v>-0.39787592189543292</v>
      </c>
      <c r="AT575" s="7" t="e">
        <f ca="1"/>
        <v>#REF!</v>
      </c>
      <c r="AU575" s="7" t="e">
        <f ca="1"/>
        <v>#REF!</v>
      </c>
      <c r="AV575" s="7" t="e">
        <f ca="1"/>
        <v>#REF!</v>
      </c>
    </row>
    <row r="576" spans="37:48" x14ac:dyDescent="0.25">
      <c r="AK576" t="str">
        <f ca="1"/>
        <v>Obs. 1003</v>
      </c>
      <c r="AL576" s="7">
        <f ca="1"/>
        <v>79.8</v>
      </c>
      <c r="AN576" s="7" t="e">
        <f ca="1"/>
        <v>#REF!</v>
      </c>
      <c r="AO576" s="7" t="e">
        <f ca="1"/>
        <v>#REF!</v>
      </c>
      <c r="AP576" s="7">
        <f ca="1"/>
        <v>7.5955283644020516E-2</v>
      </c>
      <c r="AQ576" s="7" t="e">
        <f ca="1"/>
        <v>#REF!</v>
      </c>
      <c r="AR576" s="7" t="e">
        <f ca="1"/>
        <v>#REF!</v>
      </c>
      <c r="AS576" s="7">
        <f ca="1"/>
        <v>-0.39787592189543292</v>
      </c>
      <c r="AT576" s="7" t="e">
        <f ca="1"/>
        <v>#REF!</v>
      </c>
      <c r="AU576" s="7" t="e">
        <f ca="1"/>
        <v>#REF!</v>
      </c>
      <c r="AV576" s="7" t="e">
        <f ca="1"/>
        <v>#REF!</v>
      </c>
    </row>
    <row r="577" spans="37:48" x14ac:dyDescent="0.25">
      <c r="AK577" t="str">
        <f ca="1"/>
        <v>Obs. 1004</v>
      </c>
      <c r="AL577" s="7">
        <f ca="1"/>
        <v>79.599999999999994</v>
      </c>
      <c r="AN577" s="7" t="e">
        <f ca="1"/>
        <v>#REF!</v>
      </c>
      <c r="AO577" s="7" t="e">
        <f ca="1"/>
        <v>#REF!</v>
      </c>
      <c r="AP577" s="7">
        <f ca="1"/>
        <v>6.9468818514899208E-2</v>
      </c>
      <c r="AQ577" s="7" t="e">
        <f ca="1"/>
        <v>#REF!</v>
      </c>
      <c r="AR577" s="7" t="e">
        <f ca="1"/>
        <v>#REF!</v>
      </c>
      <c r="AS577" s="7">
        <f ca="1"/>
        <v>-0.39787592189543292</v>
      </c>
      <c r="AT577" s="7" t="e">
        <f ca="1"/>
        <v>#REF!</v>
      </c>
      <c r="AU577" s="7" t="e">
        <f ca="1"/>
        <v>#REF!</v>
      </c>
      <c r="AV577" s="7" t="e">
        <f ca="1"/>
        <v>#REF!</v>
      </c>
    </row>
    <row r="578" spans="37:48" x14ac:dyDescent="0.25">
      <c r="AK578" t="str">
        <f ca="1"/>
        <v>Obs. 1005</v>
      </c>
      <c r="AL578" s="7">
        <f ca="1"/>
        <v>79.2</v>
      </c>
      <c r="AN578" s="7" t="e">
        <f ca="1"/>
        <v>#REF!</v>
      </c>
      <c r="AO578" s="7" t="e">
        <f ca="1"/>
        <v>#REF!</v>
      </c>
      <c r="AP578" s="7">
        <f ca="1"/>
        <v>7.8493946921216723E-2</v>
      </c>
      <c r="AQ578" s="7" t="e">
        <f ca="1"/>
        <v>#REF!</v>
      </c>
      <c r="AR578" s="7" t="e">
        <f ca="1"/>
        <v>#REF!</v>
      </c>
      <c r="AS578" s="7">
        <f ca="1"/>
        <v>-0.39787592189543292</v>
      </c>
      <c r="AT578" s="7" t="e">
        <f ca="1"/>
        <v>#REF!</v>
      </c>
      <c r="AU578" s="7" t="e">
        <f ca="1"/>
        <v>#REF!</v>
      </c>
      <c r="AV578" s="7" t="e">
        <f ca="1"/>
        <v>#REF!</v>
      </c>
    </row>
    <row r="579" spans="37:48" x14ac:dyDescent="0.25">
      <c r="AK579" t="str">
        <f ca="1"/>
        <v>Obs. 1006</v>
      </c>
      <c r="AL579" s="7">
        <f ca="1"/>
        <v>79.099999999999994</v>
      </c>
      <c r="AN579" s="7" t="e">
        <f ca="1"/>
        <v>#REF!</v>
      </c>
      <c r="AO579" s="7" t="e">
        <f ca="1"/>
        <v>#REF!</v>
      </c>
      <c r="AP579" s="7">
        <f ca="1"/>
        <v>6.9013143983889982E-2</v>
      </c>
      <c r="AQ579" s="7" t="e">
        <f ca="1"/>
        <v>#REF!</v>
      </c>
      <c r="AR579" s="7" t="e">
        <f ca="1"/>
        <v>#REF!</v>
      </c>
      <c r="AS579" s="7">
        <f ca="1"/>
        <v>-0.39787592189543292</v>
      </c>
      <c r="AT579" s="7" t="e">
        <f ca="1"/>
        <v>#REF!</v>
      </c>
      <c r="AU579" s="7" t="e">
        <f ca="1"/>
        <v>#REF!</v>
      </c>
      <c r="AV579" s="7" t="e">
        <f ca="1"/>
        <v>#REF!</v>
      </c>
    </row>
    <row r="580" spans="37:48" x14ac:dyDescent="0.25">
      <c r="AK580" t="str">
        <f ca="1"/>
        <v>Obs. 1007</v>
      </c>
      <c r="AL580" s="7">
        <f ca="1"/>
        <v>78.5</v>
      </c>
      <c r="AN580" s="7" t="e">
        <f ca="1"/>
        <v>#REF!</v>
      </c>
      <c r="AO580" s="7" t="e">
        <f ca="1"/>
        <v>#REF!</v>
      </c>
      <c r="AP580" s="7">
        <f ca="1"/>
        <v>8.4397480216070631E-2</v>
      </c>
      <c r="AQ580" s="7" t="e">
        <f ca="1"/>
        <v>#REF!</v>
      </c>
      <c r="AR580" s="7" t="e">
        <f ca="1"/>
        <v>#REF!</v>
      </c>
      <c r="AS580" s="7">
        <f ca="1"/>
        <v>-0.39787592189543292</v>
      </c>
      <c r="AT580" s="7" t="e">
        <f ca="1"/>
        <v>#REF!</v>
      </c>
      <c r="AU580" s="7" t="e">
        <f ca="1"/>
        <v>#REF!</v>
      </c>
      <c r="AV580" s="7" t="e">
        <f ca="1"/>
        <v>#REF!</v>
      </c>
    </row>
    <row r="581" spans="37:48" x14ac:dyDescent="0.25">
      <c r="AK581" t="str">
        <f ca="1"/>
        <v>Obs. 1008</v>
      </c>
      <c r="AL581" s="7">
        <f ca="1"/>
        <v>78.400000000000006</v>
      </c>
      <c r="AN581" s="7" t="e">
        <f ca="1"/>
        <v>#REF!</v>
      </c>
      <c r="AO581" s="7" t="e">
        <f ca="1"/>
        <v>#REF!</v>
      </c>
      <c r="AP581" s="7">
        <f ca="1"/>
        <v>7.5093400096744756E-2</v>
      </c>
      <c r="AQ581" s="7" t="e">
        <f ca="1"/>
        <v>#REF!</v>
      </c>
      <c r="AR581" s="7" t="e">
        <f ca="1"/>
        <v>#REF!</v>
      </c>
      <c r="AS581" s="7">
        <f ca="1"/>
        <v>-0.39787592189543292</v>
      </c>
      <c r="AT581" s="7" t="e">
        <f ca="1"/>
        <v>#REF!</v>
      </c>
      <c r="AU581" s="7" t="e">
        <f ca="1"/>
        <v>#REF!</v>
      </c>
      <c r="AV581" s="7" t="e">
        <f ca="1"/>
        <v>#REF!</v>
      </c>
    </row>
    <row r="582" spans="37:48" x14ac:dyDescent="0.25">
      <c r="AK582" t="str">
        <f ca="1"/>
        <v>Obs. 1009</v>
      </c>
      <c r="AL582" s="7">
        <f ca="1"/>
        <v>78.3</v>
      </c>
      <c r="AN582" s="7" t="e">
        <f ca="1"/>
        <v>#REF!</v>
      </c>
      <c r="AO582" s="7" t="e">
        <f ca="1"/>
        <v>#REF!</v>
      </c>
      <c r="AP582" s="7">
        <f ca="1"/>
        <v>6.9806827477655931E-2</v>
      </c>
      <c r="AQ582" s="7" t="e">
        <f ca="1"/>
        <v>#REF!</v>
      </c>
      <c r="AR582" s="7" t="e">
        <f ca="1"/>
        <v>#REF!</v>
      </c>
      <c r="AS582" s="7">
        <f ca="1"/>
        <v>-0.38147581702590427</v>
      </c>
      <c r="AT582" s="7" t="e">
        <f ca="1"/>
        <v>#REF!</v>
      </c>
      <c r="AU582" s="7" t="e">
        <f ca="1"/>
        <v>#REF!</v>
      </c>
      <c r="AV582" s="7" t="e">
        <f ca="1"/>
        <v>#REF!</v>
      </c>
    </row>
    <row r="583" spans="37:48" x14ac:dyDescent="0.25">
      <c r="AK583" t="str">
        <f ca="1"/>
        <v>Obs. 1010</v>
      </c>
      <c r="AL583" s="7">
        <f ca="1"/>
        <v>78</v>
      </c>
      <c r="AN583" s="7" t="e">
        <f ca="1"/>
        <v>#REF!</v>
      </c>
      <c r="AO583" s="7" t="e">
        <f ca="1"/>
        <v>#REF!</v>
      </c>
      <c r="AP583" s="7">
        <f ca="1"/>
        <v>9.1965592901517318E-2</v>
      </c>
      <c r="AQ583" s="7" t="e">
        <f ca="1"/>
        <v>#REF!</v>
      </c>
      <c r="AR583" s="7" t="e">
        <f ca="1"/>
        <v>#REF!</v>
      </c>
      <c r="AS583" s="7">
        <f ca="1"/>
        <v>-0.38147581702590427</v>
      </c>
      <c r="AT583" s="7" t="e">
        <f ca="1"/>
        <v>#REF!</v>
      </c>
      <c r="AU583" s="7" t="e">
        <f ca="1"/>
        <v>#REF!</v>
      </c>
      <c r="AV583" s="7" t="e">
        <f ca="1"/>
        <v>#REF!</v>
      </c>
    </row>
    <row r="584" spans="37:48" x14ac:dyDescent="0.25">
      <c r="AK584" t="str">
        <f ca="1"/>
        <v>Obs. 1012</v>
      </c>
      <c r="AL584" s="7">
        <f ca="1"/>
        <v>62.1</v>
      </c>
      <c r="AN584" s="7" t="e">
        <f ca="1"/>
        <v>#REF!</v>
      </c>
      <c r="AO584" s="7" t="e">
        <f ca="1"/>
        <v>#REF!</v>
      </c>
      <c r="AP584" s="7">
        <f ca="1"/>
        <v>8.1992725979635875E-2</v>
      </c>
      <c r="AQ584" s="7" t="e">
        <f ca="1"/>
        <v>#REF!</v>
      </c>
      <c r="AR584" s="7" t="e">
        <f ca="1"/>
        <v>#REF!</v>
      </c>
      <c r="AS584" s="7">
        <f ca="1"/>
        <v>-0.38147581702590427</v>
      </c>
      <c r="AT584" s="7" t="e">
        <f ca="1"/>
        <v>#REF!</v>
      </c>
      <c r="AU584" s="7" t="e">
        <f ca="1"/>
        <v>#REF!</v>
      </c>
      <c r="AV584" s="7" t="e">
        <f ca="1"/>
        <v>#REF!</v>
      </c>
    </row>
    <row r="585" spans="37:48" x14ac:dyDescent="0.25">
      <c r="AK585" t="str">
        <f ca="1"/>
        <v>Obs. 1013</v>
      </c>
      <c r="AL585" s="7">
        <f ca="1"/>
        <v>61.9</v>
      </c>
      <c r="AN585" s="7" t="e">
        <f ca="1"/>
        <v>#REF!</v>
      </c>
      <c r="AO585" s="7" t="e">
        <f ca="1"/>
        <v>#REF!</v>
      </c>
      <c r="AP585" s="7">
        <f ca="1"/>
        <v>9.5426832702619521E-2</v>
      </c>
      <c r="AQ585" s="7" t="e">
        <f ca="1"/>
        <v>#REF!</v>
      </c>
      <c r="AR585" s="7" t="e">
        <f ca="1"/>
        <v>#REF!</v>
      </c>
      <c r="AS585" s="7">
        <f ca="1"/>
        <v>-0.38147581702590427</v>
      </c>
      <c r="AT585" s="7" t="e">
        <f ca="1"/>
        <v>#REF!</v>
      </c>
      <c r="AU585" s="7" t="e">
        <f ca="1"/>
        <v>#REF!</v>
      </c>
      <c r="AV585" s="7" t="e">
        <f ca="1"/>
        <v>#REF!</v>
      </c>
    </row>
    <row r="586" spans="37:48" x14ac:dyDescent="0.25">
      <c r="AK586" t="str">
        <f ca="1"/>
        <v>Obs. 1014</v>
      </c>
      <c r="AL586" s="7">
        <f ca="1"/>
        <v>61.6</v>
      </c>
      <c r="AN586" s="7" t="e">
        <f ca="1"/>
        <v>#REF!</v>
      </c>
      <c r="AO586" s="7" t="e">
        <f ca="1"/>
        <v>#REF!</v>
      </c>
      <c r="AP586" s="7">
        <f ca="1"/>
        <v>7.9437724271314555E-2</v>
      </c>
      <c r="AQ586" s="7" t="e">
        <f ca="1"/>
        <v>#REF!</v>
      </c>
      <c r="AR586" s="7" t="e">
        <f ca="1"/>
        <v>#REF!</v>
      </c>
      <c r="AS586" s="7">
        <f ca="1"/>
        <v>-0.38147581702590427</v>
      </c>
      <c r="AT586" s="7" t="e">
        <f ca="1"/>
        <v>#REF!</v>
      </c>
      <c r="AU586" s="7" t="e">
        <f ca="1"/>
        <v>#REF!</v>
      </c>
      <c r="AV586" s="7" t="e">
        <f ca="1"/>
        <v>#REF!</v>
      </c>
    </row>
    <row r="587" spans="37:48" x14ac:dyDescent="0.25">
      <c r="AK587" t="str">
        <f ca="1"/>
        <v>Obs. 1015</v>
      </c>
      <c r="AL587" s="7">
        <f ca="1"/>
        <v>61.2</v>
      </c>
      <c r="AN587" s="7" t="e">
        <f ca="1"/>
        <v>#REF!</v>
      </c>
      <c r="AO587" s="7" t="e">
        <f ca="1"/>
        <v>#REF!</v>
      </c>
      <c r="AP587" s="7">
        <f ca="1"/>
        <v>7.8181116446134888E-2</v>
      </c>
      <c r="AQ587" s="7" t="e">
        <f ca="1"/>
        <v>#REF!</v>
      </c>
      <c r="AR587" s="7" t="e">
        <f ca="1"/>
        <v>#REF!</v>
      </c>
      <c r="AS587" s="7">
        <f ca="1"/>
        <v>-0.38147581702590427</v>
      </c>
      <c r="AT587" s="7" t="e">
        <f ca="1"/>
        <v>#REF!</v>
      </c>
      <c r="AU587" s="7" t="e">
        <f ca="1"/>
        <v>#REF!</v>
      </c>
      <c r="AV587" s="7" t="e">
        <f ca="1"/>
        <v>#REF!</v>
      </c>
    </row>
    <row r="588" spans="37:48" x14ac:dyDescent="0.25">
      <c r="AK588" t="str">
        <f ca="1"/>
        <v>Obs. 1016</v>
      </c>
      <c r="AL588" s="7">
        <f ca="1"/>
        <v>69</v>
      </c>
      <c r="AN588" s="7" t="e">
        <f ca="1"/>
        <v>#REF!</v>
      </c>
      <c r="AO588" s="7" t="e">
        <f ca="1"/>
        <v>#REF!</v>
      </c>
      <c r="AP588" s="7">
        <f ca="1"/>
        <v>7.7676764811899043E-2</v>
      </c>
      <c r="AQ588" s="7" t="e">
        <f ca="1"/>
        <v>#REF!</v>
      </c>
      <c r="AR588" s="7" t="e">
        <f ca="1"/>
        <v>#REF!</v>
      </c>
      <c r="AS588" s="7">
        <f ca="1"/>
        <v>-0.37168505980560429</v>
      </c>
      <c r="AT588" s="7" t="e">
        <f ca="1"/>
        <v>#REF!</v>
      </c>
      <c r="AU588" s="7" t="e">
        <f ca="1"/>
        <v>#REF!</v>
      </c>
      <c r="AV588" s="7" t="e">
        <f ca="1"/>
        <v>#REF!</v>
      </c>
    </row>
    <row r="589" spans="37:48" x14ac:dyDescent="0.25">
      <c r="AK589" t="str">
        <f ca="1"/>
        <v>Obs. 1017</v>
      </c>
      <c r="AL589" s="7">
        <f ca="1"/>
        <v>66</v>
      </c>
      <c r="AN589" s="7" t="e">
        <f ca="1"/>
        <v>#REF!</v>
      </c>
      <c r="AO589" s="7" t="e">
        <f ca="1"/>
        <v>#REF!</v>
      </c>
      <c r="AP589" s="7">
        <f ca="1"/>
        <v>7.7665100897260586E-2</v>
      </c>
      <c r="AQ589" s="7" t="e">
        <f ca="1"/>
        <v>#REF!</v>
      </c>
      <c r="AR589" s="7" t="e">
        <f ca="1"/>
        <v>#REF!</v>
      </c>
      <c r="AS589" s="7">
        <f ca="1"/>
        <v>-0.37168505980560429</v>
      </c>
      <c r="AT589" s="7" t="e">
        <f ca="1"/>
        <v>#REF!</v>
      </c>
      <c r="AU589" s="7" t="e">
        <f ca="1"/>
        <v>#REF!</v>
      </c>
      <c r="AV589" s="7" t="e">
        <f ca="1"/>
        <v>#REF!</v>
      </c>
    </row>
    <row r="590" spans="37:48" x14ac:dyDescent="0.25">
      <c r="AK590" t="str">
        <f ca="1"/>
        <v>Obs. 1018</v>
      </c>
      <c r="AL590" s="7">
        <f ca="1"/>
        <v>63</v>
      </c>
      <c r="AN590" s="7" t="e">
        <f ca="1"/>
        <v>#REF!</v>
      </c>
      <c r="AO590" s="7" t="e">
        <f ca="1"/>
        <v>#REF!</v>
      </c>
      <c r="AP590" s="7">
        <f ca="1"/>
        <v>7.6588150766499941E-2</v>
      </c>
      <c r="AQ590" s="7" t="e">
        <f ca="1"/>
        <v>#REF!</v>
      </c>
      <c r="AR590" s="7" t="e">
        <f ca="1"/>
        <v>#REF!</v>
      </c>
      <c r="AS590" s="7">
        <f ca="1"/>
        <v>-0.37168505980560429</v>
      </c>
      <c r="AT590" s="7" t="e">
        <f ca="1"/>
        <v>#REF!</v>
      </c>
      <c r="AU590" s="7" t="e">
        <f ca="1"/>
        <v>#REF!</v>
      </c>
      <c r="AV590" s="7" t="e">
        <f ca="1"/>
        <v>#REF!</v>
      </c>
    </row>
    <row r="591" spans="37:48" x14ac:dyDescent="0.25">
      <c r="AK591" t="str">
        <f ca="1"/>
        <v>Obs. 1019</v>
      </c>
      <c r="AL591" s="7">
        <f ca="1"/>
        <v>59.9</v>
      </c>
      <c r="AN591" s="7" t="e">
        <f ca="1"/>
        <v>#REF!</v>
      </c>
      <c r="AO591" s="7" t="e">
        <f ca="1"/>
        <v>#REF!</v>
      </c>
      <c r="AP591" s="7">
        <f ca="1"/>
        <v>7.9979718671136568E-2</v>
      </c>
      <c r="AQ591" s="7" t="e">
        <f ca="1"/>
        <v>#REF!</v>
      </c>
      <c r="AR591" s="7" t="e">
        <f ca="1"/>
        <v>#REF!</v>
      </c>
      <c r="AS591" s="7">
        <f ca="1"/>
        <v>-0.37168505980560429</v>
      </c>
      <c r="AT591" s="7" t="e">
        <f ca="1"/>
        <v>#REF!</v>
      </c>
      <c r="AU591" s="7" t="e">
        <f ca="1"/>
        <v>#REF!</v>
      </c>
      <c r="AV591" s="7" t="e">
        <f ca="1"/>
        <v>#REF!</v>
      </c>
    </row>
    <row r="592" spans="37:48" x14ac:dyDescent="0.25">
      <c r="AK592" t="str">
        <f ca="1"/>
        <v>Obs. 1020</v>
      </c>
      <c r="AL592" s="7">
        <f ca="1"/>
        <v>59.4</v>
      </c>
      <c r="AN592" s="7" t="e">
        <f ca="1"/>
        <v>#REF!</v>
      </c>
      <c r="AO592" s="7" t="e">
        <f ca="1"/>
        <v>#REF!</v>
      </c>
      <c r="AP592" s="7">
        <f ca="1"/>
        <v>7.701548929121893E-2</v>
      </c>
      <c r="AQ592" s="7" t="e">
        <f ca="1"/>
        <v>#REF!</v>
      </c>
      <c r="AR592" s="7" t="e">
        <f ca="1"/>
        <v>#REF!</v>
      </c>
      <c r="AS592" s="7">
        <f ca="1"/>
        <v>-0.37168505980560429</v>
      </c>
      <c r="AT592" s="7" t="e">
        <f ca="1"/>
        <v>#REF!</v>
      </c>
      <c r="AU592" s="7" t="e">
        <f ca="1"/>
        <v>#REF!</v>
      </c>
      <c r="AV592" s="7" t="e">
        <f ca="1"/>
        <v>#REF!</v>
      </c>
    </row>
    <row r="593" spans="37:48" x14ac:dyDescent="0.25">
      <c r="AK593" t="str">
        <f ca="1"/>
        <v>Obs. 1021</v>
      </c>
      <c r="AL593" s="7">
        <f ca="1"/>
        <v>58.9</v>
      </c>
      <c r="AN593" s="7" t="e">
        <f ca="1"/>
        <v>#REF!</v>
      </c>
      <c r="AO593" s="7" t="e">
        <f ca="1"/>
        <v>#REF!</v>
      </c>
      <c r="AP593" s="7">
        <f ca="1"/>
        <v>7.9043107762344647E-2</v>
      </c>
      <c r="AQ593" s="7" t="e">
        <f ca="1"/>
        <v>#REF!</v>
      </c>
      <c r="AR593" s="7" t="e">
        <f ca="1"/>
        <v>#REF!</v>
      </c>
      <c r="AS593" s="7">
        <f ca="1"/>
        <v>-0.37168505980560429</v>
      </c>
      <c r="AT593" s="7" t="e">
        <f ca="1"/>
        <v>#REF!</v>
      </c>
      <c r="AU593" s="7" t="e">
        <f ca="1"/>
        <v>#REF!</v>
      </c>
      <c r="AV593" s="7" t="e">
        <f ca="1"/>
        <v>#REF!</v>
      </c>
    </row>
    <row r="594" spans="37:48" x14ac:dyDescent="0.25">
      <c r="AK594" t="str">
        <f ca="1"/>
        <v>Obs. 1022</v>
      </c>
      <c r="AL594" s="7">
        <f ca="1"/>
        <v>58.3</v>
      </c>
      <c r="AN594" s="7" t="e">
        <f ca="1"/>
        <v>#REF!</v>
      </c>
      <c r="AO594" s="7" t="e">
        <f ca="1"/>
        <v>#REF!</v>
      </c>
      <c r="AP594" s="7">
        <f ca="1"/>
        <v>9.3891552312159343E-2</v>
      </c>
      <c r="AQ594" s="7" t="e">
        <f ca="1"/>
        <v>#REF!</v>
      </c>
      <c r="AR594" s="7" t="e">
        <f ca="1"/>
        <v>#REF!</v>
      </c>
      <c r="AS594" s="7">
        <f ca="1"/>
        <v>-0.37168505980560429</v>
      </c>
      <c r="AT594" s="7" t="e">
        <f ca="1"/>
        <v>#REF!</v>
      </c>
      <c r="AU594" s="7" t="e">
        <f ca="1"/>
        <v>#REF!</v>
      </c>
      <c r="AV594" s="7" t="e">
        <f ca="1"/>
        <v>#REF!</v>
      </c>
    </row>
    <row r="595" spans="37:48" x14ac:dyDescent="0.25">
      <c r="AK595" t="str">
        <f ca="1"/>
        <v>Obs. 1023</v>
      </c>
      <c r="AL595" s="7">
        <f ca="1"/>
        <v>57.9</v>
      </c>
      <c r="AN595" s="7" t="e">
        <f ca="1"/>
        <v>#REF!</v>
      </c>
      <c r="AO595" s="7" t="e">
        <f ca="1"/>
        <v>#REF!</v>
      </c>
      <c r="AP595" s="7">
        <f ca="1"/>
        <v>9.3959987962232719E-2</v>
      </c>
      <c r="AQ595" s="7" t="e">
        <f ca="1"/>
        <v>#REF!</v>
      </c>
      <c r="AR595" s="7" t="e">
        <f ca="1"/>
        <v>#REF!</v>
      </c>
      <c r="AS595" s="7">
        <f ca="1"/>
        <v>-0.36030729595554811</v>
      </c>
      <c r="AT595" s="7" t="e">
        <f ca="1"/>
        <v>#REF!</v>
      </c>
      <c r="AU595" s="7" t="e">
        <f ca="1"/>
        <v>#REF!</v>
      </c>
      <c r="AV595" s="7" t="e">
        <f ca="1"/>
        <v>#REF!</v>
      </c>
    </row>
    <row r="596" spans="37:48" x14ac:dyDescent="0.25">
      <c r="AK596" t="str">
        <f ca="1"/>
        <v>Obs. 1024</v>
      </c>
      <c r="AL596" s="7">
        <f ca="1"/>
        <v>57.6</v>
      </c>
      <c r="AN596" s="7" t="e">
        <f ca="1"/>
        <v>#REF!</v>
      </c>
      <c r="AO596" s="7" t="e">
        <f ca="1"/>
        <v>#REF!</v>
      </c>
      <c r="AP596" s="7">
        <f ca="1"/>
        <v>0.10287687473855643</v>
      </c>
      <c r="AQ596" s="7" t="e">
        <f ca="1"/>
        <v>#REF!</v>
      </c>
      <c r="AR596" s="7" t="e">
        <f ca="1"/>
        <v>#REF!</v>
      </c>
      <c r="AS596" s="7">
        <f ca="1"/>
        <v>-0.36030729595554811</v>
      </c>
      <c r="AT596" s="7" t="e">
        <f ca="1"/>
        <v>#REF!</v>
      </c>
      <c r="AU596" s="7" t="e">
        <f ca="1"/>
        <v>#REF!</v>
      </c>
      <c r="AV596" s="7" t="e">
        <f ca="1"/>
        <v>#REF!</v>
      </c>
    </row>
    <row r="597" spans="37:48" x14ac:dyDescent="0.25">
      <c r="AK597" t="str">
        <f ca="1"/>
        <v>Obs. 1028</v>
      </c>
      <c r="AL597" s="7">
        <f ca="1"/>
        <v>88</v>
      </c>
      <c r="AN597" s="7" t="e">
        <f ca="1"/>
        <v>#REF!</v>
      </c>
      <c r="AO597" s="7" t="e">
        <f ca="1"/>
        <v>#REF!</v>
      </c>
      <c r="AP597" s="7">
        <f ca="1"/>
        <v>6.6996345962274023E-2</v>
      </c>
      <c r="AQ597" s="7" t="e">
        <f ca="1"/>
        <v>#REF!</v>
      </c>
      <c r="AR597" s="7" t="e">
        <f ca="1"/>
        <v>#REF!</v>
      </c>
      <c r="AS597" s="7">
        <f ca="1"/>
        <v>-0.36030729595554811</v>
      </c>
      <c r="AT597" s="7" t="e">
        <f ca="1"/>
        <v>#REF!</v>
      </c>
      <c r="AU597" s="7" t="e">
        <f ca="1"/>
        <v>#REF!</v>
      </c>
      <c r="AV597" s="7" t="e">
        <f ca="1"/>
        <v>#REF!</v>
      </c>
    </row>
    <row r="598" spans="37:48" x14ac:dyDescent="0.25">
      <c r="AK598" t="str">
        <f ca="1"/>
        <v>Obs. 1029</v>
      </c>
      <c r="AL598" s="7">
        <f ca="1"/>
        <v>86</v>
      </c>
      <c r="AN598" s="7" t="e">
        <f ca="1"/>
        <v>#REF!</v>
      </c>
      <c r="AO598" s="7" t="e">
        <f ca="1"/>
        <v>#REF!</v>
      </c>
      <c r="AP598" s="7">
        <f ca="1"/>
        <v>6.6326044302314549E-2</v>
      </c>
      <c r="AQ598" s="7" t="e">
        <f ca="1"/>
        <v>#REF!</v>
      </c>
      <c r="AR598" s="7" t="e">
        <f ca="1"/>
        <v>#REF!</v>
      </c>
      <c r="AS598" s="7">
        <f ca="1"/>
        <v>-0.36030729595554811</v>
      </c>
      <c r="AT598" s="7" t="e">
        <f ca="1"/>
        <v>#REF!</v>
      </c>
      <c r="AU598" s="7" t="e">
        <f ca="1"/>
        <v>#REF!</v>
      </c>
      <c r="AV598" s="7" t="e">
        <f ca="1"/>
        <v>#REF!</v>
      </c>
    </row>
    <row r="599" spans="37:48" x14ac:dyDescent="0.25">
      <c r="AK599" t="str">
        <f ca="1"/>
        <v>Obs. 1030</v>
      </c>
      <c r="AL599" s="7">
        <f ca="1"/>
        <v>84</v>
      </c>
      <c r="AN599" s="7" t="e">
        <f ca="1"/>
        <v>#REF!</v>
      </c>
      <c r="AO599" s="7" t="e">
        <f ca="1"/>
        <v>#REF!</v>
      </c>
      <c r="AP599" s="7">
        <f ca="1"/>
        <v>6.4989915452694932E-2</v>
      </c>
      <c r="AQ599" s="7" t="e">
        <f ca="1"/>
        <v>#REF!</v>
      </c>
      <c r="AR599" s="7" t="e">
        <f ca="1"/>
        <v>#REF!</v>
      </c>
      <c r="AS599" s="7">
        <f ca="1"/>
        <v>-0.36030729595554811</v>
      </c>
      <c r="AT599" s="7" t="e">
        <f ca="1"/>
        <v>#REF!</v>
      </c>
      <c r="AU599" s="7" t="e">
        <f ca="1"/>
        <v>#REF!</v>
      </c>
      <c r="AV599" s="7" t="e">
        <f ca="1"/>
        <v>#REF!</v>
      </c>
    </row>
    <row r="600" spans="37:48" x14ac:dyDescent="0.25">
      <c r="AK600" t="str">
        <f ca="1"/>
        <v>Obs. 1031</v>
      </c>
      <c r="AL600" s="7">
        <f ca="1"/>
        <v>85</v>
      </c>
      <c r="AN600" s="7" t="e">
        <f ca="1"/>
        <v>#REF!</v>
      </c>
      <c r="AO600" s="7" t="e">
        <f ca="1"/>
        <v>#REF!</v>
      </c>
      <c r="AP600" s="7">
        <f ca="1"/>
        <v>6.5255582614286795E-2</v>
      </c>
      <c r="AQ600" s="7" t="e">
        <f ca="1"/>
        <v>#REF!</v>
      </c>
      <c r="AR600" s="7" t="e">
        <f ca="1"/>
        <v>#REF!</v>
      </c>
      <c r="AS600" s="7">
        <f ca="1"/>
        <v>-0.36030729595554811</v>
      </c>
      <c r="AT600" s="7" t="e">
        <f ca="1"/>
        <v>#REF!</v>
      </c>
      <c r="AU600" s="7" t="e">
        <f ca="1"/>
        <v>#REF!</v>
      </c>
      <c r="AV600" s="7" t="e">
        <f ca="1"/>
        <v>#REF!</v>
      </c>
    </row>
    <row r="601" spans="37:48" x14ac:dyDescent="0.25">
      <c r="AK601" t="str">
        <f ca="1"/>
        <v>Obs. 1032</v>
      </c>
      <c r="AL601" s="7">
        <f ca="1"/>
        <v>83</v>
      </c>
      <c r="AN601" s="7" t="e">
        <f ca="1"/>
        <v>#REF!</v>
      </c>
      <c r="AO601" s="7" t="e">
        <f ca="1"/>
        <v>#REF!</v>
      </c>
      <c r="AP601" s="7">
        <f ca="1"/>
        <v>6.4651827551836891E-2</v>
      </c>
      <c r="AQ601" s="7" t="e">
        <f ca="1"/>
        <v>#REF!</v>
      </c>
      <c r="AR601" s="7" t="e">
        <f ca="1"/>
        <v>#REF!</v>
      </c>
      <c r="AS601" s="7">
        <f ca="1"/>
        <v>-0.35059197017921911</v>
      </c>
      <c r="AT601" s="7" t="e">
        <f ca="1"/>
        <v>#REF!</v>
      </c>
      <c r="AU601" s="7" t="e">
        <f ca="1"/>
        <v>#REF!</v>
      </c>
      <c r="AV601" s="7" t="e">
        <f ca="1"/>
        <v>#REF!</v>
      </c>
    </row>
    <row r="602" spans="37:48" x14ac:dyDescent="0.25">
      <c r="AK602" t="str">
        <f ca="1"/>
        <v>Obs. 1033</v>
      </c>
      <c r="AL602" s="7">
        <f ca="1"/>
        <v>80</v>
      </c>
      <c r="AN602" s="7" t="e">
        <f ca="1"/>
        <v>#REF!</v>
      </c>
      <c r="AO602" s="7" t="e">
        <f ca="1"/>
        <v>#REF!</v>
      </c>
      <c r="AP602" s="7">
        <f ca="1"/>
        <v>6.8475155405587226E-2</v>
      </c>
      <c r="AQ602" s="7" t="e">
        <f ca="1"/>
        <v>#REF!</v>
      </c>
      <c r="AR602" s="7" t="e">
        <f ca="1"/>
        <v>#REF!</v>
      </c>
      <c r="AS602" s="7">
        <f ca="1"/>
        <v>-0.35059197017921911</v>
      </c>
      <c r="AT602" s="7" t="e">
        <f ca="1"/>
        <v>#REF!</v>
      </c>
      <c r="AU602" s="7" t="e">
        <f ca="1"/>
        <v>#REF!</v>
      </c>
      <c r="AV602" s="7" t="e">
        <f ca="1"/>
        <v>#REF!</v>
      </c>
    </row>
    <row r="603" spans="37:48" x14ac:dyDescent="0.25">
      <c r="AK603" t="str">
        <f ca="1"/>
        <v>Obs. 1034</v>
      </c>
      <c r="AL603" s="7">
        <f ca="1"/>
        <v>79.900000000000006</v>
      </c>
      <c r="AN603" s="7" t="e">
        <f ca="1"/>
        <v>#REF!</v>
      </c>
      <c r="AO603" s="7" t="e">
        <f ca="1"/>
        <v>#REF!</v>
      </c>
      <c r="AP603" s="7">
        <f ca="1"/>
        <v>6.6345075965448572E-2</v>
      </c>
      <c r="AQ603" s="7" t="e">
        <f ca="1"/>
        <v>#REF!</v>
      </c>
      <c r="AR603" s="7" t="e">
        <f ca="1"/>
        <v>#REF!</v>
      </c>
      <c r="AS603" s="7">
        <f ca="1"/>
        <v>-0.35059197017921911</v>
      </c>
      <c r="AT603" s="7" t="e">
        <f ca="1"/>
        <v>#REF!</v>
      </c>
      <c r="AU603" s="7" t="e">
        <f ca="1"/>
        <v>#REF!</v>
      </c>
      <c r="AV603" s="7" t="e">
        <f ca="1"/>
        <v>#REF!</v>
      </c>
    </row>
    <row r="604" spans="37:48" x14ac:dyDescent="0.25">
      <c r="AK604" t="str">
        <f ca="1"/>
        <v>Obs. 1035</v>
      </c>
      <c r="AL604" s="7">
        <f ca="1"/>
        <v>79.400000000000006</v>
      </c>
      <c r="AN604" s="7" t="e">
        <f ca="1"/>
        <v>#REF!</v>
      </c>
      <c r="AO604" s="7" t="e">
        <f ca="1"/>
        <v>#REF!</v>
      </c>
      <c r="AP604" s="7">
        <f ca="1"/>
        <v>6.6535304996906602E-2</v>
      </c>
      <c r="AQ604" s="7" t="e">
        <f ca="1"/>
        <v>#REF!</v>
      </c>
      <c r="AR604" s="7" t="e">
        <f ca="1"/>
        <v>#REF!</v>
      </c>
      <c r="AS604" s="7">
        <f ca="1"/>
        <v>-0.35059197017921911</v>
      </c>
      <c r="AT604" s="7" t="e">
        <f ca="1"/>
        <v>#REF!</v>
      </c>
      <c r="AU604" s="7" t="e">
        <f ca="1"/>
        <v>#REF!</v>
      </c>
      <c r="AV604" s="7" t="e">
        <f ca="1"/>
        <v>#REF!</v>
      </c>
    </row>
    <row r="605" spans="37:48" x14ac:dyDescent="0.25">
      <c r="AK605" t="str">
        <f ca="1"/>
        <v>Obs. 1036</v>
      </c>
      <c r="AL605" s="7">
        <f ca="1"/>
        <v>79.7</v>
      </c>
      <c r="AN605" s="7" t="e">
        <f ca="1"/>
        <v>#REF!</v>
      </c>
      <c r="AO605" s="7" t="e">
        <f ca="1"/>
        <v>#REF!</v>
      </c>
      <c r="AP605" s="7">
        <f ca="1"/>
        <v>6.8641790483456672E-2</v>
      </c>
      <c r="AQ605" s="7" t="e">
        <f ca="1"/>
        <v>#REF!</v>
      </c>
      <c r="AR605" s="7" t="e">
        <f ca="1"/>
        <v>#REF!</v>
      </c>
      <c r="AS605" s="7">
        <f ca="1"/>
        <v>-0.35059197017921911</v>
      </c>
      <c r="AT605" s="7" t="e">
        <f ca="1"/>
        <v>#REF!</v>
      </c>
      <c r="AU605" s="7" t="e">
        <f ca="1"/>
        <v>#REF!</v>
      </c>
      <c r="AV605" s="7" t="e">
        <f ca="1"/>
        <v>#REF!</v>
      </c>
    </row>
    <row r="606" spans="37:48" x14ac:dyDescent="0.25">
      <c r="AK606" t="str">
        <f ca="1"/>
        <v>Obs. 1037</v>
      </c>
      <c r="AL606" s="7">
        <f ca="1"/>
        <v>79.3</v>
      </c>
      <c r="AN606" s="7" t="e">
        <f ca="1"/>
        <v>#REF!</v>
      </c>
      <c r="AO606" s="7" t="e">
        <f ca="1"/>
        <v>#REF!</v>
      </c>
      <c r="AP606" s="7">
        <f ca="1"/>
        <v>7.5481386762021513E-2</v>
      </c>
      <c r="AQ606" s="7" t="e">
        <f ca="1"/>
        <v>#REF!</v>
      </c>
      <c r="AR606" s="7" t="e">
        <f ca="1"/>
        <v>#REF!</v>
      </c>
      <c r="AS606" s="7">
        <f ca="1"/>
        <v>-0.35059197017921911</v>
      </c>
      <c r="AT606" s="7" t="e">
        <f ca="1"/>
        <v>#REF!</v>
      </c>
      <c r="AU606" s="7" t="e">
        <f ca="1"/>
        <v>#REF!</v>
      </c>
      <c r="AV606" s="7" t="e">
        <f ca="1"/>
        <v>#REF!</v>
      </c>
    </row>
    <row r="607" spans="37:48" x14ac:dyDescent="0.25">
      <c r="AK607" t="str">
        <f ca="1"/>
        <v>Obs. 1038</v>
      </c>
      <c r="AL607" s="7">
        <f ca="1"/>
        <v>79.2</v>
      </c>
      <c r="AN607" s="7" t="e">
        <f ca="1"/>
        <v>#REF!</v>
      </c>
      <c r="AO607" s="7" t="e">
        <f ca="1"/>
        <v>#REF!</v>
      </c>
      <c r="AP607" s="7">
        <f ca="1"/>
        <v>9.1872822616631211E-2</v>
      </c>
      <c r="AQ607" s="7" t="e">
        <f ca="1"/>
        <v>#REF!</v>
      </c>
      <c r="AR607" s="7" t="e">
        <f ca="1"/>
        <v>#REF!</v>
      </c>
      <c r="AS607" s="7">
        <f ca="1"/>
        <v>-0.35059197017921911</v>
      </c>
      <c r="AT607" s="7" t="e">
        <f ca="1"/>
        <v>#REF!</v>
      </c>
      <c r="AU607" s="7" t="e">
        <f ca="1"/>
        <v>#REF!</v>
      </c>
      <c r="AV607" s="7" t="e">
        <f ca="1"/>
        <v>#REF!</v>
      </c>
    </row>
    <row r="608" spans="37:48" x14ac:dyDescent="0.25">
      <c r="AK608" t="str">
        <f ca="1"/>
        <v>Obs. 1039</v>
      </c>
      <c r="AL608" s="7">
        <f ca="1"/>
        <v>79.099999999999994</v>
      </c>
      <c r="AN608" s="7" t="e">
        <f ca="1"/>
        <v>#REF!</v>
      </c>
      <c r="AO608" s="7" t="e">
        <f ca="1"/>
        <v>#REF!</v>
      </c>
      <c r="AP608" s="7">
        <f ca="1"/>
        <v>6.4265762692835127E-2</v>
      </c>
      <c r="AQ608" s="7" t="e">
        <f ca="1"/>
        <v>#REF!</v>
      </c>
      <c r="AR608" s="7" t="e">
        <f ca="1"/>
        <v>#REF!</v>
      </c>
      <c r="AS608" s="7">
        <f ca="1"/>
        <v>-0.35059197017921911</v>
      </c>
      <c r="AT608" s="7" t="e">
        <f ca="1"/>
        <v>#REF!</v>
      </c>
      <c r="AU608" s="7" t="e">
        <f ca="1"/>
        <v>#REF!</v>
      </c>
      <c r="AV608" s="7" t="e">
        <f ca="1"/>
        <v>#REF!</v>
      </c>
    </row>
    <row r="609" spans="37:48" x14ac:dyDescent="0.25">
      <c r="AK609" t="str">
        <f ca="1"/>
        <v>Obs. 1040</v>
      </c>
      <c r="AL609" s="7">
        <f ca="1"/>
        <v>79</v>
      </c>
      <c r="AN609" s="7" t="e">
        <f ca="1"/>
        <v>#REF!</v>
      </c>
      <c r="AO609" s="7" t="e">
        <f ca="1"/>
        <v>#REF!</v>
      </c>
      <c r="AP609" s="7">
        <f ca="1"/>
        <v>6.9550252905846849E-2</v>
      </c>
      <c r="AQ609" s="7" t="e">
        <f ca="1"/>
        <v>#REF!</v>
      </c>
      <c r="AR609" s="7" t="e">
        <f ca="1"/>
        <v>#REF!</v>
      </c>
      <c r="AS609" s="7">
        <f ca="1"/>
        <v>-0.337689309602062</v>
      </c>
      <c r="AT609" s="7" t="e">
        <f ca="1"/>
        <v>#REF!</v>
      </c>
      <c r="AU609" s="7" t="e">
        <f ca="1"/>
        <v>#REF!</v>
      </c>
      <c r="AV609" s="7" t="e">
        <f ca="1"/>
        <v>#REF!</v>
      </c>
    </row>
    <row r="610" spans="37:48" x14ac:dyDescent="0.25">
      <c r="AK610" t="str">
        <f ca="1"/>
        <v>Obs. 1041</v>
      </c>
      <c r="AL610" s="7">
        <f ca="1"/>
        <v>78.7</v>
      </c>
      <c r="AN610" s="7" t="e">
        <f ca="1"/>
        <v>#REF!</v>
      </c>
      <c r="AO610" s="7" t="e">
        <f ca="1"/>
        <v>#REF!</v>
      </c>
      <c r="AP610" s="7">
        <f ca="1"/>
        <v>8.9534017506455968E-2</v>
      </c>
      <c r="AQ610" s="7" t="e">
        <f ca="1"/>
        <v>#REF!</v>
      </c>
      <c r="AR610" s="7" t="e">
        <f ca="1"/>
        <v>#REF!</v>
      </c>
      <c r="AS610" s="7">
        <f ca="1"/>
        <v>-0.337689309602062</v>
      </c>
      <c r="AT610" s="7" t="e">
        <f ca="1"/>
        <v>#REF!</v>
      </c>
      <c r="AU610" s="7" t="e">
        <f ca="1"/>
        <v>#REF!</v>
      </c>
      <c r="AV610" s="7" t="e">
        <f ca="1"/>
        <v>#REF!</v>
      </c>
    </row>
    <row r="611" spans="37:48" x14ac:dyDescent="0.25">
      <c r="AK611" t="str">
        <f ca="1"/>
        <v>Obs. 1042</v>
      </c>
      <c r="AL611" s="7">
        <f ca="1"/>
        <v>78.2</v>
      </c>
      <c r="AN611" s="7" t="e">
        <f ca="1"/>
        <v>#REF!</v>
      </c>
      <c r="AO611" s="7" t="e">
        <f ca="1"/>
        <v>#REF!</v>
      </c>
      <c r="AP611" s="7">
        <f ca="1"/>
        <v>7.2118669168338992E-2</v>
      </c>
      <c r="AQ611" s="7" t="e">
        <f ca="1"/>
        <v>#REF!</v>
      </c>
      <c r="AR611" s="7" t="e">
        <f ca="1"/>
        <v>#REF!</v>
      </c>
      <c r="AS611" s="7">
        <f ca="1"/>
        <v>-0.337689309602062</v>
      </c>
      <c r="AT611" s="7" t="e">
        <f ca="1"/>
        <v>#REF!</v>
      </c>
      <c r="AU611" s="7" t="e">
        <f ca="1"/>
        <v>#REF!</v>
      </c>
      <c r="AV611" s="7" t="e">
        <f ca="1"/>
        <v>#REF!</v>
      </c>
    </row>
    <row r="612" spans="37:48" x14ac:dyDescent="0.25">
      <c r="AK612" t="str">
        <f ca="1"/>
        <v>Obs. 1060</v>
      </c>
      <c r="AL612" s="7">
        <f ca="1"/>
        <v>71.7</v>
      </c>
      <c r="AN612" s="7" t="e">
        <f ca="1"/>
        <v>#REF!</v>
      </c>
      <c r="AO612" s="7" t="e">
        <f ca="1"/>
        <v>#REF!</v>
      </c>
      <c r="AP612" s="7">
        <f ca="1"/>
        <v>9.8092851068532563E-2</v>
      </c>
      <c r="AQ612" s="7" t="e">
        <f ca="1"/>
        <v>#REF!</v>
      </c>
      <c r="AR612" s="7" t="e">
        <f ca="1"/>
        <v>#REF!</v>
      </c>
      <c r="AS612" s="7">
        <f ca="1"/>
        <v>-0.337689309602062</v>
      </c>
      <c r="AT612" s="7" t="e">
        <f ca="1"/>
        <v>#REF!</v>
      </c>
      <c r="AU612" s="7" t="e">
        <f ca="1"/>
        <v>#REF!</v>
      </c>
      <c r="AV612" s="7" t="e">
        <f ca="1"/>
        <v>#REF!</v>
      </c>
    </row>
    <row r="613" spans="37:48" x14ac:dyDescent="0.25">
      <c r="AK613" t="str">
        <f ca="1"/>
        <v>Obs. 1061</v>
      </c>
      <c r="AL613" s="7">
        <f ca="1"/>
        <v>71.400000000000006</v>
      </c>
      <c r="AN613" s="7" t="e">
        <f ca="1"/>
        <v>#REF!</v>
      </c>
      <c r="AO613" s="7" t="e">
        <f ca="1"/>
        <v>#REF!</v>
      </c>
      <c r="AP613" s="7">
        <f ca="1"/>
        <v>9.6819256634528811E-2</v>
      </c>
      <c r="AQ613" s="7" t="e">
        <f ca="1"/>
        <v>#REF!</v>
      </c>
      <c r="AR613" s="7" t="e">
        <f ca="1"/>
        <v>#REF!</v>
      </c>
      <c r="AS613" s="7">
        <f ca="1"/>
        <v>-0.337689309602062</v>
      </c>
      <c r="AT613" s="7" t="e">
        <f ca="1"/>
        <v>#REF!</v>
      </c>
      <c r="AU613" s="7" t="e">
        <f ca="1"/>
        <v>#REF!</v>
      </c>
      <c r="AV613" s="7" t="e">
        <f ca="1"/>
        <v>#REF!</v>
      </c>
    </row>
    <row r="614" spans="37:48" x14ac:dyDescent="0.25">
      <c r="AK614" t="str">
        <f ca="1"/>
        <v>Obs. 1062</v>
      </c>
      <c r="AL614" s="7">
        <f ca="1"/>
        <v>71.3</v>
      </c>
      <c r="AN614" s="7" t="e">
        <f ca="1"/>
        <v>#REF!</v>
      </c>
      <c r="AO614" s="7" t="e">
        <f ca="1"/>
        <v>#REF!</v>
      </c>
      <c r="AP614" s="7">
        <f ca="1"/>
        <v>9.6674493484965859E-2</v>
      </c>
      <c r="AQ614" s="7" t="e">
        <f ca="1"/>
        <v>#REF!</v>
      </c>
      <c r="AR614" s="7" t="e">
        <f ca="1"/>
        <v>#REF!</v>
      </c>
      <c r="AS614" s="7">
        <f ca="1"/>
        <v>-0.337689309602062</v>
      </c>
      <c r="AT614" s="7" t="e">
        <f ca="1"/>
        <v>#REF!</v>
      </c>
      <c r="AU614" s="7" t="e">
        <f ca="1"/>
        <v>#REF!</v>
      </c>
      <c r="AV614" s="7" t="e">
        <f ca="1"/>
        <v>#REF!</v>
      </c>
    </row>
    <row r="615" spans="37:48" x14ac:dyDescent="0.25">
      <c r="AK615" t="str">
        <f ca="1"/>
        <v>Obs. 1063</v>
      </c>
      <c r="AL615" s="7">
        <f ca="1"/>
        <v>71.099999999999994</v>
      </c>
      <c r="AN615" s="7" t="e">
        <f ca="1"/>
        <v>#REF!</v>
      </c>
      <c r="AO615" s="7" t="e">
        <f ca="1"/>
        <v>#REF!</v>
      </c>
      <c r="AP615" s="7">
        <f ca="1"/>
        <v>9.6413383293284693E-2</v>
      </c>
      <c r="AQ615" s="7" t="e">
        <f ca="1"/>
        <v>#REF!</v>
      </c>
      <c r="AR615" s="7" t="e">
        <f ca="1"/>
        <v>#REF!</v>
      </c>
      <c r="AS615" s="7">
        <f ca="1"/>
        <v>-0.337689309602062</v>
      </c>
      <c r="AT615" s="7" t="e">
        <f ca="1"/>
        <v>#REF!</v>
      </c>
      <c r="AU615" s="7" t="e">
        <f ca="1"/>
        <v>#REF!</v>
      </c>
      <c r="AV615" s="7" t="e">
        <f ca="1"/>
        <v>#REF!</v>
      </c>
    </row>
    <row r="616" spans="37:48" x14ac:dyDescent="0.25">
      <c r="AK616" t="str">
        <f ca="1"/>
        <v>Obs. 1064</v>
      </c>
      <c r="AL616" s="7">
        <f ca="1"/>
        <v>77</v>
      </c>
      <c r="AN616" s="7" t="e">
        <f ca="1"/>
        <v>#REF!</v>
      </c>
      <c r="AO616" s="7" t="e">
        <f ca="1"/>
        <v>#REF!</v>
      </c>
      <c r="AP616" s="7">
        <f ca="1"/>
        <v>9.642756427693798E-2</v>
      </c>
      <c r="AQ616" s="7" t="e">
        <f ca="1"/>
        <v>#REF!</v>
      </c>
      <c r="AR616" s="7" t="e">
        <f ca="1"/>
        <v>#REF!</v>
      </c>
      <c r="AS616" s="7">
        <f ca="1"/>
        <v>-0.337689309602062</v>
      </c>
      <c r="AT616" s="7" t="e">
        <f ca="1"/>
        <v>#REF!</v>
      </c>
      <c r="AU616" s="7" t="e">
        <f ca="1"/>
        <v>#REF!</v>
      </c>
      <c r="AV616" s="7" t="e">
        <f ca="1"/>
        <v>#REF!</v>
      </c>
    </row>
    <row r="617" spans="37:48" x14ac:dyDescent="0.25">
      <c r="AK617" t="str">
        <f ca="1"/>
        <v>Obs. 1065</v>
      </c>
      <c r="AL617" s="7">
        <f ca="1"/>
        <v>76</v>
      </c>
      <c r="AN617" s="7" t="e">
        <f ca="1"/>
        <v>#REF!</v>
      </c>
      <c r="AO617" s="7" t="e">
        <f ca="1"/>
        <v>#REF!</v>
      </c>
      <c r="AP617" s="7">
        <f ca="1"/>
        <v>9.638211904834422E-2</v>
      </c>
      <c r="AQ617" s="7" t="e">
        <f ca="1"/>
        <v>#REF!</v>
      </c>
      <c r="AR617" s="7" t="e">
        <f ca="1"/>
        <v>#REF!</v>
      </c>
      <c r="AS617" s="7">
        <f ca="1"/>
        <v>-0.337689309602062</v>
      </c>
      <c r="AT617" s="7" t="e">
        <f ca="1"/>
        <v>#REF!</v>
      </c>
      <c r="AU617" s="7" t="e">
        <f ca="1"/>
        <v>#REF!</v>
      </c>
      <c r="AV617" s="7" t="e">
        <f ca="1"/>
        <v>#REF!</v>
      </c>
    </row>
    <row r="618" spans="37:48" x14ac:dyDescent="0.25">
      <c r="AK618" t="str">
        <f ca="1"/>
        <v>Obs. 1066</v>
      </c>
      <c r="AL618" s="7">
        <f ca="1"/>
        <v>79</v>
      </c>
      <c r="AN618" s="7" t="e">
        <f ca="1"/>
        <v>#REF!</v>
      </c>
      <c r="AO618" s="7" t="e">
        <f ca="1"/>
        <v>#REF!</v>
      </c>
      <c r="AP618" s="7">
        <f ca="1"/>
        <v>9.8230997730284195E-2</v>
      </c>
      <c r="AQ618" s="7" t="e">
        <f ca="1"/>
        <v>#REF!</v>
      </c>
      <c r="AR618" s="7" t="e">
        <f ca="1"/>
        <v>#REF!</v>
      </c>
      <c r="AS618" s="7">
        <f ca="1"/>
        <v>-0.337689309602062</v>
      </c>
      <c r="AT618" s="7" t="e">
        <f ca="1"/>
        <v>#REF!</v>
      </c>
      <c r="AU618" s="7" t="e">
        <f ca="1"/>
        <v>#REF!</v>
      </c>
      <c r="AV618" s="7" t="e">
        <f ca="1"/>
        <v>#REF!</v>
      </c>
    </row>
    <row r="619" spans="37:48" x14ac:dyDescent="0.25">
      <c r="AK619" t="str">
        <f ca="1"/>
        <v>Obs. 1067</v>
      </c>
      <c r="AL619" s="7">
        <f ca="1"/>
        <v>75</v>
      </c>
      <c r="AN619" s="7" t="e">
        <f ca="1"/>
        <v>#REF!</v>
      </c>
      <c r="AO619" s="7" t="e">
        <f ca="1"/>
        <v>#REF!</v>
      </c>
      <c r="AP619" s="7">
        <f ca="1"/>
        <v>9.6334922903946615E-2</v>
      </c>
      <c r="AQ619" s="7" t="e">
        <f ca="1"/>
        <v>#REF!</v>
      </c>
      <c r="AR619" s="7" t="e">
        <f ca="1"/>
        <v>#REF!</v>
      </c>
      <c r="AS619" s="7">
        <f ca="1"/>
        <v>-0.32163939638952632</v>
      </c>
      <c r="AT619" s="7" t="e">
        <f ca="1"/>
        <v>#REF!</v>
      </c>
      <c r="AU619" s="7" t="e">
        <f ca="1"/>
        <v>#REF!</v>
      </c>
      <c r="AV619" s="7" t="e">
        <f ca="1"/>
        <v>#REF!</v>
      </c>
    </row>
    <row r="620" spans="37:48" x14ac:dyDescent="0.25">
      <c r="AK620" t="str">
        <f ca="1"/>
        <v>Obs. 1068</v>
      </c>
      <c r="AL620" s="7">
        <f ca="1"/>
        <v>69.7</v>
      </c>
      <c r="AN620" s="7" t="e">
        <f ca="1"/>
        <v>#REF!</v>
      </c>
      <c r="AO620" s="7" t="e">
        <f ca="1"/>
        <v>#REF!</v>
      </c>
      <c r="AP620" s="7">
        <f ca="1"/>
        <v>0.11053565648809147</v>
      </c>
      <c r="AQ620" s="7" t="e">
        <f ca="1"/>
        <v>#REF!</v>
      </c>
      <c r="AR620" s="7" t="e">
        <f ca="1"/>
        <v>#REF!</v>
      </c>
      <c r="AS620" s="7">
        <f ca="1"/>
        <v>-0.32163939638952632</v>
      </c>
      <c r="AT620" s="7" t="e">
        <f ca="1"/>
        <v>#REF!</v>
      </c>
      <c r="AU620" s="7" t="e">
        <f ca="1"/>
        <v>#REF!</v>
      </c>
      <c r="AV620" s="7" t="e">
        <f ca="1"/>
        <v>#REF!</v>
      </c>
    </row>
    <row r="621" spans="37:48" x14ac:dyDescent="0.25">
      <c r="AK621" t="str">
        <f ca="1"/>
        <v>Obs. 1069</v>
      </c>
      <c r="AL621" s="7">
        <f ca="1"/>
        <v>69.2</v>
      </c>
      <c r="AN621" s="7" t="e">
        <f ca="1"/>
        <v>#REF!</v>
      </c>
      <c r="AO621" s="7" t="e">
        <f ca="1"/>
        <v>#REF!</v>
      </c>
      <c r="AP621" s="7">
        <f ca="1"/>
        <v>9.8434268417989162E-2</v>
      </c>
      <c r="AQ621" s="7" t="e">
        <f ca="1"/>
        <v>#REF!</v>
      </c>
      <c r="AR621" s="7" t="e">
        <f ca="1"/>
        <v>#REF!</v>
      </c>
      <c r="AS621" s="7">
        <f ca="1"/>
        <v>-0.32163939638952632</v>
      </c>
      <c r="AT621" s="7" t="e">
        <f ca="1"/>
        <v>#REF!</v>
      </c>
      <c r="AU621" s="7" t="e">
        <f ca="1"/>
        <v>#REF!</v>
      </c>
      <c r="AV621" s="7" t="e">
        <f ca="1"/>
        <v>#REF!</v>
      </c>
    </row>
    <row r="622" spans="37:48" x14ac:dyDescent="0.25">
      <c r="AK622" t="str">
        <f ca="1"/>
        <v>Obs. 1076</v>
      </c>
      <c r="AL622" s="7">
        <f ca="1"/>
        <v>58.1</v>
      </c>
      <c r="AN622" s="7" t="e">
        <f ca="1"/>
        <v>#REF!</v>
      </c>
      <c r="AO622" s="7" t="e">
        <f ca="1"/>
        <v>#REF!</v>
      </c>
      <c r="AP622" s="7">
        <f ca="1"/>
        <v>0.12402752558322164</v>
      </c>
      <c r="AQ622" s="7" t="e">
        <f ca="1"/>
        <v>#REF!</v>
      </c>
      <c r="AR622" s="7" t="e">
        <f ca="1"/>
        <v>#REF!</v>
      </c>
      <c r="AS622" s="7">
        <f ca="1"/>
        <v>-0.32163939638952632</v>
      </c>
      <c r="AT622" s="7" t="e">
        <f ca="1"/>
        <v>#REF!</v>
      </c>
      <c r="AU622" s="7" t="e">
        <f ca="1"/>
        <v>#REF!</v>
      </c>
      <c r="AV622" s="7" t="e">
        <f ca="1"/>
        <v>#REF!</v>
      </c>
    </row>
    <row r="623" spans="37:48" x14ac:dyDescent="0.25">
      <c r="AK623" t="str">
        <f ca="1"/>
        <v>Obs. 1077</v>
      </c>
      <c r="AL623" s="7">
        <f ca="1"/>
        <v>58.8</v>
      </c>
      <c r="AN623" s="7" t="e">
        <f ca="1"/>
        <v>#REF!</v>
      </c>
      <c r="AO623" s="7" t="e">
        <f ca="1"/>
        <v>#REF!</v>
      </c>
      <c r="AP623" s="7">
        <f ca="1"/>
        <v>0.12309569189458738</v>
      </c>
      <c r="AQ623" s="7" t="e">
        <f ca="1"/>
        <v>#REF!</v>
      </c>
      <c r="AR623" s="7" t="e">
        <f ca="1"/>
        <v>#REF!</v>
      </c>
      <c r="AS623" s="7">
        <f ca="1"/>
        <v>-0.32163939638952632</v>
      </c>
      <c r="AT623" s="7" t="e">
        <f ca="1"/>
        <v>#REF!</v>
      </c>
      <c r="AU623" s="7" t="e">
        <f ca="1"/>
        <v>#REF!</v>
      </c>
      <c r="AV623" s="7" t="e">
        <f ca="1"/>
        <v>#REF!</v>
      </c>
    </row>
    <row r="624" spans="37:48" x14ac:dyDescent="0.25">
      <c r="AK624" t="str">
        <f ca="1"/>
        <v>Obs. 1078</v>
      </c>
      <c r="AL624" s="7">
        <f ca="1"/>
        <v>58.4</v>
      </c>
      <c r="AN624" s="7" t="e">
        <f ca="1"/>
        <v>#REF!</v>
      </c>
      <c r="AO624" s="7" t="e">
        <f ca="1"/>
        <v>#REF!</v>
      </c>
      <c r="AP624" s="7">
        <f ca="1"/>
        <v>0.12286960910593114</v>
      </c>
      <c r="AQ624" s="7" t="e">
        <f ca="1"/>
        <v>#REF!</v>
      </c>
      <c r="AR624" s="7" t="e">
        <f ca="1"/>
        <v>#REF!</v>
      </c>
      <c r="AS624" s="7">
        <f ca="1"/>
        <v>-0.32163939638952632</v>
      </c>
      <c r="AT624" s="7" t="e">
        <f ca="1"/>
        <v>#REF!</v>
      </c>
      <c r="AU624" s="7" t="e">
        <f ca="1"/>
        <v>#REF!</v>
      </c>
      <c r="AV624" s="7" t="e">
        <f ca="1"/>
        <v>#REF!</v>
      </c>
    </row>
    <row r="625" spans="37:48" x14ac:dyDescent="0.25">
      <c r="AK625" t="str">
        <f ca="1"/>
        <v>Obs. 1079</v>
      </c>
      <c r="AL625" s="7">
        <f ca="1"/>
        <v>58.1</v>
      </c>
      <c r="AN625" s="7" t="e">
        <f ca="1"/>
        <v>#REF!</v>
      </c>
      <c r="AO625" s="7" t="e">
        <f ca="1"/>
        <v>#REF!</v>
      </c>
      <c r="AP625" s="7">
        <f ca="1"/>
        <v>0.12463320870163706</v>
      </c>
      <c r="AQ625" s="7" t="e">
        <f ca="1"/>
        <v>#REF!</v>
      </c>
      <c r="AR625" s="7" t="e">
        <f ca="1"/>
        <v>#REF!</v>
      </c>
      <c r="AS625" s="7">
        <f ca="1"/>
        <v>-0.31204933220437475</v>
      </c>
      <c r="AT625" s="7" t="e">
        <f ca="1"/>
        <v>#REF!</v>
      </c>
      <c r="AU625" s="7" t="e">
        <f ca="1"/>
        <v>#REF!</v>
      </c>
      <c r="AV625" s="7" t="e">
        <f ca="1"/>
        <v>#REF!</v>
      </c>
    </row>
    <row r="626" spans="37:48" x14ac:dyDescent="0.25">
      <c r="AK626" t="str">
        <f ca="1"/>
        <v>Obs. 1080</v>
      </c>
      <c r="AL626" s="7">
        <f ca="1"/>
        <v>57.8</v>
      </c>
      <c r="AN626" s="7" t="e">
        <f ca="1"/>
        <v>#REF!</v>
      </c>
      <c r="AO626" s="7" t="e">
        <f ca="1"/>
        <v>#REF!</v>
      </c>
      <c r="AP626" s="7">
        <f ca="1"/>
        <v>0.12328186967090772</v>
      </c>
      <c r="AQ626" s="7" t="e">
        <f ca="1"/>
        <v>#REF!</v>
      </c>
      <c r="AR626" s="7" t="e">
        <f ca="1"/>
        <v>#REF!</v>
      </c>
      <c r="AS626" s="7">
        <f ca="1"/>
        <v>-0.31204933220437475</v>
      </c>
      <c r="AT626" s="7" t="e">
        <f ca="1"/>
        <v>#REF!</v>
      </c>
      <c r="AU626" s="7" t="e">
        <f ca="1"/>
        <v>#REF!</v>
      </c>
      <c r="AV626" s="7" t="e">
        <f ca="1"/>
        <v>#REF!</v>
      </c>
    </row>
    <row r="627" spans="37:48" x14ac:dyDescent="0.25">
      <c r="AK627" t="str">
        <f ca="1"/>
        <v>Obs. 1081</v>
      </c>
      <c r="AL627" s="7">
        <f ca="1"/>
        <v>57.3</v>
      </c>
      <c r="AN627" s="7" t="e">
        <f ca="1"/>
        <v>#REF!</v>
      </c>
      <c r="AO627" s="7" t="e">
        <f ca="1"/>
        <v>#REF!</v>
      </c>
      <c r="AP627" s="7">
        <f ca="1"/>
        <v>0.12843850966982101</v>
      </c>
      <c r="AQ627" s="7" t="e">
        <f ca="1"/>
        <v>#REF!</v>
      </c>
      <c r="AR627" s="7" t="e">
        <f ca="1"/>
        <v>#REF!</v>
      </c>
      <c r="AS627" s="7">
        <f ca="1"/>
        <v>-0.31204933220437475</v>
      </c>
      <c r="AT627" s="7" t="e">
        <f ca="1"/>
        <v>#REF!</v>
      </c>
      <c r="AU627" s="7" t="e">
        <f ca="1"/>
        <v>#REF!</v>
      </c>
      <c r="AV627" s="7" t="e">
        <f ca="1"/>
        <v>#REF!</v>
      </c>
    </row>
    <row r="628" spans="37:48" x14ac:dyDescent="0.25">
      <c r="AK628" t="str">
        <f ca="1"/>
        <v>Obs. 1082</v>
      </c>
      <c r="AL628" s="7">
        <f ca="1"/>
        <v>56.8</v>
      </c>
      <c r="AN628" s="7" t="e">
        <f ca="1"/>
        <v>#REF!</v>
      </c>
      <c r="AO628" s="7" t="e">
        <f ca="1"/>
        <v>#REF!</v>
      </c>
      <c r="AP628" s="7">
        <f ca="1"/>
        <v>0.13250875896787764</v>
      </c>
      <c r="AQ628" s="7" t="e">
        <f ca="1"/>
        <v>#REF!</v>
      </c>
      <c r="AR628" s="7" t="e">
        <f ca="1"/>
        <v>#REF!</v>
      </c>
      <c r="AS628" s="7">
        <f ca="1"/>
        <v>-0.31204933220437475</v>
      </c>
      <c r="AT628" s="7" t="e">
        <f ca="1"/>
        <v>#REF!</v>
      </c>
      <c r="AU628" s="7" t="e">
        <f ca="1"/>
        <v>#REF!</v>
      </c>
      <c r="AV628" s="7" t="e">
        <f ca="1"/>
        <v>#REF!</v>
      </c>
    </row>
    <row r="629" spans="37:48" x14ac:dyDescent="0.25">
      <c r="AK629" t="str">
        <f ca="1"/>
        <v>Obs. 1083</v>
      </c>
      <c r="AL629" s="7">
        <f ca="1"/>
        <v>56.4</v>
      </c>
      <c r="AN629" s="7" t="e">
        <f ca="1"/>
        <v>#REF!</v>
      </c>
      <c r="AO629" s="7" t="e">
        <f ca="1"/>
        <v>#REF!</v>
      </c>
      <c r="AP629" s="7">
        <f ca="1"/>
        <v>0.12562811449989705</v>
      </c>
      <c r="AQ629" s="7" t="e">
        <f ca="1"/>
        <v>#REF!</v>
      </c>
      <c r="AR629" s="7" t="e">
        <f ca="1"/>
        <v>#REF!</v>
      </c>
      <c r="AS629" s="7">
        <f ca="1"/>
        <v>-0.31204933220437475</v>
      </c>
      <c r="AT629" s="7" t="e">
        <f ca="1"/>
        <v>#REF!</v>
      </c>
      <c r="AU629" s="7" t="e">
        <f ca="1"/>
        <v>#REF!</v>
      </c>
      <c r="AV629" s="7" t="e">
        <f ca="1"/>
        <v>#REF!</v>
      </c>
    </row>
    <row r="630" spans="37:48" x14ac:dyDescent="0.25">
      <c r="AK630" t="str">
        <f ca="1"/>
        <v>Obs. 1092</v>
      </c>
      <c r="AL630" s="7">
        <f ca="1"/>
        <v>58.4</v>
      </c>
      <c r="AN630" s="7" t="e">
        <f ca="1"/>
        <v>#REF!</v>
      </c>
      <c r="AO630" s="7" t="e">
        <f ca="1"/>
        <v>#REF!</v>
      </c>
      <c r="AP630" s="7">
        <f ca="1"/>
        <v>0.16648078144700601</v>
      </c>
      <c r="AQ630" s="7" t="e">
        <f ca="1"/>
        <v>#REF!</v>
      </c>
      <c r="AR630" s="7" t="e">
        <f ca="1"/>
        <v>#REF!</v>
      </c>
      <c r="AS630" s="7">
        <f ca="1"/>
        <v>-0.31204933220437475</v>
      </c>
      <c r="AT630" s="7" t="e">
        <f ca="1"/>
        <v>#REF!</v>
      </c>
      <c r="AU630" s="7" t="e">
        <f ca="1"/>
        <v>#REF!</v>
      </c>
      <c r="AV630" s="7" t="e">
        <f ca="1"/>
        <v>#REF!</v>
      </c>
    </row>
    <row r="631" spans="37:48" x14ac:dyDescent="0.25">
      <c r="AK631" t="str">
        <f ca="1"/>
        <v>Obs. 1093</v>
      </c>
      <c r="AL631" s="7">
        <f ca="1"/>
        <v>58.1</v>
      </c>
      <c r="AN631" s="7" t="e">
        <f ca="1"/>
        <v>#REF!</v>
      </c>
      <c r="AO631" s="7" t="e">
        <f ca="1"/>
        <v>#REF!</v>
      </c>
      <c r="AP631" s="7">
        <f ca="1"/>
        <v>0.16623921866823493</v>
      </c>
      <c r="AQ631" s="7" t="e">
        <f ca="1"/>
        <v>#REF!</v>
      </c>
      <c r="AR631" s="7" t="e">
        <f ca="1"/>
        <v>#REF!</v>
      </c>
      <c r="AS631" s="7">
        <f ca="1"/>
        <v>-0.31204933220437475</v>
      </c>
      <c r="AT631" s="7" t="e">
        <f ca="1"/>
        <v>#REF!</v>
      </c>
      <c r="AU631" s="7" t="e">
        <f ca="1"/>
        <v>#REF!</v>
      </c>
      <c r="AV631" s="7" t="e">
        <f ca="1"/>
        <v>#REF!</v>
      </c>
    </row>
    <row r="632" spans="37:48" x14ac:dyDescent="0.25">
      <c r="AK632" t="str">
        <f ca="1"/>
        <v>Obs. 1094</v>
      </c>
      <c r="AL632" s="7">
        <f ca="1"/>
        <v>57.6</v>
      </c>
      <c r="AN632" s="7" t="e">
        <f ca="1"/>
        <v>#REF!</v>
      </c>
      <c r="AO632" s="7" t="e">
        <f ca="1"/>
        <v>#REF!</v>
      </c>
      <c r="AP632" s="7">
        <f ca="1"/>
        <v>0.16628932302365354</v>
      </c>
      <c r="AQ632" s="7" t="e">
        <f ca="1"/>
        <v>#REF!</v>
      </c>
      <c r="AR632" s="7" t="e">
        <f ca="1"/>
        <v>#REF!</v>
      </c>
      <c r="AS632" s="7">
        <f ca="1"/>
        <v>-0.31204933220437475</v>
      </c>
      <c r="AT632" s="7" t="e">
        <f ca="1"/>
        <v>#REF!</v>
      </c>
      <c r="AU632" s="7" t="e">
        <f ca="1"/>
        <v>#REF!</v>
      </c>
      <c r="AV632" s="7" t="e">
        <f ca="1"/>
        <v>#REF!</v>
      </c>
    </row>
    <row r="633" spans="37:48" x14ac:dyDescent="0.25">
      <c r="AK633" t="str">
        <f ca="1"/>
        <v>Obs. 1095</v>
      </c>
      <c r="AL633" s="7">
        <f ca="1"/>
        <v>57.1</v>
      </c>
      <c r="AN633" s="7" t="e">
        <f ca="1"/>
        <v>#REF!</v>
      </c>
      <c r="AO633" s="7" t="e">
        <f ca="1"/>
        <v>#REF!</v>
      </c>
      <c r="AP633" s="7">
        <f ca="1"/>
        <v>0.16689130371971816</v>
      </c>
      <c r="AQ633" s="7" t="e">
        <f ca="1"/>
        <v>#REF!</v>
      </c>
      <c r="AR633" s="7" t="e">
        <f ca="1"/>
        <v>#REF!</v>
      </c>
      <c r="AS633" s="7">
        <f ca="1"/>
        <v>-0.31204933220437475</v>
      </c>
      <c r="AT633" s="7" t="e">
        <f ca="1"/>
        <v>#REF!</v>
      </c>
      <c r="AU633" s="7" t="e">
        <f ca="1"/>
        <v>#REF!</v>
      </c>
      <c r="AV633" s="7" t="e">
        <f ca="1"/>
        <v>#REF!</v>
      </c>
    </row>
    <row r="634" spans="37:48" x14ac:dyDescent="0.25">
      <c r="AK634" t="str">
        <f ca="1"/>
        <v>Obs. 1096</v>
      </c>
      <c r="AL634" s="7">
        <f ca="1"/>
        <v>56.7</v>
      </c>
      <c r="AN634" s="7" t="e">
        <f ca="1"/>
        <v>#REF!</v>
      </c>
      <c r="AO634" s="7" t="e">
        <f ca="1"/>
        <v>#REF!</v>
      </c>
      <c r="AP634" s="7">
        <f ca="1"/>
        <v>0.16641865273015685</v>
      </c>
      <c r="AQ634" s="7" t="e">
        <f ca="1"/>
        <v>#REF!</v>
      </c>
      <c r="AR634" s="7" t="e">
        <f ca="1"/>
        <v>#REF!</v>
      </c>
      <c r="AS634" s="7">
        <f ca="1"/>
        <v>-0.31204933220437475</v>
      </c>
      <c r="AT634" s="7" t="e">
        <f ca="1"/>
        <v>#REF!</v>
      </c>
      <c r="AU634" s="7" t="e">
        <f ca="1"/>
        <v>#REF!</v>
      </c>
      <c r="AV634" s="7" t="e">
        <f ca="1"/>
        <v>#REF!</v>
      </c>
    </row>
    <row r="635" spans="37:48" x14ac:dyDescent="0.25">
      <c r="AK635" t="str">
        <f ca="1"/>
        <v>Obs. 1097</v>
      </c>
      <c r="AL635" s="7">
        <f ca="1"/>
        <v>56.3</v>
      </c>
      <c r="AN635" s="7" t="e">
        <f ca="1"/>
        <v>#REF!</v>
      </c>
      <c r="AO635" s="7" t="e">
        <f ca="1"/>
        <v>#REF!</v>
      </c>
      <c r="AP635" s="7">
        <f ca="1"/>
        <v>0.17793522001926618</v>
      </c>
      <c r="AQ635" s="7" t="e">
        <f ca="1"/>
        <v>#REF!</v>
      </c>
      <c r="AR635" s="7" t="e">
        <f ca="1"/>
        <v>#REF!</v>
      </c>
      <c r="AS635" s="7">
        <f ca="1"/>
        <v>-0.31204933220437475</v>
      </c>
      <c r="AT635" s="7" t="e">
        <f ca="1"/>
        <v>#REF!</v>
      </c>
      <c r="AU635" s="7" t="e">
        <f ca="1"/>
        <v>#REF!</v>
      </c>
      <c r="AV635" s="7" t="e">
        <f ca="1"/>
        <v>#REF!</v>
      </c>
    </row>
    <row r="636" spans="37:48" x14ac:dyDescent="0.25">
      <c r="AK636" t="str">
        <f ca="1"/>
        <v>Obs. 1108</v>
      </c>
      <c r="AL636" s="7">
        <f ca="1"/>
        <v>66</v>
      </c>
      <c r="AN636" s="7" t="e">
        <f ca="1"/>
        <v>#REF!</v>
      </c>
      <c r="AO636" s="7" t="e">
        <f ca="1"/>
        <v>#REF!</v>
      </c>
      <c r="AP636" s="7">
        <f ca="1"/>
        <v>7.6061941383478382E-2</v>
      </c>
      <c r="AQ636" s="7" t="e">
        <f ca="1"/>
        <v>#REF!</v>
      </c>
      <c r="AR636" s="7" t="e">
        <f ca="1"/>
        <v>#REF!</v>
      </c>
      <c r="AS636" s="7">
        <f ca="1"/>
        <v>-0.31204933220437475</v>
      </c>
      <c r="AT636" s="7" t="e">
        <f ca="1"/>
        <v>#REF!</v>
      </c>
      <c r="AU636" s="7" t="e">
        <f ca="1"/>
        <v>#REF!</v>
      </c>
      <c r="AV636" s="7" t="e">
        <f ca="1"/>
        <v>#REF!</v>
      </c>
    </row>
    <row r="637" spans="37:48" x14ac:dyDescent="0.25">
      <c r="AK637" t="str">
        <f ca="1"/>
        <v>Obs. 1109</v>
      </c>
      <c r="AL637" s="7">
        <f ca="1"/>
        <v>65.900000000000006</v>
      </c>
      <c r="AN637" s="7" t="e">
        <f ca="1"/>
        <v>#REF!</v>
      </c>
      <c r="AO637" s="7" t="e">
        <f ca="1"/>
        <v>#REF!</v>
      </c>
      <c r="AP637" s="7">
        <f ca="1"/>
        <v>7.4151697193157909E-2</v>
      </c>
      <c r="AQ637" s="7" t="e">
        <f ca="1"/>
        <v>#REF!</v>
      </c>
      <c r="AR637" s="7" t="e">
        <f ca="1"/>
        <v>#REF!</v>
      </c>
      <c r="AS637" s="7">
        <f ca="1"/>
        <v>-0.29295400660571042</v>
      </c>
      <c r="AT637" s="7" t="e">
        <f ca="1"/>
        <v>#REF!</v>
      </c>
      <c r="AU637" s="7" t="e">
        <f ca="1"/>
        <v>#REF!</v>
      </c>
      <c r="AV637" s="7" t="e">
        <f ca="1"/>
        <v>#REF!</v>
      </c>
    </row>
    <row r="638" spans="37:48" x14ac:dyDescent="0.25">
      <c r="AK638" t="str">
        <f ca="1"/>
        <v>Obs. 1110</v>
      </c>
      <c r="AL638" s="7">
        <f ca="1"/>
        <v>65.8</v>
      </c>
      <c r="AN638" s="7" t="e">
        <f ca="1"/>
        <v>#REF!</v>
      </c>
      <c r="AO638" s="7" t="e">
        <f ca="1"/>
        <v>#REF!</v>
      </c>
      <c r="AP638" s="7">
        <f ca="1"/>
        <v>7.4039706672068606E-2</v>
      </c>
      <c r="AQ638" s="7" t="e">
        <f ca="1"/>
        <v>#REF!</v>
      </c>
      <c r="AR638" s="7" t="e">
        <f ca="1"/>
        <v>#REF!</v>
      </c>
      <c r="AS638" s="7">
        <f ca="1"/>
        <v>-0.29295400660571042</v>
      </c>
      <c r="AT638" s="7" t="e">
        <f ca="1"/>
        <v>#REF!</v>
      </c>
      <c r="AU638" s="7" t="e">
        <f ca="1"/>
        <v>#REF!</v>
      </c>
      <c r="AV638" s="7" t="e">
        <f ca="1"/>
        <v>#REF!</v>
      </c>
    </row>
    <row r="639" spans="37:48" x14ac:dyDescent="0.25">
      <c r="AK639" t="str">
        <f ca="1"/>
        <v>Obs. 1111</v>
      </c>
      <c r="AL639" s="7">
        <f ca="1"/>
        <v>65.599999999999994</v>
      </c>
      <c r="AN639" s="7" t="e">
        <f ca="1"/>
        <v>#REF!</v>
      </c>
      <c r="AO639" s="7" t="e">
        <f ca="1"/>
        <v>#REF!</v>
      </c>
      <c r="AP639" s="7">
        <f ca="1"/>
        <v>7.1137744210039877E-2</v>
      </c>
      <c r="AQ639" s="7" t="e">
        <f ca="1"/>
        <v>#REF!</v>
      </c>
      <c r="AR639" s="7" t="e">
        <f ca="1"/>
        <v>#REF!</v>
      </c>
      <c r="AS639" s="7">
        <f ca="1"/>
        <v>-0.29295400660571042</v>
      </c>
      <c r="AT639" s="7" t="e">
        <f ca="1"/>
        <v>#REF!</v>
      </c>
      <c r="AU639" s="7" t="e">
        <f ca="1"/>
        <v>#REF!</v>
      </c>
      <c r="AV639" s="7" t="e">
        <f ca="1"/>
        <v>#REF!</v>
      </c>
    </row>
    <row r="640" spans="37:48" x14ac:dyDescent="0.25">
      <c r="AK640" t="str">
        <f ca="1"/>
        <v>Obs. 1112</v>
      </c>
      <c r="AL640" s="7">
        <f ca="1"/>
        <v>65.900000000000006</v>
      </c>
      <c r="AN640" s="7" t="e">
        <f ca="1"/>
        <v>#REF!</v>
      </c>
      <c r="AO640" s="7" t="e">
        <f ca="1"/>
        <v>#REF!</v>
      </c>
      <c r="AP640" s="7">
        <f ca="1"/>
        <v>7.0765042784935492E-2</v>
      </c>
      <c r="AQ640" s="7" t="e">
        <f ca="1"/>
        <v>#REF!</v>
      </c>
      <c r="AR640" s="7" t="e">
        <f ca="1"/>
        <v>#REF!</v>
      </c>
      <c r="AS640" s="7">
        <f ca="1"/>
        <v>-0.29295400660571042</v>
      </c>
      <c r="AT640" s="7" t="e">
        <f ca="1"/>
        <v>#REF!</v>
      </c>
      <c r="AU640" s="7" t="e">
        <f ca="1"/>
        <v>#REF!</v>
      </c>
      <c r="AV640" s="7" t="e">
        <f ca="1"/>
        <v>#REF!</v>
      </c>
    </row>
    <row r="641" spans="37:48" x14ac:dyDescent="0.25">
      <c r="AK641" t="str">
        <f ca="1"/>
        <v>Obs. 1113</v>
      </c>
      <c r="AL641" s="7">
        <f ca="1"/>
        <v>66.099999999999994</v>
      </c>
      <c r="AN641" s="7" t="e">
        <f ca="1"/>
        <v>#REF!</v>
      </c>
      <c r="AO641" s="7" t="e">
        <f ca="1"/>
        <v>#REF!</v>
      </c>
      <c r="AP641" s="7">
        <f ca="1"/>
        <v>6.9690393123641087E-2</v>
      </c>
      <c r="AQ641" s="7" t="e">
        <f ca="1"/>
        <v>#REF!</v>
      </c>
      <c r="AR641" s="7" t="e">
        <f ca="1"/>
        <v>#REF!</v>
      </c>
      <c r="AS641" s="7">
        <f ca="1"/>
        <v>-0.29295400660571042</v>
      </c>
      <c r="AT641" s="7" t="e">
        <f ca="1"/>
        <v>#REF!</v>
      </c>
      <c r="AU641" s="7" t="e">
        <f ca="1"/>
        <v>#REF!</v>
      </c>
      <c r="AV641" s="7" t="e">
        <f ca="1"/>
        <v>#REF!</v>
      </c>
    </row>
    <row r="642" spans="37:48" x14ac:dyDescent="0.25">
      <c r="AK642" t="str">
        <f ca="1"/>
        <v>Obs. 1114</v>
      </c>
      <c r="AL642" s="7">
        <f ca="1"/>
        <v>66.3</v>
      </c>
      <c r="AN642" s="7" t="e">
        <f ca="1"/>
        <v>#REF!</v>
      </c>
      <c r="AO642" s="7" t="e">
        <f ca="1"/>
        <v>#REF!</v>
      </c>
      <c r="AP642" s="7">
        <f ca="1"/>
        <v>7.2842000113672548E-2</v>
      </c>
      <c r="AQ642" s="7" t="e">
        <f ca="1"/>
        <v>#REF!</v>
      </c>
      <c r="AR642" s="7" t="e">
        <f ca="1"/>
        <v>#REF!</v>
      </c>
      <c r="AS642" s="7">
        <f ca="1"/>
        <v>-0.29295400660571042</v>
      </c>
      <c r="AT642" s="7" t="e">
        <f ca="1"/>
        <v>#REF!</v>
      </c>
      <c r="AU642" s="7" t="e">
        <f ca="1"/>
        <v>#REF!</v>
      </c>
      <c r="AV642" s="7" t="e">
        <f ca="1"/>
        <v>#REF!</v>
      </c>
    </row>
    <row r="643" spans="37:48" x14ac:dyDescent="0.25">
      <c r="AK643" t="str">
        <f ca="1"/>
        <v>Obs. 1115</v>
      </c>
      <c r="AL643" s="7">
        <f ca="1"/>
        <v>65.7</v>
      </c>
      <c r="AN643" s="7" t="e">
        <f ca="1"/>
        <v>#REF!</v>
      </c>
      <c r="AO643" s="7" t="e">
        <f ca="1"/>
        <v>#REF!</v>
      </c>
      <c r="AP643" s="7">
        <f ca="1"/>
        <v>7.2972606418285554E-2</v>
      </c>
      <c r="AQ643" s="7" t="e">
        <f ca="1"/>
        <v>#REF!</v>
      </c>
      <c r="AR643" s="7" t="e">
        <f ca="1"/>
        <v>#REF!</v>
      </c>
      <c r="AS643" s="7">
        <f ca="1"/>
        <v>-0.29295400660571042</v>
      </c>
      <c r="AT643" s="7" t="e">
        <f ca="1"/>
        <v>#REF!</v>
      </c>
      <c r="AU643" s="7" t="e">
        <f ca="1"/>
        <v>#REF!</v>
      </c>
      <c r="AV643" s="7" t="e">
        <f ca="1"/>
        <v>#REF!</v>
      </c>
    </row>
    <row r="644" spans="37:48" x14ac:dyDescent="0.25">
      <c r="AK644" t="str">
        <f ca="1"/>
        <v>Obs. 1116</v>
      </c>
      <c r="AL644" s="7">
        <f ca="1"/>
        <v>65.2</v>
      </c>
      <c r="AN644" s="7" t="e">
        <f ca="1"/>
        <v>#REF!</v>
      </c>
      <c r="AO644" s="7" t="e">
        <f ca="1"/>
        <v>#REF!</v>
      </c>
      <c r="AP644" s="7">
        <f ca="1"/>
        <v>7.5114731526624318E-2</v>
      </c>
      <c r="AQ644" s="7" t="e">
        <f ca="1"/>
        <v>#REF!</v>
      </c>
      <c r="AR644" s="7" t="e">
        <f ca="1"/>
        <v>#REF!</v>
      </c>
      <c r="AS644" s="7">
        <f ca="1"/>
        <v>-0.29295400660571042</v>
      </c>
      <c r="AT644" s="7" t="e">
        <f ca="1"/>
        <v>#REF!</v>
      </c>
      <c r="AU644" s="7" t="e">
        <f ca="1"/>
        <v>#REF!</v>
      </c>
      <c r="AV644" s="7" t="e">
        <f ca="1"/>
        <v>#REF!</v>
      </c>
    </row>
    <row r="645" spans="37:48" x14ac:dyDescent="0.25">
      <c r="AK645" t="str">
        <f ca="1"/>
        <v>Obs. 1117</v>
      </c>
      <c r="AL645" s="7">
        <f ca="1"/>
        <v>65</v>
      </c>
      <c r="AN645" s="7" t="e">
        <f ca="1"/>
        <v>#REF!</v>
      </c>
      <c r="AO645" s="7" t="e">
        <f ca="1"/>
        <v>#REF!</v>
      </c>
      <c r="AP645" s="7">
        <f ca="1"/>
        <v>7.0667669022454305E-2</v>
      </c>
      <c r="AQ645" s="7" t="e">
        <f ca="1"/>
        <v>#REF!</v>
      </c>
      <c r="AR645" s="7" t="e">
        <f ca="1"/>
        <v>#REF!</v>
      </c>
      <c r="AS645" s="7">
        <f ca="1"/>
        <v>-0.28028330588569778</v>
      </c>
      <c r="AT645" s="7" t="e">
        <f ca="1"/>
        <v>#REF!</v>
      </c>
      <c r="AU645" s="7" t="e">
        <f ca="1"/>
        <v>#REF!</v>
      </c>
      <c r="AV645" s="7" t="e">
        <f ca="1"/>
        <v>#REF!</v>
      </c>
    </row>
    <row r="646" spans="37:48" x14ac:dyDescent="0.25">
      <c r="AK646" t="str">
        <f ca="1"/>
        <v>Obs. 1118</v>
      </c>
      <c r="AL646" s="7">
        <f ca="1"/>
        <v>65.099999999999994</v>
      </c>
      <c r="AN646" s="7" t="e">
        <f ca="1"/>
        <v>#REF!</v>
      </c>
      <c r="AO646" s="7" t="e">
        <f ca="1"/>
        <v>#REF!</v>
      </c>
      <c r="AP646" s="7">
        <f ca="1"/>
        <v>7.0221273441892315E-2</v>
      </c>
      <c r="AQ646" s="7" t="e">
        <f ca="1"/>
        <v>#REF!</v>
      </c>
      <c r="AR646" s="7" t="e">
        <f ca="1"/>
        <v>#REF!</v>
      </c>
      <c r="AS646" s="7">
        <f ca="1"/>
        <v>-0.28028330588569778</v>
      </c>
      <c r="AT646" s="7" t="e">
        <f ca="1"/>
        <v>#REF!</v>
      </c>
      <c r="AU646" s="7" t="e">
        <f ca="1"/>
        <v>#REF!</v>
      </c>
      <c r="AV646" s="7" t="e">
        <f ca="1"/>
        <v>#REF!</v>
      </c>
    </row>
    <row r="647" spans="37:48" x14ac:dyDescent="0.25">
      <c r="AK647" t="str">
        <f ca="1"/>
        <v>Obs. 1119</v>
      </c>
      <c r="AL647" s="7">
        <f ca="1"/>
        <v>65.3</v>
      </c>
      <c r="AN647" s="7" t="e">
        <f ca="1"/>
        <v>#REF!</v>
      </c>
      <c r="AO647" s="7" t="e">
        <f ca="1"/>
        <v>#REF!</v>
      </c>
      <c r="AP647" s="7">
        <f ca="1"/>
        <v>9.0963314962097835E-2</v>
      </c>
      <c r="AQ647" s="7" t="e">
        <f ca="1"/>
        <v>#REF!</v>
      </c>
      <c r="AR647" s="7" t="e">
        <f ca="1"/>
        <v>#REF!</v>
      </c>
      <c r="AS647" s="7">
        <f ca="1"/>
        <v>-0.28028330588569778</v>
      </c>
      <c r="AT647" s="7" t="e">
        <f ca="1"/>
        <v>#REF!</v>
      </c>
      <c r="AU647" s="7" t="e">
        <f ca="1"/>
        <v>#REF!</v>
      </c>
      <c r="AV647" s="7" t="e">
        <f ca="1"/>
        <v>#REF!</v>
      </c>
    </row>
    <row r="648" spans="37:48" x14ac:dyDescent="0.25">
      <c r="AK648" t="str">
        <f ca="1"/>
        <v>Obs. 1120</v>
      </c>
      <c r="AL648" s="7">
        <f ca="1"/>
        <v>65.3</v>
      </c>
      <c r="AN648" s="7" t="e">
        <f ca="1"/>
        <v>#REF!</v>
      </c>
      <c r="AO648" s="7" t="e">
        <f ca="1"/>
        <v>#REF!</v>
      </c>
      <c r="AP648" s="7">
        <f ca="1"/>
        <v>7.201885464966068E-2</v>
      </c>
      <c r="AQ648" s="7" t="e">
        <f ca="1"/>
        <v>#REF!</v>
      </c>
      <c r="AR648" s="7" t="e">
        <f ca="1"/>
        <v>#REF!</v>
      </c>
      <c r="AS648" s="7">
        <f ca="1"/>
        <v>-0.28028330588569778</v>
      </c>
      <c r="AT648" s="7" t="e">
        <f ca="1"/>
        <v>#REF!</v>
      </c>
      <c r="AU648" s="7" t="e">
        <f ca="1"/>
        <v>#REF!</v>
      </c>
      <c r="AV648" s="7" t="e">
        <f ca="1"/>
        <v>#REF!</v>
      </c>
    </row>
    <row r="649" spans="37:48" x14ac:dyDescent="0.25">
      <c r="AK649" t="str">
        <f ca="1"/>
        <v>Obs. 1121</v>
      </c>
      <c r="AL649" s="7">
        <f ca="1"/>
        <v>65.400000000000006</v>
      </c>
      <c r="AN649" s="7" t="e">
        <f ca="1"/>
        <v>#REF!</v>
      </c>
      <c r="AO649" s="7" t="e">
        <f ca="1"/>
        <v>#REF!</v>
      </c>
      <c r="AP649" s="7">
        <f ca="1"/>
        <v>8.7720415087367665E-2</v>
      </c>
      <c r="AQ649" s="7" t="e">
        <f ca="1"/>
        <v>#REF!</v>
      </c>
      <c r="AR649" s="7" t="e">
        <f ca="1"/>
        <v>#REF!</v>
      </c>
      <c r="AS649" s="7">
        <f ca="1"/>
        <v>-0.27396491687072577</v>
      </c>
      <c r="AT649" s="7" t="e">
        <f ca="1"/>
        <v>#REF!</v>
      </c>
      <c r="AU649" s="7" t="e">
        <f ca="1"/>
        <v>#REF!</v>
      </c>
      <c r="AV649" s="7" t="e">
        <f ca="1"/>
        <v>#REF!</v>
      </c>
    </row>
    <row r="650" spans="37:48" x14ac:dyDescent="0.25">
      <c r="AK650" t="str">
        <f ca="1"/>
        <v>Obs. 1124</v>
      </c>
      <c r="AL650" s="7">
        <f ca="1"/>
        <v>63.1</v>
      </c>
      <c r="AN650" s="7" t="e">
        <f ca="1"/>
        <v>#REF!</v>
      </c>
      <c r="AO650" s="7" t="e">
        <f ca="1"/>
        <v>#REF!</v>
      </c>
      <c r="AP650" s="7">
        <f ca="1"/>
        <v>0.50016524002715568</v>
      </c>
      <c r="AQ650" s="7" t="e">
        <f ca="1"/>
        <v>#REF!</v>
      </c>
      <c r="AR650" s="7" t="e">
        <f ca="1"/>
        <v>#REF!</v>
      </c>
      <c r="AS650" s="7">
        <f ca="1"/>
        <v>-0.27396491687072577</v>
      </c>
      <c r="AT650" s="7" t="e">
        <f ca="1"/>
        <v>#REF!</v>
      </c>
      <c r="AU650" s="7" t="e">
        <f ca="1"/>
        <v>#REF!</v>
      </c>
      <c r="AV650" s="7" t="e">
        <f ca="1"/>
        <v>#REF!</v>
      </c>
    </row>
    <row r="651" spans="37:48" x14ac:dyDescent="0.25">
      <c r="AK651" t="str">
        <f ca="1"/>
        <v>Obs. 1125</v>
      </c>
      <c r="AL651" s="7">
        <f ca="1"/>
        <v>62.7</v>
      </c>
      <c r="AN651" s="7" t="e">
        <f ca="1"/>
        <v>#REF!</v>
      </c>
      <c r="AO651" s="7" t="e">
        <f ca="1"/>
        <v>#REF!</v>
      </c>
      <c r="AP651" s="7">
        <f ca="1"/>
        <v>0.50016524002715568</v>
      </c>
      <c r="AQ651" s="7" t="e">
        <f ca="1"/>
        <v>#REF!</v>
      </c>
      <c r="AR651" s="7" t="e">
        <f ca="1"/>
        <v>#REF!</v>
      </c>
      <c r="AS651" s="7">
        <f ca="1"/>
        <v>-0.27396491687072577</v>
      </c>
      <c r="AT651" s="7" t="e">
        <f ca="1"/>
        <v>#REF!</v>
      </c>
      <c r="AU651" s="7" t="e">
        <f ca="1"/>
        <v>#REF!</v>
      </c>
      <c r="AV651" s="7" t="e">
        <f ca="1"/>
        <v>#REF!</v>
      </c>
    </row>
    <row r="652" spans="37:48" x14ac:dyDescent="0.25">
      <c r="AK652" t="str">
        <f ca="1"/>
        <v>Obs. 1140</v>
      </c>
      <c r="AL652" s="7">
        <f ca="1"/>
        <v>74.5</v>
      </c>
      <c r="AN652" s="7" t="e">
        <f ca="1"/>
        <v>#REF!</v>
      </c>
      <c r="AO652" s="7" t="e">
        <f ca="1"/>
        <v>#REF!</v>
      </c>
      <c r="AP652" s="7">
        <f ca="1"/>
        <v>7.1829775340180937E-2</v>
      </c>
      <c r="AQ652" s="7" t="e">
        <f ca="1"/>
        <v>#REF!</v>
      </c>
      <c r="AR652" s="7" t="e">
        <f ca="1"/>
        <v>#REF!</v>
      </c>
      <c r="AS652" s="7">
        <f ca="1"/>
        <v>-0.27396491687072577</v>
      </c>
      <c r="AT652" s="7" t="e">
        <f ca="1"/>
        <v>#REF!</v>
      </c>
      <c r="AU652" s="7" t="e">
        <f ca="1"/>
        <v>#REF!</v>
      </c>
      <c r="AV652" s="7" t="e">
        <f ca="1"/>
        <v>#REF!</v>
      </c>
    </row>
    <row r="653" spans="37:48" x14ac:dyDescent="0.25">
      <c r="AK653" t="str">
        <f ca="1"/>
        <v>Obs. 1141</v>
      </c>
      <c r="AL653" s="7">
        <f ca="1"/>
        <v>74.3</v>
      </c>
      <c r="AN653" s="7" t="e">
        <f ca="1"/>
        <v>#REF!</v>
      </c>
      <c r="AO653" s="7" t="e">
        <f ca="1"/>
        <v>#REF!</v>
      </c>
      <c r="AP653" s="7">
        <f ca="1"/>
        <v>6.6860459767303676E-2</v>
      </c>
      <c r="AQ653" s="7" t="e">
        <f ca="1"/>
        <v>#REF!</v>
      </c>
      <c r="AR653" s="7" t="e">
        <f ca="1"/>
        <v>#REF!</v>
      </c>
      <c r="AS653" s="7">
        <f ca="1"/>
        <v>-0.27396491687072577</v>
      </c>
      <c r="AT653" s="7" t="e">
        <f ca="1"/>
        <v>#REF!</v>
      </c>
      <c r="AU653" s="7" t="e">
        <f ca="1"/>
        <v>#REF!</v>
      </c>
      <c r="AV653" s="7" t="e">
        <f ca="1"/>
        <v>#REF!</v>
      </c>
    </row>
    <row r="654" spans="37:48" x14ac:dyDescent="0.25">
      <c r="AK654" t="str">
        <f ca="1"/>
        <v>Obs. 1142</v>
      </c>
      <c r="AL654" s="7">
        <f ca="1"/>
        <v>74.099999999999994</v>
      </c>
      <c r="AN654" s="7" t="e">
        <f ca="1"/>
        <v>#REF!</v>
      </c>
      <c r="AO654" s="7" t="e">
        <f ca="1"/>
        <v>#REF!</v>
      </c>
      <c r="AP654" s="7">
        <f ca="1"/>
        <v>6.5180763572304165E-2</v>
      </c>
      <c r="AQ654" s="7" t="e">
        <f ca="1"/>
        <v>#REF!</v>
      </c>
      <c r="AR654" s="7" t="e">
        <f ca="1"/>
        <v>#REF!</v>
      </c>
      <c r="AS654" s="7">
        <f ca="1"/>
        <v>-0.27396491687072577</v>
      </c>
      <c r="AT654" s="7" t="e">
        <f ca="1"/>
        <v>#REF!</v>
      </c>
      <c r="AU654" s="7" t="e">
        <f ca="1"/>
        <v>#REF!</v>
      </c>
      <c r="AV654" s="7" t="e">
        <f ca="1"/>
        <v>#REF!</v>
      </c>
    </row>
    <row r="655" spans="37:48" x14ac:dyDescent="0.25">
      <c r="AK655" t="str">
        <f ca="1"/>
        <v>Obs. 1143</v>
      </c>
      <c r="AL655" s="7">
        <f ca="1"/>
        <v>73.900000000000006</v>
      </c>
      <c r="AN655" s="7" t="e">
        <f ca="1"/>
        <v>#REF!</v>
      </c>
      <c r="AO655" s="7" t="e">
        <f ca="1"/>
        <v>#REF!</v>
      </c>
      <c r="AP655" s="7">
        <f ca="1"/>
        <v>6.4522648497890051E-2</v>
      </c>
      <c r="AQ655" s="7" t="e">
        <f ca="1"/>
        <v>#REF!</v>
      </c>
      <c r="AR655" s="7" t="e">
        <f ca="1"/>
        <v>#REF!</v>
      </c>
      <c r="AS655" s="7">
        <f ca="1"/>
        <v>-0.27396491687072577</v>
      </c>
      <c r="AT655" s="7" t="e">
        <f ca="1"/>
        <v>#REF!</v>
      </c>
      <c r="AU655" s="7" t="e">
        <f ca="1"/>
        <v>#REF!</v>
      </c>
      <c r="AV655" s="7" t="e">
        <f ca="1"/>
        <v>#REF!</v>
      </c>
    </row>
    <row r="656" spans="37:48" x14ac:dyDescent="0.25">
      <c r="AK656" t="str">
        <f ca="1"/>
        <v>Obs. 1144</v>
      </c>
      <c r="AL656" s="7">
        <f ca="1"/>
        <v>73.599999999999994</v>
      </c>
      <c r="AN656" s="7" t="e">
        <f ca="1"/>
        <v>#REF!</v>
      </c>
      <c r="AO656" s="7" t="e">
        <f ca="1"/>
        <v>#REF!</v>
      </c>
      <c r="AP656" s="7">
        <f ca="1"/>
        <v>6.3929017544485295E-2</v>
      </c>
      <c r="AQ656" s="7" t="e">
        <f ca="1"/>
        <v>#REF!</v>
      </c>
      <c r="AR656" s="7" t="e">
        <f ca="1"/>
        <v>#REF!</v>
      </c>
      <c r="AS656" s="7">
        <f ca="1"/>
        <v>-0.26293383539244392</v>
      </c>
      <c r="AT656" s="7" t="e">
        <f ca="1"/>
        <v>#REF!</v>
      </c>
      <c r="AU656" s="7" t="e">
        <f ca="1"/>
        <v>#REF!</v>
      </c>
      <c r="AV656" s="7" t="e">
        <f ca="1"/>
        <v>#REF!</v>
      </c>
    </row>
    <row r="657" spans="37:48" x14ac:dyDescent="0.25">
      <c r="AK657" t="str">
        <f ca="1"/>
        <v>Obs. 1145</v>
      </c>
      <c r="AL657" s="7">
        <f ca="1"/>
        <v>73.400000000000006</v>
      </c>
      <c r="AN657" s="7" t="e">
        <f ca="1"/>
        <v>#REF!</v>
      </c>
      <c r="AO657" s="7" t="e">
        <f ca="1"/>
        <v>#REF!</v>
      </c>
      <c r="AP657" s="7">
        <f ca="1"/>
        <v>6.3692700039653757E-2</v>
      </c>
      <c r="AQ657" s="7" t="e">
        <f ca="1"/>
        <v>#REF!</v>
      </c>
      <c r="AR657" s="7" t="e">
        <f ca="1"/>
        <v>#REF!</v>
      </c>
      <c r="AS657" s="7">
        <f ca="1"/>
        <v>-0.26293383539244392</v>
      </c>
      <c r="AT657" s="7" t="e">
        <f ca="1"/>
        <v>#REF!</v>
      </c>
      <c r="AU657" s="7" t="e">
        <f ca="1"/>
        <v>#REF!</v>
      </c>
      <c r="AV657" s="7" t="e">
        <f ca="1"/>
        <v>#REF!</v>
      </c>
    </row>
    <row r="658" spans="37:48" x14ac:dyDescent="0.25">
      <c r="AK658" t="str">
        <f ca="1"/>
        <v>Obs. 1146</v>
      </c>
      <c r="AL658" s="7">
        <f ca="1"/>
        <v>73.2</v>
      </c>
      <c r="AN658" s="7" t="e">
        <f ca="1"/>
        <v>#REF!</v>
      </c>
      <c r="AO658" s="7" t="e">
        <f ca="1"/>
        <v>#REF!</v>
      </c>
      <c r="AP658" s="7">
        <f ca="1"/>
        <v>6.3424489562405845E-2</v>
      </c>
      <c r="AQ658" s="7" t="e">
        <f ca="1"/>
        <v>#REF!</v>
      </c>
      <c r="AR658" s="7" t="e">
        <f ca="1"/>
        <v>#REF!</v>
      </c>
      <c r="AS658" s="7">
        <f ca="1"/>
        <v>-0.26293383539244392</v>
      </c>
      <c r="AT658" s="7" t="e">
        <f ca="1"/>
        <v>#REF!</v>
      </c>
      <c r="AU658" s="7" t="e">
        <f ca="1"/>
        <v>#REF!</v>
      </c>
      <c r="AV658" s="7" t="e">
        <f ca="1"/>
        <v>#REF!</v>
      </c>
    </row>
    <row r="659" spans="37:48" x14ac:dyDescent="0.25">
      <c r="AK659" t="str">
        <f ca="1"/>
        <v>Obs. 1147</v>
      </c>
      <c r="AL659" s="7">
        <f ca="1"/>
        <v>73</v>
      </c>
      <c r="AN659" s="7" t="e">
        <f ca="1"/>
        <v>#REF!</v>
      </c>
      <c r="AO659" s="7" t="e">
        <f ca="1"/>
        <v>#REF!</v>
      </c>
      <c r="AP659" s="7">
        <f ca="1"/>
        <v>6.4900635820659872E-2</v>
      </c>
      <c r="AQ659" s="7" t="e">
        <f ca="1"/>
        <v>#REF!</v>
      </c>
      <c r="AR659" s="7" t="e">
        <f ca="1"/>
        <v>#REF!</v>
      </c>
      <c r="AS659" s="7">
        <f ca="1"/>
        <v>-0.26293383539244392</v>
      </c>
      <c r="AT659" s="7" t="e">
        <f ca="1"/>
        <v>#REF!</v>
      </c>
      <c r="AU659" s="7" t="e">
        <f ca="1"/>
        <v>#REF!</v>
      </c>
      <c r="AV659" s="7" t="e">
        <f ca="1"/>
        <v>#REF!</v>
      </c>
    </row>
    <row r="660" spans="37:48" x14ac:dyDescent="0.25">
      <c r="AK660" t="str">
        <f ca="1"/>
        <v>Obs. 1148</v>
      </c>
      <c r="AL660" s="7">
        <f ca="1"/>
        <v>72.8</v>
      </c>
      <c r="AN660" s="7" t="e">
        <f ca="1"/>
        <v>#REF!</v>
      </c>
      <c r="AO660" s="7" t="e">
        <f ca="1"/>
        <v>#REF!</v>
      </c>
      <c r="AP660" s="7">
        <f ca="1"/>
        <v>6.3437658410855205E-2</v>
      </c>
      <c r="AQ660" s="7" t="e">
        <f ca="1"/>
        <v>#REF!</v>
      </c>
      <c r="AR660" s="7" t="e">
        <f ca="1"/>
        <v>#REF!</v>
      </c>
      <c r="AS660" s="7">
        <f ca="1"/>
        <v>-0.26293383539244392</v>
      </c>
      <c r="AT660" s="7" t="e">
        <f ca="1"/>
        <v>#REF!</v>
      </c>
      <c r="AU660" s="7" t="e">
        <f ca="1"/>
        <v>#REF!</v>
      </c>
      <c r="AV660" s="7" t="e">
        <f ca="1"/>
        <v>#REF!</v>
      </c>
    </row>
    <row r="661" spans="37:48" x14ac:dyDescent="0.25">
      <c r="AK661" t="str">
        <f ca="1"/>
        <v>Obs. 1149</v>
      </c>
      <c r="AL661" s="7">
        <f ca="1"/>
        <v>72.5</v>
      </c>
      <c r="AN661" s="7" t="e">
        <f ca="1"/>
        <v>#REF!</v>
      </c>
      <c r="AO661" s="7" t="e">
        <f ca="1"/>
        <v>#REF!</v>
      </c>
      <c r="AP661" s="7">
        <f ca="1"/>
        <v>6.3491826562611833E-2</v>
      </c>
      <c r="AQ661" s="7" t="e">
        <f ca="1"/>
        <v>#REF!</v>
      </c>
      <c r="AR661" s="7" t="e">
        <f ca="1"/>
        <v>#REF!</v>
      </c>
      <c r="AS661" s="7">
        <f ca="1"/>
        <v>-0.26293383539244392</v>
      </c>
      <c r="AT661" s="7" t="e">
        <f ca="1"/>
        <v>#REF!</v>
      </c>
      <c r="AU661" s="7" t="e">
        <f ca="1"/>
        <v>#REF!</v>
      </c>
      <c r="AV661" s="7" t="e">
        <f ca="1"/>
        <v>#REF!</v>
      </c>
    </row>
    <row r="662" spans="37:48" x14ac:dyDescent="0.25">
      <c r="AK662" t="str">
        <f ca="1"/>
        <v>Obs. 1150</v>
      </c>
      <c r="AL662" s="7">
        <f ca="1"/>
        <v>72.2</v>
      </c>
      <c r="AN662" s="7" t="e">
        <f ca="1"/>
        <v>#REF!</v>
      </c>
      <c r="AO662" s="7" t="e">
        <f ca="1"/>
        <v>#REF!</v>
      </c>
      <c r="AP662" s="7">
        <f ca="1"/>
        <v>6.3582889553171346E-2</v>
      </c>
      <c r="AQ662" s="7" t="e">
        <f ca="1"/>
        <v>#REF!</v>
      </c>
      <c r="AR662" s="7" t="e">
        <f ca="1"/>
        <v>#REF!</v>
      </c>
      <c r="AS662" s="7">
        <f ca="1"/>
        <v>-0.26293383539244392</v>
      </c>
      <c r="AT662" s="7" t="e">
        <f ca="1"/>
        <v>#REF!</v>
      </c>
      <c r="AU662" s="7" t="e">
        <f ca="1"/>
        <v>#REF!</v>
      </c>
      <c r="AV662" s="7" t="e">
        <f ca="1"/>
        <v>#REF!</v>
      </c>
    </row>
    <row r="663" spans="37:48" x14ac:dyDescent="0.25">
      <c r="AK663" t="str">
        <f ca="1"/>
        <v>Obs. 1151</v>
      </c>
      <c r="AL663" s="7">
        <f ca="1"/>
        <v>71.900000000000006</v>
      </c>
      <c r="AN663" s="7" t="e">
        <f ca="1"/>
        <v>#REF!</v>
      </c>
      <c r="AO663" s="7" t="e">
        <f ca="1"/>
        <v>#REF!</v>
      </c>
      <c r="AP663" s="7">
        <f ca="1"/>
        <v>6.390520443618937E-2</v>
      </c>
      <c r="AQ663" s="7" t="e">
        <f ca="1"/>
        <v>#REF!</v>
      </c>
      <c r="AR663" s="7" t="e">
        <f ca="1"/>
        <v>#REF!</v>
      </c>
      <c r="AS663" s="7">
        <f ca="1"/>
        <v>-0.25193465741015014</v>
      </c>
      <c r="AT663" s="7" t="e">
        <f ca="1"/>
        <v>#REF!</v>
      </c>
      <c r="AU663" s="7" t="e">
        <f ca="1"/>
        <v>#REF!</v>
      </c>
      <c r="AV663" s="7" t="e">
        <f ca="1"/>
        <v>#REF!</v>
      </c>
    </row>
    <row r="664" spans="37:48" x14ac:dyDescent="0.25">
      <c r="AK664" t="str">
        <f ca="1"/>
        <v>Obs. 1152</v>
      </c>
      <c r="AL664" s="7">
        <f ca="1"/>
        <v>71.599999999999994</v>
      </c>
      <c r="AN664" s="7" t="e">
        <f ca="1"/>
        <v>#REF!</v>
      </c>
      <c r="AO664" s="7" t="e">
        <f ca="1"/>
        <v>#REF!</v>
      </c>
      <c r="AP664" s="7">
        <f ca="1"/>
        <v>6.8996555563179476E-2</v>
      </c>
      <c r="AQ664" s="7" t="e">
        <f ca="1"/>
        <v>#REF!</v>
      </c>
      <c r="AR664" s="7" t="e">
        <f ca="1"/>
        <v>#REF!</v>
      </c>
      <c r="AS664" s="7">
        <f ca="1"/>
        <v>-0.25193465741015014</v>
      </c>
      <c r="AT664" s="7" t="e">
        <f ca="1"/>
        <v>#REF!</v>
      </c>
      <c r="AU664" s="7" t="e">
        <f ca="1"/>
        <v>#REF!</v>
      </c>
      <c r="AV664" s="7" t="e">
        <f ca="1"/>
        <v>#REF!</v>
      </c>
    </row>
    <row r="665" spans="37:48" x14ac:dyDescent="0.25">
      <c r="AK665" t="str">
        <f ca="1"/>
        <v>Obs. 1153</v>
      </c>
      <c r="AL665" s="7">
        <f ca="1"/>
        <v>71.3</v>
      </c>
      <c r="AN665" s="7" t="e">
        <f ca="1"/>
        <v>#REF!</v>
      </c>
      <c r="AO665" s="7" t="e">
        <f ca="1"/>
        <v>#REF!</v>
      </c>
      <c r="AP665" s="7">
        <f ca="1"/>
        <v>6.57194454245634E-2</v>
      </c>
      <c r="AQ665" s="7" t="e">
        <f ca="1"/>
        <v>#REF!</v>
      </c>
      <c r="AR665" s="7" t="e">
        <f ca="1"/>
        <v>#REF!</v>
      </c>
      <c r="AS665" s="7">
        <f ca="1"/>
        <v>-0.25193465741015014</v>
      </c>
      <c r="AT665" s="7" t="e">
        <f ca="1"/>
        <v>#REF!</v>
      </c>
      <c r="AU665" s="7" t="e">
        <f ca="1"/>
        <v>#REF!</v>
      </c>
      <c r="AV665" s="7" t="e">
        <f ca="1"/>
        <v>#REF!</v>
      </c>
    </row>
    <row r="666" spans="37:48" x14ac:dyDescent="0.25">
      <c r="AK666" t="str">
        <f ca="1"/>
        <v>Obs. 1154</v>
      </c>
      <c r="AL666" s="7">
        <f ca="1"/>
        <v>71</v>
      </c>
      <c r="AN666" s="7" t="e">
        <f ca="1"/>
        <v>#REF!</v>
      </c>
      <c r="AO666" s="7" t="e">
        <f ca="1"/>
        <v>#REF!</v>
      </c>
      <c r="AP666" s="7">
        <f ca="1"/>
        <v>6.6585620938416079E-2</v>
      </c>
      <c r="AQ666" s="7" t="e">
        <f ca="1"/>
        <v>#REF!</v>
      </c>
      <c r="AR666" s="7" t="e">
        <f ca="1"/>
        <v>#REF!</v>
      </c>
      <c r="AS666" s="7">
        <f ca="1"/>
        <v>-0.25193465741015014</v>
      </c>
      <c r="AT666" s="7" t="e">
        <f ca="1"/>
        <v>#REF!</v>
      </c>
      <c r="AU666" s="7" t="e">
        <f ca="1"/>
        <v>#REF!</v>
      </c>
      <c r="AV666" s="7" t="e">
        <f ca="1"/>
        <v>#REF!</v>
      </c>
    </row>
    <row r="667" spans="37:48" x14ac:dyDescent="0.25">
      <c r="AK667" t="str">
        <f ca="1"/>
        <v>Obs. 1188</v>
      </c>
      <c r="AL667" s="7">
        <f ca="1"/>
        <v>68</v>
      </c>
      <c r="AN667" s="7" t="e">
        <f ca="1"/>
        <v>#REF!</v>
      </c>
      <c r="AO667" s="7" t="e">
        <f ca="1"/>
        <v>#REF!</v>
      </c>
      <c r="AP667" s="7">
        <f ca="1"/>
        <v>0.58701138935884922</v>
      </c>
      <c r="AQ667" s="7" t="e">
        <f ca="1"/>
        <v>#REF!</v>
      </c>
      <c r="AR667" s="7" t="e">
        <f ca="1"/>
        <v>#REF!</v>
      </c>
      <c r="AS667" s="7">
        <f ca="1"/>
        <v>-0.25193465741015014</v>
      </c>
      <c r="AT667" s="7" t="e">
        <f ca="1"/>
        <v>#REF!</v>
      </c>
      <c r="AU667" s="7" t="e">
        <f ca="1"/>
        <v>#REF!</v>
      </c>
      <c r="AV667" s="7" t="e">
        <f ca="1"/>
        <v>#REF!</v>
      </c>
    </row>
    <row r="668" spans="37:48" x14ac:dyDescent="0.25">
      <c r="AK668" t="str">
        <f ca="1"/>
        <v>Obs. 1189</v>
      </c>
      <c r="AL668" s="7">
        <f ca="1"/>
        <v>67.599999999999994</v>
      </c>
      <c r="AN668" s="7" t="e">
        <f ca="1"/>
        <v>#REF!</v>
      </c>
      <c r="AO668" s="7" t="e">
        <f ca="1"/>
        <v>#REF!</v>
      </c>
      <c r="AP668" s="7">
        <f ca="1"/>
        <v>0.23827030034656904</v>
      </c>
      <c r="AQ668" s="7" t="e">
        <f ca="1"/>
        <v>#REF!</v>
      </c>
      <c r="AR668" s="7" t="e">
        <f ca="1"/>
        <v>#REF!</v>
      </c>
      <c r="AS668" s="7">
        <f ca="1"/>
        <v>-0.25193465741015014</v>
      </c>
      <c r="AT668" s="7" t="e">
        <f ca="1"/>
        <v>#REF!</v>
      </c>
      <c r="AU668" s="7" t="e">
        <f ca="1"/>
        <v>#REF!</v>
      </c>
      <c r="AV668" s="7" t="e">
        <f ca="1"/>
        <v>#REF!</v>
      </c>
    </row>
    <row r="669" spans="37:48" x14ac:dyDescent="0.25">
      <c r="AK669" t="str">
        <f ca="1"/>
        <v>Obs. 1190</v>
      </c>
      <c r="AL669" s="7">
        <f ca="1"/>
        <v>67.3</v>
      </c>
      <c r="AN669" s="7" t="e">
        <f ca="1"/>
        <v>#REF!</v>
      </c>
      <c r="AO669" s="7" t="e">
        <f ca="1"/>
        <v>#REF!</v>
      </c>
      <c r="AP669" s="7">
        <f ca="1"/>
        <v>0.30116982517440077</v>
      </c>
      <c r="AQ669" s="7" t="e">
        <f ca="1"/>
        <v>#REF!</v>
      </c>
      <c r="AR669" s="7" t="e">
        <f ca="1"/>
        <v>#REF!</v>
      </c>
      <c r="AS669" s="7">
        <f ca="1"/>
        <v>-0.24253103988010652</v>
      </c>
      <c r="AT669" s="7" t="e">
        <f ca="1"/>
        <v>#REF!</v>
      </c>
      <c r="AU669" s="7" t="e">
        <f ca="1"/>
        <v>#REF!</v>
      </c>
      <c r="AV669" s="7" t="e">
        <f ca="1"/>
        <v>#REF!</v>
      </c>
    </row>
    <row r="670" spans="37:48" x14ac:dyDescent="0.25">
      <c r="AK670" t="str">
        <f ca="1"/>
        <v>Obs. 1191</v>
      </c>
      <c r="AL670" s="7">
        <f ca="1"/>
        <v>66.8</v>
      </c>
      <c r="AN670" s="7" t="e">
        <f ca="1"/>
        <v>#REF!</v>
      </c>
      <c r="AO670" s="7" t="e">
        <f ca="1"/>
        <v>#REF!</v>
      </c>
      <c r="AP670" s="7">
        <f ca="1"/>
        <v>0.25549026034105377</v>
      </c>
      <c r="AQ670" s="7" t="e">
        <f ca="1"/>
        <v>#REF!</v>
      </c>
      <c r="AR670" s="7" t="e">
        <f ca="1"/>
        <v>#REF!</v>
      </c>
      <c r="AS670" s="7">
        <f ca="1"/>
        <v>-0.24253103988010652</v>
      </c>
      <c r="AT670" s="7" t="e">
        <f ca="1"/>
        <v>#REF!</v>
      </c>
      <c r="AU670" s="7" t="e">
        <f ca="1"/>
        <v>#REF!</v>
      </c>
      <c r="AV670" s="7" t="e">
        <f ca="1"/>
        <v>#REF!</v>
      </c>
    </row>
    <row r="671" spans="37:48" x14ac:dyDescent="0.25">
      <c r="AK671" t="str">
        <f ca="1"/>
        <v>Obs. 1192</v>
      </c>
      <c r="AL671" s="7">
        <f ca="1"/>
        <v>66.400000000000006</v>
      </c>
      <c r="AN671" s="7" t="e">
        <f ca="1"/>
        <v>#REF!</v>
      </c>
      <c r="AO671" s="7" t="e">
        <f ca="1"/>
        <v>#REF!</v>
      </c>
      <c r="AP671" s="7">
        <f ca="1"/>
        <v>0.17941676467130044</v>
      </c>
      <c r="AQ671" s="7" t="e">
        <f ca="1"/>
        <v>#REF!</v>
      </c>
      <c r="AR671" s="7" t="e">
        <f ca="1"/>
        <v>#REF!</v>
      </c>
      <c r="AS671" s="7">
        <f ca="1"/>
        <v>-0.24253103988010652</v>
      </c>
      <c r="AT671" s="7" t="e">
        <f ca="1"/>
        <v>#REF!</v>
      </c>
      <c r="AU671" s="7" t="e">
        <f ca="1"/>
        <v>#REF!</v>
      </c>
      <c r="AV671" s="7" t="e">
        <f ca="1"/>
        <v>#REF!</v>
      </c>
    </row>
    <row r="672" spans="37:48" x14ac:dyDescent="0.25">
      <c r="AK672" t="str">
        <f ca="1"/>
        <v>Obs. 1193</v>
      </c>
      <c r="AL672" s="7">
        <f ca="1"/>
        <v>66</v>
      </c>
      <c r="AN672" s="7" t="e">
        <f ca="1"/>
        <v>#REF!</v>
      </c>
      <c r="AO672" s="7" t="e">
        <f ca="1"/>
        <v>#REF!</v>
      </c>
      <c r="AP672" s="7">
        <f ca="1"/>
        <v>0.2215283895552311</v>
      </c>
      <c r="AQ672" s="7" t="e">
        <f ca="1"/>
        <v>#REF!</v>
      </c>
      <c r="AR672" s="7" t="e">
        <f ca="1"/>
        <v>#REF!</v>
      </c>
      <c r="AS672" s="7">
        <f ca="1"/>
        <v>-0.23783731322627524</v>
      </c>
      <c r="AT672" s="7" t="e">
        <f ca="1"/>
        <v>#REF!</v>
      </c>
      <c r="AU672" s="7" t="e">
        <f ca="1"/>
        <v>#REF!</v>
      </c>
      <c r="AV672" s="7" t="e">
        <f ca="1"/>
        <v>#REF!</v>
      </c>
    </row>
    <row r="673" spans="37:48" x14ac:dyDescent="0.25">
      <c r="AK673" t="str">
        <f ca="1"/>
        <v>Obs. 1194</v>
      </c>
      <c r="AL673" s="7">
        <f ca="1"/>
        <v>65.5</v>
      </c>
      <c r="AN673" s="7" t="e">
        <f ca="1"/>
        <v>#REF!</v>
      </c>
      <c r="AO673" s="7" t="e">
        <f ca="1"/>
        <v>#REF!</v>
      </c>
      <c r="AP673" s="7">
        <f ca="1"/>
        <v>0.35655628460101713</v>
      </c>
      <c r="AQ673" s="7" t="e">
        <f ca="1"/>
        <v>#REF!</v>
      </c>
      <c r="AR673" s="7" t="e">
        <f ca="1"/>
        <v>#REF!</v>
      </c>
      <c r="AS673" s="7">
        <f ca="1"/>
        <v>-0.23783731322627524</v>
      </c>
      <c r="AT673" s="7" t="e">
        <f ca="1"/>
        <v>#REF!</v>
      </c>
      <c r="AU673" s="7" t="e">
        <f ca="1"/>
        <v>#REF!</v>
      </c>
      <c r="AV673" s="7" t="e">
        <f ca="1"/>
        <v>#REF!</v>
      </c>
    </row>
    <row r="674" spans="37:48" x14ac:dyDescent="0.25">
      <c r="AK674" t="str">
        <f ca="1"/>
        <v>Obs. 1195</v>
      </c>
      <c r="AL674" s="7">
        <f ca="1"/>
        <v>65.2</v>
      </c>
      <c r="AN674" s="7" t="e">
        <f ca="1"/>
        <v>#REF!</v>
      </c>
      <c r="AO674" s="7" t="e">
        <f ca="1"/>
        <v>#REF!</v>
      </c>
      <c r="AP674" s="7">
        <f ca="1"/>
        <v>0.27707613283958565</v>
      </c>
      <c r="AQ674" s="7" t="e">
        <f ca="1"/>
        <v>#REF!</v>
      </c>
      <c r="AR674" s="7" t="e">
        <f ca="1"/>
        <v>#REF!</v>
      </c>
      <c r="AS674" s="7">
        <f ca="1"/>
        <v>-0.23783731322627524</v>
      </c>
      <c r="AT674" s="7" t="e">
        <f ca="1"/>
        <v>#REF!</v>
      </c>
      <c r="AU674" s="7" t="e">
        <f ca="1"/>
        <v>#REF!</v>
      </c>
      <c r="AV674" s="7" t="e">
        <f ca="1"/>
        <v>#REF!</v>
      </c>
    </row>
    <row r="675" spans="37:48" x14ac:dyDescent="0.25">
      <c r="AK675" t="str">
        <f ca="1"/>
        <v>Obs. 1196</v>
      </c>
      <c r="AL675" s="7">
        <f ca="1"/>
        <v>64.8</v>
      </c>
      <c r="AN675" s="7" t="e">
        <f ca="1"/>
        <v>#REF!</v>
      </c>
      <c r="AO675" s="7" t="e">
        <f ca="1"/>
        <v>#REF!</v>
      </c>
      <c r="AP675" s="7">
        <f ca="1"/>
        <v>0.21565003940740449</v>
      </c>
      <c r="AQ675" s="7" t="e">
        <f ca="1"/>
        <v>#REF!</v>
      </c>
      <c r="AR675" s="7" t="e">
        <f ca="1"/>
        <v>#REF!</v>
      </c>
      <c r="AS675" s="7">
        <f ca="1"/>
        <v>-0.23783731322627524</v>
      </c>
      <c r="AT675" s="7" t="e">
        <f ca="1"/>
        <v>#REF!</v>
      </c>
      <c r="AU675" s="7" t="e">
        <f ca="1"/>
        <v>#REF!</v>
      </c>
      <c r="AV675" s="7" t="e">
        <f ca="1"/>
        <v>#REF!</v>
      </c>
    </row>
    <row r="676" spans="37:48" x14ac:dyDescent="0.25">
      <c r="AK676" t="str">
        <f ca="1"/>
        <v>Obs. 1197</v>
      </c>
      <c r="AL676" s="7">
        <f ca="1"/>
        <v>64.400000000000006</v>
      </c>
      <c r="AN676" s="7" t="e">
        <f ca="1"/>
        <v>#REF!</v>
      </c>
      <c r="AO676" s="7" t="e">
        <f ca="1"/>
        <v>#REF!</v>
      </c>
      <c r="AP676" s="7">
        <f ca="1"/>
        <v>0.21973505132150328</v>
      </c>
      <c r="AQ676" s="7" t="e">
        <f ca="1"/>
        <v>#REF!</v>
      </c>
      <c r="AR676" s="7" t="e">
        <f ca="1"/>
        <v>#REF!</v>
      </c>
      <c r="AS676" s="7">
        <f ca="1"/>
        <v>-0.23783731322627524</v>
      </c>
      <c r="AT676" s="7" t="e">
        <f ca="1"/>
        <v>#REF!</v>
      </c>
      <c r="AU676" s="7" t="e">
        <f ca="1"/>
        <v>#REF!</v>
      </c>
      <c r="AV676" s="7" t="e">
        <f ca="1"/>
        <v>#REF!</v>
      </c>
    </row>
    <row r="677" spans="37:48" x14ac:dyDescent="0.25">
      <c r="AK677" t="str">
        <f ca="1"/>
        <v>Obs. 1198</v>
      </c>
      <c r="AL677" s="7">
        <f ca="1"/>
        <v>64</v>
      </c>
      <c r="AN677" s="7" t="e">
        <f ca="1"/>
        <v>#REF!</v>
      </c>
      <c r="AO677" s="7" t="e">
        <f ca="1"/>
        <v>#REF!</v>
      </c>
      <c r="AP677" s="7">
        <f ca="1"/>
        <v>0.33441484718329112</v>
      </c>
      <c r="AQ677" s="7" t="e">
        <f ca="1"/>
        <v>#REF!</v>
      </c>
      <c r="AR677" s="7" t="e">
        <f ca="1"/>
        <v>#REF!</v>
      </c>
      <c r="AS677" s="7">
        <f ca="1"/>
        <v>-0.23002600999886993</v>
      </c>
      <c r="AT677" s="7" t="e">
        <f ca="1"/>
        <v>#REF!</v>
      </c>
      <c r="AU677" s="7" t="e">
        <f ca="1"/>
        <v>#REF!</v>
      </c>
      <c r="AV677" s="7" t="e">
        <f ca="1"/>
        <v>#REF!</v>
      </c>
    </row>
    <row r="678" spans="37:48" x14ac:dyDescent="0.25">
      <c r="AK678" t="str">
        <f ca="1"/>
        <v>Obs. 1204</v>
      </c>
      <c r="AL678" s="7">
        <f ca="1"/>
        <v>68.900000000000006</v>
      </c>
      <c r="AN678" s="7" t="e">
        <f ca="1"/>
        <v>#REF!</v>
      </c>
      <c r="AO678" s="7" t="e">
        <f ca="1"/>
        <v>#REF!</v>
      </c>
      <c r="AP678" s="7">
        <f ca="1"/>
        <v>7.5180922642196363E-2</v>
      </c>
      <c r="AQ678" s="7" t="e">
        <f ca="1"/>
        <v>#REF!</v>
      </c>
      <c r="AR678" s="7" t="e">
        <f ca="1"/>
        <v>#REF!</v>
      </c>
      <c r="AS678" s="7">
        <f ca="1"/>
        <v>-0.23002600999886993</v>
      </c>
      <c r="AT678" s="7" t="e">
        <f ca="1"/>
        <v>#REF!</v>
      </c>
      <c r="AU678" s="7" t="e">
        <f ca="1"/>
        <v>#REF!</v>
      </c>
      <c r="AV678" s="7" t="e">
        <f ca="1"/>
        <v>#REF!</v>
      </c>
    </row>
    <row r="679" spans="37:48" x14ac:dyDescent="0.25">
      <c r="AK679" t="str">
        <f ca="1"/>
        <v>Obs. 1205</v>
      </c>
      <c r="AL679" s="7">
        <f ca="1"/>
        <v>68.7</v>
      </c>
      <c r="AN679" s="7" t="e">
        <f ca="1"/>
        <v>#REF!</v>
      </c>
      <c r="AO679" s="7" t="e">
        <f ca="1"/>
        <v>#REF!</v>
      </c>
      <c r="AP679" s="7">
        <f ca="1"/>
        <v>5.9562410139016531E-2</v>
      </c>
      <c r="AQ679" s="7" t="e">
        <f ca="1"/>
        <v>#REF!</v>
      </c>
      <c r="AR679" s="7" t="e">
        <f ca="1"/>
        <v>#REF!</v>
      </c>
      <c r="AS679" s="7">
        <f ca="1"/>
        <v>-0.23002600999886993</v>
      </c>
      <c r="AT679" s="7" t="e">
        <f ca="1"/>
        <v>#REF!</v>
      </c>
      <c r="AU679" s="7" t="e">
        <f ca="1"/>
        <v>#REF!</v>
      </c>
      <c r="AV679" s="7" t="e">
        <f ca="1"/>
        <v>#REF!</v>
      </c>
    </row>
    <row r="680" spans="37:48" x14ac:dyDescent="0.25">
      <c r="AK680" t="str">
        <f ca="1"/>
        <v>Obs. 1206</v>
      </c>
      <c r="AL680" s="7">
        <f ca="1"/>
        <v>68.5</v>
      </c>
      <c r="AN680" s="7" t="e">
        <f ca="1"/>
        <v>#REF!</v>
      </c>
      <c r="AO680" s="7" t="e">
        <f ca="1"/>
        <v>#REF!</v>
      </c>
      <c r="AP680" s="7">
        <f ca="1"/>
        <v>6.3087366751683929E-2</v>
      </c>
      <c r="AQ680" s="7" t="e">
        <f ca="1"/>
        <v>#REF!</v>
      </c>
      <c r="AR680" s="7" t="e">
        <f ca="1"/>
        <v>#REF!</v>
      </c>
      <c r="AS680" s="7">
        <f ca="1"/>
        <v>-0.23002600999886993</v>
      </c>
      <c r="AT680" s="7" t="e">
        <f ca="1"/>
        <v>#REF!</v>
      </c>
      <c r="AU680" s="7" t="e">
        <f ca="1"/>
        <v>#REF!</v>
      </c>
      <c r="AV680" s="7" t="e">
        <f ca="1"/>
        <v>#REF!</v>
      </c>
    </row>
    <row r="681" spans="37:48" x14ac:dyDescent="0.25">
      <c r="AK681" t="str">
        <f ca="1"/>
        <v>Obs. 1207</v>
      </c>
      <c r="AL681" s="7">
        <f ca="1"/>
        <v>68.3</v>
      </c>
      <c r="AN681" s="7" t="e">
        <f ca="1"/>
        <v>#REF!</v>
      </c>
      <c r="AO681" s="7" t="e">
        <f ca="1"/>
        <v>#REF!</v>
      </c>
      <c r="AP681" s="7">
        <f ca="1"/>
        <v>5.7991120965646306E-2</v>
      </c>
      <c r="AQ681" s="7" t="e">
        <f ca="1"/>
        <v>#REF!</v>
      </c>
      <c r="AR681" s="7" t="e">
        <f ca="1"/>
        <v>#REF!</v>
      </c>
      <c r="AS681" s="7">
        <f ca="1"/>
        <v>-0.22378708008709278</v>
      </c>
      <c r="AT681" s="7" t="e">
        <f ca="1"/>
        <v>#REF!</v>
      </c>
      <c r="AU681" s="7" t="e">
        <f ca="1"/>
        <v>#REF!</v>
      </c>
      <c r="AV681" s="7" t="e">
        <f ca="1"/>
        <v>#REF!</v>
      </c>
    </row>
    <row r="682" spans="37:48" x14ac:dyDescent="0.25">
      <c r="AK682" t="str">
        <f ca="1"/>
        <v>Obs. 1208</v>
      </c>
      <c r="AL682" s="7">
        <f ca="1"/>
        <v>68.099999999999994</v>
      </c>
      <c r="AN682" s="7" t="e">
        <f ca="1"/>
        <v>#REF!</v>
      </c>
      <c r="AO682" s="7" t="e">
        <f ca="1"/>
        <v>#REF!</v>
      </c>
      <c r="AP682" s="7">
        <f ca="1"/>
        <v>6.0815652500044656E-2</v>
      </c>
      <c r="AQ682" s="7" t="e">
        <f ca="1"/>
        <v>#REF!</v>
      </c>
      <c r="AR682" s="7" t="e">
        <f ca="1"/>
        <v>#REF!</v>
      </c>
      <c r="AS682" s="7">
        <f ca="1"/>
        <v>-0.22378708008709278</v>
      </c>
      <c r="AT682" s="7" t="e">
        <f ca="1"/>
        <v>#REF!</v>
      </c>
      <c r="AU682" s="7" t="e">
        <f ca="1"/>
        <v>#REF!</v>
      </c>
      <c r="AV682" s="7" t="e">
        <f ca="1"/>
        <v>#REF!</v>
      </c>
    </row>
    <row r="683" spans="37:48" x14ac:dyDescent="0.25">
      <c r="AK683" t="str">
        <f ca="1"/>
        <v>Obs. 1209</v>
      </c>
      <c r="AL683" s="7">
        <f ca="1"/>
        <v>67.900000000000006</v>
      </c>
      <c r="AN683" s="7" t="e">
        <f ca="1"/>
        <v>#REF!</v>
      </c>
      <c r="AO683" s="7" t="e">
        <f ca="1"/>
        <v>#REF!</v>
      </c>
      <c r="AP683" s="7">
        <f ca="1"/>
        <v>5.7128718039727813E-2</v>
      </c>
      <c r="AQ683" s="7" t="e">
        <f ca="1"/>
        <v>#REF!</v>
      </c>
      <c r="AR683" s="7" t="e">
        <f ca="1"/>
        <v>#REF!</v>
      </c>
      <c r="AS683" s="7">
        <f ca="1"/>
        <v>-0.22378708008709278</v>
      </c>
      <c r="AT683" s="7" t="e">
        <f ca="1"/>
        <v>#REF!</v>
      </c>
      <c r="AU683" s="7" t="e">
        <f ca="1"/>
        <v>#REF!</v>
      </c>
      <c r="AV683" s="7" t="e">
        <f ca="1"/>
        <v>#REF!</v>
      </c>
    </row>
    <row r="684" spans="37:48" x14ac:dyDescent="0.25">
      <c r="AK684" t="str">
        <f ca="1"/>
        <v>Obs. 1210</v>
      </c>
      <c r="AL684" s="7">
        <f ca="1"/>
        <v>67.7</v>
      </c>
      <c r="AN684" s="7" t="e">
        <f ca="1"/>
        <v>#REF!</v>
      </c>
      <c r="AO684" s="7" t="e">
        <f ca="1"/>
        <v>#REF!</v>
      </c>
      <c r="AP684" s="7">
        <f ca="1"/>
        <v>5.9120619522322268E-2</v>
      </c>
      <c r="AQ684" s="7" t="e">
        <f ca="1"/>
        <v>#REF!</v>
      </c>
      <c r="AR684" s="7" t="e">
        <f ca="1"/>
        <v>#REF!</v>
      </c>
      <c r="AS684" s="7">
        <f ca="1"/>
        <v>-0.22378708008709278</v>
      </c>
      <c r="AT684" s="7" t="e">
        <f ca="1"/>
        <v>#REF!</v>
      </c>
      <c r="AU684" s="7" t="e">
        <f ca="1"/>
        <v>#REF!</v>
      </c>
      <c r="AV684" s="7" t="e">
        <f ca="1"/>
        <v>#REF!</v>
      </c>
    </row>
    <row r="685" spans="37:48" x14ac:dyDescent="0.25">
      <c r="AK685" t="str">
        <f ca="1"/>
        <v>Obs. 1211</v>
      </c>
      <c r="AL685" s="7">
        <f ca="1"/>
        <v>67.5</v>
      </c>
      <c r="AN685" s="7" t="e">
        <f ca="1"/>
        <v>#REF!</v>
      </c>
      <c r="AO685" s="7" t="e">
        <f ca="1"/>
        <v>#REF!</v>
      </c>
      <c r="AP685" s="7">
        <f ca="1"/>
        <v>6.2488162107789888E-2</v>
      </c>
      <c r="AQ685" s="7" t="e">
        <f ca="1"/>
        <v>#REF!</v>
      </c>
      <c r="AR685" s="7" t="e">
        <f ca="1"/>
        <v>#REF!</v>
      </c>
      <c r="AS685" s="7">
        <f ca="1"/>
        <v>-0.22378708008709278</v>
      </c>
      <c r="AT685" s="7" t="e">
        <f ca="1"/>
        <v>#REF!</v>
      </c>
      <c r="AU685" s="7" t="e">
        <f ca="1"/>
        <v>#REF!</v>
      </c>
      <c r="AV685" s="7" t="e">
        <f ca="1"/>
        <v>#REF!</v>
      </c>
    </row>
    <row r="686" spans="37:48" x14ac:dyDescent="0.25">
      <c r="AK686" t="str">
        <f ca="1"/>
        <v>Obs. 1212</v>
      </c>
      <c r="AL686" s="7">
        <f ca="1"/>
        <v>67.3</v>
      </c>
      <c r="AN686" s="7" t="e">
        <f ca="1"/>
        <v>#REF!</v>
      </c>
      <c r="AO686" s="7" t="e">
        <f ca="1"/>
        <v>#REF!</v>
      </c>
      <c r="AP686" s="7">
        <f ca="1"/>
        <v>5.8072438842547078E-2</v>
      </c>
      <c r="AQ686" s="7" t="e">
        <f ca="1"/>
        <v>#REF!</v>
      </c>
      <c r="AR686" s="7" t="e">
        <f ca="1"/>
        <v>#REF!</v>
      </c>
      <c r="AS686" s="7">
        <f ca="1"/>
        <v>-0.22378708008709278</v>
      </c>
      <c r="AT686" s="7" t="e">
        <f ca="1"/>
        <v>#REF!</v>
      </c>
      <c r="AU686" s="7" t="e">
        <f ca="1"/>
        <v>#REF!</v>
      </c>
      <c r="AV686" s="7" t="e">
        <f ca="1"/>
        <v>#REF!</v>
      </c>
    </row>
    <row r="687" spans="37:48" x14ac:dyDescent="0.25">
      <c r="AK687" t="str">
        <f ca="1"/>
        <v>Obs. 1213</v>
      </c>
      <c r="AL687" s="7">
        <f ca="1"/>
        <v>67.2</v>
      </c>
      <c r="AN687" s="7" t="e">
        <f ca="1"/>
        <v>#REF!</v>
      </c>
      <c r="AO687" s="7" t="e">
        <f ca="1"/>
        <v>#REF!</v>
      </c>
      <c r="AP687" s="7">
        <f ca="1"/>
        <v>5.9651392050838234E-2</v>
      </c>
      <c r="AQ687" s="7" t="e">
        <f ca="1"/>
        <v>#REF!</v>
      </c>
      <c r="AR687" s="7" t="e">
        <f ca="1"/>
        <v>#REF!</v>
      </c>
      <c r="AS687" s="7">
        <f ca="1"/>
        <v>-0.21444491222324932</v>
      </c>
      <c r="AT687" s="7" t="e">
        <f ca="1"/>
        <v>#REF!</v>
      </c>
      <c r="AU687" s="7" t="e">
        <f ca="1"/>
        <v>#REF!</v>
      </c>
      <c r="AV687" s="7" t="e">
        <f ca="1"/>
        <v>#REF!</v>
      </c>
    </row>
    <row r="688" spans="37:48" x14ac:dyDescent="0.25">
      <c r="AK688" t="str">
        <f ca="1"/>
        <v>Obs. 1214</v>
      </c>
      <c r="AL688" s="7">
        <f ca="1"/>
        <v>65.3</v>
      </c>
      <c r="AN688" s="7" t="e">
        <f ca="1"/>
        <v>#REF!</v>
      </c>
      <c r="AO688" s="7" t="e">
        <f ca="1"/>
        <v>#REF!</v>
      </c>
      <c r="AP688" s="7">
        <f ca="1"/>
        <v>7.9134646780403911E-2</v>
      </c>
      <c r="AQ688" s="7" t="e">
        <f ca="1"/>
        <v>#REF!</v>
      </c>
      <c r="AR688" s="7" t="e">
        <f ca="1"/>
        <v>#REF!</v>
      </c>
      <c r="AS688" s="7">
        <f ca="1"/>
        <v>-0.21444491222324932</v>
      </c>
      <c r="AT688" s="7" t="e">
        <f ca="1"/>
        <v>#REF!</v>
      </c>
      <c r="AU688" s="7" t="e">
        <f ca="1"/>
        <v>#REF!</v>
      </c>
      <c r="AV688" s="7" t="e">
        <f ca="1"/>
        <v>#REF!</v>
      </c>
    </row>
    <row r="689" spans="37:48" x14ac:dyDescent="0.25">
      <c r="AK689" t="str">
        <f ca="1"/>
        <v>Obs. 1215</v>
      </c>
      <c r="AL689" s="7">
        <f ca="1"/>
        <v>66.900000000000006</v>
      </c>
      <c r="AN689" s="7" t="e">
        <f ca="1"/>
        <v>#REF!</v>
      </c>
      <c r="AO689" s="7" t="e">
        <f ca="1"/>
        <v>#REF!</v>
      </c>
      <c r="AP689" s="7">
        <f ca="1"/>
        <v>8.5170245066152311E-2</v>
      </c>
      <c r="AQ689" s="7" t="e">
        <f ca="1"/>
        <v>#REF!</v>
      </c>
      <c r="AR689" s="7" t="e">
        <f ca="1"/>
        <v>#REF!</v>
      </c>
      <c r="AS689" s="7">
        <f ca="1"/>
        <v>-0.21444491222324932</v>
      </c>
      <c r="AT689" s="7" t="e">
        <f ca="1"/>
        <v>#REF!</v>
      </c>
      <c r="AU689" s="7" t="e">
        <f ca="1"/>
        <v>#REF!</v>
      </c>
      <c r="AV689" s="7" t="e">
        <f ca="1"/>
        <v>#REF!</v>
      </c>
    </row>
    <row r="690" spans="37:48" x14ac:dyDescent="0.25">
      <c r="AK690" t="str">
        <f ca="1"/>
        <v>Obs. 1216</v>
      </c>
      <c r="AL690" s="7">
        <f ca="1"/>
        <v>66.7</v>
      </c>
      <c r="AN690" s="7" t="e">
        <f ca="1"/>
        <v>#REF!</v>
      </c>
      <c r="AO690" s="7" t="e">
        <f ca="1"/>
        <v>#REF!</v>
      </c>
      <c r="AP690" s="7">
        <f ca="1"/>
        <v>8.7406658818456565E-2</v>
      </c>
      <c r="AQ690" s="7" t="e">
        <f ca="1"/>
        <v>#REF!</v>
      </c>
      <c r="AR690" s="7" t="e">
        <f ca="1"/>
        <v>#REF!</v>
      </c>
      <c r="AS690" s="7">
        <f ca="1"/>
        <v>-0.21444491222324932</v>
      </c>
      <c r="AT690" s="7" t="e">
        <f ca="1"/>
        <v>#REF!</v>
      </c>
      <c r="AU690" s="7" t="e">
        <f ca="1"/>
        <v>#REF!</v>
      </c>
      <c r="AV690" s="7" t="e">
        <f ca="1"/>
        <v>#REF!</v>
      </c>
    </row>
    <row r="691" spans="37:48" x14ac:dyDescent="0.25">
      <c r="AK691" t="str">
        <f ca="1"/>
        <v>Obs. 1217</v>
      </c>
      <c r="AL691" s="7">
        <f ca="1"/>
        <v>66.5</v>
      </c>
      <c r="AN691" s="7" t="e">
        <f ca="1"/>
        <v>#REF!</v>
      </c>
      <c r="AO691" s="7" t="e">
        <f ca="1"/>
        <v>#REF!</v>
      </c>
      <c r="AP691" s="7">
        <f ca="1"/>
        <v>7.7515180361213007E-2</v>
      </c>
      <c r="AQ691" s="7" t="e">
        <f ca="1"/>
        <v>#REF!</v>
      </c>
      <c r="AR691" s="7" t="e">
        <f ca="1"/>
        <v>#REF!</v>
      </c>
      <c r="AS691" s="7">
        <f ca="1"/>
        <v>-0.21444491222324932</v>
      </c>
      <c r="AT691" s="7" t="e">
        <f ca="1"/>
        <v>#REF!</v>
      </c>
      <c r="AU691" s="7" t="e">
        <f ca="1"/>
        <v>#REF!</v>
      </c>
      <c r="AV691" s="7" t="e">
        <f ca="1"/>
        <v>#REF!</v>
      </c>
    </row>
    <row r="692" spans="37:48" x14ac:dyDescent="0.25">
      <c r="AK692" t="str">
        <f ca="1"/>
        <v>Obs. 1218</v>
      </c>
      <c r="AL692" s="7">
        <f ca="1"/>
        <v>66.3</v>
      </c>
      <c r="AN692" s="7" t="e">
        <f ca="1"/>
        <v>#REF!</v>
      </c>
      <c r="AO692" s="7" t="e">
        <f ca="1"/>
        <v>#REF!</v>
      </c>
      <c r="AP692" s="7">
        <f ca="1"/>
        <v>7.7278176983914773E-2</v>
      </c>
      <c r="AQ692" s="7" t="e">
        <f ca="1"/>
        <v>#REF!</v>
      </c>
      <c r="AR692" s="7" t="e">
        <f ca="1"/>
        <v>#REF!</v>
      </c>
      <c r="AS692" s="7">
        <f ca="1"/>
        <v>-0.21444491222324932</v>
      </c>
      <c r="AT692" s="7" t="e">
        <f ca="1"/>
        <v>#REF!</v>
      </c>
      <c r="AU692" s="7" t="e">
        <f ca="1"/>
        <v>#REF!</v>
      </c>
      <c r="AV692" s="7" t="e">
        <f ca="1"/>
        <v>#REF!</v>
      </c>
    </row>
    <row r="693" spans="37:48" x14ac:dyDescent="0.25">
      <c r="AK693" t="str">
        <f ca="1"/>
        <v>Obs. 1236</v>
      </c>
      <c r="AL693" s="7">
        <f ca="1"/>
        <v>67.900000000000006</v>
      </c>
      <c r="AN693" s="7" t="e">
        <f ca="1"/>
        <v>#REF!</v>
      </c>
      <c r="AO693" s="7" t="e">
        <f ca="1"/>
        <v>#REF!</v>
      </c>
      <c r="AP693" s="7">
        <f ca="1"/>
        <v>0.11700271673835917</v>
      </c>
      <c r="AQ693" s="7" t="e">
        <f ca="1"/>
        <v>#REF!</v>
      </c>
      <c r="AR693" s="7" t="e">
        <f ca="1"/>
        <v>#REF!</v>
      </c>
      <c r="AS693" s="7">
        <f ca="1"/>
        <v>-0.21444491222324932</v>
      </c>
      <c r="AT693" s="7" t="e">
        <f ca="1"/>
        <v>#REF!</v>
      </c>
      <c r="AU693" s="7" t="e">
        <f ca="1"/>
        <v>#REF!</v>
      </c>
      <c r="AV693" s="7" t="e">
        <f ca="1"/>
        <v>#REF!</v>
      </c>
    </row>
    <row r="694" spans="37:48" x14ac:dyDescent="0.25">
      <c r="AK694" t="str">
        <f ca="1"/>
        <v>Obs. 1237</v>
      </c>
      <c r="AL694" s="7">
        <f ca="1"/>
        <v>69.5</v>
      </c>
      <c r="AN694" s="7" t="e">
        <f ca="1"/>
        <v>#REF!</v>
      </c>
      <c r="AO694" s="7" t="e">
        <f ca="1"/>
        <v>#REF!</v>
      </c>
      <c r="AP694" s="7">
        <f ca="1"/>
        <v>0.12100680546417293</v>
      </c>
      <c r="AQ694" s="7" t="e">
        <f ca="1"/>
        <v>#REF!</v>
      </c>
      <c r="AR694" s="7" t="e">
        <f ca="1"/>
        <v>#REF!</v>
      </c>
      <c r="AS694" s="7">
        <f ca="1"/>
        <v>-0.21444491222324932</v>
      </c>
      <c r="AT694" s="7" t="e">
        <f ca="1"/>
        <v>#REF!</v>
      </c>
      <c r="AU694" s="7" t="e">
        <f ca="1"/>
        <v>#REF!</v>
      </c>
      <c r="AV694" s="7" t="e">
        <f ca="1"/>
        <v>#REF!</v>
      </c>
    </row>
    <row r="695" spans="37:48" x14ac:dyDescent="0.25">
      <c r="AK695" t="str">
        <f ca="1"/>
        <v>Obs. 1238</v>
      </c>
      <c r="AL695" s="7">
        <f ca="1"/>
        <v>76</v>
      </c>
      <c r="AN695" s="7" t="e">
        <f ca="1"/>
        <v>#REF!</v>
      </c>
      <c r="AO695" s="7" t="e">
        <f ca="1"/>
        <v>#REF!</v>
      </c>
      <c r="AP695" s="7">
        <f ca="1"/>
        <v>0.11858560363538066</v>
      </c>
      <c r="AQ695" s="7" t="e">
        <f ca="1"/>
        <v>#REF!</v>
      </c>
      <c r="AR695" s="7" t="e">
        <f ca="1"/>
        <v>#REF!</v>
      </c>
      <c r="AS695" s="7">
        <f ca="1"/>
        <v>-0.21444491222324932</v>
      </c>
      <c r="AT695" s="7" t="e">
        <f ca="1"/>
        <v>#REF!</v>
      </c>
      <c r="AU695" s="7" t="e">
        <f ca="1"/>
        <v>#REF!</v>
      </c>
      <c r="AV695" s="7" t="e">
        <f ca="1"/>
        <v>#REF!</v>
      </c>
    </row>
    <row r="696" spans="37:48" x14ac:dyDescent="0.25">
      <c r="AK696" t="str">
        <f ca="1"/>
        <v>Obs. 1239</v>
      </c>
      <c r="AL696" s="7">
        <f ca="1"/>
        <v>77</v>
      </c>
      <c r="AN696" s="7" t="e">
        <f ca="1"/>
        <v>#REF!</v>
      </c>
      <c r="AO696" s="7" t="e">
        <f ca="1"/>
        <v>#REF!</v>
      </c>
      <c r="AP696" s="7">
        <f ca="1"/>
        <v>0.11953982804138871</v>
      </c>
      <c r="AQ696" s="7" t="e">
        <f ca="1"/>
        <v>#REF!</v>
      </c>
      <c r="AR696" s="7" t="e">
        <f ca="1"/>
        <v>#REF!</v>
      </c>
      <c r="AS696" s="7">
        <f ca="1"/>
        <v>-0.21444491222324932</v>
      </c>
      <c r="AT696" s="7" t="e">
        <f ca="1"/>
        <v>#REF!</v>
      </c>
      <c r="AU696" s="7" t="e">
        <f ca="1"/>
        <v>#REF!</v>
      </c>
      <c r="AV696" s="7" t="e">
        <f ca="1"/>
        <v>#REF!</v>
      </c>
    </row>
    <row r="697" spans="37:48" x14ac:dyDescent="0.25">
      <c r="AK697" t="str">
        <f ca="1"/>
        <v>Obs. 1240</v>
      </c>
      <c r="AL697" s="7">
        <f ca="1"/>
        <v>76</v>
      </c>
      <c r="AN697" s="7" t="e">
        <f ca="1"/>
        <v>#REF!</v>
      </c>
      <c r="AO697" s="7" t="e">
        <f ca="1"/>
        <v>#REF!</v>
      </c>
      <c r="AP697" s="7">
        <f ca="1"/>
        <v>0.11385629308217884</v>
      </c>
      <c r="AQ697" s="7" t="e">
        <f ca="1"/>
        <v>#REF!</v>
      </c>
      <c r="AR697" s="7" t="e">
        <f ca="1"/>
        <v>#REF!</v>
      </c>
      <c r="AS697" s="7">
        <f ca="1"/>
        <v>-0.198915705174462</v>
      </c>
      <c r="AT697" s="7" t="e">
        <f ca="1"/>
        <v>#REF!</v>
      </c>
      <c r="AU697" s="7" t="e">
        <f ca="1"/>
        <v>#REF!</v>
      </c>
      <c r="AV697" s="7" t="e">
        <f ca="1"/>
        <v>#REF!</v>
      </c>
    </row>
    <row r="698" spans="37:48" x14ac:dyDescent="0.25">
      <c r="AK698" t="str">
        <f ca="1"/>
        <v>Obs. 1241</v>
      </c>
      <c r="AL698" s="7">
        <f ca="1"/>
        <v>74</v>
      </c>
      <c r="AN698" s="7" t="e">
        <f ca="1"/>
        <v>#REF!</v>
      </c>
      <c r="AO698" s="7" t="e">
        <f ca="1"/>
        <v>#REF!</v>
      </c>
      <c r="AP698" s="7">
        <f ca="1"/>
        <v>0.12325981256979747</v>
      </c>
      <c r="AQ698" s="7" t="e">
        <f ca="1"/>
        <v>#REF!</v>
      </c>
      <c r="AR698" s="7" t="e">
        <f ca="1"/>
        <v>#REF!</v>
      </c>
      <c r="AS698" s="7">
        <f ca="1"/>
        <v>-0.198915705174462</v>
      </c>
      <c r="AT698" s="7" t="e">
        <f ca="1"/>
        <v>#REF!</v>
      </c>
      <c r="AU698" s="7" t="e">
        <f ca="1"/>
        <v>#REF!</v>
      </c>
      <c r="AV698" s="7" t="e">
        <f ca="1"/>
        <v>#REF!</v>
      </c>
    </row>
    <row r="699" spans="37:48" x14ac:dyDescent="0.25">
      <c r="AK699" t="str">
        <f ca="1"/>
        <v>Obs. 1242</v>
      </c>
      <c r="AL699" s="7">
        <f ca="1"/>
        <v>69.3</v>
      </c>
      <c r="AN699" s="7" t="e">
        <f ca="1"/>
        <v>#REF!</v>
      </c>
      <c r="AO699" s="7" t="e">
        <f ca="1"/>
        <v>#REF!</v>
      </c>
      <c r="AP699" s="7">
        <f ca="1"/>
        <v>0.11319087579045871</v>
      </c>
      <c r="AQ699" s="7" t="e">
        <f ca="1"/>
        <v>#REF!</v>
      </c>
      <c r="AR699" s="7" t="e">
        <f ca="1"/>
        <v>#REF!</v>
      </c>
      <c r="AS699" s="7">
        <f ca="1"/>
        <v>-0.198915705174462</v>
      </c>
      <c r="AT699" s="7" t="e">
        <f ca="1"/>
        <v>#REF!</v>
      </c>
      <c r="AU699" s="7" t="e">
        <f ca="1"/>
        <v>#REF!</v>
      </c>
      <c r="AV699" s="7" t="e">
        <f ca="1"/>
        <v>#REF!</v>
      </c>
    </row>
    <row r="700" spans="37:48" x14ac:dyDescent="0.25">
      <c r="AK700" t="str">
        <f ca="1"/>
        <v>Obs. 1243</v>
      </c>
      <c r="AL700" s="7">
        <f ca="1"/>
        <v>65.900000000000006</v>
      </c>
      <c r="AN700" s="7" t="e">
        <f ca="1"/>
        <v>#REF!</v>
      </c>
      <c r="AO700" s="7" t="e">
        <f ca="1"/>
        <v>#REF!</v>
      </c>
      <c r="AP700" s="7">
        <f ca="1"/>
        <v>0.11555129522633763</v>
      </c>
      <c r="AQ700" s="7" t="e">
        <f ca="1"/>
        <v>#REF!</v>
      </c>
      <c r="AR700" s="7" t="e">
        <f ca="1"/>
        <v>#REF!</v>
      </c>
      <c r="AS700" s="7">
        <f ca="1"/>
        <v>-0.198915705174462</v>
      </c>
      <c r="AT700" s="7" t="e">
        <f ca="1"/>
        <v>#REF!</v>
      </c>
      <c r="AU700" s="7" t="e">
        <f ca="1"/>
        <v>#REF!</v>
      </c>
      <c r="AV700" s="7" t="e">
        <f ca="1"/>
        <v>#REF!</v>
      </c>
    </row>
    <row r="701" spans="37:48" x14ac:dyDescent="0.25">
      <c r="AK701" t="str">
        <f ca="1"/>
        <v>Obs. 1244</v>
      </c>
      <c r="AL701" s="7">
        <f ca="1"/>
        <v>64.7</v>
      </c>
      <c r="AN701" s="7" t="e">
        <f ca="1"/>
        <v>#REF!</v>
      </c>
      <c r="AO701" s="7" t="e">
        <f ca="1"/>
        <v>#REF!</v>
      </c>
      <c r="AP701" s="7">
        <f ca="1"/>
        <v>0.11561625633349305</v>
      </c>
      <c r="AQ701" s="7" t="e">
        <f ca="1"/>
        <v>#REF!</v>
      </c>
      <c r="AR701" s="7" t="e">
        <f ca="1"/>
        <v>#REF!</v>
      </c>
      <c r="AS701" s="7">
        <f ca="1"/>
        <v>-0.198915705174462</v>
      </c>
      <c r="AT701" s="7" t="e">
        <f ca="1"/>
        <v>#REF!</v>
      </c>
      <c r="AU701" s="7" t="e">
        <f ca="1"/>
        <v>#REF!</v>
      </c>
      <c r="AV701" s="7" t="e">
        <f ca="1"/>
        <v>#REF!</v>
      </c>
    </row>
    <row r="702" spans="37:48" x14ac:dyDescent="0.25">
      <c r="AK702" t="str">
        <f ca="1"/>
        <v>Obs. 1245</v>
      </c>
      <c r="AL702" s="7">
        <f ca="1"/>
        <v>66.8</v>
      </c>
      <c r="AN702" s="7" t="e">
        <f ca="1"/>
        <v>#REF!</v>
      </c>
      <c r="AO702" s="7" t="e">
        <f ca="1"/>
        <v>#REF!</v>
      </c>
      <c r="AP702" s="7">
        <f ca="1"/>
        <v>0.11561437853988715</v>
      </c>
      <c r="AQ702" s="7" t="e">
        <f ca="1"/>
        <v>#REF!</v>
      </c>
      <c r="AR702" s="7" t="e">
        <f ca="1"/>
        <v>#REF!</v>
      </c>
      <c r="AS702" s="7">
        <f ca="1"/>
        <v>-0.198915705174462</v>
      </c>
      <c r="AT702" s="7" t="e">
        <f ca="1"/>
        <v>#REF!</v>
      </c>
      <c r="AU702" s="7" t="e">
        <f ca="1"/>
        <v>#REF!</v>
      </c>
      <c r="AV702" s="7" t="e">
        <f ca="1"/>
        <v>#REF!</v>
      </c>
    </row>
    <row r="703" spans="37:48" x14ac:dyDescent="0.25">
      <c r="AK703" t="str">
        <f ca="1"/>
        <v>Obs. 1246</v>
      </c>
      <c r="AL703" s="7">
        <f ca="1"/>
        <v>67.2</v>
      </c>
      <c r="AN703" s="7" t="e">
        <f ca="1"/>
        <v>#REF!</v>
      </c>
      <c r="AO703" s="7" t="e">
        <f ca="1"/>
        <v>#REF!</v>
      </c>
      <c r="AP703" s="7">
        <f ca="1"/>
        <v>0.11625989500746309</v>
      </c>
      <c r="AQ703" s="7" t="e">
        <f ca="1"/>
        <v>#REF!</v>
      </c>
      <c r="AR703" s="7" t="e">
        <f ca="1"/>
        <v>#REF!</v>
      </c>
      <c r="AS703" s="7">
        <f ca="1"/>
        <v>-0.198915705174462</v>
      </c>
      <c r="AT703" s="7" t="e">
        <f ca="1"/>
        <v>#REF!</v>
      </c>
      <c r="AU703" s="7" t="e">
        <f ca="1"/>
        <v>#REF!</v>
      </c>
      <c r="AV703" s="7" t="e">
        <f ca="1"/>
        <v>#REF!</v>
      </c>
    </row>
    <row r="704" spans="37:48" x14ac:dyDescent="0.25">
      <c r="AK704" t="str">
        <f ca="1"/>
        <v>Obs. 1252</v>
      </c>
      <c r="AL704" s="7">
        <f ca="1"/>
        <v>81.2</v>
      </c>
      <c r="AN704" s="7" t="e">
        <f ca="1"/>
        <v>#REF!</v>
      </c>
      <c r="AO704" s="7" t="e">
        <f ca="1"/>
        <v>#REF!</v>
      </c>
      <c r="AP704" s="7">
        <f ca="1"/>
        <v>0.20843179987025176</v>
      </c>
      <c r="AQ704" s="7" t="e">
        <f ca="1"/>
        <v>#REF!</v>
      </c>
      <c r="AR704" s="7" t="e">
        <f ca="1"/>
        <v>#REF!</v>
      </c>
      <c r="AS704" s="7">
        <f ca="1"/>
        <v>-0.1880739545732803</v>
      </c>
      <c r="AT704" s="7" t="e">
        <f ca="1"/>
        <v>#REF!</v>
      </c>
      <c r="AU704" s="7" t="e">
        <f ca="1"/>
        <v>#REF!</v>
      </c>
      <c r="AV704" s="7" t="e">
        <f ca="1"/>
        <v>#REF!</v>
      </c>
    </row>
    <row r="705" spans="37:48" x14ac:dyDescent="0.25">
      <c r="AK705" t="str">
        <f ca="1"/>
        <v>Obs. 1253</v>
      </c>
      <c r="AL705" s="7">
        <f ca="1"/>
        <v>81</v>
      </c>
      <c r="AN705" s="7" t="e">
        <f ca="1"/>
        <v>#REF!</v>
      </c>
      <c r="AO705" s="7" t="e">
        <f ca="1"/>
        <v>#REF!</v>
      </c>
      <c r="AP705" s="7">
        <f ca="1"/>
        <v>0.2082313930092457</v>
      </c>
      <c r="AQ705" s="7" t="e">
        <f ca="1"/>
        <v>#REF!</v>
      </c>
      <c r="AR705" s="7" t="e">
        <f ca="1"/>
        <v>#REF!</v>
      </c>
      <c r="AS705" s="7">
        <f ca="1"/>
        <v>-0.1880739545732803</v>
      </c>
      <c r="AT705" s="7" t="e">
        <f ca="1"/>
        <v>#REF!</v>
      </c>
      <c r="AU705" s="7" t="e">
        <f ca="1"/>
        <v>#REF!</v>
      </c>
      <c r="AV705" s="7" t="e">
        <f ca="1"/>
        <v>#REF!</v>
      </c>
    </row>
    <row r="706" spans="37:48" x14ac:dyDescent="0.25">
      <c r="AK706" t="str">
        <f ca="1"/>
        <v>Obs. 1254</v>
      </c>
      <c r="AL706" s="7">
        <f ca="1"/>
        <v>85</v>
      </c>
      <c r="AN706" s="7" t="e">
        <f ca="1"/>
        <v>#REF!</v>
      </c>
      <c r="AO706" s="7" t="e">
        <f ca="1"/>
        <v>#REF!</v>
      </c>
      <c r="AP706" s="7">
        <f ca="1"/>
        <v>0.20827011879154689</v>
      </c>
      <c r="AQ706" s="7" t="e">
        <f ca="1"/>
        <v>#REF!</v>
      </c>
      <c r="AR706" s="7" t="e">
        <f ca="1"/>
        <v>#REF!</v>
      </c>
      <c r="AS706" s="7">
        <f ca="1"/>
        <v>-0.1880739545732803</v>
      </c>
      <c r="AT706" s="7" t="e">
        <f ca="1"/>
        <v>#REF!</v>
      </c>
      <c r="AU706" s="7" t="e">
        <f ca="1"/>
        <v>#REF!</v>
      </c>
      <c r="AV706" s="7" t="e">
        <f ca="1"/>
        <v>#REF!</v>
      </c>
    </row>
    <row r="707" spans="37:48" x14ac:dyDescent="0.25">
      <c r="AK707" t="str">
        <f ca="1"/>
        <v>Obs. 1255</v>
      </c>
      <c r="AL707" s="7">
        <f ca="1"/>
        <v>84</v>
      </c>
      <c r="AN707" s="7" t="e">
        <f ca="1"/>
        <v>#REF!</v>
      </c>
      <c r="AO707" s="7" t="e">
        <f ca="1"/>
        <v>#REF!</v>
      </c>
      <c r="AP707" s="7">
        <f ca="1"/>
        <v>0.20215602575873781</v>
      </c>
      <c r="AQ707" s="7" t="e">
        <f ca="1"/>
        <v>#REF!</v>
      </c>
      <c r="AR707" s="7" t="e">
        <f ca="1"/>
        <v>#REF!</v>
      </c>
      <c r="AS707" s="7">
        <f ca="1"/>
        <v>-0.1880739545732803</v>
      </c>
      <c r="AT707" s="7" t="e">
        <f ca="1"/>
        <v>#REF!</v>
      </c>
      <c r="AU707" s="7" t="e">
        <f ca="1"/>
        <v>#REF!</v>
      </c>
      <c r="AV707" s="7" t="e">
        <f ca="1"/>
        <v>#REF!</v>
      </c>
    </row>
    <row r="708" spans="37:48" x14ac:dyDescent="0.25">
      <c r="AK708" t="str">
        <f ca="1"/>
        <v>Obs. 1256</v>
      </c>
      <c r="AL708" s="7">
        <f ca="1"/>
        <v>86</v>
      </c>
      <c r="AN708" s="7" t="e">
        <f ca="1"/>
        <v>#REF!</v>
      </c>
      <c r="AO708" s="7" t="e">
        <f ca="1"/>
        <v>#REF!</v>
      </c>
      <c r="AP708" s="7">
        <f ca="1"/>
        <v>0.21755273846883277</v>
      </c>
      <c r="AQ708" s="7" t="e">
        <f ca="1"/>
        <v>#REF!</v>
      </c>
      <c r="AR708" s="7" t="e">
        <f ca="1"/>
        <v>#REF!</v>
      </c>
      <c r="AS708" s="7">
        <f ca="1"/>
        <v>-0.1880739545732803</v>
      </c>
      <c r="AT708" s="7" t="e">
        <f ca="1"/>
        <v>#REF!</v>
      </c>
      <c r="AU708" s="7" t="e">
        <f ca="1"/>
        <v>#REF!</v>
      </c>
      <c r="AV708" s="7" t="e">
        <f ca="1"/>
        <v>#REF!</v>
      </c>
    </row>
    <row r="709" spans="37:48" x14ac:dyDescent="0.25">
      <c r="AK709" t="str">
        <f ca="1"/>
        <v>Obs. 1268</v>
      </c>
      <c r="AL709" s="7">
        <f ca="1"/>
        <v>82.2</v>
      </c>
      <c r="AN709" s="7" t="e">
        <f ca="1"/>
        <v>#REF!</v>
      </c>
      <c r="AO709" s="7" t="e">
        <f ca="1"/>
        <v>#REF!</v>
      </c>
      <c r="AP709" s="7">
        <f ca="1"/>
        <v>6.2510437502210081E-2</v>
      </c>
      <c r="AQ709" s="7" t="e">
        <f ca="1"/>
        <v>#REF!</v>
      </c>
      <c r="AR709" s="7" t="e">
        <f ca="1"/>
        <v>#REF!</v>
      </c>
      <c r="AS709" s="7">
        <f ca="1"/>
        <v>-0.1880739545732803</v>
      </c>
      <c r="AT709" s="7" t="e">
        <f ca="1"/>
        <v>#REF!</v>
      </c>
      <c r="AU709" s="7" t="e">
        <f ca="1"/>
        <v>#REF!</v>
      </c>
      <c r="AV709" s="7" t="e">
        <f ca="1"/>
        <v>#REF!</v>
      </c>
    </row>
    <row r="710" spans="37:48" x14ac:dyDescent="0.25">
      <c r="AK710" t="str">
        <f ca="1"/>
        <v>Obs. 1269</v>
      </c>
      <c r="AL710" s="7">
        <f ca="1"/>
        <v>82.1</v>
      </c>
      <c r="AN710" s="7" t="e">
        <f ca="1"/>
        <v>#REF!</v>
      </c>
      <c r="AO710" s="7" t="e">
        <f ca="1"/>
        <v>#REF!</v>
      </c>
      <c r="AP710" s="7">
        <f ca="1"/>
        <v>6.1421263226003109E-2</v>
      </c>
      <c r="AQ710" s="7" t="e">
        <f ca="1"/>
        <v>#REF!</v>
      </c>
      <c r="AR710" s="7" t="e">
        <f ca="1"/>
        <v>#REF!</v>
      </c>
      <c r="AS710" s="7">
        <f ca="1"/>
        <v>-0.17879863688351211</v>
      </c>
      <c r="AT710" s="7" t="e">
        <f ca="1"/>
        <v>#REF!</v>
      </c>
      <c r="AU710" s="7" t="e">
        <f ca="1"/>
        <v>#REF!</v>
      </c>
      <c r="AV710" s="7" t="e">
        <f ca="1"/>
        <v>#REF!</v>
      </c>
    </row>
    <row r="711" spans="37:48" x14ac:dyDescent="0.25">
      <c r="AK711" t="str">
        <f ca="1"/>
        <v>Obs. 1270</v>
      </c>
      <c r="AL711" s="7">
        <f ca="1"/>
        <v>81.8</v>
      </c>
      <c r="AN711" s="7" t="e">
        <f ca="1"/>
        <v>#REF!</v>
      </c>
      <c r="AO711" s="7" t="e">
        <f ca="1"/>
        <v>#REF!</v>
      </c>
      <c r="AP711" s="7">
        <f ca="1"/>
        <v>5.947153713750572E-2</v>
      </c>
      <c r="AQ711" s="7" t="e">
        <f ca="1"/>
        <v>#REF!</v>
      </c>
      <c r="AR711" s="7" t="e">
        <f ca="1"/>
        <v>#REF!</v>
      </c>
      <c r="AS711" s="7">
        <f ca="1"/>
        <v>-0.17879863688351211</v>
      </c>
      <c r="AT711" s="7" t="e">
        <f ca="1"/>
        <v>#REF!</v>
      </c>
      <c r="AU711" s="7" t="e">
        <f ca="1"/>
        <v>#REF!</v>
      </c>
      <c r="AV711" s="7" t="e">
        <f ca="1"/>
        <v>#REF!</v>
      </c>
    </row>
    <row r="712" spans="37:48" x14ac:dyDescent="0.25">
      <c r="AK712" t="str">
        <f ca="1"/>
        <v>Obs. 1271</v>
      </c>
      <c r="AL712" s="7">
        <f ca="1"/>
        <v>81.8</v>
      </c>
      <c r="AN712" s="7" t="e">
        <f ca="1"/>
        <v>#REF!</v>
      </c>
      <c r="AO712" s="7" t="e">
        <f ca="1"/>
        <v>#REF!</v>
      </c>
      <c r="AP712" s="7">
        <f ca="1"/>
        <v>5.9504564477902783E-2</v>
      </c>
      <c r="AQ712" s="7" t="e">
        <f ca="1"/>
        <v>#REF!</v>
      </c>
      <c r="AR712" s="7" t="e">
        <f ca="1"/>
        <v>#REF!</v>
      </c>
      <c r="AS712" s="7">
        <f ca="1"/>
        <v>-0.17879863688351211</v>
      </c>
      <c r="AT712" s="7" t="e">
        <f ca="1"/>
        <v>#REF!</v>
      </c>
      <c r="AU712" s="7" t="e">
        <f ca="1"/>
        <v>#REF!</v>
      </c>
      <c r="AV712" s="7" t="e">
        <f ca="1"/>
        <v>#REF!</v>
      </c>
    </row>
    <row r="713" spans="37:48" x14ac:dyDescent="0.25">
      <c r="AK713" t="str">
        <f ca="1"/>
        <v>Obs. 1272</v>
      </c>
      <c r="AL713" s="7">
        <f ca="1"/>
        <v>81.7</v>
      </c>
      <c r="AN713" s="7" t="e">
        <f ca="1"/>
        <v>#REF!</v>
      </c>
      <c r="AO713" s="7" t="e">
        <f ca="1"/>
        <v>#REF!</v>
      </c>
      <c r="AP713" s="7">
        <f ca="1"/>
        <v>6.3368411790456686E-2</v>
      </c>
      <c r="AQ713" s="7" t="e">
        <f ca="1"/>
        <v>#REF!</v>
      </c>
      <c r="AR713" s="7" t="e">
        <f ca="1"/>
        <v>#REF!</v>
      </c>
      <c r="AS713" s="7">
        <f ca="1"/>
        <v>-0.17879863688351211</v>
      </c>
      <c r="AT713" s="7" t="e">
        <f ca="1"/>
        <v>#REF!</v>
      </c>
      <c r="AU713" s="7" t="e">
        <f ca="1"/>
        <v>#REF!</v>
      </c>
      <c r="AV713" s="7" t="e">
        <f ca="1"/>
        <v>#REF!</v>
      </c>
    </row>
    <row r="714" spans="37:48" x14ac:dyDescent="0.25">
      <c r="AK714" t="str">
        <f ca="1"/>
        <v>Obs. 1273</v>
      </c>
      <c r="AL714" s="7">
        <f ca="1"/>
        <v>81.5</v>
      </c>
      <c r="AN714" s="7" t="e">
        <f ca="1"/>
        <v>#REF!</v>
      </c>
      <c r="AO714" s="7" t="e">
        <f ca="1"/>
        <v>#REF!</v>
      </c>
      <c r="AP714" s="7">
        <f ca="1"/>
        <v>9.1071841124839625E-2</v>
      </c>
      <c r="AQ714" s="7" t="e">
        <f ca="1"/>
        <v>#REF!</v>
      </c>
      <c r="AR714" s="7" t="e">
        <f ca="1"/>
        <v>#REF!</v>
      </c>
      <c r="AS714" s="7">
        <f ca="1"/>
        <v>-0.17879863688351211</v>
      </c>
      <c r="AT714" s="7" t="e">
        <f ca="1"/>
        <v>#REF!</v>
      </c>
      <c r="AU714" s="7" t="e">
        <f ca="1"/>
        <v>#REF!</v>
      </c>
      <c r="AV714" s="7" t="e">
        <f ca="1"/>
        <v>#REF!</v>
      </c>
    </row>
    <row r="715" spans="37:48" x14ac:dyDescent="0.25">
      <c r="AK715" t="str">
        <f ca="1"/>
        <v>Obs. 1274</v>
      </c>
      <c r="AL715" s="7">
        <f ca="1"/>
        <v>81</v>
      </c>
      <c r="AN715" s="7" t="e">
        <f ca="1"/>
        <v>#REF!</v>
      </c>
      <c r="AO715" s="7" t="e">
        <f ca="1"/>
        <v>#REF!</v>
      </c>
      <c r="AP715" s="7">
        <f ca="1"/>
        <v>9.9821515212408146E-2</v>
      </c>
      <c r="AQ715" s="7" t="e">
        <f ca="1"/>
        <v>#REF!</v>
      </c>
      <c r="AR715" s="7" t="e">
        <f ca="1"/>
        <v>#REF!</v>
      </c>
      <c r="AS715" s="7">
        <f ca="1"/>
        <v>-0.17879863688351211</v>
      </c>
      <c r="AT715" s="7" t="e">
        <f ca="1"/>
        <v>#REF!</v>
      </c>
      <c r="AU715" s="7" t="e">
        <f ca="1"/>
        <v>#REF!</v>
      </c>
      <c r="AV715" s="7" t="e">
        <f ca="1"/>
        <v>#REF!</v>
      </c>
    </row>
    <row r="716" spans="37:48" x14ac:dyDescent="0.25">
      <c r="AK716" t="str">
        <f ca="1"/>
        <v>Obs. 1275</v>
      </c>
      <c r="AL716" s="7">
        <f ca="1"/>
        <v>84</v>
      </c>
      <c r="AN716" s="7" t="e">
        <f ca="1"/>
        <v>#REF!</v>
      </c>
      <c r="AO716" s="7" t="e">
        <f ca="1"/>
        <v>#REF!</v>
      </c>
      <c r="AP716" s="7">
        <f ca="1"/>
        <v>6.3831198481473089E-2</v>
      </c>
      <c r="AQ716" s="7" t="e">
        <f ca="1"/>
        <v>#REF!</v>
      </c>
      <c r="AR716" s="7" t="e">
        <f ca="1"/>
        <v>#REF!</v>
      </c>
      <c r="AS716" s="7">
        <f ca="1"/>
        <v>-0.17879863688351211</v>
      </c>
      <c r="AT716" s="7" t="e">
        <f ca="1"/>
        <v>#REF!</v>
      </c>
      <c r="AU716" s="7" t="e">
        <f ca="1"/>
        <v>#REF!</v>
      </c>
      <c r="AV716" s="7" t="e">
        <f ca="1"/>
        <v>#REF!</v>
      </c>
    </row>
    <row r="717" spans="37:48" x14ac:dyDescent="0.25">
      <c r="AK717" t="str">
        <f ca="1"/>
        <v>Obs. 1276</v>
      </c>
      <c r="AL717" s="7">
        <f ca="1"/>
        <v>84</v>
      </c>
      <c r="AN717" s="7" t="e">
        <f ca="1"/>
        <v>#REF!</v>
      </c>
      <c r="AO717" s="7" t="e">
        <f ca="1"/>
        <v>#REF!</v>
      </c>
      <c r="AP717" s="7">
        <f ca="1"/>
        <v>6.0924966303992939E-2</v>
      </c>
      <c r="AQ717" s="7" t="e">
        <f ca="1"/>
        <v>#REF!</v>
      </c>
      <c r="AR717" s="7" t="e">
        <f ca="1"/>
        <v>#REF!</v>
      </c>
      <c r="AS717" s="7">
        <f ca="1"/>
        <v>-0.16799678341230881</v>
      </c>
      <c r="AT717" s="7" t="e">
        <f ca="1"/>
        <v>#REF!</v>
      </c>
      <c r="AU717" s="7" t="e">
        <f ca="1"/>
        <v>#REF!</v>
      </c>
      <c r="AV717" s="7" t="e">
        <f ca="1"/>
        <v>#REF!</v>
      </c>
    </row>
    <row r="718" spans="37:48" x14ac:dyDescent="0.25">
      <c r="AK718" t="str">
        <f ca="1"/>
        <v>Obs. 1277</v>
      </c>
      <c r="AL718" s="7">
        <f ca="1"/>
        <v>80</v>
      </c>
      <c r="AN718" s="7" t="e">
        <f ca="1"/>
        <v>#REF!</v>
      </c>
      <c r="AO718" s="7" t="e">
        <f ca="1"/>
        <v>#REF!</v>
      </c>
      <c r="AP718" s="7">
        <f ca="1"/>
        <v>7.1825635294912066E-2</v>
      </c>
      <c r="AQ718" s="7" t="e">
        <f ca="1"/>
        <v>#REF!</v>
      </c>
      <c r="AR718" s="7" t="e">
        <f ca="1"/>
        <v>#REF!</v>
      </c>
      <c r="AS718" s="7">
        <f ca="1"/>
        <v>-0.16799678341230881</v>
      </c>
      <c r="AT718" s="7" t="e">
        <f ca="1"/>
        <v>#REF!</v>
      </c>
      <c r="AU718" s="7" t="e">
        <f ca="1"/>
        <v>#REF!</v>
      </c>
      <c r="AV718" s="7" t="e">
        <f ca="1"/>
        <v>#REF!</v>
      </c>
    </row>
    <row r="719" spans="37:48" x14ac:dyDescent="0.25">
      <c r="AK719" t="str">
        <f ca="1"/>
        <v>Obs. 1278</v>
      </c>
      <c r="AL719" s="7">
        <f ca="1"/>
        <v>81</v>
      </c>
      <c r="AN719" s="7" t="e">
        <f ca="1"/>
        <v>#REF!</v>
      </c>
      <c r="AO719" s="7" t="e">
        <f ca="1"/>
        <v>#REF!</v>
      </c>
      <c r="AP719" s="7">
        <f ca="1"/>
        <v>6.6048603950512319E-2</v>
      </c>
      <c r="AQ719" s="7" t="e">
        <f ca="1"/>
        <v>#REF!</v>
      </c>
      <c r="AR719" s="7" t="e">
        <f ca="1"/>
        <v>#REF!</v>
      </c>
      <c r="AS719" s="7">
        <f ca="1"/>
        <v>-0.16799678341230881</v>
      </c>
      <c r="AT719" s="7" t="e">
        <f ca="1"/>
        <v>#REF!</v>
      </c>
      <c r="AU719" s="7" t="e">
        <f ca="1"/>
        <v>#REF!</v>
      </c>
      <c r="AV719" s="7" t="e">
        <f ca="1"/>
        <v>#REF!</v>
      </c>
    </row>
    <row r="720" spans="37:48" x14ac:dyDescent="0.25">
      <c r="AK720" t="str">
        <f ca="1"/>
        <v>Obs. 1279</v>
      </c>
      <c r="AL720" s="7">
        <f ca="1"/>
        <v>79.7</v>
      </c>
      <c r="AN720" s="7" t="e">
        <f ca="1"/>
        <v>#REF!</v>
      </c>
      <c r="AO720" s="7" t="e">
        <f ca="1"/>
        <v>#REF!</v>
      </c>
      <c r="AP720" s="7">
        <f ca="1"/>
        <v>5.8263217739110272E-2</v>
      </c>
      <c r="AQ720" s="7" t="e">
        <f ca="1"/>
        <v>#REF!</v>
      </c>
      <c r="AR720" s="7" t="e">
        <f ca="1"/>
        <v>#REF!</v>
      </c>
      <c r="AS720" s="7">
        <f ca="1"/>
        <v>-0.16799678341230881</v>
      </c>
      <c r="AT720" s="7" t="e">
        <f ca="1"/>
        <v>#REF!</v>
      </c>
      <c r="AU720" s="7" t="e">
        <f ca="1"/>
        <v>#REF!</v>
      </c>
      <c r="AV720" s="7" t="e">
        <f ca="1"/>
        <v>#REF!</v>
      </c>
    </row>
    <row r="721" spans="37:48" x14ac:dyDescent="0.25">
      <c r="AK721" t="str">
        <f ca="1"/>
        <v>Obs. 1280</v>
      </c>
      <c r="AL721" s="7">
        <f ca="1"/>
        <v>79.3</v>
      </c>
      <c r="AN721" s="7" t="e">
        <f ca="1"/>
        <v>#REF!</v>
      </c>
      <c r="AO721" s="7" t="e">
        <f ca="1"/>
        <v>#REF!</v>
      </c>
      <c r="AP721" s="7">
        <f ca="1"/>
        <v>7.7995321150625407E-2</v>
      </c>
      <c r="AQ721" s="7" t="e">
        <f ca="1"/>
        <v>#REF!</v>
      </c>
      <c r="AR721" s="7" t="e">
        <f ca="1"/>
        <v>#REF!</v>
      </c>
      <c r="AS721" s="7">
        <f ca="1"/>
        <v>-0.16799678341230881</v>
      </c>
      <c r="AT721" s="7" t="e">
        <f ca="1"/>
        <v>#REF!</v>
      </c>
      <c r="AU721" s="7" t="e">
        <f ca="1"/>
        <v>#REF!</v>
      </c>
      <c r="AV721" s="7" t="e">
        <f ca="1"/>
        <v>#REF!</v>
      </c>
    </row>
    <row r="722" spans="37:48" x14ac:dyDescent="0.25">
      <c r="AK722" t="str">
        <f ca="1"/>
        <v>Obs. 1281</v>
      </c>
      <c r="AL722" s="7">
        <f ca="1"/>
        <v>79.3</v>
      </c>
      <c r="AN722" s="7" t="e">
        <f ca="1"/>
        <v>#REF!</v>
      </c>
      <c r="AO722" s="7" t="e">
        <f ca="1"/>
        <v>#REF!</v>
      </c>
      <c r="AP722" s="7">
        <f ca="1"/>
        <v>6.4533220819643619E-2</v>
      </c>
      <c r="AQ722" s="7" t="e">
        <f ca="1"/>
        <v>#REF!</v>
      </c>
      <c r="AR722" s="7" t="e">
        <f ca="1"/>
        <v>#REF!</v>
      </c>
      <c r="AS722" s="7">
        <f ca="1"/>
        <v>-0.16799678341230881</v>
      </c>
      <c r="AT722" s="7" t="e">
        <f ca="1"/>
        <v>#REF!</v>
      </c>
      <c r="AU722" s="7" t="e">
        <f ca="1"/>
        <v>#REF!</v>
      </c>
      <c r="AV722" s="7" t="e">
        <f ca="1"/>
        <v>#REF!</v>
      </c>
    </row>
    <row r="723" spans="37:48" x14ac:dyDescent="0.25">
      <c r="AK723" t="str">
        <f ca="1"/>
        <v>Obs. 1282</v>
      </c>
      <c r="AL723" s="7">
        <f ca="1"/>
        <v>78.900000000000006</v>
      </c>
      <c r="AN723" s="7" t="e">
        <f ca="1"/>
        <v>#REF!</v>
      </c>
      <c r="AO723" s="7" t="e">
        <f ca="1"/>
        <v>#REF!</v>
      </c>
      <c r="AP723" s="7">
        <f ca="1"/>
        <v>6.3834629884170033E-2</v>
      </c>
      <c r="AQ723" s="7" t="e">
        <f ca="1"/>
        <v>#REF!</v>
      </c>
      <c r="AR723" s="7" t="e">
        <f ca="1"/>
        <v>#REF!</v>
      </c>
      <c r="AS723" s="7">
        <f ca="1"/>
        <v>-0.16799678341230881</v>
      </c>
      <c r="AT723" s="7" t="e">
        <f ca="1"/>
        <v>#REF!</v>
      </c>
      <c r="AU723" s="7" t="e">
        <f ca="1"/>
        <v>#REF!</v>
      </c>
      <c r="AV723" s="7" t="e">
        <f ca="1"/>
        <v>#REF!</v>
      </c>
    </row>
    <row r="724" spans="37:48" x14ac:dyDescent="0.25">
      <c r="AK724" t="str">
        <f ca="1"/>
        <v>Obs. 1284</v>
      </c>
      <c r="AL724" s="7">
        <f ca="1"/>
        <v>82.5</v>
      </c>
      <c r="AN724" s="7" t="e">
        <f ca="1"/>
        <v>#REF!</v>
      </c>
      <c r="AO724" s="7" t="e">
        <f ca="1"/>
        <v>#REF!</v>
      </c>
      <c r="AP724" s="7">
        <f ca="1"/>
        <v>6.9460632590723437E-2</v>
      </c>
      <c r="AQ724" s="7" t="e">
        <f ca="1"/>
        <v>#REF!</v>
      </c>
      <c r="AR724" s="7" t="e">
        <f ca="1"/>
        <v>#REF!</v>
      </c>
      <c r="AS724" s="7">
        <f ca="1"/>
        <v>-0.16799678341230881</v>
      </c>
      <c r="AT724" s="7" t="e">
        <f ca="1"/>
        <v>#REF!</v>
      </c>
      <c r="AU724" s="7" t="e">
        <f ca="1"/>
        <v>#REF!</v>
      </c>
      <c r="AV724" s="7" t="e">
        <f ca="1"/>
        <v>#REF!</v>
      </c>
    </row>
    <row r="725" spans="37:48" x14ac:dyDescent="0.25">
      <c r="AK725" t="str">
        <f ca="1"/>
        <v>Obs. 1285</v>
      </c>
      <c r="AL725" s="7">
        <f ca="1"/>
        <v>82.3</v>
      </c>
      <c r="AN725" s="7" t="e">
        <f ca="1"/>
        <v>#REF!</v>
      </c>
      <c r="AO725" s="7" t="e">
        <f ca="1"/>
        <v>#REF!</v>
      </c>
      <c r="AP725" s="7">
        <f ca="1"/>
        <v>7.2063486052871356E-2</v>
      </c>
      <c r="AQ725" s="7" t="e">
        <f ca="1"/>
        <v>#REF!</v>
      </c>
      <c r="AR725" s="7" t="e">
        <f ca="1"/>
        <v>#REF!</v>
      </c>
      <c r="AS725" s="7">
        <f ca="1"/>
        <v>-0.15567569037416348</v>
      </c>
      <c r="AT725" s="7" t="e">
        <f ca="1"/>
        <v>#REF!</v>
      </c>
      <c r="AU725" s="7" t="e">
        <f ca="1"/>
        <v>#REF!</v>
      </c>
      <c r="AV725" s="7" t="e">
        <f ca="1"/>
        <v>#REF!</v>
      </c>
    </row>
    <row r="726" spans="37:48" x14ac:dyDescent="0.25">
      <c r="AK726" t="str">
        <f ca="1"/>
        <v>Obs. 1286</v>
      </c>
      <c r="AL726" s="7">
        <f ca="1"/>
        <v>82</v>
      </c>
      <c r="AN726" s="7" t="e">
        <f ca="1"/>
        <v>#REF!</v>
      </c>
      <c r="AO726" s="7" t="e">
        <f ca="1"/>
        <v>#REF!</v>
      </c>
      <c r="AP726" s="7">
        <f ca="1"/>
        <v>6.7115926459924438E-2</v>
      </c>
      <c r="AQ726" s="7" t="e">
        <f ca="1"/>
        <v>#REF!</v>
      </c>
      <c r="AR726" s="7" t="e">
        <f ca="1"/>
        <v>#REF!</v>
      </c>
      <c r="AS726" s="7">
        <f ca="1"/>
        <v>-0.15567569037416348</v>
      </c>
      <c r="AT726" s="7" t="e">
        <f ca="1"/>
        <v>#REF!</v>
      </c>
      <c r="AU726" s="7" t="e">
        <f ca="1"/>
        <v>#REF!</v>
      </c>
      <c r="AV726" s="7" t="e">
        <f ca="1"/>
        <v>#REF!</v>
      </c>
    </row>
    <row r="727" spans="37:48" x14ac:dyDescent="0.25">
      <c r="AK727" t="str">
        <f ca="1"/>
        <v>Obs. 1287</v>
      </c>
      <c r="AL727" s="7">
        <f ca="1"/>
        <v>82</v>
      </c>
      <c r="AN727" s="7" t="e">
        <f ca="1"/>
        <v>#REF!</v>
      </c>
      <c r="AO727" s="7" t="e">
        <f ca="1"/>
        <v>#REF!</v>
      </c>
      <c r="AP727" s="7">
        <f ca="1"/>
        <v>6.8352464818389386E-2</v>
      </c>
      <c r="AQ727" s="7" t="e">
        <f ca="1"/>
        <v>#REF!</v>
      </c>
      <c r="AR727" s="7" t="e">
        <f ca="1"/>
        <v>#REF!</v>
      </c>
      <c r="AS727" s="7">
        <f ca="1"/>
        <v>-0.15567569037416348</v>
      </c>
      <c r="AT727" s="7" t="e">
        <f ca="1"/>
        <v>#REF!</v>
      </c>
      <c r="AU727" s="7" t="e">
        <f ca="1"/>
        <v>#REF!</v>
      </c>
      <c r="AV727" s="7" t="e">
        <f ca="1"/>
        <v>#REF!</v>
      </c>
    </row>
    <row r="728" spans="37:48" x14ac:dyDescent="0.25">
      <c r="AK728" t="str">
        <f ca="1"/>
        <v>Obs. 1288</v>
      </c>
      <c r="AL728" s="7">
        <f ca="1"/>
        <v>81.8</v>
      </c>
      <c r="AN728" s="7" t="e">
        <f ca="1"/>
        <v>#REF!</v>
      </c>
      <c r="AO728" s="7" t="e">
        <f ca="1"/>
        <v>#REF!</v>
      </c>
      <c r="AP728" s="7">
        <f ca="1"/>
        <v>6.7502276368125336E-2</v>
      </c>
      <c r="AQ728" s="7" t="e">
        <f ca="1"/>
        <v>#REF!</v>
      </c>
      <c r="AR728" s="7" t="e">
        <f ca="1"/>
        <v>#REF!</v>
      </c>
      <c r="AS728" s="7">
        <f ca="1"/>
        <v>-0.15567569037416348</v>
      </c>
      <c r="AT728" s="7" t="e">
        <f ca="1"/>
        <v>#REF!</v>
      </c>
      <c r="AU728" s="7" t="e">
        <f ca="1"/>
        <v>#REF!</v>
      </c>
      <c r="AV728" s="7" t="e">
        <f ca="1"/>
        <v>#REF!</v>
      </c>
    </row>
    <row r="729" spans="37:48" x14ac:dyDescent="0.25">
      <c r="AK729" t="str">
        <f ca="1"/>
        <v>Obs. 1289</v>
      </c>
      <c r="AL729" s="7">
        <f ca="1"/>
        <v>81.599999999999994</v>
      </c>
      <c r="AN729" s="7" t="e">
        <f ca="1"/>
        <v>#REF!</v>
      </c>
      <c r="AO729" s="7" t="e">
        <f ca="1"/>
        <v>#REF!</v>
      </c>
      <c r="AP729" s="7">
        <f ca="1"/>
        <v>7.7537997501482311E-2</v>
      </c>
      <c r="AQ729" s="7" t="e">
        <f ca="1"/>
        <v>#REF!</v>
      </c>
      <c r="AR729" s="7" t="e">
        <f ca="1"/>
        <v>#REF!</v>
      </c>
      <c r="AS729" s="7">
        <f ca="1"/>
        <v>-0.15567569037416348</v>
      </c>
      <c r="AT729" s="7" t="e">
        <f ca="1"/>
        <v>#REF!</v>
      </c>
      <c r="AU729" s="7" t="e">
        <f ca="1"/>
        <v>#REF!</v>
      </c>
      <c r="AV729" s="7" t="e">
        <f ca="1"/>
        <v>#REF!</v>
      </c>
    </row>
    <row r="730" spans="37:48" x14ac:dyDescent="0.25">
      <c r="AK730" t="str">
        <f ca="1"/>
        <v>Obs. 1290</v>
      </c>
      <c r="AL730" s="7">
        <f ca="1"/>
        <v>81.5</v>
      </c>
      <c r="AN730" s="7" t="e">
        <f ca="1"/>
        <v>#REF!</v>
      </c>
      <c r="AO730" s="7" t="e">
        <f ca="1"/>
        <v>#REF!</v>
      </c>
      <c r="AP730" s="7">
        <f ca="1"/>
        <v>7.0390606533014169E-2</v>
      </c>
      <c r="AQ730" s="7" t="e">
        <f ca="1"/>
        <v>#REF!</v>
      </c>
      <c r="AR730" s="7" t="e">
        <f ca="1"/>
        <v>#REF!</v>
      </c>
      <c r="AS730" s="7">
        <f ca="1"/>
        <v>-0.15567569037416348</v>
      </c>
      <c r="AT730" s="7" t="e">
        <f ca="1"/>
        <v>#REF!</v>
      </c>
      <c r="AU730" s="7" t="e">
        <f ca="1"/>
        <v>#REF!</v>
      </c>
      <c r="AV730" s="7" t="e">
        <f ca="1"/>
        <v>#REF!</v>
      </c>
    </row>
    <row r="731" spans="37:48" x14ac:dyDescent="0.25">
      <c r="AK731" t="str">
        <f ca="1"/>
        <v>Obs. 1291</v>
      </c>
      <c r="AL731" s="7">
        <f ca="1"/>
        <v>81.3</v>
      </c>
      <c r="AN731" s="7" t="e">
        <f ca="1"/>
        <v>#REF!</v>
      </c>
      <c r="AO731" s="7" t="e">
        <f ca="1"/>
        <v>#REF!</v>
      </c>
      <c r="AP731" s="7">
        <f ca="1"/>
        <v>6.7083913197219458E-2</v>
      </c>
      <c r="AQ731" s="7" t="e">
        <f ca="1"/>
        <v>#REF!</v>
      </c>
      <c r="AR731" s="7" t="e">
        <f ca="1"/>
        <v>#REF!</v>
      </c>
      <c r="AS731" s="7">
        <f ca="1"/>
        <v>-0.15567569037416348</v>
      </c>
      <c r="AT731" s="7" t="e">
        <f ca="1"/>
        <v>#REF!</v>
      </c>
      <c r="AU731" s="7" t="e">
        <f ca="1"/>
        <v>#REF!</v>
      </c>
      <c r="AV731" s="7" t="e">
        <f ca="1"/>
        <v>#REF!</v>
      </c>
    </row>
    <row r="732" spans="37:48" x14ac:dyDescent="0.25">
      <c r="AK732" t="str">
        <f ca="1"/>
        <v>Obs. 1292</v>
      </c>
      <c r="AL732" s="7">
        <f ca="1"/>
        <v>81.2</v>
      </c>
      <c r="AN732" s="7" t="e">
        <f ca="1"/>
        <v>#REF!</v>
      </c>
      <c r="AO732" s="7" t="e">
        <f ca="1"/>
        <v>#REF!</v>
      </c>
      <c r="AP732" s="7">
        <f ca="1"/>
        <v>6.873443251821755E-2</v>
      </c>
      <c r="AQ732" s="7" t="e">
        <f ca="1"/>
        <v>#REF!</v>
      </c>
      <c r="AR732" s="7" t="e">
        <f ca="1"/>
        <v>#REF!</v>
      </c>
      <c r="AS732" s="7">
        <f ca="1"/>
        <v>-0.15567569037416348</v>
      </c>
      <c r="AT732" s="7" t="e">
        <f ca="1"/>
        <v>#REF!</v>
      </c>
      <c r="AU732" s="7" t="e">
        <f ca="1"/>
        <v>#REF!</v>
      </c>
      <c r="AV732" s="7" t="e">
        <f ca="1"/>
        <v>#REF!</v>
      </c>
    </row>
    <row r="733" spans="37:48" x14ac:dyDescent="0.25">
      <c r="AK733" t="str">
        <f ca="1"/>
        <v>Obs. 1293</v>
      </c>
      <c r="AL733" s="7">
        <f ca="1"/>
        <v>88</v>
      </c>
      <c r="AN733" s="7" t="e">
        <f ca="1"/>
        <v>#REF!</v>
      </c>
      <c r="AO733" s="7" t="e">
        <f ca="1"/>
        <v>#REF!</v>
      </c>
      <c r="AP733" s="7">
        <f ca="1"/>
        <v>6.5810221138635772E-2</v>
      </c>
      <c r="AQ733" s="7" t="e">
        <f ca="1"/>
        <v>#REF!</v>
      </c>
      <c r="AR733" s="7" t="e">
        <f ca="1"/>
        <v>#REF!</v>
      </c>
      <c r="AS733" s="7">
        <f ca="1"/>
        <v>-0.14337818601426075</v>
      </c>
      <c r="AT733" s="7" t="e">
        <f ca="1"/>
        <v>#REF!</v>
      </c>
      <c r="AU733" s="7" t="e">
        <f ca="1"/>
        <v>#REF!</v>
      </c>
      <c r="AV733" s="7" t="e">
        <f ca="1"/>
        <v>#REF!</v>
      </c>
    </row>
    <row r="734" spans="37:48" x14ac:dyDescent="0.25">
      <c r="AK734" t="str">
        <f ca="1"/>
        <v>Obs. 1294</v>
      </c>
      <c r="AL734" s="7">
        <f ca="1"/>
        <v>89</v>
      </c>
      <c r="AN734" s="7" t="e">
        <f ca="1"/>
        <v>#REF!</v>
      </c>
      <c r="AO734" s="7" t="e">
        <f ca="1"/>
        <v>#REF!</v>
      </c>
      <c r="AP734" s="7">
        <f ca="1"/>
        <v>6.6244544145700718E-2</v>
      </c>
      <c r="AQ734" s="7" t="e">
        <f ca="1"/>
        <v>#REF!</v>
      </c>
      <c r="AR734" s="7" t="e">
        <f ca="1"/>
        <v>#REF!</v>
      </c>
      <c r="AS734" s="7">
        <f ca="1"/>
        <v>-0.14337818601426075</v>
      </c>
      <c r="AT734" s="7" t="e">
        <f ca="1"/>
        <v>#REF!</v>
      </c>
      <c r="AU734" s="7" t="e">
        <f ca="1"/>
        <v>#REF!</v>
      </c>
      <c r="AV734" s="7" t="e">
        <f ca="1"/>
        <v>#REF!</v>
      </c>
    </row>
    <row r="735" spans="37:48" x14ac:dyDescent="0.25">
      <c r="AK735" t="str">
        <f ca="1"/>
        <v>Obs. 1295</v>
      </c>
      <c r="AL735" s="7">
        <f ca="1"/>
        <v>79.900000000000006</v>
      </c>
      <c r="AN735" s="7" t="e">
        <f ca="1"/>
        <v>#REF!</v>
      </c>
      <c r="AO735" s="7" t="e">
        <f ca="1"/>
        <v>#REF!</v>
      </c>
      <c r="AP735" s="7">
        <f ca="1"/>
        <v>6.7602254315529256E-2</v>
      </c>
      <c r="AQ735" s="7" t="e">
        <f ca="1"/>
        <v>#REF!</v>
      </c>
      <c r="AR735" s="7" t="e">
        <f ca="1"/>
        <v>#REF!</v>
      </c>
      <c r="AS735" s="7">
        <f ca="1"/>
        <v>-0.14337818601426075</v>
      </c>
      <c r="AT735" s="7" t="e">
        <f ca="1"/>
        <v>#REF!</v>
      </c>
      <c r="AU735" s="7" t="e">
        <f ca="1"/>
        <v>#REF!</v>
      </c>
      <c r="AV735" s="7" t="e">
        <f ca="1"/>
        <v>#REF!</v>
      </c>
    </row>
    <row r="736" spans="37:48" x14ac:dyDescent="0.25">
      <c r="AK736" t="str">
        <f ca="1"/>
        <v>Obs. 1296</v>
      </c>
      <c r="AL736" s="7">
        <f ca="1"/>
        <v>80</v>
      </c>
      <c r="AN736" s="7" t="e">
        <f ca="1"/>
        <v>#REF!</v>
      </c>
      <c r="AO736" s="7" t="e">
        <f ca="1"/>
        <v>#REF!</v>
      </c>
      <c r="AP736" s="7">
        <f ca="1"/>
        <v>6.6647206348226837E-2</v>
      </c>
      <c r="AQ736" s="7" t="e">
        <f ca="1"/>
        <v>#REF!</v>
      </c>
      <c r="AR736" s="7" t="e">
        <f ca="1"/>
        <v>#REF!</v>
      </c>
      <c r="AS736" s="7">
        <f ca="1"/>
        <v>-0.14337818601426075</v>
      </c>
      <c r="AT736" s="7" t="e">
        <f ca="1"/>
        <v>#REF!</v>
      </c>
      <c r="AU736" s="7" t="e">
        <f ca="1"/>
        <v>#REF!</v>
      </c>
      <c r="AV736" s="7" t="e">
        <f ca="1"/>
        <v>#REF!</v>
      </c>
    </row>
    <row r="737" spans="37:48" x14ac:dyDescent="0.25">
      <c r="AK737" t="str">
        <f ca="1"/>
        <v>Obs. 1297</v>
      </c>
      <c r="AL737" s="7">
        <f ca="1"/>
        <v>79.8</v>
      </c>
      <c r="AN737" s="7" t="e">
        <f ca="1"/>
        <v>#REF!</v>
      </c>
      <c r="AO737" s="7" t="e">
        <f ca="1"/>
        <v>#REF!</v>
      </c>
      <c r="AP737" s="7">
        <f ca="1"/>
        <v>7.1566883934204933E-2</v>
      </c>
      <c r="AQ737" s="7" t="e">
        <f ca="1"/>
        <v>#REF!</v>
      </c>
      <c r="AR737" s="7" t="e">
        <f ca="1"/>
        <v>#REF!</v>
      </c>
      <c r="AS737" s="7">
        <f ca="1"/>
        <v>-0.14337818601426075</v>
      </c>
      <c r="AT737" s="7" t="e">
        <f ca="1"/>
        <v>#REF!</v>
      </c>
      <c r="AU737" s="7" t="e">
        <f ca="1"/>
        <v>#REF!</v>
      </c>
      <c r="AV737" s="7" t="e">
        <f ca="1"/>
        <v>#REF!</v>
      </c>
    </row>
    <row r="738" spans="37:48" x14ac:dyDescent="0.25">
      <c r="AK738" t="str">
        <f ca="1"/>
        <v>Obs. 1298</v>
      </c>
      <c r="AL738" s="7">
        <f ca="1"/>
        <v>79.400000000000006</v>
      </c>
      <c r="AN738" s="7" t="e">
        <f ca="1"/>
        <v>#REF!</v>
      </c>
      <c r="AO738" s="7" t="e">
        <f ca="1"/>
        <v>#REF!</v>
      </c>
      <c r="AP738" s="7">
        <f ca="1"/>
        <v>7.2159732217471753E-2</v>
      </c>
      <c r="AQ738" s="7" t="e">
        <f ca="1"/>
        <v>#REF!</v>
      </c>
      <c r="AR738" s="7" t="e">
        <f ca="1"/>
        <v>#REF!</v>
      </c>
      <c r="AS738" s="7">
        <f ca="1"/>
        <v>-0.14337818601426075</v>
      </c>
      <c r="AT738" s="7" t="e">
        <f ca="1"/>
        <v>#REF!</v>
      </c>
      <c r="AU738" s="7" t="e">
        <f ca="1"/>
        <v>#REF!</v>
      </c>
      <c r="AV738" s="7" t="e">
        <f ca="1"/>
        <v>#REF!</v>
      </c>
    </row>
    <row r="739" spans="37:48" x14ac:dyDescent="0.25">
      <c r="AK739" t="str">
        <f ca="1"/>
        <v>Obs. 1300</v>
      </c>
      <c r="AL739" s="7">
        <f ca="1"/>
        <v>75.8</v>
      </c>
      <c r="AN739" s="7" t="e">
        <f ca="1"/>
        <v>#REF!</v>
      </c>
      <c r="AO739" s="7" t="e">
        <f ca="1"/>
        <v>#REF!</v>
      </c>
      <c r="AP739" s="7">
        <f ca="1"/>
        <v>8.292749074111036E-2</v>
      </c>
      <c r="AQ739" s="7" t="e">
        <f ca="1"/>
        <v>#REF!</v>
      </c>
      <c r="AR739" s="7" t="e">
        <f ca="1"/>
        <v>#REF!</v>
      </c>
      <c r="AS739" s="7">
        <f ca="1"/>
        <v>-0.14337818601426075</v>
      </c>
      <c r="AT739" s="7" t="e">
        <f ca="1"/>
        <v>#REF!</v>
      </c>
      <c r="AU739" s="7" t="e">
        <f ca="1"/>
        <v>#REF!</v>
      </c>
      <c r="AV739" s="7" t="e">
        <f ca="1"/>
        <v>#REF!</v>
      </c>
    </row>
    <row r="740" spans="37:48" x14ac:dyDescent="0.25">
      <c r="AK740" t="str">
        <f ca="1"/>
        <v>Obs. 1301</v>
      </c>
      <c r="AL740" s="7">
        <f ca="1"/>
        <v>75.599999999999994</v>
      </c>
      <c r="AN740" s="7" t="e">
        <f ca="1"/>
        <v>#REF!</v>
      </c>
      <c r="AO740" s="7" t="e">
        <f ca="1"/>
        <v>#REF!</v>
      </c>
      <c r="AP740" s="7">
        <f ca="1"/>
        <v>8.2783895907688906E-2</v>
      </c>
      <c r="AQ740" s="7" t="e">
        <f ca="1"/>
        <v>#REF!</v>
      </c>
      <c r="AR740" s="7" t="e">
        <f ca="1"/>
        <v>#REF!</v>
      </c>
      <c r="AS740" s="7">
        <f ca="1"/>
        <v>-0.14337818601426075</v>
      </c>
      <c r="AT740" s="7" t="e">
        <f ca="1"/>
        <v>#REF!</v>
      </c>
      <c r="AU740" s="7" t="e">
        <f ca="1"/>
        <v>#REF!</v>
      </c>
      <c r="AV740" s="7" t="e">
        <f ca="1"/>
        <v>#REF!</v>
      </c>
    </row>
    <row r="741" spans="37:48" x14ac:dyDescent="0.25">
      <c r="AK741" t="str">
        <f ca="1"/>
        <v>Obs. 1302</v>
      </c>
      <c r="AL741" s="7">
        <f ca="1"/>
        <v>75.3</v>
      </c>
      <c r="AN741" s="7" t="e">
        <f ca="1"/>
        <v>#REF!</v>
      </c>
      <c r="AO741" s="7" t="e">
        <f ca="1"/>
        <v>#REF!</v>
      </c>
      <c r="AP741" s="7">
        <f ca="1"/>
        <v>8.1965556929126063E-2</v>
      </c>
      <c r="AQ741" s="7" t="e">
        <f ca="1"/>
        <v>#REF!</v>
      </c>
      <c r="AR741" s="7" t="e">
        <f ca="1"/>
        <v>#REF!</v>
      </c>
      <c r="AS741" s="7">
        <f ca="1"/>
        <v>-0.14337818601426075</v>
      </c>
      <c r="AT741" s="7" t="e">
        <f ca="1"/>
        <v>#REF!</v>
      </c>
      <c r="AU741" s="7" t="e">
        <f ca="1"/>
        <v>#REF!</v>
      </c>
      <c r="AV741" s="7" t="e">
        <f ca="1"/>
        <v>#REF!</v>
      </c>
    </row>
    <row r="742" spans="37:48" x14ac:dyDescent="0.25">
      <c r="AK742" t="str">
        <f ca="1"/>
        <v>Obs. 1303</v>
      </c>
      <c r="AL742" s="7">
        <f ca="1"/>
        <v>75.2</v>
      </c>
      <c r="AN742" s="7" t="e">
        <f ca="1"/>
        <v>#REF!</v>
      </c>
      <c r="AO742" s="7" t="e">
        <f ca="1"/>
        <v>#REF!</v>
      </c>
      <c r="AP742" s="7">
        <f ca="1"/>
        <v>8.1068391044572002E-2</v>
      </c>
      <c r="AQ742" s="7" t="e">
        <f ca="1"/>
        <v>#REF!</v>
      </c>
      <c r="AR742" s="7" t="e">
        <f ca="1"/>
        <v>#REF!</v>
      </c>
      <c r="AS742" s="7">
        <f ca="1"/>
        <v>-0.12956927093944987</v>
      </c>
      <c r="AT742" s="7" t="e">
        <f ca="1"/>
        <v>#REF!</v>
      </c>
      <c r="AU742" s="7" t="e">
        <f ca="1"/>
        <v>#REF!</v>
      </c>
      <c r="AV742" s="7" t="e">
        <f ca="1"/>
        <v>#REF!</v>
      </c>
    </row>
    <row r="743" spans="37:48" x14ac:dyDescent="0.25">
      <c r="AK743" t="str">
        <f ca="1"/>
        <v>Obs. 1304</v>
      </c>
      <c r="AL743" s="7">
        <f ca="1"/>
        <v>75</v>
      </c>
      <c r="AN743" s="7" t="e">
        <f ca="1"/>
        <v>#REF!</v>
      </c>
      <c r="AO743" s="7" t="e">
        <f ca="1"/>
        <v>#REF!</v>
      </c>
      <c r="AP743" s="7">
        <f ca="1"/>
        <v>8.7714204957483777E-2</v>
      </c>
      <c r="AQ743" s="7" t="e">
        <f ca="1"/>
        <v>#REF!</v>
      </c>
      <c r="AR743" s="7" t="e">
        <f ca="1"/>
        <v>#REF!</v>
      </c>
      <c r="AS743" s="7">
        <f ca="1"/>
        <v>-0.12956927093944987</v>
      </c>
      <c r="AT743" s="7" t="e">
        <f ca="1"/>
        <v>#REF!</v>
      </c>
      <c r="AU743" s="7" t="e">
        <f ca="1"/>
        <v>#REF!</v>
      </c>
      <c r="AV743" s="7" t="e">
        <f ca="1"/>
        <v>#REF!</v>
      </c>
    </row>
    <row r="744" spans="37:48" x14ac:dyDescent="0.25">
      <c r="AK744" t="str">
        <f ca="1"/>
        <v>Obs. 1305</v>
      </c>
      <c r="AL744" s="7">
        <f ca="1"/>
        <v>74.7</v>
      </c>
      <c r="AN744" s="7" t="e">
        <f ca="1"/>
        <v>#REF!</v>
      </c>
      <c r="AO744" s="7" t="e">
        <f ca="1"/>
        <v>#REF!</v>
      </c>
      <c r="AP744" s="7">
        <f ca="1"/>
        <v>0.10121488355760655</v>
      </c>
      <c r="AQ744" s="7" t="e">
        <f ca="1"/>
        <v>#REF!</v>
      </c>
      <c r="AR744" s="7" t="e">
        <f ca="1"/>
        <v>#REF!</v>
      </c>
      <c r="AS744" s="7">
        <f ca="1"/>
        <v>-0.12956927093944987</v>
      </c>
      <c r="AT744" s="7" t="e">
        <f ca="1"/>
        <v>#REF!</v>
      </c>
      <c r="AU744" s="7" t="e">
        <f ca="1"/>
        <v>#REF!</v>
      </c>
      <c r="AV744" s="7" t="e">
        <f ca="1"/>
        <v>#REF!</v>
      </c>
    </row>
    <row r="745" spans="37:48" x14ac:dyDescent="0.25">
      <c r="AK745" t="str">
        <f ca="1"/>
        <v>Obs. 1306</v>
      </c>
      <c r="AL745" s="7">
        <f ca="1"/>
        <v>74.5</v>
      </c>
      <c r="AN745" s="7" t="e">
        <f ca="1"/>
        <v>#REF!</v>
      </c>
      <c r="AO745" s="7" t="e">
        <f ca="1"/>
        <v>#REF!</v>
      </c>
      <c r="AP745" s="7">
        <f ca="1"/>
        <v>8.0945753669265277E-2</v>
      </c>
      <c r="AQ745" s="7" t="e">
        <f ca="1"/>
        <v>#REF!</v>
      </c>
      <c r="AR745" s="7" t="e">
        <f ca="1"/>
        <v>#REF!</v>
      </c>
      <c r="AS745" s="7">
        <f ca="1"/>
        <v>-0.12956927093944987</v>
      </c>
      <c r="AT745" s="7" t="e">
        <f ca="1"/>
        <v>#REF!</v>
      </c>
      <c r="AU745" s="7" t="e">
        <f ca="1"/>
        <v>#REF!</v>
      </c>
      <c r="AV745" s="7" t="e">
        <f ca="1"/>
        <v>#REF!</v>
      </c>
    </row>
    <row r="746" spans="37:48" x14ac:dyDescent="0.25">
      <c r="AK746" t="str">
        <f ca="1"/>
        <v>Obs. 1307</v>
      </c>
      <c r="AL746" s="7">
        <f ca="1"/>
        <v>74.2</v>
      </c>
      <c r="AN746" s="7" t="e">
        <f ca="1"/>
        <v>#REF!</v>
      </c>
      <c r="AO746" s="7" t="e">
        <f ca="1"/>
        <v>#REF!</v>
      </c>
      <c r="AP746" s="7">
        <f ca="1"/>
        <v>8.1077352607922468E-2</v>
      </c>
      <c r="AQ746" s="7" t="e">
        <f ca="1"/>
        <v>#REF!</v>
      </c>
      <c r="AR746" s="7" t="e">
        <f ca="1"/>
        <v>#REF!</v>
      </c>
      <c r="AS746" s="7">
        <f ca="1"/>
        <v>-0.12344005334831042</v>
      </c>
      <c r="AT746" s="7" t="e">
        <f ca="1"/>
        <v>#REF!</v>
      </c>
      <c r="AU746" s="7" t="e">
        <f ca="1"/>
        <v>#REF!</v>
      </c>
      <c r="AV746" s="7" t="e">
        <f ca="1"/>
        <v>#REF!</v>
      </c>
    </row>
    <row r="747" spans="37:48" x14ac:dyDescent="0.25">
      <c r="AK747" t="str">
        <f ca="1"/>
        <v>Obs. 1308</v>
      </c>
      <c r="AL747" s="7">
        <f ca="1"/>
        <v>74</v>
      </c>
      <c r="AN747" s="7" t="e">
        <f ca="1"/>
        <v>#REF!</v>
      </c>
      <c r="AO747" s="7" t="e">
        <f ca="1"/>
        <v>#REF!</v>
      </c>
      <c r="AP747" s="7">
        <f ca="1"/>
        <v>8.4157035821401049E-2</v>
      </c>
      <c r="AQ747" s="7" t="e">
        <f ca="1"/>
        <v>#REF!</v>
      </c>
      <c r="AR747" s="7" t="e">
        <f ca="1"/>
        <v>#REF!</v>
      </c>
      <c r="AS747" s="7">
        <f ca="1"/>
        <v>-0.12344005334831042</v>
      </c>
      <c r="AT747" s="7" t="e">
        <f ca="1"/>
        <v>#REF!</v>
      </c>
      <c r="AU747" s="7" t="e">
        <f ca="1"/>
        <v>#REF!</v>
      </c>
      <c r="AV747" s="7" t="e">
        <f ca="1"/>
        <v>#REF!</v>
      </c>
    </row>
    <row r="748" spans="37:48" x14ac:dyDescent="0.25">
      <c r="AK748" t="str">
        <f ca="1"/>
        <v>Obs. 1309</v>
      </c>
      <c r="AL748" s="7">
        <f ca="1"/>
        <v>73.5</v>
      </c>
      <c r="AN748" s="7" t="e">
        <f ca="1"/>
        <v>#REF!</v>
      </c>
      <c r="AO748" s="7" t="e">
        <f ca="1"/>
        <v>#REF!</v>
      </c>
      <c r="AP748" s="7">
        <f ca="1"/>
        <v>8.2316271490207121E-2</v>
      </c>
      <c r="AQ748" s="7" t="e">
        <f ca="1"/>
        <v>#REF!</v>
      </c>
      <c r="AR748" s="7" t="e">
        <f ca="1"/>
        <v>#REF!</v>
      </c>
      <c r="AS748" s="7">
        <f ca="1"/>
        <v>-0.12344005334831042</v>
      </c>
      <c r="AT748" s="7" t="e">
        <f ca="1"/>
        <v>#REF!</v>
      </c>
      <c r="AU748" s="7" t="e">
        <f ca="1"/>
        <v>#REF!</v>
      </c>
      <c r="AV748" s="7" t="e">
        <f ca="1"/>
        <v>#REF!</v>
      </c>
    </row>
    <row r="749" spans="37:48" x14ac:dyDescent="0.25">
      <c r="AK749" t="str">
        <f ca="1"/>
        <v>Obs. 1310</v>
      </c>
      <c r="AL749" s="7">
        <f ca="1"/>
        <v>73.3</v>
      </c>
      <c r="AN749" s="7" t="e">
        <f ca="1"/>
        <v>#REF!</v>
      </c>
      <c r="AO749" s="7" t="e">
        <f ca="1"/>
        <v>#REF!</v>
      </c>
      <c r="AP749" s="7">
        <f ca="1"/>
        <v>8.3934814966655141E-2</v>
      </c>
      <c r="AQ749" s="7" t="e">
        <f ca="1"/>
        <v>#REF!</v>
      </c>
      <c r="AR749" s="7" t="e">
        <f ca="1"/>
        <v>#REF!</v>
      </c>
      <c r="AS749" s="7">
        <f ca="1"/>
        <v>-0.12344005334831042</v>
      </c>
      <c r="AT749" s="7" t="e">
        <f ca="1"/>
        <v>#REF!</v>
      </c>
      <c r="AU749" s="7" t="e">
        <f ca="1"/>
        <v>#REF!</v>
      </c>
      <c r="AV749" s="7" t="e">
        <f ca="1"/>
        <v>#REF!</v>
      </c>
    </row>
    <row r="750" spans="37:48" x14ac:dyDescent="0.25">
      <c r="AK750" t="str">
        <f ca="1"/>
        <v>Obs. 1311</v>
      </c>
      <c r="AL750" s="7">
        <f ca="1"/>
        <v>73.099999999999994</v>
      </c>
      <c r="AN750" s="7" t="e">
        <f ca="1"/>
        <v>#REF!</v>
      </c>
      <c r="AO750" s="7" t="e">
        <f ca="1"/>
        <v>#REF!</v>
      </c>
      <c r="AP750" s="7">
        <f ca="1"/>
        <v>8.7773711824213063E-2</v>
      </c>
      <c r="AQ750" s="7" t="e">
        <f ca="1"/>
        <v>#REF!</v>
      </c>
      <c r="AR750" s="7" t="e">
        <f ca="1"/>
        <v>#REF!</v>
      </c>
      <c r="AS750" s="7">
        <f ca="1"/>
        <v>-0.11731546960548965</v>
      </c>
      <c r="AT750" s="7" t="e">
        <f ca="1"/>
        <v>#REF!</v>
      </c>
      <c r="AU750" s="7" t="e">
        <f ca="1"/>
        <v>#REF!</v>
      </c>
      <c r="AV750" s="7" t="e">
        <f ca="1"/>
        <v>#REF!</v>
      </c>
    </row>
    <row r="751" spans="37:48" x14ac:dyDescent="0.25">
      <c r="AK751" t="str">
        <f ca="1"/>
        <v>Obs. 1332</v>
      </c>
      <c r="AL751" s="7">
        <f ca="1"/>
        <v>74</v>
      </c>
      <c r="AN751" s="7" t="e">
        <f ca="1"/>
        <v>#REF!</v>
      </c>
      <c r="AO751" s="7" t="e">
        <f ca="1"/>
        <v>#REF!</v>
      </c>
      <c r="AP751" s="7">
        <f ca="1"/>
        <v>7.2314743665366971E-2</v>
      </c>
      <c r="AQ751" s="7" t="e">
        <f ca="1"/>
        <v>#REF!</v>
      </c>
      <c r="AR751" s="7" t="e">
        <f ca="1"/>
        <v>#REF!</v>
      </c>
      <c r="AS751" s="7">
        <f ca="1"/>
        <v>-0.11731546960548965</v>
      </c>
      <c r="AT751" s="7" t="e">
        <f ca="1"/>
        <v>#REF!</v>
      </c>
      <c r="AU751" s="7" t="e">
        <f ca="1"/>
        <v>#REF!</v>
      </c>
      <c r="AV751" s="7" t="e">
        <f ca="1"/>
        <v>#REF!</v>
      </c>
    </row>
    <row r="752" spans="37:48" x14ac:dyDescent="0.25">
      <c r="AK752" t="str">
        <f ca="1"/>
        <v>Obs. 1333</v>
      </c>
      <c r="AL752" s="7">
        <f ca="1"/>
        <v>73.900000000000006</v>
      </c>
      <c r="AN752" s="7" t="e">
        <f ca="1"/>
        <v>#REF!</v>
      </c>
      <c r="AO752" s="7" t="e">
        <f ca="1"/>
        <v>#REF!</v>
      </c>
      <c r="AP752" s="7">
        <f ca="1"/>
        <v>7.0040821068384607E-2</v>
      </c>
      <c r="AQ752" s="7" t="e">
        <f ca="1"/>
        <v>#REF!</v>
      </c>
      <c r="AR752" s="7" t="e">
        <f ca="1"/>
        <v>#REF!</v>
      </c>
      <c r="AS752" s="7">
        <f ca="1"/>
        <v>-0.11731546960548965</v>
      </c>
      <c r="AT752" s="7" t="e">
        <f ca="1"/>
        <v>#REF!</v>
      </c>
      <c r="AU752" s="7" t="e">
        <f ca="1"/>
        <v>#REF!</v>
      </c>
      <c r="AV752" s="7" t="e">
        <f ca="1"/>
        <v>#REF!</v>
      </c>
    </row>
    <row r="753" spans="37:48" x14ac:dyDescent="0.25">
      <c r="AK753" t="str">
        <f ca="1"/>
        <v>Obs. 1334</v>
      </c>
      <c r="AL753" s="7">
        <f ca="1"/>
        <v>73.7</v>
      </c>
      <c r="AN753" s="7" t="e">
        <f ca="1"/>
        <v>#REF!</v>
      </c>
      <c r="AO753" s="7" t="e">
        <f ca="1"/>
        <v>#REF!</v>
      </c>
      <c r="AP753" s="7">
        <f ca="1"/>
        <v>6.8816148032884397E-2</v>
      </c>
      <c r="AQ753" s="7" t="e">
        <f ca="1"/>
        <v>#REF!</v>
      </c>
      <c r="AR753" s="7" t="e">
        <f ca="1"/>
        <v>#REF!</v>
      </c>
      <c r="AS753" s="7">
        <f ca="1"/>
        <v>-0.11731546960548965</v>
      </c>
      <c r="AT753" s="7" t="e">
        <f ca="1"/>
        <v>#REF!</v>
      </c>
      <c r="AU753" s="7" t="e">
        <f ca="1"/>
        <v>#REF!</v>
      </c>
      <c r="AV753" s="7" t="e">
        <f ca="1"/>
        <v>#REF!</v>
      </c>
    </row>
    <row r="754" spans="37:48" x14ac:dyDescent="0.25">
      <c r="AK754" t="str">
        <f ca="1"/>
        <v>Obs. 1335</v>
      </c>
      <c r="AL754" s="7">
        <f ca="1"/>
        <v>73.599999999999994</v>
      </c>
      <c r="AN754" s="7" t="e">
        <f ca="1"/>
        <v>#REF!</v>
      </c>
      <c r="AO754" s="7" t="e">
        <f ca="1"/>
        <v>#REF!</v>
      </c>
      <c r="AP754" s="7">
        <f ca="1"/>
        <v>6.7111438944229718E-2</v>
      </c>
      <c r="AQ754" s="7" t="e">
        <f ca="1"/>
        <v>#REF!</v>
      </c>
      <c r="AR754" s="7" t="e">
        <f ca="1"/>
        <v>#REF!</v>
      </c>
      <c r="AS754" s="7">
        <f ca="1"/>
        <v>-0.11731546960548965</v>
      </c>
      <c r="AT754" s="7" t="e">
        <f ca="1"/>
        <v>#REF!</v>
      </c>
      <c r="AU754" s="7" t="e">
        <f ca="1"/>
        <v>#REF!</v>
      </c>
      <c r="AV754" s="7" t="e">
        <f ca="1"/>
        <v>#REF!</v>
      </c>
    </row>
    <row r="755" spans="37:48" x14ac:dyDescent="0.25">
      <c r="AK755" t="str">
        <f ca="1"/>
        <v>Obs. 1336</v>
      </c>
      <c r="AL755" s="7">
        <f ca="1"/>
        <v>73.400000000000006</v>
      </c>
      <c r="AN755" s="7" t="e">
        <f ca="1"/>
        <v>#REF!</v>
      </c>
      <c r="AO755" s="7" t="e">
        <f ca="1"/>
        <v>#REF!</v>
      </c>
      <c r="AP755" s="7">
        <f ca="1"/>
        <v>6.5945354332579323E-2</v>
      </c>
      <c r="AQ755" s="7" t="e">
        <f ca="1"/>
        <v>#REF!</v>
      </c>
      <c r="AR755" s="7" t="e">
        <f ca="1"/>
        <v>#REF!</v>
      </c>
      <c r="AS755" s="7">
        <f ca="1"/>
        <v>-0.11731546960548965</v>
      </c>
      <c r="AT755" s="7" t="e">
        <f ca="1"/>
        <v>#REF!</v>
      </c>
      <c r="AU755" s="7" t="e">
        <f ca="1"/>
        <v>#REF!</v>
      </c>
      <c r="AV755" s="7" t="e">
        <f ca="1"/>
        <v>#REF!</v>
      </c>
    </row>
    <row r="756" spans="37:48" x14ac:dyDescent="0.25">
      <c r="AK756" t="str">
        <f ca="1"/>
        <v>Obs. 1337</v>
      </c>
      <c r="AL756" s="7">
        <f ca="1"/>
        <v>73.3</v>
      </c>
      <c r="AN756" s="7" t="e">
        <f ca="1"/>
        <v>#REF!</v>
      </c>
      <c r="AO756" s="7" t="e">
        <f ca="1"/>
        <v>#REF!</v>
      </c>
      <c r="AP756" s="7">
        <f ca="1"/>
        <v>7.4295089105006346E-2</v>
      </c>
      <c r="AQ756" s="7" t="e">
        <f ca="1"/>
        <v>#REF!</v>
      </c>
      <c r="AR756" s="7" t="e">
        <f ca="1"/>
        <v>#REF!</v>
      </c>
      <c r="AS756" s="7">
        <f ca="1"/>
        <v>-0.11731546960548965</v>
      </c>
      <c r="AT756" s="7" t="e">
        <f ca="1"/>
        <v>#REF!</v>
      </c>
      <c r="AU756" s="7" t="e">
        <f ca="1"/>
        <v>#REF!</v>
      </c>
      <c r="AV756" s="7" t="e">
        <f ca="1"/>
        <v>#REF!</v>
      </c>
    </row>
    <row r="757" spans="37:48" x14ac:dyDescent="0.25">
      <c r="AK757" t="str">
        <f ca="1"/>
        <v>Obs. 1338</v>
      </c>
      <c r="AL757" s="7">
        <f ca="1"/>
        <v>73.099999999999994</v>
      </c>
      <c r="AN757" s="7" t="e">
        <f ca="1"/>
        <v>#REF!</v>
      </c>
      <c r="AO757" s="7" t="e">
        <f ca="1"/>
        <v>#REF!</v>
      </c>
      <c r="AP757" s="7">
        <f ca="1"/>
        <v>7.4031005554782231E-2</v>
      </c>
      <c r="AQ757" s="7" t="e">
        <f ca="1"/>
        <v>#REF!</v>
      </c>
      <c r="AR757" s="7" t="e">
        <f ca="1"/>
        <v>#REF!</v>
      </c>
      <c r="AS757" s="7">
        <f ca="1"/>
        <v>-0.10660788786182936</v>
      </c>
      <c r="AT757" s="7" t="e">
        <f ca="1"/>
        <v>#REF!</v>
      </c>
      <c r="AU757" s="7" t="e">
        <f ca="1"/>
        <v>#REF!</v>
      </c>
      <c r="AV757" s="7" t="e">
        <f ca="1"/>
        <v>#REF!</v>
      </c>
    </row>
    <row r="758" spans="37:48" x14ac:dyDescent="0.25">
      <c r="AK758" t="str">
        <f ca="1"/>
        <v>Obs. 1339</v>
      </c>
      <c r="AL758" s="7">
        <f ca="1"/>
        <v>73</v>
      </c>
      <c r="AN758" s="7" t="e">
        <f ca="1"/>
        <v>#REF!</v>
      </c>
      <c r="AO758" s="7" t="e">
        <f ca="1"/>
        <v>#REF!</v>
      </c>
      <c r="AP758" s="7">
        <f ca="1"/>
        <v>6.6529764466168526E-2</v>
      </c>
      <c r="AQ758" s="7" t="e">
        <f ca="1"/>
        <v>#REF!</v>
      </c>
      <c r="AR758" s="7" t="e">
        <f ca="1"/>
        <v>#REF!</v>
      </c>
      <c r="AS758" s="7">
        <f ca="1"/>
        <v>-0.10660788786182936</v>
      </c>
      <c r="AT758" s="7" t="e">
        <f ca="1"/>
        <v>#REF!</v>
      </c>
      <c r="AU758" s="7" t="e">
        <f ca="1"/>
        <v>#REF!</v>
      </c>
      <c r="AV758" s="7" t="e">
        <f ca="1"/>
        <v>#REF!</v>
      </c>
    </row>
    <row r="759" spans="37:48" x14ac:dyDescent="0.25">
      <c r="AK759" t="str">
        <f ca="1"/>
        <v>Obs. 1340</v>
      </c>
      <c r="AL759" s="7">
        <f ca="1"/>
        <v>72.8</v>
      </c>
      <c r="AN759" s="7" t="e">
        <f ca="1"/>
        <v>#REF!</v>
      </c>
      <c r="AO759" s="7" t="e">
        <f ca="1"/>
        <v>#REF!</v>
      </c>
      <c r="AP759" s="7">
        <f ca="1"/>
        <v>6.5900983720232426E-2</v>
      </c>
      <c r="AQ759" s="7" t="e">
        <f ca="1"/>
        <v>#REF!</v>
      </c>
      <c r="AR759" s="7" t="e">
        <f ca="1"/>
        <v>#REF!</v>
      </c>
      <c r="AS759" s="7">
        <f ca="1"/>
        <v>-0.10660788786182936</v>
      </c>
      <c r="AT759" s="7" t="e">
        <f ca="1"/>
        <v>#REF!</v>
      </c>
      <c r="AU759" s="7" t="e">
        <f ca="1"/>
        <v>#REF!</v>
      </c>
      <c r="AV759" s="7" t="e">
        <f ca="1"/>
        <v>#REF!</v>
      </c>
    </row>
    <row r="760" spans="37:48" x14ac:dyDescent="0.25">
      <c r="AK760" t="str">
        <f ca="1"/>
        <v>Obs. 1341</v>
      </c>
      <c r="AL760" s="7">
        <f ca="1"/>
        <v>72.400000000000006</v>
      </c>
      <c r="AN760" s="7" t="e">
        <f ca="1"/>
        <v>#REF!</v>
      </c>
      <c r="AO760" s="7" t="e">
        <f ca="1"/>
        <v>#REF!</v>
      </c>
      <c r="AP760" s="7">
        <f ca="1"/>
        <v>6.6419693939436808E-2</v>
      </c>
      <c r="AQ760" s="7" t="e">
        <f ca="1"/>
        <v>#REF!</v>
      </c>
      <c r="AR760" s="7" t="e">
        <f ca="1"/>
        <v>#REF!</v>
      </c>
      <c r="AS760" s="7">
        <f ca="1"/>
        <v>-0.10660788786182936</v>
      </c>
      <c r="AT760" s="7" t="e">
        <f ca="1"/>
        <v>#REF!</v>
      </c>
      <c r="AU760" s="7" t="e">
        <f ca="1"/>
        <v>#REF!</v>
      </c>
      <c r="AV760" s="7" t="e">
        <f ca="1"/>
        <v>#REF!</v>
      </c>
    </row>
    <row r="761" spans="37:48" x14ac:dyDescent="0.25">
      <c r="AK761" t="str">
        <f ca="1"/>
        <v>Obs. 1342</v>
      </c>
      <c r="AL761" s="7">
        <f ca="1"/>
        <v>72.5</v>
      </c>
      <c r="AN761" s="7" t="e">
        <f ca="1"/>
        <v>#REF!</v>
      </c>
      <c r="AO761" s="7" t="e">
        <f ca="1"/>
        <v>#REF!</v>
      </c>
      <c r="AP761" s="7">
        <f ca="1"/>
        <v>6.6821004863712855E-2</v>
      </c>
      <c r="AQ761" s="7" t="e">
        <f ca="1"/>
        <v>#REF!</v>
      </c>
      <c r="AR761" s="7" t="e">
        <f ca="1"/>
        <v>#REF!</v>
      </c>
      <c r="AS761" s="7">
        <f ca="1"/>
        <v>-0.10660788786182936</v>
      </c>
      <c r="AT761" s="7" t="e">
        <f ca="1"/>
        <v>#REF!</v>
      </c>
      <c r="AU761" s="7" t="e">
        <f ca="1"/>
        <v>#REF!</v>
      </c>
      <c r="AV761" s="7" t="e">
        <f ca="1"/>
        <v>#REF!</v>
      </c>
    </row>
    <row r="762" spans="37:48" x14ac:dyDescent="0.25">
      <c r="AK762" t="str">
        <f ca="1"/>
        <v>Obs. 1343</v>
      </c>
      <c r="AL762" s="7">
        <f ca="1"/>
        <v>72.3</v>
      </c>
      <c r="AN762" s="7" t="e">
        <f ca="1"/>
        <v>#REF!</v>
      </c>
      <c r="AO762" s="7" t="e">
        <f ca="1"/>
        <v>#REF!</v>
      </c>
      <c r="AP762" s="7">
        <f ca="1"/>
        <v>6.6323760196631082E-2</v>
      </c>
      <c r="AQ762" s="7" t="e">
        <f ca="1"/>
        <v>#REF!</v>
      </c>
      <c r="AR762" s="7" t="e">
        <f ca="1"/>
        <v>#REF!</v>
      </c>
      <c r="AS762" s="7">
        <f ca="1"/>
        <v>-0.10660788786182936</v>
      </c>
      <c r="AT762" s="7" t="e">
        <f ca="1"/>
        <v>#REF!</v>
      </c>
      <c r="AU762" s="7" t="e">
        <f ca="1"/>
        <v>#REF!</v>
      </c>
      <c r="AV762" s="7" t="e">
        <f ca="1"/>
        <v>#REF!</v>
      </c>
    </row>
    <row r="763" spans="37:48" x14ac:dyDescent="0.25">
      <c r="AK763" t="str">
        <f ca="1"/>
        <v>Obs. 1344</v>
      </c>
      <c r="AL763" s="7">
        <f ca="1"/>
        <v>72.099999999999994</v>
      </c>
      <c r="AN763" s="7" t="e">
        <f ca="1"/>
        <v>#REF!</v>
      </c>
      <c r="AO763" s="7" t="e">
        <f ca="1"/>
        <v>#REF!</v>
      </c>
      <c r="AP763" s="7">
        <f ca="1"/>
        <v>6.6937493443901291E-2</v>
      </c>
      <c r="AQ763" s="7" t="e">
        <f ca="1"/>
        <v>#REF!</v>
      </c>
      <c r="AR763" s="7" t="e">
        <f ca="1"/>
        <v>#REF!</v>
      </c>
      <c r="AS763" s="7">
        <f ca="1"/>
        <v>-9.743972564826138E-2</v>
      </c>
      <c r="AT763" s="7" t="e">
        <f ca="1"/>
        <v>#REF!</v>
      </c>
      <c r="AU763" s="7" t="e">
        <f ca="1"/>
        <v>#REF!</v>
      </c>
      <c r="AV763" s="7" t="e">
        <f ca="1"/>
        <v>#REF!</v>
      </c>
    </row>
    <row r="764" spans="37:48" x14ac:dyDescent="0.25">
      <c r="AK764" t="str">
        <f ca="1"/>
        <v>Obs. 1345</v>
      </c>
      <c r="AL764" s="7">
        <f ca="1"/>
        <v>71.900000000000006</v>
      </c>
      <c r="AN764" s="7" t="e">
        <f ca="1"/>
        <v>#REF!</v>
      </c>
      <c r="AO764" s="7" t="e">
        <f ca="1"/>
        <v>#REF!</v>
      </c>
      <c r="AP764" s="7">
        <f ca="1"/>
        <v>6.7161019042467865E-2</v>
      </c>
      <c r="AQ764" s="7" t="e">
        <f ca="1"/>
        <v>#REF!</v>
      </c>
      <c r="AR764" s="7" t="e">
        <f ca="1"/>
        <v>#REF!</v>
      </c>
      <c r="AS764" s="7">
        <f ca="1"/>
        <v>-9.743972564826138E-2</v>
      </c>
      <c r="AT764" s="7" t="e">
        <f ca="1"/>
        <v>#REF!</v>
      </c>
      <c r="AU764" s="7" t="e">
        <f ca="1"/>
        <v>#REF!</v>
      </c>
      <c r="AV764" s="7" t="e">
        <f ca="1"/>
        <v>#REF!</v>
      </c>
    </row>
    <row r="765" spans="37:48" x14ac:dyDescent="0.25">
      <c r="AK765" t="str">
        <f ca="1"/>
        <v>Obs. 1346</v>
      </c>
      <c r="AL765" s="7">
        <f ca="1"/>
        <v>71.7</v>
      </c>
      <c r="AN765" s="7" t="e">
        <f ca="1"/>
        <v>#REF!</v>
      </c>
      <c r="AO765" s="7" t="e">
        <f ca="1"/>
        <v>#REF!</v>
      </c>
      <c r="AP765" s="7">
        <f ca="1"/>
        <v>6.8064500508738107E-2</v>
      </c>
      <c r="AQ765" s="7" t="e">
        <f ca="1"/>
        <v>#REF!</v>
      </c>
      <c r="AR765" s="7" t="e">
        <f ca="1"/>
        <v>#REF!</v>
      </c>
      <c r="AS765" s="7">
        <f ca="1"/>
        <v>-9.743972564826138E-2</v>
      </c>
      <c r="AT765" s="7" t="e">
        <f ca="1"/>
        <v>#REF!</v>
      </c>
      <c r="AU765" s="7" t="e">
        <f ca="1"/>
        <v>#REF!</v>
      </c>
      <c r="AV765" s="7" t="e">
        <f ca="1"/>
        <v>#REF!</v>
      </c>
    </row>
    <row r="766" spans="37:48" x14ac:dyDescent="0.25">
      <c r="AK766" t="str">
        <f ca="1"/>
        <v>Obs. 1348</v>
      </c>
      <c r="AL766" s="7">
        <f ca="1"/>
        <v>69.900000000000006</v>
      </c>
      <c r="AN766" s="7" t="e">
        <f ca="1"/>
        <v>#REF!</v>
      </c>
      <c r="AO766" s="7" t="e">
        <f ca="1"/>
        <v>#REF!</v>
      </c>
      <c r="AP766" s="7">
        <f ca="1"/>
        <v>7.3918284337121096E-2</v>
      </c>
      <c r="AQ766" s="7" t="e">
        <f ca="1"/>
        <v>#REF!</v>
      </c>
      <c r="AR766" s="7" t="e">
        <f ca="1"/>
        <v>#REF!</v>
      </c>
      <c r="AS766" s="7">
        <f ca="1"/>
        <v>-9.743972564826138E-2</v>
      </c>
      <c r="AT766" s="7" t="e">
        <f ca="1"/>
        <v>#REF!</v>
      </c>
      <c r="AU766" s="7" t="e">
        <f ca="1"/>
        <v>#REF!</v>
      </c>
      <c r="AV766" s="7" t="e">
        <f ca="1"/>
        <v>#REF!</v>
      </c>
    </row>
    <row r="767" spans="37:48" x14ac:dyDescent="0.25">
      <c r="AK767" t="str">
        <f ca="1"/>
        <v>Obs. 1349</v>
      </c>
      <c r="AL767" s="7">
        <f ca="1"/>
        <v>69.5</v>
      </c>
      <c r="AN767" s="7" t="e">
        <f ca="1"/>
        <v>#REF!</v>
      </c>
      <c r="AO767" s="7" t="e">
        <f ca="1"/>
        <v>#REF!</v>
      </c>
      <c r="AP767" s="7">
        <f ca="1"/>
        <v>7.2826998152228498E-2</v>
      </c>
      <c r="AQ767" s="7" t="e">
        <f ca="1"/>
        <v>#REF!</v>
      </c>
      <c r="AR767" s="7" t="e">
        <f ca="1"/>
        <v>#REF!</v>
      </c>
      <c r="AS767" s="7">
        <f ca="1"/>
        <v>-9.743972564826138E-2</v>
      </c>
      <c r="AT767" s="7" t="e">
        <f ca="1"/>
        <v>#REF!</v>
      </c>
      <c r="AU767" s="7" t="e">
        <f ca="1"/>
        <v>#REF!</v>
      </c>
      <c r="AV767" s="7" t="e">
        <f ca="1"/>
        <v>#REF!</v>
      </c>
    </row>
    <row r="768" spans="37:48" x14ac:dyDescent="0.25">
      <c r="AK768" t="str">
        <f ca="1"/>
        <v>Obs. 1350</v>
      </c>
      <c r="AL768" s="7">
        <f ca="1"/>
        <v>69.099999999999994</v>
      </c>
      <c r="AN768" s="7" t="e">
        <f ca="1"/>
        <v>#REF!</v>
      </c>
      <c r="AO768" s="7" t="e">
        <f ca="1"/>
        <v>#REF!</v>
      </c>
      <c r="AP768" s="7">
        <f ca="1"/>
        <v>8.051964908307252E-2</v>
      </c>
      <c r="AQ768" s="7" t="e">
        <f ca="1"/>
        <v>#REF!</v>
      </c>
      <c r="AR768" s="7" t="e">
        <f ca="1"/>
        <v>#REF!</v>
      </c>
      <c r="AS768" s="7">
        <f ca="1"/>
        <v>-9.743972564826138E-2</v>
      </c>
      <c r="AT768" s="7" t="e">
        <f ca="1"/>
        <v>#REF!</v>
      </c>
      <c r="AU768" s="7" t="e">
        <f ca="1"/>
        <v>#REF!</v>
      </c>
      <c r="AV768" s="7" t="e">
        <f ca="1"/>
        <v>#REF!</v>
      </c>
    </row>
    <row r="769" spans="37:48" x14ac:dyDescent="0.25">
      <c r="AK769" t="str">
        <f ca="1"/>
        <v>Obs. 1351</v>
      </c>
      <c r="AL769" s="7">
        <f ca="1"/>
        <v>68.5</v>
      </c>
      <c r="AN769" s="7" t="e">
        <f ca="1"/>
        <v>#REF!</v>
      </c>
      <c r="AO769" s="7" t="e">
        <f ca="1"/>
        <v>#REF!</v>
      </c>
      <c r="AP769" s="7">
        <f ca="1"/>
        <v>7.3467533787832218E-2</v>
      </c>
      <c r="AQ769" s="7" t="e">
        <f ca="1"/>
        <v>#REF!</v>
      </c>
      <c r="AR769" s="7" t="e">
        <f ca="1"/>
        <v>#REF!</v>
      </c>
      <c r="AS769" s="7">
        <f ca="1"/>
        <v>-9.743972564826138E-2</v>
      </c>
      <c r="AT769" s="7" t="e">
        <f ca="1"/>
        <v>#REF!</v>
      </c>
      <c r="AU769" s="7" t="e">
        <f ca="1"/>
        <v>#REF!</v>
      </c>
      <c r="AV769" s="7" t="e">
        <f ca="1"/>
        <v>#REF!</v>
      </c>
    </row>
    <row r="770" spans="37:48" x14ac:dyDescent="0.25">
      <c r="AK770" t="str">
        <f ca="1"/>
        <v>Obs. 1352</v>
      </c>
      <c r="AL770" s="7">
        <f ca="1"/>
        <v>67.8</v>
      </c>
      <c r="AN770" s="7" t="e">
        <f ca="1"/>
        <v>#REF!</v>
      </c>
      <c r="AO770" s="7" t="e">
        <f ca="1"/>
        <v>#REF!</v>
      </c>
      <c r="AP770" s="7">
        <f ca="1"/>
        <v>6.7950665661796791E-2</v>
      </c>
      <c r="AQ770" s="7" t="e">
        <f ca="1"/>
        <v>#REF!</v>
      </c>
      <c r="AR770" s="7" t="e">
        <f ca="1"/>
        <v>#REF!</v>
      </c>
      <c r="AS770" s="7">
        <f ca="1"/>
        <v>-9.743972564826138E-2</v>
      </c>
      <c r="AT770" s="7" t="e">
        <f ca="1"/>
        <v>#REF!</v>
      </c>
      <c r="AU770" s="7" t="e">
        <f ca="1"/>
        <v>#REF!</v>
      </c>
      <c r="AV770" s="7" t="e">
        <f ca="1"/>
        <v>#REF!</v>
      </c>
    </row>
    <row r="771" spans="37:48" x14ac:dyDescent="0.25">
      <c r="AK771" t="str">
        <f ca="1"/>
        <v>Obs. 1353</v>
      </c>
      <c r="AL771" s="7">
        <f ca="1"/>
        <v>67.8</v>
      </c>
      <c r="AN771" s="7" t="e">
        <f ca="1"/>
        <v>#REF!</v>
      </c>
      <c r="AO771" s="7" t="e">
        <f ca="1"/>
        <v>#REF!</v>
      </c>
      <c r="AP771" s="7">
        <f ca="1"/>
        <v>6.6995041027498883E-2</v>
      </c>
      <c r="AQ771" s="7" t="e">
        <f ca="1"/>
        <v>#REF!</v>
      </c>
      <c r="AR771" s="7" t="e">
        <f ca="1"/>
        <v>#REF!</v>
      </c>
      <c r="AS771" s="7">
        <f ca="1"/>
        <v>-9.743972564826138E-2</v>
      </c>
      <c r="AT771" s="7" t="e">
        <f ca="1"/>
        <v>#REF!</v>
      </c>
      <c r="AU771" s="7" t="e">
        <f ca="1"/>
        <v>#REF!</v>
      </c>
      <c r="AV771" s="7" t="e">
        <f ca="1"/>
        <v>#REF!</v>
      </c>
    </row>
    <row r="772" spans="37:48" x14ac:dyDescent="0.25">
      <c r="AK772" t="str">
        <f ca="1"/>
        <v>Obs. 1354</v>
      </c>
      <c r="AL772" s="7">
        <f ca="1"/>
        <v>66.599999999999994</v>
      </c>
      <c r="AN772" s="7" t="e">
        <f ca="1"/>
        <v>#REF!</v>
      </c>
      <c r="AO772" s="7" t="e">
        <f ca="1"/>
        <v>#REF!</v>
      </c>
      <c r="AP772" s="7">
        <f ca="1"/>
        <v>6.7461581589330979E-2</v>
      </c>
      <c r="AQ772" s="7" t="e">
        <f ca="1"/>
        <v>#REF!</v>
      </c>
      <c r="AR772" s="7" t="e">
        <f ca="1"/>
        <v>#REF!</v>
      </c>
      <c r="AS772" s="7">
        <f ca="1"/>
        <v>-9.743972564826138E-2</v>
      </c>
      <c r="AT772" s="7" t="e">
        <f ca="1"/>
        <v>#REF!</v>
      </c>
      <c r="AU772" s="7" t="e">
        <f ca="1"/>
        <v>#REF!</v>
      </c>
      <c r="AV772" s="7" t="e">
        <f ca="1"/>
        <v>#REF!</v>
      </c>
    </row>
    <row r="773" spans="37:48" x14ac:dyDescent="0.25">
      <c r="AK773" t="str">
        <f ca="1"/>
        <v>Obs. 1355</v>
      </c>
      <c r="AL773" s="7">
        <f ca="1"/>
        <v>65.3</v>
      </c>
      <c r="AN773" s="7" t="e">
        <f ca="1"/>
        <v>#REF!</v>
      </c>
      <c r="AO773" s="7" t="e">
        <f ca="1"/>
        <v>#REF!</v>
      </c>
      <c r="AP773" s="7">
        <f ca="1"/>
        <v>6.8223679794269868E-2</v>
      </c>
      <c r="AQ773" s="7" t="e">
        <f ca="1"/>
        <v>#REF!</v>
      </c>
      <c r="AR773" s="7" t="e">
        <f ca="1"/>
        <v>#REF!</v>
      </c>
      <c r="AS773" s="7">
        <f ca="1"/>
        <v>-9.743972564826138E-2</v>
      </c>
      <c r="AT773" s="7" t="e">
        <f ca="1"/>
        <v>#REF!</v>
      </c>
      <c r="AU773" s="7" t="e">
        <f ca="1"/>
        <v>#REF!</v>
      </c>
      <c r="AV773" s="7" t="e">
        <f ca="1"/>
        <v>#REF!</v>
      </c>
    </row>
    <row r="774" spans="37:48" x14ac:dyDescent="0.25">
      <c r="AK774" t="str">
        <f ca="1"/>
        <v>Obs. 1356</v>
      </c>
      <c r="AL774" s="7">
        <f ca="1"/>
        <v>65</v>
      </c>
      <c r="AN774" s="7" t="e">
        <f ca="1"/>
        <v>#REF!</v>
      </c>
      <c r="AO774" s="7" t="e">
        <f ca="1"/>
        <v>#REF!</v>
      </c>
      <c r="AP774" s="7">
        <f ca="1"/>
        <v>6.7675450920484076E-2</v>
      </c>
      <c r="AQ774" s="7" t="e">
        <f ca="1"/>
        <v>#REF!</v>
      </c>
      <c r="AR774" s="7" t="e">
        <f ca="1"/>
        <v>#REF!</v>
      </c>
      <c r="AS774" s="7">
        <f ca="1"/>
        <v>-9.743972564826138E-2</v>
      </c>
      <c r="AT774" s="7" t="e">
        <f ca="1"/>
        <v>#REF!</v>
      </c>
      <c r="AU774" s="7" t="e">
        <f ca="1"/>
        <v>#REF!</v>
      </c>
      <c r="AV774" s="7" t="e">
        <f ca="1"/>
        <v>#REF!</v>
      </c>
    </row>
    <row r="775" spans="37:48" x14ac:dyDescent="0.25">
      <c r="AK775" t="str">
        <f ca="1"/>
        <v>Obs. 1357</v>
      </c>
      <c r="AL775" s="7">
        <f ca="1"/>
        <v>64.599999999999994</v>
      </c>
      <c r="AN775" s="7" t="e">
        <f ca="1"/>
        <v>#REF!</v>
      </c>
      <c r="AO775" s="7" t="e">
        <f ca="1"/>
        <v>#REF!</v>
      </c>
      <c r="AP775" s="7">
        <f ca="1"/>
        <v>7.044062596470152E-2</v>
      </c>
      <c r="AQ775" s="7" t="e">
        <f ca="1"/>
        <v>#REF!</v>
      </c>
      <c r="AR775" s="7" t="e">
        <f ca="1"/>
        <v>#REF!</v>
      </c>
      <c r="AS775" s="7">
        <f ca="1"/>
        <v>-9.743972564826138E-2</v>
      </c>
      <c r="AT775" s="7" t="e">
        <f ca="1"/>
        <v>#REF!</v>
      </c>
      <c r="AU775" s="7" t="e">
        <f ca="1"/>
        <v>#REF!</v>
      </c>
      <c r="AV775" s="7" t="e">
        <f ca="1"/>
        <v>#REF!</v>
      </c>
    </row>
    <row r="776" spans="37:48" x14ac:dyDescent="0.25">
      <c r="AK776" t="str">
        <f ca="1"/>
        <v>Obs. 1358</v>
      </c>
      <c r="AL776" s="7">
        <f ca="1"/>
        <v>64.7</v>
      </c>
      <c r="AN776" s="7" t="e">
        <f ca="1"/>
        <v>#REF!</v>
      </c>
      <c r="AO776" s="7" t="e">
        <f ca="1"/>
        <v>#REF!</v>
      </c>
      <c r="AP776" s="7">
        <f ca="1"/>
        <v>6.7672514370217124E-2</v>
      </c>
      <c r="AQ776" s="7" t="e">
        <f ca="1"/>
        <v>#REF!</v>
      </c>
      <c r="AR776" s="7" t="e">
        <f ca="1"/>
        <v>#REF!</v>
      </c>
      <c r="AS776" s="7">
        <f ca="1"/>
        <v>-9.743972564826138E-2</v>
      </c>
      <c r="AT776" s="7" t="e">
        <f ca="1"/>
        <v>#REF!</v>
      </c>
      <c r="AU776" s="7" t="e">
        <f ca="1"/>
        <v>#REF!</v>
      </c>
      <c r="AV776" s="7" t="e">
        <f ca="1"/>
        <v>#REF!</v>
      </c>
    </row>
    <row r="777" spans="37:48" x14ac:dyDescent="0.25">
      <c r="AK777" t="str">
        <f ca="1"/>
        <v>Obs. 1359</v>
      </c>
      <c r="AL777" s="7">
        <f ca="1"/>
        <v>64.400000000000006</v>
      </c>
      <c r="AN777" s="7" t="e">
        <f ca="1"/>
        <v>#REF!</v>
      </c>
      <c r="AO777" s="7" t="e">
        <f ca="1"/>
        <v>#REF!</v>
      </c>
      <c r="AP777" s="7">
        <f ca="1"/>
        <v>6.8069921075801496E-2</v>
      </c>
      <c r="AQ777" s="7" t="e">
        <f ca="1"/>
        <v>#REF!</v>
      </c>
      <c r="AR777" s="7" t="e">
        <f ca="1"/>
        <v>#REF!</v>
      </c>
      <c r="AS777" s="7">
        <f ca="1"/>
        <v>-7.6077819866612773E-2</v>
      </c>
      <c r="AT777" s="7" t="e">
        <f ca="1"/>
        <v>#REF!</v>
      </c>
      <c r="AU777" s="7" t="e">
        <f ca="1"/>
        <v>#REF!</v>
      </c>
      <c r="AV777" s="7" t="e">
        <f ca="1"/>
        <v>#REF!</v>
      </c>
    </row>
    <row r="778" spans="37:48" x14ac:dyDescent="0.25">
      <c r="AK778" t="str">
        <f ca="1"/>
        <v>Obs. 1360</v>
      </c>
      <c r="AL778" s="7">
        <f ca="1"/>
        <v>64.7</v>
      </c>
      <c r="AN778" s="7" t="e">
        <f ca="1"/>
        <v>#REF!</v>
      </c>
      <c r="AO778" s="7" t="e">
        <f ca="1"/>
        <v>#REF!</v>
      </c>
      <c r="AP778" s="7">
        <f ca="1"/>
        <v>6.894769963210895E-2</v>
      </c>
      <c r="AQ778" s="7" t="e">
        <f ca="1"/>
        <v>#REF!</v>
      </c>
      <c r="AR778" s="7" t="e">
        <f ca="1"/>
        <v>#REF!</v>
      </c>
      <c r="AS778" s="7">
        <f ca="1"/>
        <v>-7.6077819866612773E-2</v>
      </c>
      <c r="AT778" s="7" t="e">
        <f ca="1"/>
        <v>#REF!</v>
      </c>
      <c r="AU778" s="7" t="e">
        <f ca="1"/>
        <v>#REF!</v>
      </c>
      <c r="AV778" s="7" t="e">
        <f ca="1"/>
        <v>#REF!</v>
      </c>
    </row>
    <row r="779" spans="37:48" x14ac:dyDescent="0.25">
      <c r="AK779" t="str">
        <f ca="1"/>
        <v>Obs. 1361</v>
      </c>
      <c r="AL779" s="7">
        <f ca="1"/>
        <v>64.400000000000006</v>
      </c>
      <c r="AN779" s="7" t="e">
        <f ca="1"/>
        <v>#REF!</v>
      </c>
      <c r="AO779" s="7" t="e">
        <f ca="1"/>
        <v>#REF!</v>
      </c>
      <c r="AP779" s="7">
        <f ca="1"/>
        <v>7.0738835401551806E-2</v>
      </c>
      <c r="AQ779" s="7" t="e">
        <f ca="1"/>
        <v>#REF!</v>
      </c>
      <c r="AR779" s="7" t="e">
        <f ca="1"/>
        <v>#REF!</v>
      </c>
      <c r="AS779" s="7">
        <f ca="1"/>
        <v>-7.6077819866612773E-2</v>
      </c>
      <c r="AT779" s="7" t="e">
        <f ca="1"/>
        <v>#REF!</v>
      </c>
      <c r="AU779" s="7" t="e">
        <f ca="1"/>
        <v>#REF!</v>
      </c>
      <c r="AV779" s="7" t="e">
        <f ca="1"/>
        <v>#REF!</v>
      </c>
    </row>
    <row r="780" spans="37:48" x14ac:dyDescent="0.25">
      <c r="AK780" t="str">
        <f ca="1"/>
        <v>Obs. 1362</v>
      </c>
      <c r="AL780" s="7">
        <f ca="1"/>
        <v>63.9</v>
      </c>
      <c r="AN780" s="7" t="e">
        <f ca="1"/>
        <v>#REF!</v>
      </c>
      <c r="AO780" s="7" t="e">
        <f ca="1"/>
        <v>#REF!</v>
      </c>
      <c r="AP780" s="7">
        <f ca="1"/>
        <v>7.1292600769077008E-2</v>
      </c>
      <c r="AQ780" s="7" t="e">
        <f ca="1"/>
        <v>#REF!</v>
      </c>
      <c r="AR780" s="7" t="e">
        <f ca="1"/>
        <v>#REF!</v>
      </c>
      <c r="AS780" s="7">
        <f ca="1"/>
        <v>-7.6077819866612773E-2</v>
      </c>
      <c r="AT780" s="7" t="e">
        <f ca="1"/>
        <v>#REF!</v>
      </c>
      <c r="AU780" s="7" t="e">
        <f ca="1"/>
        <v>#REF!</v>
      </c>
      <c r="AV780" s="7" t="e">
        <f ca="1"/>
        <v>#REF!</v>
      </c>
    </row>
    <row r="781" spans="37:48" x14ac:dyDescent="0.25">
      <c r="AK781" t="str">
        <f ca="1"/>
        <v>Obs. 1364</v>
      </c>
      <c r="AL781" s="7">
        <f ca="1"/>
        <v>62.9</v>
      </c>
      <c r="AN781" s="7" t="e">
        <f ca="1"/>
        <v>#REF!</v>
      </c>
      <c r="AO781" s="7" t="e">
        <f ca="1"/>
        <v>#REF!</v>
      </c>
      <c r="AP781" s="7">
        <f ca="1"/>
        <v>8.0624442522927053E-2</v>
      </c>
      <c r="AQ781" s="7" t="e">
        <f ca="1"/>
        <v>#REF!</v>
      </c>
      <c r="AR781" s="7" t="e">
        <f ca="1"/>
        <v>#REF!</v>
      </c>
      <c r="AS781" s="7">
        <f ca="1"/>
        <v>-7.6077819866612773E-2</v>
      </c>
      <c r="AT781" s="7" t="e">
        <f ca="1"/>
        <v>#REF!</v>
      </c>
      <c r="AU781" s="7" t="e">
        <f ca="1"/>
        <v>#REF!</v>
      </c>
      <c r="AV781" s="7" t="e">
        <f ca="1"/>
        <v>#REF!</v>
      </c>
    </row>
    <row r="782" spans="37:48" x14ac:dyDescent="0.25">
      <c r="AK782" t="str">
        <f ca="1"/>
        <v>Obs. 1365</v>
      </c>
      <c r="AL782" s="7">
        <f ca="1"/>
        <v>62.6</v>
      </c>
      <c r="AN782" s="7" t="e">
        <f ca="1"/>
        <v>#REF!</v>
      </c>
      <c r="AO782" s="7" t="e">
        <f ca="1"/>
        <v>#REF!</v>
      </c>
      <c r="AP782" s="7">
        <f ca="1"/>
        <v>8.1258759622132706E-2</v>
      </c>
      <c r="AQ782" s="7" t="e">
        <f ca="1"/>
        <v>#REF!</v>
      </c>
      <c r="AR782" s="7" t="e">
        <f ca="1"/>
        <v>#REF!</v>
      </c>
      <c r="AS782" s="7">
        <f ca="1"/>
        <v>-7.6077819866612773E-2</v>
      </c>
      <c r="AT782" s="7" t="e">
        <f ca="1"/>
        <v>#REF!</v>
      </c>
      <c r="AU782" s="7" t="e">
        <f ca="1"/>
        <v>#REF!</v>
      </c>
      <c r="AV782" s="7" t="e">
        <f ca="1"/>
        <v>#REF!</v>
      </c>
    </row>
    <row r="783" spans="37:48" x14ac:dyDescent="0.25">
      <c r="AK783" t="str">
        <f ca="1"/>
        <v>Obs. 1366</v>
      </c>
      <c r="AL783" s="7">
        <f ca="1"/>
        <v>62.1</v>
      </c>
      <c r="AN783" s="7" t="e">
        <f ca="1"/>
        <v>#REF!</v>
      </c>
      <c r="AO783" s="7" t="e">
        <f ca="1"/>
        <v>#REF!</v>
      </c>
      <c r="AP783" s="7">
        <f ca="1"/>
        <v>8.0799800842184091E-2</v>
      </c>
      <c r="AQ783" s="7" t="e">
        <f ca="1"/>
        <v>#REF!</v>
      </c>
      <c r="AR783" s="7" t="e">
        <f ca="1"/>
        <v>#REF!</v>
      </c>
      <c r="AS783" s="7">
        <f ca="1"/>
        <v>-7.6077819866612773E-2</v>
      </c>
      <c r="AT783" s="7" t="e">
        <f ca="1"/>
        <v>#REF!</v>
      </c>
      <c r="AU783" s="7" t="e">
        <f ca="1"/>
        <v>#REF!</v>
      </c>
      <c r="AV783" s="7" t="e">
        <f ca="1"/>
        <v>#REF!</v>
      </c>
    </row>
    <row r="784" spans="37:48" x14ac:dyDescent="0.25">
      <c r="AK784" t="str">
        <f ca="1"/>
        <v>Obs. 1367</v>
      </c>
      <c r="AL784" s="7">
        <f ca="1"/>
        <v>61.2</v>
      </c>
      <c r="AN784" s="7" t="e">
        <f ca="1"/>
        <v>#REF!</v>
      </c>
      <c r="AO784" s="7" t="e">
        <f ca="1"/>
        <v>#REF!</v>
      </c>
      <c r="AP784" s="7">
        <f ca="1"/>
        <v>8.005761923625257E-2</v>
      </c>
      <c r="AQ784" s="7" t="e">
        <f ca="1"/>
        <v>#REF!</v>
      </c>
      <c r="AR784" s="7" t="e">
        <f ca="1"/>
        <v>#REF!</v>
      </c>
      <c r="AS784" s="7">
        <f ca="1"/>
        <v>-7.6077819866612773E-2</v>
      </c>
      <c r="AT784" s="7" t="e">
        <f ca="1"/>
        <v>#REF!</v>
      </c>
      <c r="AU784" s="7" t="e">
        <f ca="1"/>
        <v>#REF!</v>
      </c>
      <c r="AV784" s="7" t="e">
        <f ca="1"/>
        <v>#REF!</v>
      </c>
    </row>
    <row r="785" spans="37:48" x14ac:dyDescent="0.25">
      <c r="AK785" t="str">
        <f ca="1"/>
        <v>Obs. 1368</v>
      </c>
      <c r="AL785" s="7">
        <f ca="1"/>
        <v>63</v>
      </c>
      <c r="AN785" s="7" t="e">
        <f ca="1"/>
        <v>#REF!</v>
      </c>
      <c r="AO785" s="7" t="e">
        <f ca="1"/>
        <v>#REF!</v>
      </c>
      <c r="AP785" s="7">
        <f ca="1"/>
        <v>9.3061794182876745E-2</v>
      </c>
      <c r="AQ785" s="7" t="e">
        <f ca="1"/>
        <v>#REF!</v>
      </c>
      <c r="AR785" s="7" t="e">
        <f ca="1"/>
        <v>#REF!</v>
      </c>
      <c r="AS785" s="7">
        <f ca="1"/>
        <v>-6.3887210036911155E-2</v>
      </c>
      <c r="AT785" s="7" t="e">
        <f ca="1"/>
        <v>#REF!</v>
      </c>
      <c r="AU785" s="7" t="e">
        <f ca="1"/>
        <v>#REF!</v>
      </c>
      <c r="AV785" s="7" t="e">
        <f ca="1"/>
        <v>#REF!</v>
      </c>
    </row>
    <row r="786" spans="37:48" x14ac:dyDescent="0.25">
      <c r="AK786" t="str">
        <f ca="1"/>
        <v>Obs. 1369</v>
      </c>
      <c r="AL786" s="7">
        <f ca="1"/>
        <v>59.1</v>
      </c>
      <c r="AN786" s="7" t="e">
        <f ca="1"/>
        <v>#REF!</v>
      </c>
      <c r="AO786" s="7" t="e">
        <f ca="1"/>
        <v>#REF!</v>
      </c>
      <c r="AP786" s="7">
        <f ca="1"/>
        <v>7.7501809448023359E-2</v>
      </c>
      <c r="AQ786" s="7" t="e">
        <f ca="1"/>
        <v>#REF!</v>
      </c>
      <c r="AR786" s="7" t="e">
        <f ca="1"/>
        <v>#REF!</v>
      </c>
      <c r="AS786" s="7">
        <f ca="1"/>
        <v>-6.3887210036911155E-2</v>
      </c>
      <c r="AT786" s="7" t="e">
        <f ca="1"/>
        <v>#REF!</v>
      </c>
      <c r="AU786" s="7" t="e">
        <f ca="1"/>
        <v>#REF!</v>
      </c>
      <c r="AV786" s="7" t="e">
        <f ca="1"/>
        <v>#REF!</v>
      </c>
    </row>
    <row r="787" spans="37:48" x14ac:dyDescent="0.25">
      <c r="AK787" t="str">
        <f ca="1"/>
        <v>Obs. 1370</v>
      </c>
      <c r="AL787" s="7">
        <f ca="1"/>
        <v>57.9</v>
      </c>
      <c r="AN787" s="7" t="e">
        <f ca="1"/>
        <v>#REF!</v>
      </c>
      <c r="AO787" s="7" t="e">
        <f ca="1"/>
        <v>#REF!</v>
      </c>
      <c r="AP787" s="7">
        <f ca="1"/>
        <v>7.6807620165669901E-2</v>
      </c>
      <c r="AQ787" s="7" t="e">
        <f ca="1"/>
        <v>#REF!</v>
      </c>
      <c r="AR787" s="7" t="e">
        <f ca="1"/>
        <v>#REF!</v>
      </c>
      <c r="AS787" s="7">
        <f ca="1"/>
        <v>-6.3887210036911155E-2</v>
      </c>
      <c r="AT787" s="7" t="e">
        <f ca="1"/>
        <v>#REF!</v>
      </c>
      <c r="AU787" s="7" t="e">
        <f ca="1"/>
        <v>#REF!</v>
      </c>
      <c r="AV787" s="7" t="e">
        <f ca="1"/>
        <v>#REF!</v>
      </c>
    </row>
    <row r="788" spans="37:48" x14ac:dyDescent="0.25">
      <c r="AK788" t="str">
        <f ca="1"/>
        <v>Obs. 1371</v>
      </c>
      <c r="AL788" s="7">
        <f ca="1"/>
        <v>56.8</v>
      </c>
      <c r="AN788" s="7" t="e">
        <f ca="1"/>
        <v>#REF!</v>
      </c>
      <c r="AO788" s="7" t="e">
        <f ca="1"/>
        <v>#REF!</v>
      </c>
      <c r="AP788" s="7">
        <f ca="1"/>
        <v>7.5995160662165717E-2</v>
      </c>
      <c r="AQ788" s="7" t="e">
        <f ca="1"/>
        <v>#REF!</v>
      </c>
      <c r="AR788" s="7" t="e">
        <f ca="1"/>
        <v>#REF!</v>
      </c>
      <c r="AS788" s="7">
        <f ca="1"/>
        <v>-6.3887210036911155E-2</v>
      </c>
      <c r="AT788" s="7" t="e">
        <f ca="1"/>
        <v>#REF!</v>
      </c>
      <c r="AU788" s="7" t="e">
        <f ca="1"/>
        <v>#REF!</v>
      </c>
      <c r="AV788" s="7" t="e">
        <f ca="1"/>
        <v>#REF!</v>
      </c>
    </row>
    <row r="789" spans="37:48" x14ac:dyDescent="0.25">
      <c r="AK789" t="str">
        <f ca="1"/>
        <v>Obs. 1372</v>
      </c>
      <c r="AL789" s="7">
        <f ca="1"/>
        <v>55.3</v>
      </c>
      <c r="AN789" s="7" t="e">
        <f ca="1"/>
        <v>#REF!</v>
      </c>
      <c r="AO789" s="7" t="e">
        <f ca="1"/>
        <v>#REF!</v>
      </c>
      <c r="AP789" s="7">
        <f ca="1"/>
        <v>8.9614198324418581E-2</v>
      </c>
      <c r="AQ789" s="7" t="e">
        <f ca="1"/>
        <v>#REF!</v>
      </c>
      <c r="AR789" s="7" t="e">
        <f ca="1"/>
        <v>#REF!</v>
      </c>
      <c r="AS789" s="7">
        <f ca="1"/>
        <v>-6.3887210036911155E-2</v>
      </c>
      <c r="AT789" s="7" t="e">
        <f ca="1"/>
        <v>#REF!</v>
      </c>
      <c r="AU789" s="7" t="e">
        <f ca="1"/>
        <v>#REF!</v>
      </c>
      <c r="AV789" s="7" t="e">
        <f ca="1"/>
        <v>#REF!</v>
      </c>
    </row>
    <row r="790" spans="37:48" x14ac:dyDescent="0.25">
      <c r="AK790" t="str">
        <f ca="1"/>
        <v>Obs. 1373</v>
      </c>
      <c r="AL790" s="7">
        <f ca="1"/>
        <v>54.1</v>
      </c>
      <c r="AN790" s="7" t="e">
        <f ca="1"/>
        <v>#REF!</v>
      </c>
      <c r="AO790" s="7" t="e">
        <f ca="1"/>
        <v>#REF!</v>
      </c>
      <c r="AP790" s="7">
        <f ca="1"/>
        <v>8.8696671588122375E-2</v>
      </c>
      <c r="AQ790" s="7" t="e">
        <f ca="1"/>
        <v>#REF!</v>
      </c>
      <c r="AR790" s="7" t="e">
        <f ca="1"/>
        <v>#REF!</v>
      </c>
      <c r="AS790" s="7">
        <f ca="1"/>
        <v>-6.3887210036911155E-2</v>
      </c>
      <c r="AT790" s="7" t="e">
        <f ca="1"/>
        <v>#REF!</v>
      </c>
      <c r="AU790" s="7" t="e">
        <f ca="1"/>
        <v>#REF!</v>
      </c>
      <c r="AV790" s="7" t="e">
        <f ca="1"/>
        <v>#REF!</v>
      </c>
    </row>
    <row r="791" spans="37:48" x14ac:dyDescent="0.25">
      <c r="AK791" t="str">
        <f ca="1"/>
        <v>Obs. 1374</v>
      </c>
      <c r="AL791" s="7">
        <f ca="1"/>
        <v>53</v>
      </c>
      <c r="AN791" s="7" t="e">
        <f ca="1"/>
        <v>#REF!</v>
      </c>
      <c r="AO791" s="7" t="e">
        <f ca="1"/>
        <v>#REF!</v>
      </c>
      <c r="AP791" s="7">
        <f ca="1"/>
        <v>8.0327596933684964E-2</v>
      </c>
      <c r="AQ791" s="7" t="e">
        <f ca="1"/>
        <v>#REF!</v>
      </c>
      <c r="AR791" s="7" t="e">
        <f ca="1"/>
        <v>#REF!</v>
      </c>
      <c r="AS791" s="7">
        <f ca="1"/>
        <v>-6.3887210036911155E-2</v>
      </c>
      <c r="AT791" s="7" t="e">
        <f ca="1"/>
        <v>#REF!</v>
      </c>
      <c r="AU791" s="7" t="e">
        <f ca="1"/>
        <v>#REF!</v>
      </c>
      <c r="AV791" s="7" t="e">
        <f ca="1"/>
        <v>#REF!</v>
      </c>
    </row>
    <row r="792" spans="37:48" x14ac:dyDescent="0.25">
      <c r="AK792" t="str">
        <f ca="1"/>
        <v>Obs. 1375</v>
      </c>
      <c r="AL792" s="7">
        <f ca="1"/>
        <v>52.4</v>
      </c>
      <c r="AN792" s="7" t="e">
        <f ca="1"/>
        <v>#REF!</v>
      </c>
      <c r="AO792" s="7" t="e">
        <f ca="1"/>
        <v>#REF!</v>
      </c>
      <c r="AP792" s="7">
        <f ca="1"/>
        <v>8.4202692800641799E-2</v>
      </c>
      <c r="AQ792" s="7" t="e">
        <f ca="1"/>
        <v>#REF!</v>
      </c>
      <c r="AR792" s="7" t="e">
        <f ca="1"/>
        <v>#REF!</v>
      </c>
      <c r="AS792" s="7">
        <f ca="1"/>
        <v>-6.3887210036911155E-2</v>
      </c>
      <c r="AT792" s="7" t="e">
        <f ca="1"/>
        <v>#REF!</v>
      </c>
      <c r="AU792" s="7" t="e">
        <f ca="1"/>
        <v>#REF!</v>
      </c>
      <c r="AV792" s="7" t="e">
        <f ca="1"/>
        <v>#REF!</v>
      </c>
    </row>
    <row r="793" spans="37:48" x14ac:dyDescent="0.25">
      <c r="AK793" t="str">
        <f ca="1"/>
        <v>Obs. 1376</v>
      </c>
      <c r="AL793" s="7">
        <f ca="1"/>
        <v>52.1</v>
      </c>
      <c r="AN793" s="7" t="e">
        <f ca="1"/>
        <v>#REF!</v>
      </c>
      <c r="AO793" s="7" t="e">
        <f ca="1"/>
        <v>#REF!</v>
      </c>
      <c r="AP793" s="7">
        <f ca="1"/>
        <v>8.4280413665013848E-2</v>
      </c>
      <c r="AQ793" s="7" t="e">
        <f ca="1"/>
        <v>#REF!</v>
      </c>
      <c r="AR793" s="7" t="e">
        <f ca="1"/>
        <v>#REF!</v>
      </c>
      <c r="AS793" s="7">
        <f ca="1"/>
        <v>-5.1706087511076533E-2</v>
      </c>
      <c r="AT793" s="7" t="e">
        <f ca="1"/>
        <v>#REF!</v>
      </c>
      <c r="AU793" s="7" t="e">
        <f ca="1"/>
        <v>#REF!</v>
      </c>
      <c r="AV793" s="7" t="e">
        <f ca="1"/>
        <v>#REF!</v>
      </c>
    </row>
    <row r="794" spans="37:48" x14ac:dyDescent="0.25">
      <c r="AK794" t="str">
        <f ca="1"/>
        <v>Obs. 1380</v>
      </c>
      <c r="AL794" s="7">
        <f ca="1"/>
        <v>66.099999999999994</v>
      </c>
      <c r="AN794" s="7" t="e">
        <f ca="1"/>
        <v>#REF!</v>
      </c>
      <c r="AO794" s="7" t="e">
        <f ca="1"/>
        <v>#REF!</v>
      </c>
      <c r="AP794" s="7">
        <f ca="1"/>
        <v>7.8530768254240713E-2</v>
      </c>
      <c r="AQ794" s="7" t="e">
        <f ca="1"/>
        <v>#REF!</v>
      </c>
      <c r="AR794" s="7" t="e">
        <f ca="1"/>
        <v>#REF!</v>
      </c>
      <c r="AS794" s="7">
        <f ca="1"/>
        <v>-5.1706087511076533E-2</v>
      </c>
      <c r="AT794" s="7" t="e">
        <f ca="1"/>
        <v>#REF!</v>
      </c>
      <c r="AU794" s="7" t="e">
        <f ca="1"/>
        <v>#REF!</v>
      </c>
      <c r="AV794" s="7" t="e">
        <f ca="1"/>
        <v>#REF!</v>
      </c>
    </row>
    <row r="795" spans="37:48" x14ac:dyDescent="0.25">
      <c r="AK795" t="str">
        <f ca="1"/>
        <v>Obs. 1381</v>
      </c>
      <c r="AL795" s="7">
        <f ca="1"/>
        <v>65.8</v>
      </c>
      <c r="AN795" s="7" t="e">
        <f ca="1"/>
        <v>#REF!</v>
      </c>
      <c r="AO795" s="7" t="e">
        <f ca="1"/>
        <v>#REF!</v>
      </c>
      <c r="AP795" s="7">
        <f ca="1"/>
        <v>7.7937173818118599E-2</v>
      </c>
      <c r="AQ795" s="7" t="e">
        <f ca="1"/>
        <v>#REF!</v>
      </c>
      <c r="AR795" s="7" t="e">
        <f ca="1"/>
        <v>#REF!</v>
      </c>
      <c r="AS795" s="7">
        <f ca="1"/>
        <v>-5.1706087511076533E-2</v>
      </c>
      <c r="AT795" s="7" t="e">
        <f ca="1"/>
        <v>#REF!</v>
      </c>
      <c r="AU795" s="7" t="e">
        <f ca="1"/>
        <v>#REF!</v>
      </c>
      <c r="AV795" s="7" t="e">
        <f ca="1"/>
        <v>#REF!</v>
      </c>
    </row>
    <row r="796" spans="37:48" x14ac:dyDescent="0.25">
      <c r="AK796" t="str">
        <f ca="1"/>
        <v>Obs. 1382</v>
      </c>
      <c r="AL796" s="7">
        <f ca="1"/>
        <v>65.7</v>
      </c>
      <c r="AN796" s="7" t="e">
        <f ca="1"/>
        <v>#REF!</v>
      </c>
      <c r="AO796" s="7" t="e">
        <f ca="1"/>
        <v>#REF!</v>
      </c>
      <c r="AP796" s="7">
        <f ca="1"/>
        <v>7.6659493357869493E-2</v>
      </c>
      <c r="AQ796" s="7" t="e">
        <f ca="1"/>
        <v>#REF!</v>
      </c>
      <c r="AR796" s="7" t="e">
        <f ca="1"/>
        <v>#REF!</v>
      </c>
      <c r="AS796" s="7">
        <f ca="1"/>
        <v>-4.7140240828996732E-2</v>
      </c>
      <c r="AT796" s="7" t="e">
        <f ca="1"/>
        <v>#REF!</v>
      </c>
      <c r="AU796" s="7" t="e">
        <f ca="1"/>
        <v>#REF!</v>
      </c>
      <c r="AV796" s="7" t="e">
        <f ca="1"/>
        <v>#REF!</v>
      </c>
    </row>
    <row r="797" spans="37:48" x14ac:dyDescent="0.25">
      <c r="AK797" t="str">
        <f ca="1"/>
        <v>Obs. 1383</v>
      </c>
      <c r="AL797" s="7">
        <f ca="1"/>
        <v>65.5</v>
      </c>
      <c r="AN797" s="7" t="e">
        <f ca="1"/>
        <v>#REF!</v>
      </c>
      <c r="AO797" s="7" t="e">
        <f ca="1"/>
        <v>#REF!</v>
      </c>
      <c r="AP797" s="7">
        <f ca="1"/>
        <v>7.689976142663181E-2</v>
      </c>
      <c r="AQ797" s="7" t="e">
        <f ca="1"/>
        <v>#REF!</v>
      </c>
      <c r="AR797" s="7" t="e">
        <f ca="1"/>
        <v>#REF!</v>
      </c>
      <c r="AS797" s="7">
        <f ca="1"/>
        <v>-4.7140240828996732E-2</v>
      </c>
      <c r="AT797" s="7" t="e">
        <f ca="1"/>
        <v>#REF!</v>
      </c>
      <c r="AU797" s="7" t="e">
        <f ca="1"/>
        <v>#REF!</v>
      </c>
      <c r="AV797" s="7" t="e">
        <f ca="1"/>
        <v>#REF!</v>
      </c>
    </row>
    <row r="798" spans="37:48" x14ac:dyDescent="0.25">
      <c r="AK798" t="str">
        <f ca="1"/>
        <v>Obs. 1384</v>
      </c>
      <c r="AL798" s="7">
        <f ca="1"/>
        <v>65.3</v>
      </c>
      <c r="AN798" s="7" t="e">
        <f ca="1"/>
        <v>#REF!</v>
      </c>
      <c r="AO798" s="7" t="e">
        <f ca="1"/>
        <v>#REF!</v>
      </c>
      <c r="AP798" s="7">
        <f ca="1"/>
        <v>7.609965329495974E-2</v>
      </c>
      <c r="AQ798" s="7" t="e">
        <f ca="1"/>
        <v>#REF!</v>
      </c>
      <c r="AR798" s="7" t="e">
        <f ca="1"/>
        <v>#REF!</v>
      </c>
      <c r="AS798" s="7">
        <f ca="1"/>
        <v>-4.7140240828996732E-2</v>
      </c>
      <c r="AT798" s="7" t="e">
        <f ca="1"/>
        <v>#REF!</v>
      </c>
      <c r="AU798" s="7" t="e">
        <f ca="1"/>
        <v>#REF!</v>
      </c>
      <c r="AV798" s="7" t="e">
        <f ca="1"/>
        <v>#REF!</v>
      </c>
    </row>
    <row r="799" spans="37:48" x14ac:dyDescent="0.25">
      <c r="AK799" t="str">
        <f ca="1"/>
        <v>Obs. 1385</v>
      </c>
      <c r="AL799" s="7">
        <f ca="1"/>
        <v>65.2</v>
      </c>
      <c r="AN799" s="7" t="e">
        <f ca="1"/>
        <v>#REF!</v>
      </c>
      <c r="AO799" s="7" t="e">
        <f ca="1"/>
        <v>#REF!</v>
      </c>
      <c r="AP799" s="7">
        <f ca="1"/>
        <v>8.1559525154153503E-2</v>
      </c>
      <c r="AQ799" s="7" t="e">
        <f ca="1"/>
        <v>#REF!</v>
      </c>
      <c r="AR799" s="7" t="e">
        <f ca="1"/>
        <v>#REF!</v>
      </c>
      <c r="AS799" s="7">
        <f ca="1"/>
        <v>-4.7140240828996732E-2</v>
      </c>
      <c r="AT799" s="7" t="e">
        <f ca="1"/>
        <v>#REF!</v>
      </c>
      <c r="AU799" s="7" t="e">
        <f ca="1"/>
        <v>#REF!</v>
      </c>
      <c r="AV799" s="7" t="e">
        <f ca="1"/>
        <v>#REF!</v>
      </c>
    </row>
    <row r="800" spans="37:48" x14ac:dyDescent="0.25">
      <c r="AK800" t="str">
        <f ca="1"/>
        <v>Obs. 1386</v>
      </c>
      <c r="AL800" s="7">
        <f ca="1"/>
        <v>65.099999999999994</v>
      </c>
      <c r="AN800" s="7" t="e">
        <f ca="1"/>
        <v>#REF!</v>
      </c>
      <c r="AO800" s="7" t="e">
        <f ca="1"/>
        <v>#REF!</v>
      </c>
      <c r="AP800" s="7">
        <f ca="1"/>
        <v>8.2238620383680835E-2</v>
      </c>
      <c r="AQ800" s="7" t="e">
        <f ca="1"/>
        <v>#REF!</v>
      </c>
      <c r="AR800" s="7" t="e">
        <f ca="1"/>
        <v>#REF!</v>
      </c>
      <c r="AS800" s="7">
        <f ca="1"/>
        <v>-4.7140240828996732E-2</v>
      </c>
      <c r="AT800" s="7" t="e">
        <f ca="1"/>
        <v>#REF!</v>
      </c>
      <c r="AU800" s="7" t="e">
        <f ca="1"/>
        <v>#REF!</v>
      </c>
      <c r="AV800" s="7" t="e">
        <f ca="1"/>
        <v>#REF!</v>
      </c>
    </row>
    <row r="801" spans="37:48" x14ac:dyDescent="0.25">
      <c r="AK801" t="str">
        <f ca="1"/>
        <v>Obs. 1387</v>
      </c>
      <c r="AL801" s="7">
        <f ca="1"/>
        <v>65</v>
      </c>
      <c r="AN801" s="7" t="e">
        <f ca="1"/>
        <v>#REF!</v>
      </c>
      <c r="AO801" s="7" t="e">
        <f ca="1"/>
        <v>#REF!</v>
      </c>
      <c r="AP801" s="7">
        <f ca="1"/>
        <v>8.8305913844931333E-2</v>
      </c>
      <c r="AQ801" s="7" t="e">
        <f ca="1"/>
        <v>#REF!</v>
      </c>
      <c r="AR801" s="7" t="e">
        <f ca="1"/>
        <v>#REF!</v>
      </c>
      <c r="AS801" s="7">
        <f ca="1"/>
        <v>-4.7140240828996732E-2</v>
      </c>
      <c r="AT801" s="7" t="e">
        <f ca="1"/>
        <v>#REF!</v>
      </c>
      <c r="AU801" s="7" t="e">
        <f ca="1"/>
        <v>#REF!</v>
      </c>
      <c r="AV801" s="7" t="e">
        <f ca="1"/>
        <v>#REF!</v>
      </c>
    </row>
    <row r="802" spans="37:48" x14ac:dyDescent="0.25">
      <c r="AK802" t="str">
        <f ca="1"/>
        <v>Obs. 1388</v>
      </c>
      <c r="AL802" s="7">
        <f ca="1"/>
        <v>65</v>
      </c>
      <c r="AN802" s="7" t="e">
        <f ca="1"/>
        <v>#REF!</v>
      </c>
      <c r="AO802" s="7" t="e">
        <f ca="1"/>
        <v>#REF!</v>
      </c>
      <c r="AP802" s="7">
        <f ca="1"/>
        <v>7.6603388689285457E-2</v>
      </c>
      <c r="AQ802" s="7" t="e">
        <f ca="1"/>
        <v>#REF!</v>
      </c>
      <c r="AR802" s="7" t="e">
        <f ca="1"/>
        <v>#REF!</v>
      </c>
      <c r="AS802" s="7">
        <f ca="1"/>
        <v>-4.7140240828996732E-2</v>
      </c>
      <c r="AT802" s="7" t="e">
        <f ca="1"/>
        <v>#REF!</v>
      </c>
      <c r="AU802" s="7" t="e">
        <f ca="1"/>
        <v>#REF!</v>
      </c>
      <c r="AV802" s="7" t="e">
        <f ca="1"/>
        <v>#REF!</v>
      </c>
    </row>
    <row r="803" spans="37:48" x14ac:dyDescent="0.25">
      <c r="AK803" t="str">
        <f ca="1"/>
        <v>Obs. 1389</v>
      </c>
      <c r="AL803" s="7">
        <f ca="1"/>
        <v>64.900000000000006</v>
      </c>
      <c r="AN803" s="7" t="e">
        <f ca="1"/>
        <v>#REF!</v>
      </c>
      <c r="AO803" s="7" t="e">
        <f ca="1"/>
        <v>#REF!</v>
      </c>
      <c r="AP803" s="7">
        <f ca="1"/>
        <v>9.5788827052399411E-2</v>
      </c>
      <c r="AQ803" s="7" t="e">
        <f ca="1"/>
        <v>#REF!</v>
      </c>
      <c r="AR803" s="7" t="e">
        <f ca="1"/>
        <v>#REF!</v>
      </c>
      <c r="AS803" s="7">
        <f ca="1"/>
        <v>-4.7140240828996732E-2</v>
      </c>
      <c r="AT803" s="7" t="e">
        <f ca="1"/>
        <v>#REF!</v>
      </c>
      <c r="AU803" s="7" t="e">
        <f ca="1"/>
        <v>#REF!</v>
      </c>
      <c r="AV803" s="7" t="e">
        <f ca="1"/>
        <v>#REF!</v>
      </c>
    </row>
    <row r="804" spans="37:48" x14ac:dyDescent="0.25">
      <c r="AK804" t="str">
        <f ca="1"/>
        <v>Obs. 1390</v>
      </c>
      <c r="AL804" s="7">
        <f ca="1"/>
        <v>64.8</v>
      </c>
      <c r="AN804" s="7" t="e">
        <f ca="1"/>
        <v>#REF!</v>
      </c>
      <c r="AO804" s="7" t="e">
        <f ca="1"/>
        <v>#REF!</v>
      </c>
      <c r="AP804" s="7">
        <f ca="1"/>
        <v>8.6100816235555933E-2</v>
      </c>
      <c r="AQ804" s="7" t="e">
        <f ca="1"/>
        <v>#REF!</v>
      </c>
      <c r="AR804" s="7" t="e">
        <f ca="1"/>
        <v>#REF!</v>
      </c>
      <c r="AS804" s="7">
        <f ca="1"/>
        <v>-4.7140240828996732E-2</v>
      </c>
      <c r="AT804" s="7" t="e">
        <f ca="1"/>
        <v>#REF!</v>
      </c>
      <c r="AU804" s="7" t="e">
        <f ca="1"/>
        <v>#REF!</v>
      </c>
      <c r="AV804" s="7" t="e">
        <f ca="1"/>
        <v>#REF!</v>
      </c>
    </row>
    <row r="805" spans="37:48" x14ac:dyDescent="0.25">
      <c r="AK805" t="str">
        <f ca="1"/>
        <v>Obs. 1391</v>
      </c>
      <c r="AL805" s="7">
        <f ca="1"/>
        <v>64.7</v>
      </c>
      <c r="AN805" s="7" t="e">
        <f ca="1"/>
        <v>#REF!</v>
      </c>
      <c r="AO805" s="7" t="e">
        <f ca="1"/>
        <v>#REF!</v>
      </c>
      <c r="AP805" s="7">
        <f ca="1"/>
        <v>0.10806320385843091</v>
      </c>
      <c r="AQ805" s="7" t="e">
        <f ca="1"/>
        <v>#REF!</v>
      </c>
      <c r="AR805" s="7" t="e">
        <f ca="1"/>
        <v>#REF!</v>
      </c>
      <c r="AS805" s="7">
        <f ca="1"/>
        <v>-4.7140240828996732E-2</v>
      </c>
      <c r="AT805" s="7" t="e">
        <f ca="1"/>
        <v>#REF!</v>
      </c>
      <c r="AU805" s="7" t="e">
        <f ca="1"/>
        <v>#REF!</v>
      </c>
      <c r="AV805" s="7" t="e">
        <f ca="1"/>
        <v>#REF!</v>
      </c>
    </row>
    <row r="806" spans="37:48" x14ac:dyDescent="0.25">
      <c r="AK806" t="str">
        <f ca="1"/>
        <v>Obs. 1392</v>
      </c>
      <c r="AL806" s="7">
        <f ca="1"/>
        <v>64.599999999999994</v>
      </c>
      <c r="AN806" s="7" t="e">
        <f ca="1"/>
        <v>#REF!</v>
      </c>
      <c r="AO806" s="7" t="e">
        <f ca="1"/>
        <v>#REF!</v>
      </c>
      <c r="AP806" s="7">
        <f ca="1"/>
        <v>8.2252602905747568E-2</v>
      </c>
      <c r="AQ806" s="7" t="e">
        <f ca="1"/>
        <v>#REF!</v>
      </c>
      <c r="AR806" s="7" t="e">
        <f ca="1"/>
        <v>#REF!</v>
      </c>
      <c r="AS806" s="7">
        <f ca="1"/>
        <v>-4.7140240828996732E-2</v>
      </c>
      <c r="AT806" s="7" t="e">
        <f ca="1"/>
        <v>#REF!</v>
      </c>
      <c r="AU806" s="7" t="e">
        <f ca="1"/>
        <v>#REF!</v>
      </c>
      <c r="AV806" s="7" t="e">
        <f ca="1"/>
        <v>#REF!</v>
      </c>
    </row>
    <row r="807" spans="37:48" x14ac:dyDescent="0.25">
      <c r="AK807" t="str">
        <f ca="1"/>
        <v>Obs. 1393</v>
      </c>
      <c r="AL807" s="7">
        <f ca="1"/>
        <v>64.3</v>
      </c>
      <c r="AN807" s="7" t="e">
        <f ca="1"/>
        <v>#REF!</v>
      </c>
      <c r="AO807" s="7" t="e">
        <f ca="1"/>
        <v>#REF!</v>
      </c>
      <c r="AP807" s="7">
        <f ca="1"/>
        <v>8.138859130739072E-2</v>
      </c>
      <c r="AQ807" s="7" t="e">
        <f ca="1"/>
        <v>#REF!</v>
      </c>
      <c r="AR807" s="7" t="e">
        <f ca="1"/>
        <v>#REF!</v>
      </c>
      <c r="AS807" s="7">
        <f ca="1"/>
        <v>-4.7140240828996732E-2</v>
      </c>
      <c r="AT807" s="7" t="e">
        <f ca="1"/>
        <v>#REF!</v>
      </c>
      <c r="AU807" s="7" t="e">
        <f ca="1"/>
        <v>#REF!</v>
      </c>
      <c r="AV807" s="7" t="e">
        <f ca="1"/>
        <v>#REF!</v>
      </c>
    </row>
    <row r="808" spans="37:48" x14ac:dyDescent="0.25">
      <c r="AK808" t="str">
        <f ca="1"/>
        <v>Obs. 1394</v>
      </c>
      <c r="AL808" s="7">
        <f ca="1"/>
        <v>64.099999999999994</v>
      </c>
      <c r="AN808" s="7" t="e">
        <f ca="1"/>
        <v>#REF!</v>
      </c>
      <c r="AO808" s="7" t="e">
        <f ca="1"/>
        <v>#REF!</v>
      </c>
      <c r="AP808" s="7">
        <f ca="1"/>
        <v>9.3122826149639099E-2</v>
      </c>
      <c r="AQ808" s="7" t="e">
        <f ca="1"/>
        <v>#REF!</v>
      </c>
      <c r="AR808" s="7" t="e">
        <f ca="1"/>
        <v>#REF!</v>
      </c>
      <c r="AS808" s="7">
        <f ca="1"/>
        <v>-4.7140240828996732E-2</v>
      </c>
      <c r="AT808" s="7" t="e">
        <f ca="1"/>
        <v>#REF!</v>
      </c>
      <c r="AU808" s="7" t="e">
        <f ca="1"/>
        <v>#REF!</v>
      </c>
      <c r="AV808" s="7" t="e">
        <f ca="1"/>
        <v>#REF!</v>
      </c>
    </row>
    <row r="809" spans="37:48" x14ac:dyDescent="0.25">
      <c r="AK809" t="str">
        <f ca="1"/>
        <v>Obs. 1444</v>
      </c>
      <c r="AL809" s="7">
        <f ca="1"/>
        <v>74.400000000000006</v>
      </c>
      <c r="AN809" s="7" t="e">
        <f ca="1"/>
        <v>#REF!</v>
      </c>
      <c r="AO809" s="7" t="e">
        <f ca="1"/>
        <v>#REF!</v>
      </c>
      <c r="AP809" s="7">
        <f ca="1"/>
        <v>0.10952768087806727</v>
      </c>
      <c r="AQ809" s="7" t="e">
        <f ca="1"/>
        <v>#REF!</v>
      </c>
      <c r="AR809" s="7" t="e">
        <f ca="1"/>
        <v>#REF!</v>
      </c>
      <c r="AS809" s="7">
        <f ca="1"/>
        <v>-2.7365033500434788E-2</v>
      </c>
      <c r="AT809" s="7" t="e">
        <f ca="1"/>
        <v>#REF!</v>
      </c>
      <c r="AU809" s="7" t="e">
        <f ca="1"/>
        <v>#REF!</v>
      </c>
      <c r="AV809" s="7" t="e">
        <f ca="1"/>
        <v>#REF!</v>
      </c>
    </row>
    <row r="810" spans="37:48" x14ac:dyDescent="0.25">
      <c r="AK810" t="str">
        <f ca="1"/>
        <v>Obs. 1445</v>
      </c>
      <c r="AL810" s="7">
        <f ca="1"/>
        <v>74.099999999999994</v>
      </c>
      <c r="AN810" s="7" t="e">
        <f ca="1"/>
        <v>#REF!</v>
      </c>
      <c r="AO810" s="7" t="e">
        <f ca="1"/>
        <v>#REF!</v>
      </c>
      <c r="AP810" s="7">
        <f ca="1"/>
        <v>9.0182305153960543E-2</v>
      </c>
      <c r="AQ810" s="7" t="e">
        <f ca="1"/>
        <v>#REF!</v>
      </c>
      <c r="AR810" s="7" t="e">
        <f ca="1"/>
        <v>#REF!</v>
      </c>
      <c r="AS810" s="7">
        <f ca="1"/>
        <v>-2.7365033500434788E-2</v>
      </c>
      <c r="AT810" s="7" t="e">
        <f ca="1"/>
        <v>#REF!</v>
      </c>
      <c r="AU810" s="7" t="e">
        <f ca="1"/>
        <v>#REF!</v>
      </c>
      <c r="AV810" s="7" t="e">
        <f ca="1"/>
        <v>#REF!</v>
      </c>
    </row>
    <row r="811" spans="37:48" x14ac:dyDescent="0.25">
      <c r="AK811" t="str">
        <f ca="1"/>
        <v>Obs. 1446</v>
      </c>
      <c r="AL811" s="7">
        <f ca="1"/>
        <v>73.8</v>
      </c>
      <c r="AN811" s="7" t="e">
        <f ca="1"/>
        <v>#REF!</v>
      </c>
      <c r="AO811" s="7" t="e">
        <f ca="1"/>
        <v>#REF!</v>
      </c>
      <c r="AP811" s="7">
        <f ca="1"/>
        <v>9.2197707095931392E-2</v>
      </c>
      <c r="AQ811" s="7" t="e">
        <f ca="1"/>
        <v>#REF!</v>
      </c>
      <c r="AR811" s="7" t="e">
        <f ca="1"/>
        <v>#REF!</v>
      </c>
      <c r="AS811" s="7">
        <f ca="1"/>
        <v>-2.7365033500434788E-2</v>
      </c>
      <c r="AT811" s="7" t="e">
        <f ca="1"/>
        <v>#REF!</v>
      </c>
      <c r="AU811" s="7" t="e">
        <f ca="1"/>
        <v>#REF!</v>
      </c>
      <c r="AV811" s="7" t="e">
        <f ca="1"/>
        <v>#REF!</v>
      </c>
    </row>
    <row r="812" spans="37:48" x14ac:dyDescent="0.25">
      <c r="AK812" t="str">
        <f ca="1"/>
        <v>Obs. 1447</v>
      </c>
      <c r="AL812" s="7">
        <f ca="1"/>
        <v>73.599999999999994</v>
      </c>
      <c r="AN812" s="7" t="e">
        <f ca="1"/>
        <v>#REF!</v>
      </c>
      <c r="AO812" s="7" t="e">
        <f ca="1"/>
        <v>#REF!</v>
      </c>
      <c r="AP812" s="7">
        <f ca="1"/>
        <v>7.666714838922703E-2</v>
      </c>
      <c r="AQ812" s="7" t="e">
        <f ca="1"/>
        <v>#REF!</v>
      </c>
      <c r="AR812" s="7" t="e">
        <f ca="1"/>
        <v>#REF!</v>
      </c>
      <c r="AS812" s="7">
        <f ca="1"/>
        <v>-2.7365033500434788E-2</v>
      </c>
      <c r="AT812" s="7" t="e">
        <f ca="1"/>
        <v>#REF!</v>
      </c>
      <c r="AU812" s="7" t="e">
        <f ca="1"/>
        <v>#REF!</v>
      </c>
      <c r="AV812" s="7" t="e">
        <f ca="1"/>
        <v>#REF!</v>
      </c>
    </row>
    <row r="813" spans="37:48" x14ac:dyDescent="0.25">
      <c r="AK813" t="str">
        <f ca="1"/>
        <v>Obs. 1448</v>
      </c>
      <c r="AL813" s="7">
        <f ca="1"/>
        <v>72.8</v>
      </c>
      <c r="AN813" s="7" t="e">
        <f ca="1"/>
        <v>#REF!</v>
      </c>
      <c r="AO813" s="7" t="e">
        <f ca="1"/>
        <v>#REF!</v>
      </c>
      <c r="AP813" s="7">
        <f ca="1"/>
        <v>7.6455094187111883E-2</v>
      </c>
      <c r="AQ813" s="7" t="e">
        <f ca="1"/>
        <v>#REF!</v>
      </c>
      <c r="AR813" s="7" t="e">
        <f ca="1"/>
        <v>#REF!</v>
      </c>
      <c r="AS813" s="7">
        <f ca="1"/>
        <v>-2.1282865457297767E-2</v>
      </c>
      <c r="AT813" s="7" t="e">
        <f ca="1"/>
        <v>#REF!</v>
      </c>
      <c r="AU813" s="7" t="e">
        <f ca="1"/>
        <v>#REF!</v>
      </c>
      <c r="AV813" s="7" t="e">
        <f ca="1"/>
        <v>#REF!</v>
      </c>
    </row>
    <row r="814" spans="37:48" x14ac:dyDescent="0.25">
      <c r="AK814" t="str">
        <f ca="1"/>
        <v>Obs. 1449</v>
      </c>
      <c r="AL814" s="7">
        <f ca="1"/>
        <v>72.599999999999994</v>
      </c>
      <c r="AN814" s="7" t="e">
        <f ca="1"/>
        <v>#REF!</v>
      </c>
      <c r="AO814" s="7" t="e">
        <f ca="1"/>
        <v>#REF!</v>
      </c>
      <c r="AP814" s="7">
        <f ca="1"/>
        <v>7.5151910025377799E-2</v>
      </c>
      <c r="AQ814" s="7" t="e">
        <f ca="1"/>
        <v>#REF!</v>
      </c>
      <c r="AR814" s="7" t="e">
        <f ca="1"/>
        <v>#REF!</v>
      </c>
      <c r="AS814" s="7">
        <f ca="1"/>
        <v>-2.1282865457297767E-2</v>
      </c>
      <c r="AT814" s="7" t="e">
        <f ca="1"/>
        <v>#REF!</v>
      </c>
      <c r="AU814" s="7" t="e">
        <f ca="1"/>
        <v>#REF!</v>
      </c>
      <c r="AV814" s="7" t="e">
        <f ca="1"/>
        <v>#REF!</v>
      </c>
    </row>
    <row r="815" spans="37:48" x14ac:dyDescent="0.25">
      <c r="AK815" t="str">
        <f ca="1"/>
        <v>Obs. 1450</v>
      </c>
      <c r="AL815" s="7">
        <f ca="1"/>
        <v>71.900000000000006</v>
      </c>
      <c r="AN815" s="7" t="e">
        <f ca="1"/>
        <v>#REF!</v>
      </c>
      <c r="AO815" s="7" t="e">
        <f ca="1"/>
        <v>#REF!</v>
      </c>
      <c r="AP815" s="7">
        <f ca="1"/>
        <v>9.0985055414288293E-2</v>
      </c>
      <c r="AQ815" s="7" t="e">
        <f ca="1"/>
        <v>#REF!</v>
      </c>
      <c r="AR815" s="7" t="e">
        <f ca="1"/>
        <v>#REF!</v>
      </c>
      <c r="AS815" s="7">
        <f ca="1"/>
        <v>-2.1282865457297767E-2</v>
      </c>
      <c r="AT815" s="7" t="e">
        <f ca="1"/>
        <v>#REF!</v>
      </c>
      <c r="AU815" s="7" t="e">
        <f ca="1"/>
        <v>#REF!</v>
      </c>
      <c r="AV815" s="7" t="e">
        <f ca="1"/>
        <v>#REF!</v>
      </c>
    </row>
    <row r="816" spans="37:48" x14ac:dyDescent="0.25">
      <c r="AK816" t="str">
        <f ca="1"/>
        <v>Obs. 1451</v>
      </c>
      <c r="AL816" s="7">
        <f ca="1"/>
        <v>78</v>
      </c>
      <c r="AN816" s="7" t="e">
        <f ca="1"/>
        <v>#REF!</v>
      </c>
      <c r="AO816" s="7" t="e">
        <f ca="1"/>
        <v>#REF!</v>
      </c>
      <c r="AP816" s="7">
        <f ca="1"/>
        <v>8.0329036180190078E-2</v>
      </c>
      <c r="AQ816" s="7" t="e">
        <f ca="1"/>
        <v>#REF!</v>
      </c>
      <c r="AR816" s="7" t="e">
        <f ca="1"/>
        <v>#REF!</v>
      </c>
      <c r="AS816" s="7">
        <f ca="1"/>
        <v>-2.1282865457297767E-2</v>
      </c>
      <c r="AT816" s="7" t="e">
        <f ca="1"/>
        <v>#REF!</v>
      </c>
      <c r="AU816" s="7" t="e">
        <f ca="1"/>
        <v>#REF!</v>
      </c>
      <c r="AV816" s="7" t="e">
        <f ca="1"/>
        <v>#REF!</v>
      </c>
    </row>
    <row r="817" spans="37:48" x14ac:dyDescent="0.25">
      <c r="AK817" t="str">
        <f ca="1"/>
        <v>Obs. 1452</v>
      </c>
      <c r="AL817" s="7">
        <f ca="1"/>
        <v>75</v>
      </c>
      <c r="AN817" s="7" t="e">
        <f ca="1"/>
        <v>#REF!</v>
      </c>
      <c r="AO817" s="7" t="e">
        <f ca="1"/>
        <v>#REF!</v>
      </c>
      <c r="AP817" s="7">
        <f ca="1"/>
        <v>7.6776403746471794E-2</v>
      </c>
      <c r="AQ817" s="7" t="e">
        <f ca="1"/>
        <v>#REF!</v>
      </c>
      <c r="AR817" s="7" t="e">
        <f ca="1"/>
        <v>#REF!</v>
      </c>
      <c r="AS817" s="7">
        <f ca="1"/>
        <v>-2.1282865457297767E-2</v>
      </c>
      <c r="AT817" s="7" t="e">
        <f ca="1"/>
        <v>#REF!</v>
      </c>
      <c r="AU817" s="7" t="e">
        <f ca="1"/>
        <v>#REF!</v>
      </c>
      <c r="AV817" s="7" t="e">
        <f ca="1"/>
        <v>#REF!</v>
      </c>
    </row>
    <row r="818" spans="37:48" x14ac:dyDescent="0.25">
      <c r="AK818" t="str">
        <f ca="1"/>
        <v>Obs. 1453</v>
      </c>
      <c r="AL818" s="7">
        <f ca="1"/>
        <v>76</v>
      </c>
      <c r="AN818" s="7" t="e">
        <f ca="1"/>
        <v>#REF!</v>
      </c>
      <c r="AO818" s="7" t="e">
        <f ca="1"/>
        <v>#REF!</v>
      </c>
      <c r="AP818" s="7">
        <f ca="1"/>
        <v>7.67592905728742E-2</v>
      </c>
      <c r="AQ818" s="7" t="e">
        <f ca="1"/>
        <v>#REF!</v>
      </c>
      <c r="AR818" s="7" t="e">
        <f ca="1"/>
        <v>#REF!</v>
      </c>
      <c r="AS818" s="7">
        <f ca="1"/>
        <v>-2.1282865457297767E-2</v>
      </c>
      <c r="AT818" s="7" t="e">
        <f ca="1"/>
        <v>#REF!</v>
      </c>
      <c r="AU818" s="7" t="e">
        <f ca="1"/>
        <v>#REF!</v>
      </c>
      <c r="AV818" s="7" t="e">
        <f ca="1"/>
        <v>#REF!</v>
      </c>
    </row>
    <row r="819" spans="37:48" x14ac:dyDescent="0.25">
      <c r="AK819" t="str">
        <f ca="1"/>
        <v>Obs. 1454</v>
      </c>
      <c r="AL819" s="7">
        <f ca="1"/>
        <v>71</v>
      </c>
      <c r="AN819" s="7" t="e">
        <f ca="1"/>
        <v>#REF!</v>
      </c>
      <c r="AO819" s="7" t="e">
        <f ca="1"/>
        <v>#REF!</v>
      </c>
      <c r="AP819" s="7">
        <f ca="1"/>
        <v>7.7567505005094906E-2</v>
      </c>
      <c r="AQ819" s="7" t="e">
        <f ca="1"/>
        <v>#REF!</v>
      </c>
      <c r="AR819" s="7" t="e">
        <f ca="1"/>
        <v>#REF!</v>
      </c>
      <c r="AS819" s="7">
        <f ca="1"/>
        <v>-2.1282865457297767E-2</v>
      </c>
      <c r="AT819" s="7" t="e">
        <f ca="1"/>
        <v>#REF!</v>
      </c>
      <c r="AU819" s="7" t="e">
        <f ca="1"/>
        <v>#REF!</v>
      </c>
      <c r="AV819" s="7" t="e">
        <f ca="1"/>
        <v>#REF!</v>
      </c>
    </row>
    <row r="820" spans="37:48" x14ac:dyDescent="0.25">
      <c r="AK820" t="str">
        <f ca="1"/>
        <v>Obs. 1455</v>
      </c>
      <c r="AL820" s="7">
        <f ca="1"/>
        <v>78</v>
      </c>
      <c r="AN820" s="7" t="e">
        <f ca="1"/>
        <v>#REF!</v>
      </c>
      <c r="AO820" s="7" t="e">
        <f ca="1"/>
        <v>#REF!</v>
      </c>
      <c r="AP820" s="7">
        <f ca="1"/>
        <v>7.7176260803287627E-2</v>
      </c>
      <c r="AQ820" s="7" t="e">
        <f ca="1"/>
        <v>#REF!</v>
      </c>
      <c r="AR820" s="7" t="e">
        <f ca="1"/>
        <v>#REF!</v>
      </c>
      <c r="AS820" s="7">
        <f ca="1"/>
        <v>-2.1282865457297767E-2</v>
      </c>
      <c r="AT820" s="7" t="e">
        <f ca="1"/>
        <v>#REF!</v>
      </c>
      <c r="AU820" s="7" t="e">
        <f ca="1"/>
        <v>#REF!</v>
      </c>
      <c r="AV820" s="7" t="e">
        <f ca="1"/>
        <v>#REF!</v>
      </c>
    </row>
    <row r="821" spans="37:48" x14ac:dyDescent="0.25">
      <c r="AK821" t="str">
        <f ca="1"/>
        <v>Obs. 1456</v>
      </c>
      <c r="AL821" s="7">
        <f ca="1"/>
        <v>73</v>
      </c>
      <c r="AN821" s="7" t="e">
        <f ca="1"/>
        <v>#REF!</v>
      </c>
      <c r="AO821" s="7" t="e">
        <f ca="1"/>
        <v>#REF!</v>
      </c>
      <c r="AP821" s="7">
        <f ca="1"/>
        <v>7.6792621628793883E-2</v>
      </c>
      <c r="AQ821" s="7" t="e">
        <f ca="1"/>
        <v>#REF!</v>
      </c>
      <c r="AR821" s="7" t="e">
        <f ca="1"/>
        <v>#REF!</v>
      </c>
      <c r="AS821" s="7">
        <f ca="1"/>
        <v>-2.1282865457297767E-2</v>
      </c>
      <c r="AT821" s="7" t="e">
        <f ca="1"/>
        <v>#REF!</v>
      </c>
      <c r="AU821" s="7" t="e">
        <f ca="1"/>
        <v>#REF!</v>
      </c>
      <c r="AV821" s="7" t="e">
        <f ca="1"/>
        <v>#REF!</v>
      </c>
    </row>
    <row r="822" spans="37:48" x14ac:dyDescent="0.25">
      <c r="AK822" t="str">
        <f ca="1"/>
        <v>Obs. 1457</v>
      </c>
      <c r="AL822" s="7">
        <f ca="1"/>
        <v>69.900000000000006</v>
      </c>
      <c r="AN822" s="7" t="e">
        <f ca="1"/>
        <v>#REF!</v>
      </c>
      <c r="AO822" s="7" t="e">
        <f ca="1"/>
        <v>#REF!</v>
      </c>
      <c r="AP822" s="7">
        <f ca="1"/>
        <v>7.8710148487089349E-2</v>
      </c>
      <c r="AQ822" s="7" t="e">
        <f ca="1"/>
        <v>#REF!</v>
      </c>
      <c r="AR822" s="7" t="e">
        <f ca="1"/>
        <v>#REF!</v>
      </c>
      <c r="AS822" s="7">
        <f ca="1"/>
        <v>-2.1282865457297767E-2</v>
      </c>
      <c r="AT822" s="7" t="e">
        <f ca="1"/>
        <v>#REF!</v>
      </c>
      <c r="AU822" s="7" t="e">
        <f ca="1"/>
        <v>#REF!</v>
      </c>
      <c r="AV822" s="7" t="e">
        <f ca="1"/>
        <v>#REF!</v>
      </c>
    </row>
    <row r="823" spans="37:48" x14ac:dyDescent="0.25">
      <c r="AK823" t="str">
        <f ca="1"/>
        <v>Obs. 1458</v>
      </c>
      <c r="AL823" s="7">
        <f ca="1"/>
        <v>71</v>
      </c>
      <c r="AN823" s="7" t="e">
        <f ca="1"/>
        <v>#REF!</v>
      </c>
      <c r="AO823" s="7" t="e">
        <f ca="1"/>
        <v>#REF!</v>
      </c>
      <c r="AP823" s="7">
        <f ca="1"/>
        <v>7.9699702850170751E-2</v>
      </c>
      <c r="AQ823" s="7" t="e">
        <f ca="1"/>
        <v>#REF!</v>
      </c>
      <c r="AR823" s="7" t="e">
        <f ca="1"/>
        <v>#REF!</v>
      </c>
      <c r="AS823" s="7">
        <f ca="1"/>
        <v>-2.1282865457297767E-2</v>
      </c>
      <c r="AT823" s="7" t="e">
        <f ca="1"/>
        <v>#REF!</v>
      </c>
      <c r="AU823" s="7" t="e">
        <f ca="1"/>
        <v>#REF!</v>
      </c>
      <c r="AV823" s="7" t="e">
        <f ca="1"/>
        <v>#REF!</v>
      </c>
    </row>
    <row r="824" spans="37:48" x14ac:dyDescent="0.25">
      <c r="AK824" t="str">
        <f ca="1"/>
        <v>Obs. 1460</v>
      </c>
      <c r="AL824" s="7">
        <f ca="1"/>
        <v>74.8</v>
      </c>
      <c r="AN824" s="7" t="e">
        <f ca="1"/>
        <v>#REF!</v>
      </c>
      <c r="AO824" s="7" t="e">
        <f ca="1"/>
        <v>#REF!</v>
      </c>
      <c r="AP824" s="7">
        <f ca="1"/>
        <v>8.2011301081489185E-2</v>
      </c>
      <c r="AQ824" s="7" t="e">
        <f ca="1"/>
        <v>#REF!</v>
      </c>
      <c r="AR824" s="7" t="e">
        <f ca="1"/>
        <v>#REF!</v>
      </c>
      <c r="AS824" s="7">
        <f ca="1"/>
        <v>-4.5602855597810616E-3</v>
      </c>
      <c r="AT824" s="7" t="e">
        <f ca="1"/>
        <v>#REF!</v>
      </c>
      <c r="AU824" s="7" t="e">
        <f ca="1"/>
        <v>#REF!</v>
      </c>
      <c r="AV824" s="7" t="e">
        <f ca="1"/>
        <v>#REF!</v>
      </c>
    </row>
    <row r="825" spans="37:48" x14ac:dyDescent="0.25">
      <c r="AK825" t="str">
        <f ca="1"/>
        <v>Obs. 1461</v>
      </c>
      <c r="AL825" s="7">
        <f ca="1"/>
        <v>74.900000000000006</v>
      </c>
      <c r="AN825" s="7" t="e">
        <f ca="1"/>
        <v>#REF!</v>
      </c>
      <c r="AO825" s="7" t="e">
        <f ca="1"/>
        <v>#REF!</v>
      </c>
      <c r="AP825" s="7">
        <f ca="1"/>
        <v>8.0050405109656414E-2</v>
      </c>
      <c r="AQ825" s="7" t="e">
        <f ca="1"/>
        <v>#REF!</v>
      </c>
      <c r="AR825" s="7" t="e">
        <f ca="1"/>
        <v>#REF!</v>
      </c>
      <c r="AS825" s="7">
        <f ca="1"/>
        <v>-4.5602855597810616E-3</v>
      </c>
      <c r="AT825" s="7" t="e">
        <f ca="1"/>
        <v>#REF!</v>
      </c>
      <c r="AU825" s="7" t="e">
        <f ca="1"/>
        <v>#REF!</v>
      </c>
      <c r="AV825" s="7" t="e">
        <f ca="1"/>
        <v>#REF!</v>
      </c>
    </row>
    <row r="826" spans="37:48" x14ac:dyDescent="0.25">
      <c r="AK826" t="str">
        <f ca="1"/>
        <v>Obs. 1462</v>
      </c>
      <c r="AL826" s="7">
        <f ca="1"/>
        <v>75</v>
      </c>
      <c r="AN826" s="7" t="e">
        <f ca="1"/>
        <v>#REF!</v>
      </c>
      <c r="AO826" s="7" t="e">
        <f ca="1"/>
        <v>#REF!</v>
      </c>
      <c r="AP826" s="7">
        <f ca="1"/>
        <v>8.1247490240762776E-2</v>
      </c>
      <c r="AQ826" s="7" t="e">
        <f ca="1"/>
        <v>#REF!</v>
      </c>
      <c r="AR826" s="7" t="e">
        <f ca="1"/>
        <v>#REF!</v>
      </c>
      <c r="AS826" s="7">
        <f ca="1"/>
        <v>-4.5602855597810616E-3</v>
      </c>
      <c r="AT826" s="7" t="e">
        <f ca="1"/>
        <v>#REF!</v>
      </c>
      <c r="AU826" s="7" t="e">
        <f ca="1"/>
        <v>#REF!</v>
      </c>
      <c r="AV826" s="7" t="e">
        <f ca="1"/>
        <v>#REF!</v>
      </c>
    </row>
    <row r="827" spans="37:48" x14ac:dyDescent="0.25">
      <c r="AK827" t="str">
        <f ca="1"/>
        <v>Obs. 1463</v>
      </c>
      <c r="AL827" s="7">
        <f ca="1"/>
        <v>75</v>
      </c>
      <c r="AN827" s="7" t="e">
        <f ca="1"/>
        <v>#REF!</v>
      </c>
      <c r="AO827" s="7" t="e">
        <f ca="1"/>
        <v>#REF!</v>
      </c>
      <c r="AP827" s="7">
        <f ca="1"/>
        <v>7.8130429709434818E-2</v>
      </c>
      <c r="AQ827" s="7" t="e">
        <f ca="1"/>
        <v>#REF!</v>
      </c>
      <c r="AR827" s="7" t="e">
        <f ca="1"/>
        <v>#REF!</v>
      </c>
      <c r="AS827" s="7">
        <f ca="1"/>
        <v>-4.5602855597810616E-3</v>
      </c>
      <c r="AT827" s="7" t="e">
        <f ca="1"/>
        <v>#REF!</v>
      </c>
      <c r="AU827" s="7" t="e">
        <f ca="1"/>
        <v>#REF!</v>
      </c>
      <c r="AV827" s="7" t="e">
        <f ca="1"/>
        <v>#REF!</v>
      </c>
    </row>
    <row r="828" spans="37:48" x14ac:dyDescent="0.25">
      <c r="AK828" t="str">
        <f ca="1"/>
        <v>Obs. 1464</v>
      </c>
      <c r="AL828" s="7">
        <f ca="1"/>
        <v>74.900000000000006</v>
      </c>
      <c r="AN828" s="7" t="e">
        <f ca="1"/>
        <v>#REF!</v>
      </c>
      <c r="AO828" s="7" t="e">
        <f ca="1"/>
        <v>#REF!</v>
      </c>
      <c r="AP828" s="7">
        <f ca="1"/>
        <v>7.7042157676763326E-2</v>
      </c>
      <c r="AQ828" s="7" t="e">
        <f ca="1"/>
        <v>#REF!</v>
      </c>
      <c r="AR828" s="7" t="e">
        <f ca="1"/>
        <v>#REF!</v>
      </c>
      <c r="AS828" s="7">
        <f ca="1"/>
        <v>-4.5602855597810616E-3</v>
      </c>
      <c r="AT828" s="7" t="e">
        <f ca="1"/>
        <v>#REF!</v>
      </c>
      <c r="AU828" s="7" t="e">
        <f ca="1"/>
        <v>#REF!</v>
      </c>
      <c r="AV828" s="7" t="e">
        <f ca="1"/>
        <v>#REF!</v>
      </c>
    </row>
    <row r="829" spans="37:48" x14ac:dyDescent="0.25">
      <c r="AK829" t="str">
        <f ca="1"/>
        <v>Obs. 1465</v>
      </c>
      <c r="AL829" s="7">
        <f ca="1"/>
        <v>74.7</v>
      </c>
      <c r="AN829" s="7" t="e">
        <f ca="1"/>
        <v>#REF!</v>
      </c>
      <c r="AO829" s="7" t="e">
        <f ca="1"/>
        <v>#REF!</v>
      </c>
      <c r="AP829" s="7">
        <f ca="1"/>
        <v>7.7858019871624592E-2</v>
      </c>
      <c r="AQ829" s="7" t="e">
        <f ca="1"/>
        <v>#REF!</v>
      </c>
      <c r="AR829" s="7" t="e">
        <f ca="1"/>
        <v>#REF!</v>
      </c>
      <c r="AS829" s="7">
        <f ca="1"/>
        <v>-4.5602855597810616E-3</v>
      </c>
      <c r="AT829" s="7" t="e">
        <f ca="1"/>
        <v>#REF!</v>
      </c>
      <c r="AU829" s="7" t="e">
        <f ca="1"/>
        <v>#REF!</v>
      </c>
      <c r="AV829" s="7" t="e">
        <f ca="1"/>
        <v>#REF!</v>
      </c>
    </row>
    <row r="830" spans="37:48" x14ac:dyDescent="0.25">
      <c r="AK830" t="str">
        <f ca="1"/>
        <v>Obs. 1466</v>
      </c>
      <c r="AL830" s="7">
        <f ca="1"/>
        <v>74.5</v>
      </c>
      <c r="AN830" s="7" t="e">
        <f ca="1"/>
        <v>#REF!</v>
      </c>
      <c r="AO830" s="7" t="e">
        <f ca="1"/>
        <v>#REF!</v>
      </c>
      <c r="AP830" s="7">
        <f ca="1"/>
        <v>7.8611576972413888E-2</v>
      </c>
      <c r="AQ830" s="7" t="e">
        <f ca="1"/>
        <v>#REF!</v>
      </c>
      <c r="AR830" s="7" t="e">
        <f ca="1"/>
        <v>#REF!</v>
      </c>
      <c r="AS830" s="7">
        <f ca="1"/>
        <v>-4.5602855597810616E-3</v>
      </c>
      <c r="AT830" s="7" t="e">
        <f ca="1"/>
        <v>#REF!</v>
      </c>
      <c r="AU830" s="7" t="e">
        <f ca="1"/>
        <v>#REF!</v>
      </c>
      <c r="AV830" s="7" t="e">
        <f ca="1"/>
        <v>#REF!</v>
      </c>
    </row>
    <row r="831" spans="37:48" x14ac:dyDescent="0.25">
      <c r="AK831" t="str">
        <f ca="1"/>
        <v>Obs. 1467</v>
      </c>
      <c r="AL831" s="7">
        <f ca="1"/>
        <v>74.400000000000006</v>
      </c>
      <c r="AN831" s="7" t="e">
        <f ca="1"/>
        <v>#REF!</v>
      </c>
      <c r="AO831" s="7" t="e">
        <f ca="1"/>
        <v>#REF!</v>
      </c>
      <c r="AP831" s="7">
        <f ca="1"/>
        <v>9.3468312214141966E-2</v>
      </c>
      <c r="AQ831" s="7" t="e">
        <f ca="1"/>
        <v>#REF!</v>
      </c>
      <c r="AR831" s="7" t="e">
        <f ca="1"/>
        <v>#REF!</v>
      </c>
      <c r="AS831" s="7">
        <f ca="1"/>
        <v>-4.5602855597810616E-3</v>
      </c>
      <c r="AT831" s="7" t="e">
        <f ca="1"/>
        <v>#REF!</v>
      </c>
      <c r="AU831" s="7" t="e">
        <f ca="1"/>
        <v>#REF!</v>
      </c>
      <c r="AV831" s="7" t="e">
        <f ca="1"/>
        <v>#REF!</v>
      </c>
    </row>
    <row r="832" spans="37:48" x14ac:dyDescent="0.25">
      <c r="AK832" t="str">
        <f ca="1"/>
        <v>Obs. 1468</v>
      </c>
      <c r="AL832" s="7">
        <f ca="1"/>
        <v>74.099999999999994</v>
      </c>
      <c r="AN832" s="7" t="e">
        <f ca="1"/>
        <v>#REF!</v>
      </c>
      <c r="AO832" s="7" t="e">
        <f ca="1"/>
        <v>#REF!</v>
      </c>
      <c r="AP832" s="7">
        <f ca="1"/>
        <v>7.848764388089087E-2</v>
      </c>
      <c r="AQ832" s="7" t="e">
        <f ca="1"/>
        <v>#REF!</v>
      </c>
      <c r="AR832" s="7" t="e">
        <f ca="1"/>
        <v>#REF!</v>
      </c>
      <c r="AS832" s="7">
        <f ca="1"/>
        <v>-4.5602855597810616E-3</v>
      </c>
      <c r="AT832" s="7" t="e">
        <f ca="1"/>
        <v>#REF!</v>
      </c>
      <c r="AU832" s="7" t="e">
        <f ca="1"/>
        <v>#REF!</v>
      </c>
      <c r="AV832" s="7" t="e">
        <f ca="1"/>
        <v>#REF!</v>
      </c>
    </row>
    <row r="833" spans="37:48" x14ac:dyDescent="0.25">
      <c r="AK833" t="str">
        <f ca="1"/>
        <v>Obs. 1469</v>
      </c>
      <c r="AL833" s="7">
        <f ca="1"/>
        <v>73.900000000000006</v>
      </c>
      <c r="AN833" s="7" t="e">
        <f ca="1"/>
        <v>#REF!</v>
      </c>
      <c r="AO833" s="7" t="e">
        <f ca="1"/>
        <v>#REF!</v>
      </c>
      <c r="AP833" s="7">
        <f ca="1"/>
        <v>9.7952713275082676E-2</v>
      </c>
      <c r="AQ833" s="7" t="e">
        <f ca="1"/>
        <v>#REF!</v>
      </c>
      <c r="AR833" s="7" t="e">
        <f ca="1"/>
        <v>#REF!</v>
      </c>
      <c r="AS833" s="7">
        <f ca="1"/>
        <v>-4.5602855597810616E-3</v>
      </c>
      <c r="AT833" s="7" t="e">
        <f ca="1"/>
        <v>#REF!</v>
      </c>
      <c r="AU833" s="7" t="e">
        <f ca="1"/>
        <v>#REF!</v>
      </c>
      <c r="AV833" s="7" t="e">
        <f ca="1"/>
        <v>#REF!</v>
      </c>
    </row>
    <row r="834" spans="37:48" x14ac:dyDescent="0.25">
      <c r="AK834" t="str">
        <f ca="1"/>
        <v>Obs. 1470</v>
      </c>
      <c r="AL834" s="7">
        <f ca="1"/>
        <v>73.7</v>
      </c>
      <c r="AN834" s="7" t="e">
        <f ca="1"/>
        <v>#REF!</v>
      </c>
      <c r="AO834" s="7" t="e">
        <f ca="1"/>
        <v>#REF!</v>
      </c>
      <c r="AP834" s="7">
        <f ca="1"/>
        <v>9.8475180262621184E-2</v>
      </c>
      <c r="AQ834" s="7" t="e">
        <f ca="1"/>
        <v>#REF!</v>
      </c>
      <c r="AR834" s="7" t="e">
        <f ca="1"/>
        <v>#REF!</v>
      </c>
      <c r="AS834" s="7">
        <f ca="1"/>
        <v>1.0640830227304372E-2</v>
      </c>
      <c r="AT834" s="7" t="e">
        <f ca="1"/>
        <v>#REF!</v>
      </c>
      <c r="AU834" s="7" t="e">
        <f ca="1"/>
        <v>#REF!</v>
      </c>
      <c r="AV834" s="7" t="e">
        <f ca="1"/>
        <v>#REF!</v>
      </c>
    </row>
    <row r="835" spans="37:48" x14ac:dyDescent="0.25">
      <c r="AK835" t="str">
        <f ca="1"/>
        <v>Obs. 1471</v>
      </c>
      <c r="AL835" s="7">
        <f ca="1"/>
        <v>73.5</v>
      </c>
      <c r="AN835" s="7" t="e">
        <f ca="1"/>
        <v>#REF!</v>
      </c>
      <c r="AO835" s="7" t="e">
        <f ca="1"/>
        <v>#REF!</v>
      </c>
      <c r="AP835" s="7">
        <f ca="1"/>
        <v>9.5859464601831479E-2</v>
      </c>
      <c r="AQ835" s="7" t="e">
        <f ca="1"/>
        <v>#REF!</v>
      </c>
      <c r="AR835" s="7" t="e">
        <f ca="1"/>
        <v>#REF!</v>
      </c>
      <c r="AS835" s="7">
        <f ca="1"/>
        <v>1.0640830227304372E-2</v>
      </c>
      <c r="AT835" s="7" t="e">
        <f ca="1"/>
        <v>#REF!</v>
      </c>
      <c r="AU835" s="7" t="e">
        <f ca="1"/>
        <v>#REF!</v>
      </c>
      <c r="AV835" s="7" t="e">
        <f ca="1"/>
        <v>#REF!</v>
      </c>
    </row>
    <row r="836" spans="37:48" x14ac:dyDescent="0.25">
      <c r="AK836" t="str">
        <f ca="1"/>
        <v>Obs. 1472</v>
      </c>
      <c r="AL836" s="7">
        <f ca="1"/>
        <v>73.2</v>
      </c>
      <c r="AN836" s="7" t="e">
        <f ca="1"/>
        <v>#REF!</v>
      </c>
      <c r="AO836" s="7" t="e">
        <f ca="1"/>
        <v>#REF!</v>
      </c>
      <c r="AP836" s="7">
        <f ca="1"/>
        <v>0.10438669022960834</v>
      </c>
      <c r="AQ836" s="7" t="e">
        <f ca="1"/>
        <v>#REF!</v>
      </c>
      <c r="AR836" s="7" t="e">
        <f ca="1"/>
        <v>#REF!</v>
      </c>
      <c r="AS836" s="7">
        <f ca="1"/>
        <v>1.0640830227304372E-2</v>
      </c>
      <c r="AT836" s="7" t="e">
        <f ca="1"/>
        <v>#REF!</v>
      </c>
      <c r="AU836" s="7" t="e">
        <f ca="1"/>
        <v>#REF!</v>
      </c>
      <c r="AV836" s="7" t="e">
        <f ca="1"/>
        <v>#REF!</v>
      </c>
    </row>
    <row r="837" spans="37:48" x14ac:dyDescent="0.25">
      <c r="AK837" t="str">
        <f ca="1"/>
        <v>Obs. 1473</v>
      </c>
      <c r="AL837" s="7">
        <f ca="1"/>
        <v>73</v>
      </c>
      <c r="AN837" s="7" t="e">
        <f ca="1"/>
        <v>#REF!</v>
      </c>
      <c r="AO837" s="7" t="e">
        <f ca="1"/>
        <v>#REF!</v>
      </c>
      <c r="AP837" s="7">
        <f ca="1"/>
        <v>0.11077509380508672</v>
      </c>
      <c r="AQ837" s="7" t="e">
        <f ca="1"/>
        <v>#REF!</v>
      </c>
      <c r="AR837" s="7" t="e">
        <f ca="1"/>
        <v>#REF!</v>
      </c>
      <c r="AS837" s="7">
        <f ca="1"/>
        <v>1.0640830227304372E-2</v>
      </c>
      <c r="AT837" s="7" t="e">
        <f ca="1"/>
        <v>#REF!</v>
      </c>
      <c r="AU837" s="7" t="e">
        <f ca="1"/>
        <v>#REF!</v>
      </c>
      <c r="AV837" s="7" t="e">
        <f ca="1"/>
        <v>#REF!</v>
      </c>
    </row>
    <row r="838" spans="37:48" x14ac:dyDescent="0.25">
      <c r="AK838" t="str">
        <f ca="1"/>
        <v>Obs. 1474</v>
      </c>
      <c r="AL838" s="7">
        <f ca="1"/>
        <v>72.7</v>
      </c>
      <c r="AN838" s="7" t="e">
        <f ca="1"/>
        <v>#REF!</v>
      </c>
      <c r="AO838" s="7" t="e">
        <f ca="1"/>
        <v>#REF!</v>
      </c>
      <c r="AP838" s="7">
        <f ca="1"/>
        <v>0.10260932055630383</v>
      </c>
      <c r="AQ838" s="7" t="e">
        <f ca="1"/>
        <v>#REF!</v>
      </c>
      <c r="AR838" s="7" t="e">
        <f ca="1"/>
        <v>#REF!</v>
      </c>
      <c r="AS838" s="7">
        <f ca="1"/>
        <v>1.0640830227304372E-2</v>
      </c>
      <c r="AT838" s="7" t="e">
        <f ca="1"/>
        <v>#REF!</v>
      </c>
      <c r="AU838" s="7" t="e">
        <f ca="1"/>
        <v>#REF!</v>
      </c>
      <c r="AV838" s="7" t="e">
        <f ca="1"/>
        <v>#REF!</v>
      </c>
    </row>
    <row r="839" spans="37:48" x14ac:dyDescent="0.25">
      <c r="AK839" t="str">
        <f ca="1"/>
        <v>Obs. 1476</v>
      </c>
      <c r="AL839" s="7">
        <f ca="1"/>
        <v>52.1</v>
      </c>
      <c r="AN839" s="7" t="e">
        <f ca="1"/>
        <v>#REF!</v>
      </c>
      <c r="AO839" s="7" t="e">
        <f ca="1"/>
        <v>#REF!</v>
      </c>
      <c r="AP839" s="7">
        <f ca="1"/>
        <v>0.11179115702101042</v>
      </c>
      <c r="AQ839" s="7" t="e">
        <f ca="1"/>
        <v>#REF!</v>
      </c>
      <c r="AR839" s="7" t="e">
        <f ca="1"/>
        <v>#REF!</v>
      </c>
      <c r="AS839" s="7">
        <f ca="1"/>
        <v>1.0640830227304372E-2</v>
      </c>
      <c r="AT839" s="7" t="e">
        <f ca="1"/>
        <v>#REF!</v>
      </c>
      <c r="AU839" s="7" t="e">
        <f ca="1"/>
        <v>#REF!</v>
      </c>
      <c r="AV839" s="7" t="e">
        <f ca="1"/>
        <v>#REF!</v>
      </c>
    </row>
    <row r="840" spans="37:48" x14ac:dyDescent="0.25">
      <c r="AK840" t="str">
        <f ca="1"/>
        <v>Obs. 1477</v>
      </c>
      <c r="AL840" s="7">
        <f ca="1"/>
        <v>52.1</v>
      </c>
      <c r="AN840" s="7" t="e">
        <f ca="1"/>
        <v>#REF!</v>
      </c>
      <c r="AO840" s="7" t="e">
        <f ca="1"/>
        <v>#REF!</v>
      </c>
      <c r="AP840" s="7">
        <f ca="1"/>
        <v>0.10377734435866762</v>
      </c>
      <c r="AQ840" s="7" t="e">
        <f ca="1"/>
        <v>#REF!</v>
      </c>
      <c r="AR840" s="7" t="e">
        <f ca="1"/>
        <v>#REF!</v>
      </c>
      <c r="AS840" s="7">
        <f ca="1"/>
        <v>1.0640830227304372E-2</v>
      </c>
      <c r="AT840" s="7" t="e">
        <f ca="1"/>
        <v>#REF!</v>
      </c>
      <c r="AU840" s="7" t="e">
        <f ca="1"/>
        <v>#REF!</v>
      </c>
      <c r="AV840" s="7" t="e">
        <f ca="1"/>
        <v>#REF!</v>
      </c>
    </row>
    <row r="841" spans="37:48" x14ac:dyDescent="0.25">
      <c r="AK841" t="str">
        <f ca="1"/>
        <v>Obs. 1478</v>
      </c>
      <c r="AL841" s="7">
        <f ca="1"/>
        <v>52.2</v>
      </c>
      <c r="AN841" s="7" t="e">
        <f ca="1"/>
        <v>#REF!</v>
      </c>
      <c r="AO841" s="7" t="e">
        <f ca="1"/>
        <v>#REF!</v>
      </c>
      <c r="AP841" s="7">
        <f ca="1"/>
        <v>9.4194299744711787E-2</v>
      </c>
      <c r="AQ841" s="7" t="e">
        <f ca="1"/>
        <v>#REF!</v>
      </c>
      <c r="AR841" s="7" t="e">
        <f ca="1"/>
        <v>#REF!</v>
      </c>
      <c r="AS841" s="7">
        <f ca="1"/>
        <v>1.0640830227304372E-2</v>
      </c>
      <c r="AT841" s="7" t="e">
        <f ca="1"/>
        <v>#REF!</v>
      </c>
      <c r="AU841" s="7" t="e">
        <f ca="1"/>
        <v>#REF!</v>
      </c>
      <c r="AV841" s="7" t="e">
        <f ca="1"/>
        <v>#REF!</v>
      </c>
    </row>
    <row r="842" spans="37:48" x14ac:dyDescent="0.25">
      <c r="AK842" t="str">
        <f ca="1"/>
        <v>Obs. 1479</v>
      </c>
      <c r="AL842" s="7">
        <f ca="1"/>
        <v>52.3</v>
      </c>
      <c r="AN842" s="7" t="e">
        <f ca="1"/>
        <v>#REF!</v>
      </c>
      <c r="AO842" s="7" t="e">
        <f ca="1"/>
        <v>#REF!</v>
      </c>
      <c r="AP842" s="7">
        <f ca="1"/>
        <v>0.11313759677543979</v>
      </c>
      <c r="AQ842" s="7" t="e">
        <f ca="1"/>
        <v>#REF!</v>
      </c>
      <c r="AR842" s="7" t="e">
        <f ca="1"/>
        <v>#REF!</v>
      </c>
      <c r="AS842" s="7">
        <f ca="1"/>
        <v>1.0640830227304372E-2</v>
      </c>
      <c r="AT842" s="7" t="e">
        <f ca="1"/>
        <v>#REF!</v>
      </c>
      <c r="AU842" s="7" t="e">
        <f ca="1"/>
        <v>#REF!</v>
      </c>
      <c r="AV842" s="7" t="e">
        <f ca="1"/>
        <v>#REF!</v>
      </c>
    </row>
    <row r="843" spans="37:48" x14ac:dyDescent="0.25">
      <c r="AK843" t="str">
        <f ca="1"/>
        <v>Obs. 1480</v>
      </c>
      <c r="AL843" s="7">
        <f ca="1"/>
        <v>51.1</v>
      </c>
      <c r="AN843" s="7" t="e">
        <f ca="1"/>
        <v>#REF!</v>
      </c>
      <c r="AO843" s="7" t="e">
        <f ca="1"/>
        <v>#REF!</v>
      </c>
      <c r="AP843" s="7">
        <f ca="1"/>
        <v>9.3308839484836981E-2</v>
      </c>
      <c r="AQ843" s="7" t="e">
        <f ca="1"/>
        <v>#REF!</v>
      </c>
      <c r="AR843" s="7" t="e">
        <f ca="1"/>
        <v>#REF!</v>
      </c>
      <c r="AS843" s="7">
        <f ca="1"/>
        <v>1.0640830227304372E-2</v>
      </c>
      <c r="AT843" s="7" t="e">
        <f ca="1"/>
        <v>#REF!</v>
      </c>
      <c r="AU843" s="7" t="e">
        <f ca="1"/>
        <v>#REF!</v>
      </c>
      <c r="AV843" s="7" t="e">
        <f ca="1"/>
        <v>#REF!</v>
      </c>
    </row>
    <row r="844" spans="37:48" x14ac:dyDescent="0.25">
      <c r="AK844" t="str">
        <f ca="1"/>
        <v>Obs. 1481</v>
      </c>
      <c r="AL844" s="7">
        <f ca="1"/>
        <v>49.4</v>
      </c>
      <c r="AN844" s="7" t="e">
        <f ca="1"/>
        <v>#REF!</v>
      </c>
      <c r="AO844" s="7" t="e">
        <f ca="1"/>
        <v>#REF!</v>
      </c>
      <c r="AP844" s="7">
        <f ca="1"/>
        <v>7.958637442301876E-2</v>
      </c>
      <c r="AQ844" s="7" t="e">
        <f ca="1"/>
        <v>#REF!</v>
      </c>
      <c r="AR844" s="7" t="e">
        <f ca="1"/>
        <v>#REF!</v>
      </c>
      <c r="AS844" s="7">
        <f ca="1"/>
        <v>1.0640830227304372E-2</v>
      </c>
      <c r="AT844" s="7" t="e">
        <f ca="1"/>
        <v>#REF!</v>
      </c>
      <c r="AU844" s="7" t="e">
        <f ca="1"/>
        <v>#REF!</v>
      </c>
      <c r="AV844" s="7" t="e">
        <f ca="1"/>
        <v>#REF!</v>
      </c>
    </row>
    <row r="845" spans="37:48" x14ac:dyDescent="0.25">
      <c r="AK845" t="str">
        <f ca="1"/>
        <v>Obs. 1482</v>
      </c>
      <c r="AL845" s="7">
        <f ca="1"/>
        <v>47.8</v>
      </c>
      <c r="AN845" s="7" t="e">
        <f ca="1"/>
        <v>#REF!</v>
      </c>
      <c r="AO845" s="7" t="e">
        <f ca="1"/>
        <v>#REF!</v>
      </c>
      <c r="AP845" s="7">
        <f ca="1"/>
        <v>7.9702276691850857E-2</v>
      </c>
      <c r="AQ845" s="7" t="e">
        <f ca="1"/>
        <v>#REF!</v>
      </c>
      <c r="AR845" s="7" t="e">
        <f ca="1"/>
        <v>#REF!</v>
      </c>
      <c r="AS845" s="7">
        <f ca="1"/>
        <v>2.7365033500434649E-2</v>
      </c>
      <c r="AT845" s="7" t="e">
        <f ca="1"/>
        <v>#REF!</v>
      </c>
      <c r="AU845" s="7" t="e">
        <f ca="1"/>
        <v>#REF!</v>
      </c>
      <c r="AV845" s="7" t="e">
        <f ca="1"/>
        <v>#REF!</v>
      </c>
    </row>
    <row r="846" spans="37:48" x14ac:dyDescent="0.25">
      <c r="AK846" t="str">
        <f ca="1"/>
        <v>Obs. 1483</v>
      </c>
      <c r="AL846" s="7">
        <f ca="1"/>
        <v>46.2</v>
      </c>
      <c r="AN846" s="7" t="e">
        <f ca="1"/>
        <v>#REF!</v>
      </c>
      <c r="AO846" s="7" t="e">
        <f ca="1"/>
        <v>#REF!</v>
      </c>
      <c r="AP846" s="7">
        <f ca="1"/>
        <v>9.2378962737474923E-2</v>
      </c>
      <c r="AQ846" s="7" t="e">
        <f ca="1"/>
        <v>#REF!</v>
      </c>
      <c r="AR846" s="7" t="e">
        <f ca="1"/>
        <v>#REF!</v>
      </c>
      <c r="AS846" s="7">
        <f ca="1"/>
        <v>2.7365033500434649E-2</v>
      </c>
      <c r="AT846" s="7" t="e">
        <f ca="1"/>
        <v>#REF!</v>
      </c>
      <c r="AU846" s="7" t="e">
        <f ca="1"/>
        <v>#REF!</v>
      </c>
      <c r="AV846" s="7" t="e">
        <f ca="1"/>
        <v>#REF!</v>
      </c>
    </row>
    <row r="847" spans="37:48" x14ac:dyDescent="0.25">
      <c r="AK847" t="str">
        <f ca="1"/>
        <v>Obs. 1484</v>
      </c>
      <c r="AL847" s="7">
        <f ca="1"/>
        <v>45.3</v>
      </c>
      <c r="AN847" s="7" t="e">
        <f ca="1"/>
        <v>#REF!</v>
      </c>
      <c r="AO847" s="7" t="e">
        <f ca="1"/>
        <v>#REF!</v>
      </c>
      <c r="AP847" s="7">
        <f ca="1"/>
        <v>8.9357021346400389E-2</v>
      </c>
      <c r="AQ847" s="7" t="e">
        <f ca="1"/>
        <v>#REF!</v>
      </c>
      <c r="AR847" s="7" t="e">
        <f ca="1"/>
        <v>#REF!</v>
      </c>
      <c r="AS847" s="7">
        <f ca="1"/>
        <v>2.7365033500434649E-2</v>
      </c>
      <c r="AT847" s="7" t="e">
        <f ca="1"/>
        <v>#REF!</v>
      </c>
      <c r="AU847" s="7" t="e">
        <f ca="1"/>
        <v>#REF!</v>
      </c>
      <c r="AV847" s="7" t="e">
        <f ca="1"/>
        <v>#REF!</v>
      </c>
    </row>
    <row r="848" spans="37:48" x14ac:dyDescent="0.25">
      <c r="AK848" t="str">
        <f ca="1"/>
        <v>Obs. 1485</v>
      </c>
      <c r="AL848" s="7">
        <f ca="1"/>
        <v>44.5</v>
      </c>
      <c r="AN848" s="7" t="e">
        <f ca="1"/>
        <v>#REF!</v>
      </c>
      <c r="AO848" s="7" t="e">
        <f ca="1"/>
        <v>#REF!</v>
      </c>
      <c r="AP848" s="7">
        <f ca="1"/>
        <v>9.1236973670711957E-2</v>
      </c>
      <c r="AQ848" s="7" t="e">
        <f ca="1"/>
        <v>#REF!</v>
      </c>
      <c r="AR848" s="7" t="e">
        <f ca="1"/>
        <v>#REF!</v>
      </c>
      <c r="AS848" s="7">
        <f ca="1"/>
        <v>2.7365033500434649E-2</v>
      </c>
      <c r="AT848" s="7" t="e">
        <f ca="1"/>
        <v>#REF!</v>
      </c>
      <c r="AU848" s="7" t="e">
        <f ca="1"/>
        <v>#REF!</v>
      </c>
      <c r="AV848" s="7" t="e">
        <f ca="1"/>
        <v>#REF!</v>
      </c>
    </row>
    <row r="849" spans="37:48" x14ac:dyDescent="0.25">
      <c r="AK849" t="str">
        <f ca="1"/>
        <v>Obs. 1486</v>
      </c>
      <c r="AL849" s="7">
        <f ca="1"/>
        <v>44.8</v>
      </c>
      <c r="AN849" s="7" t="e">
        <f ca="1"/>
        <v>#REF!</v>
      </c>
      <c r="AO849" s="7" t="e">
        <f ca="1"/>
        <v>#REF!</v>
      </c>
      <c r="AP849" s="7">
        <f ca="1"/>
        <v>0.10649073386986969</v>
      </c>
      <c r="AQ849" s="7" t="e">
        <f ca="1"/>
        <v>#REF!</v>
      </c>
      <c r="AR849" s="7" t="e">
        <f ca="1"/>
        <v>#REF!</v>
      </c>
      <c r="AS849" s="7">
        <f ca="1"/>
        <v>2.7365033500434649E-2</v>
      </c>
      <c r="AT849" s="7" t="e">
        <f ca="1"/>
        <v>#REF!</v>
      </c>
      <c r="AU849" s="7" t="e">
        <f ca="1"/>
        <v>#REF!</v>
      </c>
      <c r="AV849" s="7" t="e">
        <f ca="1"/>
        <v>#REF!</v>
      </c>
    </row>
    <row r="850" spans="37:48" x14ac:dyDescent="0.25">
      <c r="AK850" t="str">
        <f ca="1"/>
        <v>Obs. 1487</v>
      </c>
      <c r="AL850" s="7">
        <f ca="1"/>
        <v>45.5</v>
      </c>
      <c r="AN850" s="7" t="e">
        <f ca="1"/>
        <v>#REF!</v>
      </c>
      <c r="AO850" s="7" t="e">
        <f ca="1"/>
        <v>#REF!</v>
      </c>
      <c r="AP850" s="7">
        <f ca="1"/>
        <v>0.11271222989747495</v>
      </c>
      <c r="AQ850" s="7" t="e">
        <f ca="1"/>
        <v>#REF!</v>
      </c>
      <c r="AR850" s="7" t="e">
        <f ca="1"/>
        <v>#REF!</v>
      </c>
      <c r="AS850" s="7">
        <f ca="1"/>
        <v>2.7365033500434649E-2</v>
      </c>
      <c r="AT850" s="7" t="e">
        <f ca="1"/>
        <v>#REF!</v>
      </c>
      <c r="AU850" s="7" t="e">
        <f ca="1"/>
        <v>#REF!</v>
      </c>
      <c r="AV850" s="7" t="e">
        <f ca="1"/>
        <v>#REF!</v>
      </c>
    </row>
    <row r="851" spans="37:48" x14ac:dyDescent="0.25">
      <c r="AK851" t="str">
        <f ca="1"/>
        <v>Obs. 1492</v>
      </c>
      <c r="AL851" s="7">
        <f ca="1"/>
        <v>58.1</v>
      </c>
      <c r="AN851" s="7" t="e">
        <f ca="1"/>
        <v>#REF!</v>
      </c>
      <c r="AO851" s="7" t="e">
        <f ca="1"/>
        <v>#REF!</v>
      </c>
      <c r="AP851" s="7">
        <f ca="1"/>
        <v>0.16164287391337864</v>
      </c>
      <c r="AQ851" s="7" t="e">
        <f ca="1"/>
        <v>#REF!</v>
      </c>
      <c r="AR851" s="7" t="e">
        <f ca="1"/>
        <v>#REF!</v>
      </c>
      <c r="AS851" s="7">
        <f ca="1"/>
        <v>2.7365033500434649E-2</v>
      </c>
      <c r="AT851" s="7" t="e">
        <f ca="1"/>
        <v>#REF!</v>
      </c>
      <c r="AU851" s="7" t="e">
        <f ca="1"/>
        <v>#REF!</v>
      </c>
      <c r="AV851" s="7" t="e">
        <f ca="1"/>
        <v>#REF!</v>
      </c>
    </row>
    <row r="852" spans="37:48" x14ac:dyDescent="0.25">
      <c r="AK852" t="str">
        <f ca="1"/>
        <v>Obs. 1493</v>
      </c>
      <c r="AL852" s="7">
        <f ca="1"/>
        <v>61.1</v>
      </c>
      <c r="AN852" s="7" t="e">
        <f ca="1"/>
        <v>#REF!</v>
      </c>
      <c r="AO852" s="7" t="e">
        <f ca="1"/>
        <v>#REF!</v>
      </c>
      <c r="AP852" s="7">
        <f ca="1"/>
        <v>0.14437677966453308</v>
      </c>
      <c r="AQ852" s="7" t="e">
        <f ca="1"/>
        <v>#REF!</v>
      </c>
      <c r="AR852" s="7" t="e">
        <f ca="1"/>
        <v>#REF!</v>
      </c>
      <c r="AS852" s="7">
        <f ca="1"/>
        <v>2.7365033500434649E-2</v>
      </c>
      <c r="AT852" s="7" t="e">
        <f ca="1"/>
        <v>#REF!</v>
      </c>
      <c r="AU852" s="7" t="e">
        <f ca="1"/>
        <v>#REF!</v>
      </c>
      <c r="AV852" s="7" t="e">
        <f ca="1"/>
        <v>#REF!</v>
      </c>
    </row>
    <row r="853" spans="37:48" x14ac:dyDescent="0.25">
      <c r="AK853" t="str">
        <f ca="1"/>
        <v>Obs. 1494</v>
      </c>
      <c r="AL853" s="7">
        <f ca="1"/>
        <v>67</v>
      </c>
      <c r="AN853" s="7" t="e">
        <f ca="1"/>
        <v>#REF!</v>
      </c>
      <c r="AO853" s="7" t="e">
        <f ca="1"/>
        <v>#REF!</v>
      </c>
      <c r="AP853" s="7">
        <f ca="1"/>
        <v>0.16364385439182541</v>
      </c>
      <c r="AQ853" s="7" t="e">
        <f ca="1"/>
        <v>#REF!</v>
      </c>
      <c r="AR853" s="7" t="e">
        <f ca="1"/>
        <v>#REF!</v>
      </c>
      <c r="AS853" s="7">
        <f ca="1"/>
        <v>2.7365033500434649E-2</v>
      </c>
      <c r="AT853" s="7" t="e">
        <f ca="1"/>
        <v>#REF!</v>
      </c>
      <c r="AU853" s="7" t="e">
        <f ca="1"/>
        <v>#REF!</v>
      </c>
      <c r="AV853" s="7" t="e">
        <f ca="1"/>
        <v>#REF!</v>
      </c>
    </row>
    <row r="854" spans="37:48" x14ac:dyDescent="0.25">
      <c r="AK854" t="str">
        <f ca="1"/>
        <v>Obs. 1495</v>
      </c>
      <c r="AL854" s="7">
        <f ca="1"/>
        <v>62</v>
      </c>
      <c r="AN854" s="7" t="e">
        <f ca="1"/>
        <v>#REF!</v>
      </c>
      <c r="AO854" s="7" t="e">
        <f ca="1"/>
        <v>#REF!</v>
      </c>
      <c r="AP854" s="7">
        <f ca="1"/>
        <v>0.14554484634202625</v>
      </c>
      <c r="AQ854" s="7" t="e">
        <f ca="1"/>
        <v>#REF!</v>
      </c>
      <c r="AR854" s="7" t="e">
        <f ca="1"/>
        <v>#REF!</v>
      </c>
      <c r="AS854" s="7">
        <f ca="1"/>
        <v>4.1053957112594373E-2</v>
      </c>
      <c r="AT854" s="7" t="e">
        <f ca="1"/>
        <v>#REF!</v>
      </c>
      <c r="AU854" s="7" t="e">
        <f ca="1"/>
        <v>#REF!</v>
      </c>
      <c r="AV854" s="7" t="e">
        <f ca="1"/>
        <v>#REF!</v>
      </c>
    </row>
    <row r="855" spans="37:48" x14ac:dyDescent="0.25">
      <c r="AK855" t="str">
        <f ca="1"/>
        <v>Obs. 1496</v>
      </c>
      <c r="AL855" s="7">
        <f ca="1"/>
        <v>59.7</v>
      </c>
      <c r="AN855" s="7" t="e">
        <f ca="1"/>
        <v>#REF!</v>
      </c>
      <c r="AO855" s="7" t="e">
        <f ca="1"/>
        <v>#REF!</v>
      </c>
      <c r="AP855" s="7">
        <f ca="1"/>
        <v>0.14987077252586492</v>
      </c>
      <c r="AQ855" s="7" t="e">
        <f ca="1"/>
        <v>#REF!</v>
      </c>
      <c r="AR855" s="7" t="e">
        <f ca="1"/>
        <v>#REF!</v>
      </c>
      <c r="AS855" s="7">
        <f ca="1"/>
        <v>4.1053957112594373E-2</v>
      </c>
      <c r="AT855" s="7" t="e">
        <f ca="1"/>
        <v>#REF!</v>
      </c>
      <c r="AU855" s="7" t="e">
        <f ca="1"/>
        <v>#REF!</v>
      </c>
      <c r="AV855" s="7" t="e">
        <f ca="1"/>
        <v>#REF!</v>
      </c>
    </row>
    <row r="856" spans="37:48" x14ac:dyDescent="0.25">
      <c r="AK856" t="str">
        <f ca="1"/>
        <v>Obs. 1497</v>
      </c>
      <c r="AL856" s="7">
        <f ca="1"/>
        <v>59.2</v>
      </c>
      <c r="AN856" s="7" t="e">
        <f ca="1"/>
        <v>#REF!</v>
      </c>
      <c r="AO856" s="7" t="e">
        <f ca="1"/>
        <v>#REF!</v>
      </c>
      <c r="AP856" s="7">
        <f ca="1"/>
        <v>0.15262932878551888</v>
      </c>
      <c r="AQ856" s="7" t="e">
        <f ca="1"/>
        <v>#REF!</v>
      </c>
      <c r="AR856" s="7" t="e">
        <f ca="1"/>
        <v>#REF!</v>
      </c>
      <c r="AS856" s="7">
        <f ca="1"/>
        <v>4.1053957112594373E-2</v>
      </c>
      <c r="AT856" s="7" t="e">
        <f ca="1"/>
        <v>#REF!</v>
      </c>
      <c r="AU856" s="7" t="e">
        <f ca="1"/>
        <v>#REF!</v>
      </c>
      <c r="AV856" s="7" t="e">
        <f ca="1"/>
        <v>#REF!</v>
      </c>
    </row>
    <row r="857" spans="37:48" x14ac:dyDescent="0.25">
      <c r="AK857" t="str">
        <f ca="1"/>
        <v>Obs. 1498</v>
      </c>
      <c r="AL857" s="7">
        <f ca="1"/>
        <v>58.6</v>
      </c>
      <c r="AN857" s="7" t="e">
        <f ca="1"/>
        <v>#REF!</v>
      </c>
      <c r="AO857" s="7" t="e">
        <f ca="1"/>
        <v>#REF!</v>
      </c>
      <c r="AP857" s="7">
        <f ca="1"/>
        <v>0.1469086479247726</v>
      </c>
      <c r="AQ857" s="7" t="e">
        <f ca="1"/>
        <v>#REF!</v>
      </c>
      <c r="AR857" s="7" t="e">
        <f ca="1"/>
        <v>#REF!</v>
      </c>
      <c r="AS857" s="7">
        <f ca="1"/>
        <v>4.1053957112594373E-2</v>
      </c>
      <c r="AT857" s="7" t="e">
        <f ca="1"/>
        <v>#REF!</v>
      </c>
      <c r="AU857" s="7" t="e">
        <f ca="1"/>
        <v>#REF!</v>
      </c>
      <c r="AV857" s="7" t="e">
        <f ca="1"/>
        <v>#REF!</v>
      </c>
    </row>
    <row r="858" spans="37:48" x14ac:dyDescent="0.25">
      <c r="AK858" t="str">
        <f ca="1"/>
        <v>Obs. 1524</v>
      </c>
      <c r="AL858" s="7">
        <f ca="1"/>
        <v>73.400000000000006</v>
      </c>
      <c r="AN858" s="7" t="e">
        <f ca="1"/>
        <v>#REF!</v>
      </c>
      <c r="AO858" s="7" t="e">
        <f ca="1"/>
        <v>#REF!</v>
      </c>
      <c r="AP858" s="7">
        <f ca="1"/>
        <v>8.2430375280541215E-2</v>
      </c>
      <c r="AQ858" s="7" t="e">
        <f ca="1"/>
        <v>#REF!</v>
      </c>
      <c r="AR858" s="7" t="e">
        <f ca="1"/>
        <v>#REF!</v>
      </c>
      <c r="AS858" s="7">
        <f ca="1"/>
        <v>4.1053957112594373E-2</v>
      </c>
      <c r="AT858" s="7" t="e">
        <f ca="1"/>
        <v>#REF!</v>
      </c>
      <c r="AU858" s="7" t="e">
        <f ca="1"/>
        <v>#REF!</v>
      </c>
      <c r="AV858" s="7" t="e">
        <f ca="1"/>
        <v>#REF!</v>
      </c>
    </row>
    <row r="859" spans="37:48" x14ac:dyDescent="0.25">
      <c r="AK859" t="str">
        <f ca="1"/>
        <v>Obs. 1525</v>
      </c>
      <c r="AL859" s="7">
        <f ca="1"/>
        <v>73</v>
      </c>
      <c r="AN859" s="7" t="e">
        <f ca="1"/>
        <v>#REF!</v>
      </c>
      <c r="AO859" s="7" t="e">
        <f ca="1"/>
        <v>#REF!</v>
      </c>
      <c r="AP859" s="7">
        <f ca="1"/>
        <v>8.1422078758353195E-2</v>
      </c>
      <c r="AQ859" s="7" t="e">
        <f ca="1"/>
        <v>#REF!</v>
      </c>
      <c r="AR859" s="7" t="e">
        <f ca="1"/>
        <v>#REF!</v>
      </c>
      <c r="AS859" s="7">
        <f ca="1"/>
        <v>4.1053957112594373E-2</v>
      </c>
      <c r="AT859" s="7" t="e">
        <f ca="1"/>
        <v>#REF!</v>
      </c>
      <c r="AU859" s="7" t="e">
        <f ca="1"/>
        <v>#REF!</v>
      </c>
      <c r="AV859" s="7" t="e">
        <f ca="1"/>
        <v>#REF!</v>
      </c>
    </row>
    <row r="860" spans="37:48" x14ac:dyDescent="0.25">
      <c r="AK860" t="str">
        <f ca="1"/>
        <v>Obs. 1526</v>
      </c>
      <c r="AL860" s="7">
        <f ca="1"/>
        <v>73</v>
      </c>
      <c r="AN860" s="7" t="e">
        <f ca="1"/>
        <v>#REF!</v>
      </c>
      <c r="AO860" s="7" t="e">
        <f ca="1"/>
        <v>#REF!</v>
      </c>
      <c r="AP860" s="7">
        <f ca="1"/>
        <v>8.7967516634599452E-2</v>
      </c>
      <c r="AQ860" s="7" t="e">
        <f ca="1"/>
        <v>#REF!</v>
      </c>
      <c r="AR860" s="7" t="e">
        <f ca="1"/>
        <v>#REF!</v>
      </c>
      <c r="AS860" s="7">
        <f ca="1"/>
        <v>4.1053957112594373E-2</v>
      </c>
      <c r="AT860" s="7" t="e">
        <f ca="1"/>
        <v>#REF!</v>
      </c>
      <c r="AU860" s="7" t="e">
        <f ca="1"/>
        <v>#REF!</v>
      </c>
      <c r="AV860" s="7" t="e">
        <f ca="1"/>
        <v>#REF!</v>
      </c>
    </row>
    <row r="861" spans="37:48" x14ac:dyDescent="0.25">
      <c r="AK861" t="str">
        <f ca="1"/>
        <v>Obs. 1527</v>
      </c>
      <c r="AL861" s="7">
        <f ca="1"/>
        <v>72.8</v>
      </c>
      <c r="AN861" s="7" t="e">
        <f ca="1"/>
        <v>#REF!</v>
      </c>
      <c r="AO861" s="7" t="e">
        <f ca="1"/>
        <v>#REF!</v>
      </c>
      <c r="AP861" s="7">
        <f ca="1"/>
        <v>8.5006745335659037E-2</v>
      </c>
      <c r="AQ861" s="7" t="e">
        <f ca="1"/>
        <v>#REF!</v>
      </c>
      <c r="AR861" s="7" t="e">
        <f ca="1"/>
        <v>#REF!</v>
      </c>
      <c r="AS861" s="7">
        <f ca="1"/>
        <v>4.1053957112594373E-2</v>
      </c>
      <c r="AT861" s="7" t="e">
        <f ca="1"/>
        <v>#REF!</v>
      </c>
      <c r="AU861" s="7" t="e">
        <f ca="1"/>
        <v>#REF!</v>
      </c>
      <c r="AV861" s="7" t="e">
        <f ca="1"/>
        <v>#REF!</v>
      </c>
    </row>
    <row r="862" spans="37:48" x14ac:dyDescent="0.25">
      <c r="AK862" t="str">
        <f ca="1"/>
        <v>Obs. 1528</v>
      </c>
      <c r="AL862" s="7">
        <f ca="1"/>
        <v>72.400000000000006</v>
      </c>
      <c r="AN862" s="7" t="e">
        <f ca="1"/>
        <v>#REF!</v>
      </c>
      <c r="AO862" s="7" t="e">
        <f ca="1"/>
        <v>#REF!</v>
      </c>
      <c r="AP862" s="7">
        <f ca="1"/>
        <v>8.4921864729266203E-2</v>
      </c>
      <c r="AQ862" s="7" t="e">
        <f ca="1"/>
        <v>#REF!</v>
      </c>
      <c r="AR862" s="7" t="e">
        <f ca="1"/>
        <v>#REF!</v>
      </c>
      <c r="AS862" s="7">
        <f ca="1"/>
        <v>4.1053957112594373E-2</v>
      </c>
      <c r="AT862" s="7" t="e">
        <f ca="1"/>
        <v>#REF!</v>
      </c>
      <c r="AU862" s="7" t="e">
        <f ca="1"/>
        <v>#REF!</v>
      </c>
      <c r="AV862" s="7" t="e">
        <f ca="1"/>
        <v>#REF!</v>
      </c>
    </row>
    <row r="863" spans="37:48" x14ac:dyDescent="0.25">
      <c r="AK863" t="str">
        <f ca="1"/>
        <v>Obs. 1529</v>
      </c>
      <c r="AL863" s="7">
        <f ca="1"/>
        <v>72.2</v>
      </c>
      <c r="AN863" s="7" t="e">
        <f ca="1"/>
        <v>#REF!</v>
      </c>
      <c r="AO863" s="7" t="e">
        <f ca="1"/>
        <v>#REF!</v>
      </c>
      <c r="AP863" s="7">
        <f ca="1"/>
        <v>7.7390364267331174E-2</v>
      </c>
      <c r="AQ863" s="7" t="e">
        <f ca="1"/>
        <v>#REF!</v>
      </c>
      <c r="AR863" s="7" t="e">
        <f ca="1"/>
        <v>#REF!</v>
      </c>
      <c r="AS863" s="7">
        <f ca="1"/>
        <v>4.1053957112594373E-2</v>
      </c>
      <c r="AT863" s="7" t="e">
        <f ca="1"/>
        <v>#REF!</v>
      </c>
      <c r="AU863" s="7" t="e">
        <f ca="1"/>
        <v>#REF!</v>
      </c>
      <c r="AV863" s="7" t="e">
        <f ca="1"/>
        <v>#REF!</v>
      </c>
    </row>
    <row r="864" spans="37:48" x14ac:dyDescent="0.25">
      <c r="AK864" t="str">
        <f ca="1"/>
        <v>Obs. 1530</v>
      </c>
      <c r="AL864" s="7">
        <f ca="1"/>
        <v>71.099999999999994</v>
      </c>
      <c r="AN864" s="7" t="e">
        <f ca="1"/>
        <v>#REF!</v>
      </c>
      <c r="AO864" s="7" t="e">
        <f ca="1"/>
        <v>#REF!</v>
      </c>
      <c r="AP864" s="7">
        <f ca="1"/>
        <v>7.8040690787147482E-2</v>
      </c>
      <c r="AQ864" s="7" t="e">
        <f ca="1"/>
        <v>#REF!</v>
      </c>
      <c r="AR864" s="7" t="e">
        <f ca="1"/>
        <v>#REF!</v>
      </c>
      <c r="AS864" s="7">
        <f ca="1"/>
        <v>4.1053957112594373E-2</v>
      </c>
      <c r="AT864" s="7" t="e">
        <f ca="1"/>
        <v>#REF!</v>
      </c>
      <c r="AU864" s="7" t="e">
        <f ca="1"/>
        <v>#REF!</v>
      </c>
      <c r="AV864" s="7" t="e">
        <f ca="1"/>
        <v>#REF!</v>
      </c>
    </row>
    <row r="865" spans="37:48" x14ac:dyDescent="0.25">
      <c r="AK865" t="str">
        <f ca="1"/>
        <v>Obs. 1531</v>
      </c>
      <c r="AL865" s="7">
        <f ca="1"/>
        <v>72</v>
      </c>
      <c r="AN865" s="7" t="e">
        <f ca="1"/>
        <v>#REF!</v>
      </c>
      <c r="AO865" s="7" t="e">
        <f ca="1"/>
        <v>#REF!</v>
      </c>
      <c r="AP865" s="7">
        <f ca="1"/>
        <v>7.7309911340421186E-2</v>
      </c>
      <c r="AQ865" s="7" t="e">
        <f ca="1"/>
        <v>#REF!</v>
      </c>
      <c r="AR865" s="7" t="e">
        <f ca="1"/>
        <v>#REF!</v>
      </c>
      <c r="AS865" s="7">
        <f ca="1"/>
        <v>4.1053957112594373E-2</v>
      </c>
      <c r="AT865" s="7" t="e">
        <f ca="1"/>
        <v>#REF!</v>
      </c>
      <c r="AU865" s="7" t="e">
        <f ca="1"/>
        <v>#REF!</v>
      </c>
      <c r="AV865" s="7" t="e">
        <f ca="1"/>
        <v>#REF!</v>
      </c>
    </row>
    <row r="866" spans="37:48" x14ac:dyDescent="0.25">
      <c r="AK866" t="str">
        <f ca="1"/>
        <v>Obs. 1532</v>
      </c>
      <c r="AL866" s="7">
        <f ca="1"/>
        <v>76</v>
      </c>
      <c r="AN866" s="7" t="e">
        <f ca="1"/>
        <v>#REF!</v>
      </c>
      <c r="AO866" s="7" t="e">
        <f ca="1"/>
        <v>#REF!</v>
      </c>
      <c r="AP866" s="7">
        <f ca="1"/>
        <v>7.8410675518385028E-2</v>
      </c>
      <c r="AQ866" s="7" t="e">
        <f ca="1"/>
        <v>#REF!</v>
      </c>
      <c r="AR866" s="7" t="e">
        <f ca="1"/>
        <v>#REF!</v>
      </c>
      <c r="AS866" s="7">
        <f ca="1"/>
        <v>4.1053957112594373E-2</v>
      </c>
      <c r="AT866" s="7" t="e">
        <f ca="1"/>
        <v>#REF!</v>
      </c>
      <c r="AU866" s="7" t="e">
        <f ca="1"/>
        <v>#REF!</v>
      </c>
      <c r="AV866" s="7" t="e">
        <f ca="1"/>
        <v>#REF!</v>
      </c>
    </row>
    <row r="867" spans="37:48" x14ac:dyDescent="0.25">
      <c r="AK867" t="str">
        <f ca="1"/>
        <v>Obs. 1533</v>
      </c>
      <c r="AL867" s="7">
        <f ca="1"/>
        <v>78</v>
      </c>
      <c r="AN867" s="7" t="e">
        <f ca="1"/>
        <v>#REF!</v>
      </c>
      <c r="AO867" s="7" t="e">
        <f ca="1"/>
        <v>#REF!</v>
      </c>
      <c r="AP867" s="7">
        <f ca="1"/>
        <v>7.7632163515728561E-2</v>
      </c>
      <c r="AQ867" s="7" t="e">
        <f ca="1"/>
        <v>#REF!</v>
      </c>
      <c r="AR867" s="7" t="e">
        <f ca="1"/>
        <v>#REF!</v>
      </c>
      <c r="AS867" s="7">
        <f ca="1"/>
        <v>4.1053957112594373E-2</v>
      </c>
      <c r="AT867" s="7" t="e">
        <f ca="1"/>
        <v>#REF!</v>
      </c>
      <c r="AU867" s="7" t="e">
        <f ca="1"/>
        <v>#REF!</v>
      </c>
      <c r="AV867" s="7" t="e">
        <f ca="1"/>
        <v>#REF!</v>
      </c>
    </row>
    <row r="868" spans="37:48" x14ac:dyDescent="0.25">
      <c r="AK868" t="str">
        <f ca="1"/>
        <v>Obs. 1534</v>
      </c>
      <c r="AL868" s="7">
        <f ca="1"/>
        <v>71.599999999999994</v>
      </c>
      <c r="AN868" s="7" t="e">
        <f ca="1"/>
        <v>#REF!</v>
      </c>
      <c r="AO868" s="7" t="e">
        <f ca="1"/>
        <v>#REF!</v>
      </c>
      <c r="AP868" s="7">
        <f ca="1"/>
        <v>9.4256222258429445E-2</v>
      </c>
      <c r="AQ868" s="7" t="e">
        <f ca="1"/>
        <v>#REF!</v>
      </c>
      <c r="AR868" s="7" t="e">
        <f ca="1"/>
        <v>#REF!</v>
      </c>
      <c r="AS868" s="7">
        <f ca="1"/>
        <v>4.1053957112594373E-2</v>
      </c>
      <c r="AT868" s="7" t="e">
        <f ca="1"/>
        <v>#REF!</v>
      </c>
      <c r="AU868" s="7" t="e">
        <f ca="1"/>
        <v>#REF!</v>
      </c>
      <c r="AV868" s="7" t="e">
        <f ca="1"/>
        <v>#REF!</v>
      </c>
    </row>
    <row r="869" spans="37:48" x14ac:dyDescent="0.25">
      <c r="AK869" t="str">
        <f ca="1"/>
        <v>Obs. 1535</v>
      </c>
      <c r="AL869" s="7">
        <f ca="1"/>
        <v>71.599999999999994</v>
      </c>
      <c r="AN869" s="7" t="e">
        <f ca="1"/>
        <v>#REF!</v>
      </c>
      <c r="AO869" s="7" t="e">
        <f ca="1"/>
        <v>#REF!</v>
      </c>
      <c r="AP869" s="7">
        <f ca="1"/>
        <v>7.9006221181631975E-2</v>
      </c>
      <c r="AQ869" s="7" t="e">
        <f ca="1"/>
        <v>#REF!</v>
      </c>
      <c r="AR869" s="7" t="e">
        <f ca="1"/>
        <v>#REF!</v>
      </c>
      <c r="AS869" s="7">
        <f ca="1"/>
        <v>6.3887210036911155E-2</v>
      </c>
      <c r="AT869" s="7" t="e">
        <f ca="1"/>
        <v>#REF!</v>
      </c>
      <c r="AU869" s="7" t="e">
        <f ca="1"/>
        <v>#REF!</v>
      </c>
      <c r="AV869" s="7" t="e">
        <f ca="1"/>
        <v>#REF!</v>
      </c>
    </row>
    <row r="870" spans="37:48" x14ac:dyDescent="0.25">
      <c r="AK870" t="str">
        <f ca="1"/>
        <v>Obs. 1536</v>
      </c>
      <c r="AL870" s="7">
        <f ca="1"/>
        <v>71.400000000000006</v>
      </c>
      <c r="AN870" s="7" t="e">
        <f ca="1"/>
        <v>#REF!</v>
      </c>
      <c r="AO870" s="7" t="e">
        <f ca="1"/>
        <v>#REF!</v>
      </c>
      <c r="AP870" s="7">
        <f ca="1"/>
        <v>7.9533641573828431E-2</v>
      </c>
      <c r="AQ870" s="7" t="e">
        <f ca="1"/>
        <v>#REF!</v>
      </c>
      <c r="AR870" s="7" t="e">
        <f ca="1"/>
        <v>#REF!</v>
      </c>
      <c r="AS870" s="7">
        <f ca="1"/>
        <v>6.3887210036911155E-2</v>
      </c>
      <c r="AT870" s="7" t="e">
        <f ca="1"/>
        <v>#REF!</v>
      </c>
      <c r="AU870" s="7" t="e">
        <f ca="1"/>
        <v>#REF!</v>
      </c>
      <c r="AV870" s="7" t="e">
        <f ca="1"/>
        <v>#REF!</v>
      </c>
    </row>
    <row r="871" spans="37:48" x14ac:dyDescent="0.25">
      <c r="AK871" t="str">
        <f ca="1"/>
        <v>Obs. 1537</v>
      </c>
      <c r="AL871" s="7">
        <f ca="1"/>
        <v>71.2</v>
      </c>
      <c r="AN871" s="7" t="e">
        <f ca="1"/>
        <v>#REF!</v>
      </c>
      <c r="AO871" s="7" t="e">
        <f ca="1"/>
        <v>#REF!</v>
      </c>
      <c r="AP871" s="7">
        <f ca="1"/>
        <v>8.2728173417697337E-2</v>
      </c>
      <c r="AQ871" s="7" t="e">
        <f ca="1"/>
        <v>#REF!</v>
      </c>
      <c r="AR871" s="7" t="e">
        <f ca="1"/>
        <v>#REF!</v>
      </c>
      <c r="AS871" s="7">
        <f ca="1"/>
        <v>6.3887210036911155E-2</v>
      </c>
      <c r="AT871" s="7" t="e">
        <f ca="1"/>
        <v>#REF!</v>
      </c>
      <c r="AU871" s="7" t="e">
        <f ca="1"/>
        <v>#REF!</v>
      </c>
      <c r="AV871" s="7" t="e">
        <f ca="1"/>
        <v>#REF!</v>
      </c>
    </row>
    <row r="872" spans="37:48" x14ac:dyDescent="0.25">
      <c r="AK872" t="str">
        <f ca="1"/>
        <v>Obs. 1538</v>
      </c>
      <c r="AL872" s="7">
        <f ca="1"/>
        <v>71.599999999999994</v>
      </c>
      <c r="AN872" s="7" t="e">
        <f ca="1"/>
        <v>#REF!</v>
      </c>
      <c r="AO872" s="7" t="e">
        <f ca="1"/>
        <v>#REF!</v>
      </c>
      <c r="AP872" s="7">
        <f ca="1"/>
        <v>8.6338104674083233E-2</v>
      </c>
      <c r="AQ872" s="7" t="e">
        <f ca="1"/>
        <v>#REF!</v>
      </c>
      <c r="AR872" s="7" t="e">
        <f ca="1"/>
        <v>#REF!</v>
      </c>
      <c r="AS872" s="7">
        <f ca="1"/>
        <v>6.3887210036911155E-2</v>
      </c>
      <c r="AT872" s="7" t="e">
        <f ca="1"/>
        <v>#REF!</v>
      </c>
      <c r="AU872" s="7" t="e">
        <f ca="1"/>
        <v>#REF!</v>
      </c>
      <c r="AV872" s="7" t="e">
        <f ca="1"/>
        <v>#REF!</v>
      </c>
    </row>
    <row r="873" spans="37:48" x14ac:dyDescent="0.25">
      <c r="AK873" t="str">
        <f ca="1"/>
        <v>Obs. 1540</v>
      </c>
      <c r="AL873" s="7">
        <f ca="1"/>
        <v>81.7</v>
      </c>
      <c r="AN873" s="7" t="e">
        <f ca="1"/>
        <v>#REF!</v>
      </c>
      <c r="AO873" s="7" t="e">
        <f ca="1"/>
        <v>#REF!</v>
      </c>
      <c r="AP873" s="7">
        <f ca="1"/>
        <v>0.13086161370956273</v>
      </c>
      <c r="AQ873" s="7" t="e">
        <f ca="1"/>
        <v>#REF!</v>
      </c>
      <c r="AR873" s="7" t="e">
        <f ca="1"/>
        <v>#REF!</v>
      </c>
      <c r="AS873" s="7">
        <f ca="1"/>
        <v>6.3887210036911155E-2</v>
      </c>
      <c r="AT873" s="7" t="e">
        <f ca="1"/>
        <v>#REF!</v>
      </c>
      <c r="AU873" s="7" t="e">
        <f ca="1"/>
        <v>#REF!</v>
      </c>
      <c r="AV873" s="7" t="e">
        <f ca="1"/>
        <v>#REF!</v>
      </c>
    </row>
    <row r="874" spans="37:48" x14ac:dyDescent="0.25">
      <c r="AK874" t="str">
        <f ca="1"/>
        <v>Obs. 1541</v>
      </c>
      <c r="AL874" s="7">
        <f ca="1"/>
        <v>81.400000000000006</v>
      </c>
      <c r="AN874" s="7" t="e">
        <f ca="1"/>
        <v>#REF!</v>
      </c>
      <c r="AO874" s="7" t="e">
        <f ca="1"/>
        <v>#REF!</v>
      </c>
      <c r="AP874" s="7">
        <f ca="1"/>
        <v>0.12283422513897004</v>
      </c>
      <c r="AQ874" s="7" t="e">
        <f ca="1"/>
        <v>#REF!</v>
      </c>
      <c r="AR874" s="7" t="e">
        <f ca="1"/>
        <v>#REF!</v>
      </c>
      <c r="AS874" s="7">
        <f ca="1"/>
        <v>6.3887210036911155E-2</v>
      </c>
      <c r="AT874" s="7" t="e">
        <f ca="1"/>
        <v>#REF!</v>
      </c>
      <c r="AU874" s="7" t="e">
        <f ca="1"/>
        <v>#REF!</v>
      </c>
      <c r="AV874" s="7" t="e">
        <f ca="1"/>
        <v>#REF!</v>
      </c>
    </row>
    <row r="875" spans="37:48" x14ac:dyDescent="0.25">
      <c r="AK875" t="str">
        <f ca="1"/>
        <v>Obs. 1542</v>
      </c>
      <c r="AL875" s="7">
        <f ca="1"/>
        <v>81.099999999999994</v>
      </c>
      <c r="AN875" s="7" t="e">
        <f ca="1"/>
        <v>#REF!</v>
      </c>
      <c r="AO875" s="7" t="e">
        <f ca="1"/>
        <v>#REF!</v>
      </c>
      <c r="AP875" s="7">
        <f ca="1"/>
        <v>0.10154501554088669</v>
      </c>
      <c r="AQ875" s="7" t="e">
        <f ca="1"/>
        <v>#REF!</v>
      </c>
      <c r="AR875" s="7" t="e">
        <f ca="1"/>
        <v>#REF!</v>
      </c>
      <c r="AS875" s="7">
        <f ca="1"/>
        <v>6.3887210036911155E-2</v>
      </c>
      <c r="AT875" s="7" t="e">
        <f ca="1"/>
        <v>#REF!</v>
      </c>
      <c r="AU875" s="7" t="e">
        <f ca="1"/>
        <v>#REF!</v>
      </c>
      <c r="AV875" s="7" t="e">
        <f ca="1"/>
        <v>#REF!</v>
      </c>
    </row>
    <row r="876" spans="37:48" x14ac:dyDescent="0.25">
      <c r="AK876" t="str">
        <f ca="1"/>
        <v>Obs. 1543</v>
      </c>
      <c r="AL876" s="7">
        <f ca="1"/>
        <v>88</v>
      </c>
      <c r="AN876" s="7" t="e">
        <f ca="1"/>
        <v>#REF!</v>
      </c>
      <c r="AO876" s="7" t="e">
        <f ca="1"/>
        <v>#REF!</v>
      </c>
      <c r="AP876" s="7">
        <f ca="1"/>
        <v>0.10855610183519468</v>
      </c>
      <c r="AQ876" s="7" t="e">
        <f ca="1"/>
        <v>#REF!</v>
      </c>
      <c r="AR876" s="7" t="e">
        <f ca="1"/>
        <v>#REF!</v>
      </c>
      <c r="AS876" s="7">
        <f ca="1"/>
        <v>6.3887210036911155E-2</v>
      </c>
      <c r="AT876" s="7" t="e">
        <f ca="1"/>
        <v>#REF!</v>
      </c>
      <c r="AU876" s="7" t="e">
        <f ca="1"/>
        <v>#REF!</v>
      </c>
      <c r="AV876" s="7" t="e">
        <f ca="1"/>
        <v>#REF!</v>
      </c>
    </row>
    <row r="877" spans="37:48" x14ac:dyDescent="0.25">
      <c r="AK877" t="str">
        <f ca="1"/>
        <v>Obs. 1544</v>
      </c>
      <c r="AL877" s="7">
        <f ca="1"/>
        <v>86</v>
      </c>
      <c r="AN877" s="7" t="e">
        <f ca="1"/>
        <v>#REF!</v>
      </c>
      <c r="AO877" s="7" t="e">
        <f ca="1"/>
        <v>#REF!</v>
      </c>
      <c r="AP877" s="7">
        <f ca="1"/>
        <v>9.3385784312017328E-2</v>
      </c>
      <c r="AQ877" s="7" t="e">
        <f ca="1"/>
        <v>#REF!</v>
      </c>
      <c r="AR877" s="7" t="e">
        <f ca="1"/>
        <v>#REF!</v>
      </c>
      <c r="AS877" s="7">
        <f ca="1"/>
        <v>6.3887210036911155E-2</v>
      </c>
      <c r="AT877" s="7" t="e">
        <f ca="1"/>
        <v>#REF!</v>
      </c>
      <c r="AU877" s="7" t="e">
        <f ca="1"/>
        <v>#REF!</v>
      </c>
      <c r="AV877" s="7" t="e">
        <f ca="1"/>
        <v>#REF!</v>
      </c>
    </row>
    <row r="878" spans="37:48" x14ac:dyDescent="0.25">
      <c r="AK878" t="str">
        <f ca="1"/>
        <v>Obs. 1545</v>
      </c>
      <c r="AL878" s="7">
        <f ca="1"/>
        <v>83</v>
      </c>
      <c r="AN878" s="7" t="e">
        <f ca="1"/>
        <v>#REF!</v>
      </c>
      <c r="AO878" s="7" t="e">
        <f ca="1"/>
        <v>#REF!</v>
      </c>
      <c r="AP878" s="7">
        <f ca="1"/>
        <v>9.4073826107406014E-2</v>
      </c>
      <c r="AQ878" s="7" t="e">
        <f ca="1"/>
        <v>#REF!</v>
      </c>
      <c r="AR878" s="7" t="e">
        <f ca="1"/>
        <v>#REF!</v>
      </c>
      <c r="AS878" s="7">
        <f ca="1"/>
        <v>6.3887210036911155E-2</v>
      </c>
      <c r="AT878" s="7" t="e">
        <f ca="1"/>
        <v>#REF!</v>
      </c>
      <c r="AU878" s="7" t="e">
        <f ca="1"/>
        <v>#REF!</v>
      </c>
      <c r="AV878" s="7" t="e">
        <f ca="1"/>
        <v>#REF!</v>
      </c>
    </row>
    <row r="879" spans="37:48" x14ac:dyDescent="0.25">
      <c r="AK879" t="str">
        <f ca="1"/>
        <v>Obs. 1546</v>
      </c>
      <c r="AL879" s="7">
        <f ca="1"/>
        <v>80</v>
      </c>
      <c r="AN879" s="7" t="e">
        <f ca="1"/>
        <v>#REF!</v>
      </c>
      <c r="AO879" s="7" t="e">
        <f ca="1"/>
        <v>#REF!</v>
      </c>
      <c r="AP879" s="7">
        <f ca="1"/>
        <v>0.12842245973551158</v>
      </c>
      <c r="AQ879" s="7" t="e">
        <f ca="1"/>
        <v>#REF!</v>
      </c>
      <c r="AR879" s="7" t="e">
        <f ca="1"/>
        <v>#REF!</v>
      </c>
      <c r="AS879" s="7">
        <f ca="1"/>
        <v>7.9127168877726875E-2</v>
      </c>
      <c r="AT879" s="7" t="e">
        <f ca="1"/>
        <v>#REF!</v>
      </c>
      <c r="AU879" s="7" t="e">
        <f ca="1"/>
        <v>#REF!</v>
      </c>
      <c r="AV879" s="7" t="e">
        <f ca="1"/>
        <v>#REF!</v>
      </c>
    </row>
    <row r="880" spans="37:48" x14ac:dyDescent="0.25">
      <c r="AK880" t="str">
        <f ca="1"/>
        <v>Obs. 1547</v>
      </c>
      <c r="AL880" s="7">
        <f ca="1"/>
        <v>79.7</v>
      </c>
      <c r="AN880" s="7" t="e">
        <f ca="1"/>
        <v>#REF!</v>
      </c>
      <c r="AO880" s="7" t="e">
        <f ca="1"/>
        <v>#REF!</v>
      </c>
      <c r="AP880" s="7">
        <f ca="1"/>
        <v>0.10658856729702924</v>
      </c>
      <c r="AQ880" s="7" t="e">
        <f ca="1"/>
        <v>#REF!</v>
      </c>
      <c r="AR880" s="7" t="e">
        <f ca="1"/>
        <v>#REF!</v>
      </c>
      <c r="AS880" s="7">
        <f ca="1"/>
        <v>7.9127168877726875E-2</v>
      </c>
      <c r="AT880" s="7" t="e">
        <f ca="1"/>
        <v>#REF!</v>
      </c>
      <c r="AU880" s="7" t="e">
        <f ca="1"/>
        <v>#REF!</v>
      </c>
      <c r="AV880" s="7" t="e">
        <f ca="1"/>
        <v>#REF!</v>
      </c>
    </row>
    <row r="881" spans="37:48" x14ac:dyDescent="0.25">
      <c r="AK881" t="str">
        <f ca="1"/>
        <v>Obs. 1548</v>
      </c>
      <c r="AL881" s="7">
        <f ca="1"/>
        <v>79.400000000000006</v>
      </c>
      <c r="AN881" s="7" t="e">
        <f ca="1"/>
        <v>#REF!</v>
      </c>
      <c r="AO881" s="7" t="e">
        <f ca="1"/>
        <v>#REF!</v>
      </c>
      <c r="AP881" s="7">
        <f ca="1"/>
        <v>0.10113947236130016</v>
      </c>
      <c r="AQ881" s="7" t="e">
        <f ca="1"/>
        <v>#REF!</v>
      </c>
      <c r="AR881" s="7" t="e">
        <f ca="1"/>
        <v>#REF!</v>
      </c>
      <c r="AS881" s="7">
        <f ca="1"/>
        <v>7.9127168877726875E-2</v>
      </c>
      <c r="AT881" s="7" t="e">
        <f ca="1"/>
        <v>#REF!</v>
      </c>
      <c r="AU881" s="7" t="e">
        <f ca="1"/>
        <v>#REF!</v>
      </c>
      <c r="AV881" s="7" t="e">
        <f ca="1"/>
        <v>#REF!</v>
      </c>
    </row>
    <row r="882" spans="37:48" x14ac:dyDescent="0.25">
      <c r="AK882" t="str">
        <f ca="1"/>
        <v>Obs. 1549</v>
      </c>
      <c r="AL882" s="7">
        <f ca="1"/>
        <v>78.8</v>
      </c>
      <c r="AN882" s="7" t="e">
        <f ca="1"/>
        <v>#REF!</v>
      </c>
      <c r="AO882" s="7" t="e">
        <f ca="1"/>
        <v>#REF!</v>
      </c>
      <c r="AP882" s="7">
        <f ca="1"/>
        <v>9.7649720958724567E-2</v>
      </c>
      <c r="AQ882" s="7" t="e">
        <f ca="1"/>
        <v>#REF!</v>
      </c>
      <c r="AR882" s="7" t="e">
        <f ca="1"/>
        <v>#REF!</v>
      </c>
      <c r="AS882" s="7">
        <f ca="1"/>
        <v>7.9127168877726875E-2</v>
      </c>
      <c r="AT882" s="7" t="e">
        <f ca="1"/>
        <v>#REF!</v>
      </c>
      <c r="AU882" s="7" t="e">
        <f ca="1"/>
        <v>#REF!</v>
      </c>
      <c r="AV882" s="7" t="e">
        <f ca="1"/>
        <v>#REF!</v>
      </c>
    </row>
    <row r="883" spans="37:48" x14ac:dyDescent="0.25">
      <c r="AK883" t="str">
        <f ca="1"/>
        <v>Obs. 1550</v>
      </c>
      <c r="AL883" s="7">
        <f ca="1"/>
        <v>78.7</v>
      </c>
      <c r="AN883" s="7" t="e">
        <f ca="1"/>
        <v>#REF!</v>
      </c>
      <c r="AO883" s="7" t="e">
        <f ca="1"/>
        <v>#REF!</v>
      </c>
      <c r="AP883" s="7">
        <f ca="1"/>
        <v>7.9411610042301878E-2</v>
      </c>
      <c r="AQ883" s="7" t="e">
        <f ca="1"/>
        <v>#REF!</v>
      </c>
      <c r="AR883" s="7" t="e">
        <f ca="1"/>
        <v>#REF!</v>
      </c>
      <c r="AS883" s="7">
        <f ca="1"/>
        <v>7.9127168877726875E-2</v>
      </c>
      <c r="AT883" s="7" t="e">
        <f ca="1"/>
        <v>#REF!</v>
      </c>
      <c r="AU883" s="7" t="e">
        <f ca="1"/>
        <v>#REF!</v>
      </c>
      <c r="AV883" s="7" t="e">
        <f ca="1"/>
        <v>#REF!</v>
      </c>
    </row>
    <row r="884" spans="37:48" x14ac:dyDescent="0.25">
      <c r="AK884" t="str">
        <f ca="1"/>
        <v>Obs. 1551</v>
      </c>
      <c r="AL884" s="7">
        <f ca="1"/>
        <v>78.599999999999994</v>
      </c>
      <c r="AN884" s="7" t="e">
        <f ca="1"/>
        <v>#REF!</v>
      </c>
      <c r="AO884" s="7" t="e">
        <f ca="1"/>
        <v>#REF!</v>
      </c>
      <c r="AP884" s="7">
        <f ca="1"/>
        <v>7.2609008804680464E-2</v>
      </c>
      <c r="AQ884" s="7" t="e">
        <f ca="1"/>
        <v>#REF!</v>
      </c>
      <c r="AR884" s="7" t="e">
        <f ca="1"/>
        <v>#REF!</v>
      </c>
      <c r="AS884" s="7">
        <f ca="1"/>
        <v>7.9127168877726875E-2</v>
      </c>
      <c r="AT884" s="7" t="e">
        <f ca="1"/>
        <v>#REF!</v>
      </c>
      <c r="AU884" s="7" t="e">
        <f ca="1"/>
        <v>#REF!</v>
      </c>
      <c r="AV884" s="7" t="e">
        <f ca="1"/>
        <v>#REF!</v>
      </c>
    </row>
    <row r="885" spans="37:48" x14ac:dyDescent="0.25">
      <c r="AK885" t="str">
        <f ca="1"/>
        <v>Obs. 1552</v>
      </c>
      <c r="AL885" s="7">
        <f ca="1"/>
        <v>78.3</v>
      </c>
      <c r="AN885" s="7" t="e">
        <f ca="1"/>
        <v>#REF!</v>
      </c>
      <c r="AO885" s="7" t="e">
        <f ca="1"/>
        <v>#REF!</v>
      </c>
      <c r="AP885" s="7">
        <f ca="1"/>
        <v>0.1013396489552142</v>
      </c>
      <c r="AQ885" s="7" t="e">
        <f ca="1"/>
        <v>#REF!</v>
      </c>
      <c r="AR885" s="7" t="e">
        <f ca="1"/>
        <v>#REF!</v>
      </c>
      <c r="AS885" s="7">
        <f ca="1"/>
        <v>7.9127168877726875E-2</v>
      </c>
      <c r="AT885" s="7" t="e">
        <f ca="1"/>
        <v>#REF!</v>
      </c>
      <c r="AU885" s="7" t="e">
        <f ca="1"/>
        <v>#REF!</v>
      </c>
      <c r="AV885" s="7" t="e">
        <f ca="1"/>
        <v>#REF!</v>
      </c>
    </row>
    <row r="886" spans="37:48" x14ac:dyDescent="0.25">
      <c r="AK886" t="str">
        <f ca="1"/>
        <v>Obs. 1553</v>
      </c>
      <c r="AL886" s="7">
        <f ca="1"/>
        <v>78</v>
      </c>
      <c r="AN886" s="7" t="e">
        <f ca="1"/>
        <v>#REF!</v>
      </c>
      <c r="AO886" s="7" t="e">
        <f ca="1"/>
        <v>#REF!</v>
      </c>
      <c r="AP886" s="7">
        <f ca="1"/>
        <v>7.3295650973554352E-2</v>
      </c>
      <c r="AQ886" s="7" t="e">
        <f ca="1"/>
        <v>#REF!</v>
      </c>
      <c r="AR886" s="7" t="e">
        <f ca="1"/>
        <v>#REF!</v>
      </c>
      <c r="AS886" s="7">
        <f ca="1"/>
        <v>7.9127168877726875E-2</v>
      </c>
      <c r="AT886" s="7" t="e">
        <f ca="1"/>
        <v>#REF!</v>
      </c>
      <c r="AU886" s="7" t="e">
        <f ca="1"/>
        <v>#REF!</v>
      </c>
      <c r="AV886" s="7" t="e">
        <f ca="1"/>
        <v>#REF!</v>
      </c>
    </row>
    <row r="887" spans="37:48" x14ac:dyDescent="0.25">
      <c r="AK887" t="str">
        <f ca="1"/>
        <v>Obs. 1554</v>
      </c>
      <c r="AL887" s="7">
        <f ca="1"/>
        <v>77.8</v>
      </c>
      <c r="AN887" s="7" t="e">
        <f ca="1"/>
        <v>#REF!</v>
      </c>
      <c r="AO887" s="7" t="e">
        <f ca="1"/>
        <v>#REF!</v>
      </c>
      <c r="AP887" s="7">
        <f ca="1"/>
        <v>7.5863668020159009E-2</v>
      </c>
      <c r="AQ887" s="7" t="e">
        <f ca="1"/>
        <v>#REF!</v>
      </c>
      <c r="AR887" s="7" t="e">
        <f ca="1"/>
        <v>#REF!</v>
      </c>
      <c r="AS887" s="7">
        <f ca="1"/>
        <v>7.9127168877726875E-2</v>
      </c>
      <c r="AT887" s="7" t="e">
        <f ca="1"/>
        <v>#REF!</v>
      </c>
      <c r="AU887" s="7" t="e">
        <f ca="1"/>
        <v>#REF!</v>
      </c>
      <c r="AV887" s="7" t="e">
        <f ca="1"/>
        <v>#REF!</v>
      </c>
    </row>
    <row r="888" spans="37:48" x14ac:dyDescent="0.25">
      <c r="AK888" t="str">
        <f ca="1"/>
        <v>Obs. 1556</v>
      </c>
      <c r="AL888" s="7">
        <f ca="1"/>
        <v>65.099999999999994</v>
      </c>
      <c r="AN888" s="7" t="e">
        <f ca="1"/>
        <v>#REF!</v>
      </c>
      <c r="AO888" s="7" t="e">
        <f ca="1"/>
        <v>#REF!</v>
      </c>
      <c r="AP888" s="7">
        <f ca="1"/>
        <v>8.0881932042431146E-2</v>
      </c>
      <c r="AQ888" s="7" t="e">
        <f ca="1"/>
        <v>#REF!</v>
      </c>
      <c r="AR888" s="7" t="e">
        <f ca="1"/>
        <v>#REF!</v>
      </c>
      <c r="AS888" s="7">
        <f ca="1"/>
        <v>7.9127168877726875E-2</v>
      </c>
      <c r="AT888" s="7" t="e">
        <f ca="1"/>
        <v>#REF!</v>
      </c>
      <c r="AU888" s="7" t="e">
        <f ca="1"/>
        <v>#REF!</v>
      </c>
      <c r="AV888" s="7" t="e">
        <f ca="1"/>
        <v>#REF!</v>
      </c>
    </row>
    <row r="889" spans="37:48" x14ac:dyDescent="0.25">
      <c r="AK889" t="str">
        <f ca="1"/>
        <v>Obs. 1557</v>
      </c>
      <c r="AL889" s="7">
        <f ca="1"/>
        <v>64.7</v>
      </c>
      <c r="AN889" s="7" t="e">
        <f ca="1"/>
        <v>#REF!</v>
      </c>
      <c r="AO889" s="7" t="e">
        <f ca="1"/>
        <v>#REF!</v>
      </c>
      <c r="AP889" s="7">
        <f ca="1"/>
        <v>8.3118598511400979E-2</v>
      </c>
      <c r="AQ889" s="7" t="e">
        <f ca="1"/>
        <v>#REF!</v>
      </c>
      <c r="AR889" s="7" t="e">
        <f ca="1"/>
        <v>#REF!</v>
      </c>
      <c r="AS889" s="7">
        <f ca="1"/>
        <v>7.9127168877726875E-2</v>
      </c>
      <c r="AT889" s="7" t="e">
        <f ca="1"/>
        <v>#REF!</v>
      </c>
      <c r="AU889" s="7" t="e">
        <f ca="1"/>
        <v>#REF!</v>
      </c>
      <c r="AV889" s="7" t="e">
        <f ca="1"/>
        <v>#REF!</v>
      </c>
    </row>
    <row r="890" spans="37:48" x14ac:dyDescent="0.25">
      <c r="AK890" t="str">
        <f ca="1"/>
        <v>Obs. 1558</v>
      </c>
      <c r="AL890" s="7">
        <f ca="1"/>
        <v>64.3</v>
      </c>
      <c r="AN890" s="7" t="e">
        <f ca="1"/>
        <v>#REF!</v>
      </c>
      <c r="AO890" s="7" t="e">
        <f ca="1"/>
        <v>#REF!</v>
      </c>
      <c r="AP890" s="7">
        <f ca="1"/>
        <v>9.0817032950611443E-2</v>
      </c>
      <c r="AQ890" s="7" t="e">
        <f ca="1"/>
        <v>#REF!</v>
      </c>
      <c r="AR890" s="7" t="e">
        <f ca="1"/>
        <v>#REF!</v>
      </c>
      <c r="AS890" s="7">
        <f ca="1"/>
        <v>7.9127168877726875E-2</v>
      </c>
      <c r="AT890" s="7" t="e">
        <f ca="1"/>
        <v>#REF!</v>
      </c>
      <c r="AU890" s="7" t="e">
        <f ca="1"/>
        <v>#REF!</v>
      </c>
      <c r="AV890" s="7" t="e">
        <f ca="1"/>
        <v>#REF!</v>
      </c>
    </row>
    <row r="891" spans="37:48" x14ac:dyDescent="0.25">
      <c r="AK891" t="str">
        <f ca="1"/>
        <v>Obs. 1559</v>
      </c>
      <c r="AL891" s="7">
        <f ca="1"/>
        <v>63.8</v>
      </c>
      <c r="AN891" s="7" t="e">
        <f ca="1"/>
        <v>#REF!</v>
      </c>
      <c r="AO891" s="7" t="e">
        <f ca="1"/>
        <v>#REF!</v>
      </c>
      <c r="AP891" s="7">
        <f ca="1"/>
        <v>7.7977058212920378E-2</v>
      </c>
      <c r="AQ891" s="7" t="e">
        <f ca="1"/>
        <v>#REF!</v>
      </c>
      <c r="AR891" s="7" t="e">
        <f ca="1"/>
        <v>#REF!</v>
      </c>
      <c r="AS891" s="7">
        <f ca="1"/>
        <v>7.9127168877726875E-2</v>
      </c>
      <c r="AT891" s="7" t="e">
        <f ca="1"/>
        <v>#REF!</v>
      </c>
      <c r="AU891" s="7" t="e">
        <f ca="1"/>
        <v>#REF!</v>
      </c>
      <c r="AV891" s="7" t="e">
        <f ca="1"/>
        <v>#REF!</v>
      </c>
    </row>
    <row r="892" spans="37:48" x14ac:dyDescent="0.25">
      <c r="AK892" t="str">
        <f ca="1"/>
        <v>Obs. 1560</v>
      </c>
      <c r="AL892" s="7">
        <f ca="1"/>
        <v>63.3</v>
      </c>
      <c r="AN892" s="7" t="e">
        <f ca="1"/>
        <v>#REF!</v>
      </c>
      <c r="AO892" s="7" t="e">
        <f ca="1"/>
        <v>#REF!</v>
      </c>
      <c r="AP892" s="7">
        <f ca="1"/>
        <v>8.9222478889895346E-2</v>
      </c>
      <c r="AQ892" s="7" t="e">
        <f ca="1"/>
        <v>#REF!</v>
      </c>
      <c r="AR892" s="7" t="e">
        <f ca="1"/>
        <v>#REF!</v>
      </c>
      <c r="AS892" s="7">
        <f ca="1"/>
        <v>9.896716322379942E-2</v>
      </c>
      <c r="AT892" s="7" t="e">
        <f ca="1"/>
        <v>#REF!</v>
      </c>
      <c r="AU892" s="7" t="e">
        <f ca="1"/>
        <v>#REF!</v>
      </c>
      <c r="AV892" s="7" t="e">
        <f ca="1"/>
        <v>#REF!</v>
      </c>
    </row>
    <row r="893" spans="37:48" x14ac:dyDescent="0.25">
      <c r="AK893" t="str">
        <f ca="1"/>
        <v>Obs. 1561</v>
      </c>
      <c r="AL893" s="7">
        <f ca="1"/>
        <v>62.8</v>
      </c>
      <c r="AN893" s="7" t="e">
        <f ca="1"/>
        <v>#REF!</v>
      </c>
      <c r="AO893" s="7" t="e">
        <f ca="1"/>
        <v>#REF!</v>
      </c>
      <c r="AP893" s="7">
        <f ca="1"/>
        <v>7.7524813992488006E-2</v>
      </c>
      <c r="AQ893" s="7" t="e">
        <f ca="1"/>
        <v>#REF!</v>
      </c>
      <c r="AR893" s="7" t="e">
        <f ca="1"/>
        <v>#REF!</v>
      </c>
      <c r="AS893" s="7">
        <f ca="1"/>
        <v>9.896716322379942E-2</v>
      </c>
      <c r="AT893" s="7" t="e">
        <f ca="1"/>
        <v>#REF!</v>
      </c>
      <c r="AU893" s="7" t="e">
        <f ca="1"/>
        <v>#REF!</v>
      </c>
      <c r="AV893" s="7" t="e">
        <f ca="1"/>
        <v>#REF!</v>
      </c>
    </row>
    <row r="894" spans="37:48" x14ac:dyDescent="0.25">
      <c r="AK894" t="str">
        <f ca="1"/>
        <v>Obs. 1562</v>
      </c>
      <c r="AL894" s="7">
        <f ca="1"/>
        <v>62.3</v>
      </c>
      <c r="AN894" s="7" t="e">
        <f ca="1"/>
        <v>#REF!</v>
      </c>
      <c r="AO894" s="7" t="e">
        <f ca="1"/>
        <v>#REF!</v>
      </c>
      <c r="AP894" s="7">
        <f ca="1"/>
        <v>7.7556955173443923E-2</v>
      </c>
      <c r="AQ894" s="7" t="e">
        <f ca="1"/>
        <v>#REF!</v>
      </c>
      <c r="AR894" s="7" t="e">
        <f ca="1"/>
        <v>#REF!</v>
      </c>
      <c r="AS894" s="7">
        <f ca="1"/>
        <v>9.896716322379942E-2</v>
      </c>
      <c r="AT894" s="7" t="e">
        <f ca="1"/>
        <v>#REF!</v>
      </c>
      <c r="AU894" s="7" t="e">
        <f ca="1"/>
        <v>#REF!</v>
      </c>
      <c r="AV894" s="7" t="e">
        <f ca="1"/>
        <v>#REF!</v>
      </c>
    </row>
    <row r="895" spans="37:48" x14ac:dyDescent="0.25">
      <c r="AK895" t="str">
        <f ca="1"/>
        <v>Obs. 1563</v>
      </c>
      <c r="AL895" s="7">
        <f ca="1"/>
        <v>61.9</v>
      </c>
      <c r="AN895" s="7" t="e">
        <f ca="1"/>
        <v>#REF!</v>
      </c>
      <c r="AO895" s="7" t="e">
        <f ca="1"/>
        <v>#REF!</v>
      </c>
      <c r="AP895" s="7">
        <f ca="1"/>
        <v>7.8547909825824491E-2</v>
      </c>
      <c r="AQ895" s="7" t="e">
        <f ca="1"/>
        <v>#REF!</v>
      </c>
      <c r="AR895" s="7" t="e">
        <f ca="1"/>
        <v>#REF!</v>
      </c>
      <c r="AS895" s="7">
        <f ca="1"/>
        <v>9.896716322379942E-2</v>
      </c>
      <c r="AT895" s="7" t="e">
        <f ca="1"/>
        <v>#REF!</v>
      </c>
      <c r="AU895" s="7" t="e">
        <f ca="1"/>
        <v>#REF!</v>
      </c>
      <c r="AV895" s="7" t="e">
        <f ca="1"/>
        <v>#REF!</v>
      </c>
    </row>
    <row r="896" spans="37:48" x14ac:dyDescent="0.25">
      <c r="AK896" t="str">
        <f ca="1"/>
        <v>Obs. 1564</v>
      </c>
      <c r="AL896" s="7">
        <f ca="1"/>
        <v>61.4</v>
      </c>
      <c r="AN896" s="7" t="e">
        <f ca="1"/>
        <v>#REF!</v>
      </c>
      <c r="AO896" s="7" t="e">
        <f ca="1"/>
        <v>#REF!</v>
      </c>
      <c r="AP896" s="7">
        <f ca="1"/>
        <v>7.8791009672284112E-2</v>
      </c>
      <c r="AQ896" s="7" t="e">
        <f ca="1"/>
        <v>#REF!</v>
      </c>
      <c r="AR896" s="7" t="e">
        <f ca="1"/>
        <v>#REF!</v>
      </c>
      <c r="AS896" s="7">
        <f ca="1"/>
        <v>9.896716322379942E-2</v>
      </c>
      <c r="AT896" s="7" t="e">
        <f ca="1"/>
        <v>#REF!</v>
      </c>
      <c r="AU896" s="7" t="e">
        <f ca="1"/>
        <v>#REF!</v>
      </c>
      <c r="AV896" s="7" t="e">
        <f ca="1"/>
        <v>#REF!</v>
      </c>
    </row>
    <row r="897" spans="37:48" x14ac:dyDescent="0.25">
      <c r="AK897" t="str">
        <f ca="1"/>
        <v>Obs. 1565</v>
      </c>
      <c r="AL897" s="7">
        <f ca="1"/>
        <v>69</v>
      </c>
      <c r="AN897" s="7" t="e">
        <f ca="1"/>
        <v>#REF!</v>
      </c>
      <c r="AO897" s="7" t="e">
        <f ca="1"/>
        <v>#REF!</v>
      </c>
      <c r="AP897" s="7">
        <f ca="1"/>
        <v>8.9284976562615276E-2</v>
      </c>
      <c r="AQ897" s="7" t="e">
        <f ca="1"/>
        <v>#REF!</v>
      </c>
      <c r="AR897" s="7" t="e">
        <f ca="1"/>
        <v>#REF!</v>
      </c>
      <c r="AS897" s="7">
        <f ca="1"/>
        <v>9.896716322379942E-2</v>
      </c>
      <c r="AT897" s="7" t="e">
        <f ca="1"/>
        <v>#REF!</v>
      </c>
      <c r="AU897" s="7" t="e">
        <f ca="1"/>
        <v>#REF!</v>
      </c>
      <c r="AV897" s="7" t="e">
        <f ca="1"/>
        <v>#REF!</v>
      </c>
    </row>
    <row r="898" spans="37:48" x14ac:dyDescent="0.25">
      <c r="AK898" t="str">
        <f ca="1"/>
        <v>Obs. 1566</v>
      </c>
      <c r="AL898" s="7">
        <f ca="1"/>
        <v>64</v>
      </c>
      <c r="AN898" s="7" t="e">
        <f ca="1"/>
        <v>#REF!</v>
      </c>
      <c r="AO898" s="7" t="e">
        <f ca="1"/>
        <v>#REF!</v>
      </c>
      <c r="AP898" s="7">
        <f ca="1"/>
        <v>8.8786765738872037E-2</v>
      </c>
      <c r="AQ898" s="7" t="e">
        <f ca="1"/>
        <v>#REF!</v>
      </c>
      <c r="AR898" s="7" t="e">
        <f ca="1"/>
        <v>#REF!</v>
      </c>
      <c r="AS898" s="7">
        <f ca="1"/>
        <v>9.896716322379942E-2</v>
      </c>
      <c r="AT898" s="7" t="e">
        <f ca="1"/>
        <v>#REF!</v>
      </c>
      <c r="AU898" s="7" t="e">
        <f ca="1"/>
        <v>#REF!</v>
      </c>
      <c r="AV898" s="7" t="e">
        <f ca="1"/>
        <v>#REF!</v>
      </c>
    </row>
    <row r="899" spans="37:48" x14ac:dyDescent="0.25">
      <c r="AK899" t="str">
        <f ca="1"/>
        <v>Obs. 1567</v>
      </c>
      <c r="AL899" s="7">
        <f ca="1"/>
        <v>59.9</v>
      </c>
      <c r="AN899" s="7" t="e">
        <f ca="1"/>
        <v>#REF!</v>
      </c>
      <c r="AO899" s="7" t="e">
        <f ca="1"/>
        <v>#REF!</v>
      </c>
      <c r="AP899" s="7">
        <f ca="1"/>
        <v>0.12005890948584944</v>
      </c>
      <c r="AQ899" s="7" t="e">
        <f ca="1"/>
        <v>#REF!</v>
      </c>
      <c r="AR899" s="7" t="e">
        <f ca="1"/>
        <v>#REF!</v>
      </c>
      <c r="AS899" s="7">
        <f ca="1"/>
        <v>9.896716322379942E-2</v>
      </c>
      <c r="AT899" s="7" t="e">
        <f ca="1"/>
        <v>#REF!</v>
      </c>
      <c r="AU899" s="7" t="e">
        <f ca="1"/>
        <v>#REF!</v>
      </c>
      <c r="AV899" s="7" t="e">
        <f ca="1"/>
        <v>#REF!</v>
      </c>
    </row>
    <row r="900" spans="37:48" x14ac:dyDescent="0.25">
      <c r="AK900" t="str">
        <f ca="1"/>
        <v>Obs. 1568</v>
      </c>
      <c r="AL900" s="7">
        <f ca="1"/>
        <v>59.3</v>
      </c>
      <c r="AN900" s="7" t="e">
        <f ca="1"/>
        <v>#REF!</v>
      </c>
      <c r="AO900" s="7" t="e">
        <f ca="1"/>
        <v>#REF!</v>
      </c>
      <c r="AP900" s="7">
        <f ca="1"/>
        <v>7.8765869975937278E-2</v>
      </c>
      <c r="AQ900" s="7" t="e">
        <f ca="1"/>
        <v>#REF!</v>
      </c>
      <c r="AR900" s="7" t="e">
        <f ca="1"/>
        <v>#REF!</v>
      </c>
      <c r="AS900" s="7">
        <f ca="1"/>
        <v>9.896716322379942E-2</v>
      </c>
      <c r="AT900" s="7" t="e">
        <f ca="1"/>
        <v>#REF!</v>
      </c>
      <c r="AU900" s="7" t="e">
        <f ca="1"/>
        <v>#REF!</v>
      </c>
      <c r="AV900" s="7" t="e">
        <f ca="1"/>
        <v>#REF!</v>
      </c>
    </row>
    <row r="901" spans="37:48" x14ac:dyDescent="0.25">
      <c r="AK901" t="str">
        <f ca="1"/>
        <v>Obs. 1572</v>
      </c>
      <c r="AL901" s="7">
        <f ca="1"/>
        <v>57.6</v>
      </c>
      <c r="AN901" s="7" t="e">
        <f ca="1"/>
        <v>#REF!</v>
      </c>
      <c r="AO901" s="7" t="e">
        <f ca="1"/>
        <v>#REF!</v>
      </c>
      <c r="AP901" s="7">
        <f ca="1"/>
        <v>8.9286320323235815E-2</v>
      </c>
      <c r="AQ901" s="7" t="e">
        <f ca="1"/>
        <v>#REF!</v>
      </c>
      <c r="AR901" s="7" t="e">
        <f ca="1"/>
        <v>#REF!</v>
      </c>
      <c r="AS901" s="7">
        <f ca="1"/>
        <v>9.896716322379942E-2</v>
      </c>
      <c r="AT901" s="7" t="e">
        <f ca="1"/>
        <v>#REF!</v>
      </c>
      <c r="AU901" s="7" t="e">
        <f ca="1"/>
        <v>#REF!</v>
      </c>
      <c r="AV901" s="7" t="e">
        <f ca="1"/>
        <v>#REF!</v>
      </c>
    </row>
    <row r="902" spans="37:48" x14ac:dyDescent="0.25">
      <c r="AK902" t="str">
        <f ca="1"/>
        <v>Obs. 1573</v>
      </c>
      <c r="AL902" s="7">
        <f ca="1"/>
        <v>56.7</v>
      </c>
      <c r="AN902" s="7" t="e">
        <f ca="1"/>
        <v>#REF!</v>
      </c>
      <c r="AO902" s="7" t="e">
        <f ca="1"/>
        <v>#REF!</v>
      </c>
      <c r="AP902" s="7">
        <f ca="1"/>
        <v>9.0178288062520984E-2</v>
      </c>
      <c r="AQ902" s="7" t="e">
        <f ca="1"/>
        <v>#REF!</v>
      </c>
      <c r="AR902" s="7" t="e">
        <f ca="1"/>
        <v>#REF!</v>
      </c>
      <c r="AS902" s="7">
        <f ca="1"/>
        <v>9.896716322379942E-2</v>
      </c>
      <c r="AT902" s="7" t="e">
        <f ca="1"/>
        <v>#REF!</v>
      </c>
      <c r="AU902" s="7" t="e">
        <f ca="1"/>
        <v>#REF!</v>
      </c>
      <c r="AV902" s="7" t="e">
        <f ca="1"/>
        <v>#REF!</v>
      </c>
    </row>
    <row r="903" spans="37:48" x14ac:dyDescent="0.25">
      <c r="AK903" t="str">
        <f ca="1"/>
        <v>Obs. 1574</v>
      </c>
      <c r="AL903" s="7">
        <f ca="1"/>
        <v>55.3</v>
      </c>
      <c r="AN903" s="7" t="e">
        <f ca="1"/>
        <v>#REF!</v>
      </c>
      <c r="AO903" s="7" t="e">
        <f ca="1"/>
        <v>#REF!</v>
      </c>
      <c r="AP903" s="7">
        <f ca="1"/>
        <v>9.7950286344933815E-2</v>
      </c>
      <c r="AQ903" s="7" t="e">
        <f ca="1"/>
        <v>#REF!</v>
      </c>
      <c r="AR903" s="7" t="e">
        <f ca="1"/>
        <v>#REF!</v>
      </c>
      <c r="AS903" s="7">
        <f ca="1"/>
        <v>0.11578501997911882</v>
      </c>
      <c r="AT903" s="7" t="e">
        <f ca="1"/>
        <v>#REF!</v>
      </c>
      <c r="AU903" s="7" t="e">
        <f ca="1"/>
        <v>#REF!</v>
      </c>
      <c r="AV903" s="7" t="e">
        <f ca="1"/>
        <v>#REF!</v>
      </c>
    </row>
    <row r="904" spans="37:48" x14ac:dyDescent="0.25">
      <c r="AK904" t="str">
        <f ca="1"/>
        <v>Obs. 1575</v>
      </c>
      <c r="AL904" s="7">
        <f ca="1"/>
        <v>54.1</v>
      </c>
      <c r="AN904" s="7" t="e">
        <f ca="1"/>
        <v>#REF!</v>
      </c>
      <c r="AO904" s="7" t="e">
        <f ca="1"/>
        <v>#REF!</v>
      </c>
      <c r="AP904" s="7">
        <f ca="1"/>
        <v>8.2698804193478165E-2</v>
      </c>
      <c r="AQ904" s="7" t="e">
        <f ca="1"/>
        <v>#REF!</v>
      </c>
      <c r="AR904" s="7" t="e">
        <f ca="1"/>
        <v>#REF!</v>
      </c>
      <c r="AS904" s="7">
        <f ca="1"/>
        <v>0.11578501997911882</v>
      </c>
      <c r="AT904" s="7" t="e">
        <f ca="1"/>
        <v>#REF!</v>
      </c>
      <c r="AU904" s="7" t="e">
        <f ca="1"/>
        <v>#REF!</v>
      </c>
      <c r="AV904" s="7" t="e">
        <f ca="1"/>
        <v>#REF!</v>
      </c>
    </row>
    <row r="905" spans="37:48" x14ac:dyDescent="0.25">
      <c r="AK905" t="str">
        <f ca="1"/>
        <v>Obs. 1576</v>
      </c>
      <c r="AL905" s="7">
        <f ca="1"/>
        <v>52.9</v>
      </c>
      <c r="AN905" s="7" t="e">
        <f ca="1"/>
        <v>#REF!</v>
      </c>
      <c r="AO905" s="7" t="e">
        <f ca="1"/>
        <v>#REF!</v>
      </c>
      <c r="AP905" s="7">
        <f ca="1"/>
        <v>0.26032574851550561</v>
      </c>
      <c r="AQ905" s="7" t="e">
        <f ca="1"/>
        <v>#REF!</v>
      </c>
      <c r="AR905" s="7" t="e">
        <f ca="1"/>
        <v>#REF!</v>
      </c>
      <c r="AS905" s="7">
        <f ca="1"/>
        <v>0.11578501997911882</v>
      </c>
      <c r="AT905" s="7" t="e">
        <f ca="1"/>
        <v>#REF!</v>
      </c>
      <c r="AU905" s="7" t="e">
        <f ca="1"/>
        <v>#REF!</v>
      </c>
      <c r="AV905" s="7" t="e">
        <f ca="1"/>
        <v>#REF!</v>
      </c>
    </row>
    <row r="906" spans="37:48" x14ac:dyDescent="0.25">
      <c r="AK906" t="str">
        <f ca="1"/>
        <v>Obs. 1577</v>
      </c>
      <c r="AL906" s="7">
        <f ca="1"/>
        <v>51.5</v>
      </c>
      <c r="AN906" s="7" t="e">
        <f ca="1"/>
        <v>#REF!</v>
      </c>
      <c r="AO906" s="7" t="e">
        <f ca="1"/>
        <v>#REF!</v>
      </c>
      <c r="AP906" s="7">
        <f ca="1"/>
        <v>8.4191896705779937E-2</v>
      </c>
      <c r="AQ906" s="7" t="e">
        <f ca="1"/>
        <v>#REF!</v>
      </c>
      <c r="AR906" s="7" t="e">
        <f ca="1"/>
        <v>#REF!</v>
      </c>
      <c r="AS906" s="7">
        <f ca="1"/>
        <v>0.11578501997911882</v>
      </c>
      <c r="AT906" s="7" t="e">
        <f ca="1"/>
        <v>#REF!</v>
      </c>
      <c r="AU906" s="7" t="e">
        <f ca="1"/>
        <v>#REF!</v>
      </c>
      <c r="AV906" s="7" t="e">
        <f ca="1"/>
        <v>#REF!</v>
      </c>
    </row>
    <row r="907" spans="37:48" x14ac:dyDescent="0.25">
      <c r="AK907" t="str">
        <f ca="1"/>
        <v>Obs. 1578</v>
      </c>
      <c r="AL907" s="7">
        <f ca="1"/>
        <v>50</v>
      </c>
      <c r="AN907" s="7" t="e">
        <f ca="1"/>
        <v>#REF!</v>
      </c>
      <c r="AO907" s="7" t="e">
        <f ca="1"/>
        <v>#REF!</v>
      </c>
      <c r="AP907" s="7">
        <f ca="1"/>
        <v>8.3293729384199849E-2</v>
      </c>
      <c r="AQ907" s="7" t="e">
        <f ca="1"/>
        <v>#REF!</v>
      </c>
      <c r="AR907" s="7" t="e">
        <f ca="1"/>
        <v>#REF!</v>
      </c>
      <c r="AS907" s="7">
        <f ca="1"/>
        <v>0.11578501997911882</v>
      </c>
      <c r="AT907" s="7" t="e">
        <f ca="1"/>
        <v>#REF!</v>
      </c>
      <c r="AU907" s="7" t="e">
        <f ca="1"/>
        <v>#REF!</v>
      </c>
      <c r="AV907" s="7" t="e">
        <f ca="1"/>
        <v>#REF!</v>
      </c>
    </row>
    <row r="908" spans="37:48" x14ac:dyDescent="0.25">
      <c r="AK908" t="str">
        <f ca="1"/>
        <v>Obs. 1579</v>
      </c>
      <c r="AL908" s="7">
        <f ca="1"/>
        <v>48.5</v>
      </c>
      <c r="AN908" s="7" t="e">
        <f ca="1"/>
        <v>#REF!</v>
      </c>
      <c r="AO908" s="7" t="e">
        <f ca="1"/>
        <v>#REF!</v>
      </c>
      <c r="AP908" s="7">
        <f ca="1"/>
        <v>7.9382084224898175E-2</v>
      </c>
      <c r="AQ908" s="7" t="e">
        <f ca="1"/>
        <v>#REF!</v>
      </c>
      <c r="AR908" s="7" t="e">
        <f ca="1"/>
        <v>#REF!</v>
      </c>
      <c r="AS908" s="7">
        <f ca="1"/>
        <v>0.11578501997911882</v>
      </c>
      <c r="AT908" s="7" t="e">
        <f ca="1"/>
        <v>#REF!</v>
      </c>
      <c r="AU908" s="7" t="e">
        <f ca="1"/>
        <v>#REF!</v>
      </c>
      <c r="AV908" s="7" t="e">
        <f ca="1"/>
        <v>#REF!</v>
      </c>
    </row>
    <row r="909" spans="37:48" x14ac:dyDescent="0.25">
      <c r="AK909" t="str">
        <f ca="1"/>
        <v>Obs. 1580</v>
      </c>
      <c r="AL909" s="7">
        <f ca="1"/>
        <v>47.1</v>
      </c>
      <c r="AN909" s="7" t="e">
        <f ca="1"/>
        <v>#REF!</v>
      </c>
      <c r="AO909" s="7" t="e">
        <f ca="1"/>
        <v>#REF!</v>
      </c>
      <c r="AP909" s="7">
        <f ca="1"/>
        <v>8.110471281843587E-2</v>
      </c>
      <c r="AQ909" s="7" t="e">
        <f ca="1"/>
        <v>#REF!</v>
      </c>
      <c r="AR909" s="7" t="e">
        <f ca="1"/>
        <v>#REF!</v>
      </c>
      <c r="AS909" s="7">
        <f ca="1"/>
        <v>0.11578501997911882</v>
      </c>
      <c r="AT909" s="7" t="e">
        <f ca="1"/>
        <v>#REF!</v>
      </c>
      <c r="AU909" s="7" t="e">
        <f ca="1"/>
        <v>#REF!</v>
      </c>
      <c r="AV909" s="7" t="e">
        <f ca="1"/>
        <v>#REF!</v>
      </c>
    </row>
    <row r="910" spans="37:48" x14ac:dyDescent="0.25">
      <c r="AK910" t="str">
        <f ca="1"/>
        <v>Obs. 1581</v>
      </c>
      <c r="AL910" s="7">
        <f ca="1"/>
        <v>46</v>
      </c>
      <c r="AN910" s="7" t="e">
        <f ca="1"/>
        <v>#REF!</v>
      </c>
      <c r="AO910" s="7" t="e">
        <f ca="1"/>
        <v>#REF!</v>
      </c>
      <c r="AP910" s="7">
        <f ca="1"/>
        <v>9.3242699965715478E-2</v>
      </c>
      <c r="AQ910" s="7" t="e">
        <f ca="1"/>
        <v>#REF!</v>
      </c>
      <c r="AR910" s="7" t="e">
        <f ca="1"/>
        <v>#REF!</v>
      </c>
      <c r="AS910" s="7">
        <f ca="1"/>
        <v>0.11578501997911882</v>
      </c>
      <c r="AT910" s="7" t="e">
        <f ca="1"/>
        <v>#REF!</v>
      </c>
      <c r="AU910" s="7" t="e">
        <f ca="1"/>
        <v>#REF!</v>
      </c>
      <c r="AV910" s="7" t="e">
        <f ca="1"/>
        <v>#REF!</v>
      </c>
    </row>
    <row r="911" spans="37:48" x14ac:dyDescent="0.25">
      <c r="AK911" t="str">
        <f ca="1"/>
        <v>Obs. 1582</v>
      </c>
      <c r="AL911" s="7">
        <f ca="1"/>
        <v>45.1</v>
      </c>
      <c r="AN911" s="7" t="e">
        <f ca="1"/>
        <v>#REF!</v>
      </c>
      <c r="AO911" s="7" t="e">
        <f ca="1"/>
        <v>#REF!</v>
      </c>
      <c r="AP911" s="7">
        <f ca="1"/>
        <v>8.2083277574705196E-2</v>
      </c>
      <c r="AQ911" s="7" t="e">
        <f ca="1"/>
        <v>#REF!</v>
      </c>
      <c r="AR911" s="7" t="e">
        <f ca="1"/>
        <v>#REF!</v>
      </c>
      <c r="AS911" s="7">
        <f ca="1"/>
        <v>0.11578501997911882</v>
      </c>
      <c r="AT911" s="7" t="e">
        <f ca="1"/>
        <v>#REF!</v>
      </c>
      <c r="AU911" s="7" t="e">
        <f ca="1"/>
        <v>#REF!</v>
      </c>
      <c r="AV911" s="7" t="e">
        <f ca="1"/>
        <v>#REF!</v>
      </c>
    </row>
    <row r="912" spans="37:48" x14ac:dyDescent="0.25">
      <c r="AK912" t="str">
        <f ca="1"/>
        <v>Obs. 1583</v>
      </c>
      <c r="AL912" s="7">
        <f ca="1"/>
        <v>44.6</v>
      </c>
      <c r="AN912" s="7" t="e">
        <f ca="1"/>
        <v>#REF!</v>
      </c>
      <c r="AO912" s="7" t="e">
        <f ca="1"/>
        <v>#REF!</v>
      </c>
      <c r="AP912" s="7">
        <f ca="1"/>
        <v>8.3964766110700417E-2</v>
      </c>
      <c r="AQ912" s="7" t="e">
        <f ca="1"/>
        <v>#REF!</v>
      </c>
      <c r="AR912" s="7" t="e">
        <f ca="1"/>
        <v>#REF!</v>
      </c>
      <c r="AS912" s="7">
        <f ca="1"/>
        <v>0.12956927093944998</v>
      </c>
      <c r="AT912" s="7" t="e">
        <f ca="1"/>
        <v>#REF!</v>
      </c>
      <c r="AU912" s="7" t="e">
        <f ca="1"/>
        <v>#REF!</v>
      </c>
      <c r="AV912" s="7" t="e">
        <f ca="1"/>
        <v>#REF!</v>
      </c>
    </row>
    <row r="913" spans="37:48" x14ac:dyDescent="0.25">
      <c r="AK913" t="str">
        <f ca="1"/>
        <v>Obs. 1584</v>
      </c>
      <c r="AL913" s="7">
        <f ca="1"/>
        <v>44</v>
      </c>
      <c r="AN913" s="7" t="e">
        <f ca="1"/>
        <v>#REF!</v>
      </c>
      <c r="AO913" s="7" t="e">
        <f ca="1"/>
        <v>#REF!</v>
      </c>
      <c r="AP913" s="7">
        <f ca="1"/>
        <v>9.9910197182342342E-2</v>
      </c>
      <c r="AQ913" s="7" t="e">
        <f ca="1"/>
        <v>#REF!</v>
      </c>
      <c r="AR913" s="7" t="e">
        <f ca="1"/>
        <v>#REF!</v>
      </c>
      <c r="AS913" s="7">
        <f ca="1"/>
        <v>0.12956927093944998</v>
      </c>
      <c r="AT913" s="7" t="e">
        <f ca="1"/>
        <v>#REF!</v>
      </c>
      <c r="AU913" s="7" t="e">
        <f ca="1"/>
        <v>#REF!</v>
      </c>
      <c r="AV913" s="7" t="e">
        <f ca="1"/>
        <v>#REF!</v>
      </c>
    </row>
    <row r="914" spans="37:48" x14ac:dyDescent="0.25">
      <c r="AK914" t="str">
        <f ca="1"/>
        <v>Obs. 1588</v>
      </c>
      <c r="AL914" s="7">
        <f ca="1"/>
        <v>74.8</v>
      </c>
      <c r="AN914" s="7" t="e">
        <f ca="1"/>
        <v>#REF!</v>
      </c>
      <c r="AO914" s="7" t="e">
        <f ca="1"/>
        <v>#REF!</v>
      </c>
      <c r="AP914" s="7">
        <f ca="1"/>
        <v>6.9845916184712781E-2</v>
      </c>
      <c r="AQ914" s="7" t="e">
        <f ca="1"/>
        <v>#REF!</v>
      </c>
      <c r="AR914" s="7" t="e">
        <f ca="1"/>
        <v>#REF!</v>
      </c>
      <c r="AS914" s="7">
        <f ca="1"/>
        <v>0.12956927093944998</v>
      </c>
      <c r="AT914" s="7" t="e">
        <f ca="1"/>
        <v>#REF!</v>
      </c>
      <c r="AU914" s="7" t="e">
        <f ca="1"/>
        <v>#REF!</v>
      </c>
      <c r="AV914" s="7" t="e">
        <f ca="1"/>
        <v>#REF!</v>
      </c>
    </row>
    <row r="915" spans="37:48" x14ac:dyDescent="0.25">
      <c r="AK915" t="str">
        <f ca="1"/>
        <v>Obs. 1589</v>
      </c>
      <c r="AL915" s="7">
        <f ca="1"/>
        <v>74.599999999999994</v>
      </c>
      <c r="AN915" s="7" t="e">
        <f ca="1"/>
        <v>#REF!</v>
      </c>
      <c r="AO915" s="7" t="e">
        <f ca="1"/>
        <v>#REF!</v>
      </c>
      <c r="AP915" s="7">
        <f ca="1"/>
        <v>6.8780671475687671E-2</v>
      </c>
      <c r="AQ915" s="7" t="e">
        <f ca="1"/>
        <v>#REF!</v>
      </c>
      <c r="AR915" s="7" t="e">
        <f ca="1"/>
        <v>#REF!</v>
      </c>
      <c r="AS915" s="7">
        <f ca="1"/>
        <v>0.12956927093944998</v>
      </c>
      <c r="AT915" s="7" t="e">
        <f ca="1"/>
        <v>#REF!</v>
      </c>
      <c r="AU915" s="7" t="e">
        <f ca="1"/>
        <v>#REF!</v>
      </c>
      <c r="AV915" s="7" t="e">
        <f ca="1"/>
        <v>#REF!</v>
      </c>
    </row>
    <row r="916" spans="37:48" x14ac:dyDescent="0.25">
      <c r="AK916" t="str">
        <f ca="1"/>
        <v>Obs. 1590</v>
      </c>
      <c r="AL916" s="7">
        <f ca="1"/>
        <v>74.5</v>
      </c>
      <c r="AN916" s="7" t="e">
        <f ca="1"/>
        <v>#REF!</v>
      </c>
      <c r="AO916" s="7" t="e">
        <f ca="1"/>
        <v>#REF!</v>
      </c>
      <c r="AP916" s="7">
        <f ca="1"/>
        <v>6.7887706516522803E-2</v>
      </c>
      <c r="AQ916" s="7" t="e">
        <f ca="1"/>
        <v>#REF!</v>
      </c>
      <c r="AR916" s="7" t="e">
        <f ca="1"/>
        <v>#REF!</v>
      </c>
      <c r="AS916" s="7">
        <f ca="1"/>
        <v>0.12956927093944998</v>
      </c>
      <c r="AT916" s="7" t="e">
        <f ca="1"/>
        <v>#REF!</v>
      </c>
      <c r="AU916" s="7" t="e">
        <f ca="1"/>
        <v>#REF!</v>
      </c>
      <c r="AV916" s="7" t="e">
        <f ca="1"/>
        <v>#REF!</v>
      </c>
    </row>
    <row r="917" spans="37:48" x14ac:dyDescent="0.25">
      <c r="AK917" t="str">
        <f ca="1"/>
        <v>Obs. 1591</v>
      </c>
      <c r="AL917" s="7">
        <f ca="1"/>
        <v>74.3</v>
      </c>
      <c r="AN917" s="7" t="e">
        <f ca="1"/>
        <v>#REF!</v>
      </c>
      <c r="AO917" s="7" t="e">
        <f ca="1"/>
        <v>#REF!</v>
      </c>
      <c r="AP917" s="7">
        <f ca="1"/>
        <v>6.852051936989921E-2</v>
      </c>
      <c r="AQ917" s="7" t="e">
        <f ca="1"/>
        <v>#REF!</v>
      </c>
      <c r="AR917" s="7" t="e">
        <f ca="1"/>
        <v>#REF!</v>
      </c>
      <c r="AS917" s="7">
        <f ca="1"/>
        <v>0.12956927093944998</v>
      </c>
      <c r="AT917" s="7" t="e">
        <f ca="1"/>
        <v>#REF!</v>
      </c>
      <c r="AU917" s="7" t="e">
        <f ca="1"/>
        <v>#REF!</v>
      </c>
      <c r="AV917" s="7" t="e">
        <f ca="1"/>
        <v>#REF!</v>
      </c>
    </row>
    <row r="918" spans="37:48" x14ac:dyDescent="0.25">
      <c r="AK918" t="str">
        <f ca="1"/>
        <v>Obs. 1592</v>
      </c>
      <c r="AL918" s="7">
        <f ca="1"/>
        <v>74.099999999999994</v>
      </c>
      <c r="AN918" s="7" t="e">
        <f ca="1"/>
        <v>#REF!</v>
      </c>
      <c r="AO918" s="7" t="e">
        <f ca="1"/>
        <v>#REF!</v>
      </c>
      <c r="AP918" s="7">
        <f ca="1"/>
        <v>6.6661972801218661E-2</v>
      </c>
      <c r="AQ918" s="7" t="e">
        <f ca="1"/>
        <v>#REF!</v>
      </c>
      <c r="AR918" s="7" t="e">
        <f ca="1"/>
        <v>#REF!</v>
      </c>
      <c r="AS918" s="7">
        <f ca="1"/>
        <v>0.12956927093944998</v>
      </c>
      <c r="AT918" s="7" t="e">
        <f ca="1"/>
        <v>#REF!</v>
      </c>
      <c r="AU918" s="7" t="e">
        <f ca="1"/>
        <v>#REF!</v>
      </c>
      <c r="AV918" s="7" t="e">
        <f ca="1"/>
        <v>#REF!</v>
      </c>
    </row>
    <row r="919" spans="37:48" x14ac:dyDescent="0.25">
      <c r="AK919" t="str">
        <f ca="1"/>
        <v>Obs. 1593</v>
      </c>
      <c r="AL919" s="7">
        <f ca="1"/>
        <v>74</v>
      </c>
      <c r="AN919" s="7" t="e">
        <f ca="1"/>
        <v>#REF!</v>
      </c>
      <c r="AO919" s="7" t="e">
        <f ca="1"/>
        <v>#REF!</v>
      </c>
      <c r="AP919" s="7">
        <f ca="1"/>
        <v>6.5797477506074578E-2</v>
      </c>
      <c r="AQ919" s="7" t="e">
        <f ca="1"/>
        <v>#REF!</v>
      </c>
      <c r="AR919" s="7" t="e">
        <f ca="1"/>
        <v>#REF!</v>
      </c>
      <c r="AS919" s="7">
        <f ca="1"/>
        <v>0.12956927093944998</v>
      </c>
      <c r="AT919" s="7" t="e">
        <f ca="1"/>
        <v>#REF!</v>
      </c>
      <c r="AU919" s="7" t="e">
        <f ca="1"/>
        <v>#REF!</v>
      </c>
      <c r="AV919" s="7" t="e">
        <f ca="1"/>
        <v>#REF!</v>
      </c>
    </row>
    <row r="920" spans="37:48" x14ac:dyDescent="0.25">
      <c r="AK920" t="str">
        <f ca="1"/>
        <v>Obs. 1594</v>
      </c>
      <c r="AL920" s="7">
        <f ca="1"/>
        <v>73.8</v>
      </c>
      <c r="AN920" s="7" t="e">
        <f ca="1"/>
        <v>#REF!</v>
      </c>
      <c r="AO920" s="7" t="e">
        <f ca="1"/>
        <v>#REF!</v>
      </c>
      <c r="AP920" s="7">
        <f ca="1"/>
        <v>6.6442272349055212E-2</v>
      </c>
      <c r="AQ920" s="7" t="e">
        <f ca="1"/>
        <v>#REF!</v>
      </c>
      <c r="AR920" s="7" t="e">
        <f ca="1"/>
        <v>#REF!</v>
      </c>
      <c r="AS920" s="7">
        <f ca="1"/>
        <v>0.12956927093944998</v>
      </c>
      <c r="AT920" s="7" t="e">
        <f ca="1"/>
        <v>#REF!</v>
      </c>
      <c r="AU920" s="7" t="e">
        <f ca="1"/>
        <v>#REF!</v>
      </c>
      <c r="AV920" s="7" t="e">
        <f ca="1"/>
        <v>#REF!</v>
      </c>
    </row>
    <row r="921" spans="37:48" x14ac:dyDescent="0.25">
      <c r="AK921" t="str">
        <f ca="1"/>
        <v>Obs. 1595</v>
      </c>
      <c r="AL921" s="7">
        <f ca="1"/>
        <v>73.7</v>
      </c>
      <c r="AN921" s="7" t="e">
        <f ca="1"/>
        <v>#REF!</v>
      </c>
      <c r="AO921" s="7" t="e">
        <f ca="1"/>
        <v>#REF!</v>
      </c>
      <c r="AP921" s="7">
        <f ca="1"/>
        <v>6.5931746739102973E-2</v>
      </c>
      <c r="AQ921" s="7" t="e">
        <f ca="1"/>
        <v>#REF!</v>
      </c>
      <c r="AR921" s="7" t="e">
        <f ca="1"/>
        <v>#REF!</v>
      </c>
      <c r="AS921" s="7">
        <f ca="1"/>
        <v>0.12956927093944998</v>
      </c>
      <c r="AT921" s="7" t="e">
        <f ca="1"/>
        <v>#REF!</v>
      </c>
      <c r="AU921" s="7" t="e">
        <f ca="1"/>
        <v>#REF!</v>
      </c>
      <c r="AV921" s="7" t="e">
        <f ca="1"/>
        <v>#REF!</v>
      </c>
    </row>
    <row r="922" spans="37:48" x14ac:dyDescent="0.25">
      <c r="AK922" t="str">
        <f ca="1"/>
        <v>Obs. 1596</v>
      </c>
      <c r="AL922" s="7">
        <f ca="1"/>
        <v>73.599999999999994</v>
      </c>
      <c r="AN922" s="7" t="e">
        <f ca="1"/>
        <v>#REF!</v>
      </c>
      <c r="AO922" s="7" t="e">
        <f ca="1"/>
        <v>#REF!</v>
      </c>
      <c r="AP922" s="7">
        <f ca="1"/>
        <v>6.5674701088703602E-2</v>
      </c>
      <c r="AQ922" s="7" t="e">
        <f ca="1"/>
        <v>#REF!</v>
      </c>
      <c r="AR922" s="7" t="e">
        <f ca="1"/>
        <v>#REF!</v>
      </c>
      <c r="AS922" s="7">
        <f ca="1"/>
        <v>0.12956927093944998</v>
      </c>
      <c r="AT922" s="7" t="e">
        <f ca="1"/>
        <v>#REF!</v>
      </c>
      <c r="AU922" s="7" t="e">
        <f ca="1"/>
        <v>#REF!</v>
      </c>
      <c r="AV922" s="7" t="e">
        <f ca="1"/>
        <v>#REF!</v>
      </c>
    </row>
    <row r="923" spans="37:48" x14ac:dyDescent="0.25">
      <c r="AK923" t="str">
        <f ca="1"/>
        <v>Obs. 1597</v>
      </c>
      <c r="AL923" s="7">
        <f ca="1"/>
        <v>73.400000000000006</v>
      </c>
      <c r="AN923" s="7" t="e">
        <f ca="1"/>
        <v>#REF!</v>
      </c>
      <c r="AO923" s="7" t="e">
        <f ca="1"/>
        <v>#REF!</v>
      </c>
      <c r="AP923" s="7">
        <f ca="1"/>
        <v>6.9261786017865007E-2</v>
      </c>
      <c r="AQ923" s="7" t="e">
        <f ca="1"/>
        <v>#REF!</v>
      </c>
      <c r="AR923" s="7" t="e">
        <f ca="1"/>
        <v>#REF!</v>
      </c>
      <c r="AS923" s="7">
        <f ca="1"/>
        <v>0.12956927093944998</v>
      </c>
      <c r="AT923" s="7" t="e">
        <f ca="1"/>
        <v>#REF!</v>
      </c>
      <c r="AU923" s="7" t="e">
        <f ca="1"/>
        <v>#REF!</v>
      </c>
      <c r="AV923" s="7" t="e">
        <f ca="1"/>
        <v>#REF!</v>
      </c>
    </row>
    <row r="924" spans="37:48" x14ac:dyDescent="0.25">
      <c r="AK924" t="str">
        <f ca="1"/>
        <v>Obs. 1598</v>
      </c>
      <c r="AL924" s="7">
        <f ca="1"/>
        <v>73.2</v>
      </c>
      <c r="AN924" s="7" t="e">
        <f ca="1"/>
        <v>#REF!</v>
      </c>
      <c r="AO924" s="7" t="e">
        <f ca="1"/>
        <v>#REF!</v>
      </c>
      <c r="AP924" s="7">
        <f ca="1"/>
        <v>6.6601179779884029E-2</v>
      </c>
      <c r="AQ924" s="7" t="e">
        <f ca="1"/>
        <v>#REF!</v>
      </c>
      <c r="AR924" s="7" t="e">
        <f ca="1"/>
        <v>#REF!</v>
      </c>
      <c r="AS924" s="7">
        <f ca="1"/>
        <v>0.14798710972583889</v>
      </c>
      <c r="AT924" s="7" t="e">
        <f ca="1"/>
        <v>#REF!</v>
      </c>
      <c r="AU924" s="7" t="e">
        <f ca="1"/>
        <v>#REF!</v>
      </c>
      <c r="AV924" s="7" t="e">
        <f ca="1"/>
        <v>#REF!</v>
      </c>
    </row>
    <row r="925" spans="37:48" x14ac:dyDescent="0.25">
      <c r="AK925" t="str">
        <f ca="1"/>
        <v>Obs. 1599</v>
      </c>
      <c r="AL925" s="7">
        <f ca="1"/>
        <v>73.099999999999994</v>
      </c>
      <c r="AN925" s="7" t="e">
        <f ca="1"/>
        <v>#REF!</v>
      </c>
      <c r="AO925" s="7" t="e">
        <f ca="1"/>
        <v>#REF!</v>
      </c>
      <c r="AP925" s="7">
        <f ca="1"/>
        <v>6.6434318713305879E-2</v>
      </c>
      <c r="AQ925" s="7" t="e">
        <f ca="1"/>
        <v>#REF!</v>
      </c>
      <c r="AR925" s="7" t="e">
        <f ca="1"/>
        <v>#REF!</v>
      </c>
      <c r="AS925" s="7">
        <f ca="1"/>
        <v>0.14798710972583889</v>
      </c>
      <c r="AT925" s="7" t="e">
        <f ca="1"/>
        <v>#REF!</v>
      </c>
      <c r="AU925" s="7" t="e">
        <f ca="1"/>
        <v>#REF!</v>
      </c>
      <c r="AV925" s="7" t="e">
        <f ca="1"/>
        <v>#REF!</v>
      </c>
    </row>
    <row r="926" spans="37:48" x14ac:dyDescent="0.25">
      <c r="AK926" t="str">
        <f ca="1"/>
        <v>Obs. 1600</v>
      </c>
      <c r="AL926" s="7">
        <f ca="1"/>
        <v>72.900000000000006</v>
      </c>
      <c r="AN926" s="7" t="e">
        <f ca="1"/>
        <v>#REF!</v>
      </c>
      <c r="AO926" s="7" t="e">
        <f ca="1"/>
        <v>#REF!</v>
      </c>
      <c r="AP926" s="7">
        <f ca="1"/>
        <v>6.818703098018207E-2</v>
      </c>
      <c r="AQ926" s="7" t="e">
        <f ca="1"/>
        <v>#REF!</v>
      </c>
      <c r="AR926" s="7" t="e">
        <f ca="1"/>
        <v>#REF!</v>
      </c>
      <c r="AS926" s="7">
        <f ca="1"/>
        <v>0.14798710972583889</v>
      </c>
      <c r="AT926" s="7" t="e">
        <f ca="1"/>
        <v>#REF!</v>
      </c>
      <c r="AU926" s="7" t="e">
        <f ca="1"/>
        <v>#REF!</v>
      </c>
      <c r="AV926" s="7" t="e">
        <f ca="1"/>
        <v>#REF!</v>
      </c>
    </row>
    <row r="927" spans="37:48" x14ac:dyDescent="0.25">
      <c r="AK927" t="str">
        <f ca="1"/>
        <v>Obs. 1601</v>
      </c>
      <c r="AL927" s="7">
        <f ca="1"/>
        <v>72.7</v>
      </c>
      <c r="AN927" s="7" t="e">
        <f ca="1"/>
        <v>#REF!</v>
      </c>
      <c r="AO927" s="7" t="e">
        <f ca="1"/>
        <v>#REF!</v>
      </c>
      <c r="AP927" s="7">
        <f ca="1"/>
        <v>6.7845925214701147E-2</v>
      </c>
      <c r="AQ927" s="7" t="e">
        <f ca="1"/>
        <v>#REF!</v>
      </c>
      <c r="AR927" s="7" t="e">
        <f ca="1"/>
        <v>#REF!</v>
      </c>
      <c r="AS927" s="7">
        <f ca="1"/>
        <v>0.14798710972583889</v>
      </c>
      <c r="AT927" s="7" t="e">
        <f ca="1"/>
        <v>#REF!</v>
      </c>
      <c r="AU927" s="7" t="e">
        <f ca="1"/>
        <v>#REF!</v>
      </c>
      <c r="AV927" s="7" t="e">
        <f ca="1"/>
        <v>#REF!</v>
      </c>
    </row>
    <row r="928" spans="37:48" x14ac:dyDescent="0.25">
      <c r="AK928" t="str">
        <f ca="1"/>
        <v>Obs. 1602</v>
      </c>
      <c r="AL928" s="7">
        <f ca="1"/>
        <v>72.400000000000006</v>
      </c>
      <c r="AN928" s="7" t="e">
        <f ca="1"/>
        <v>#REF!</v>
      </c>
      <c r="AO928" s="7" t="e">
        <f ca="1"/>
        <v>#REF!</v>
      </c>
      <c r="AP928" s="7">
        <f ca="1"/>
        <v>6.8817577690962389E-2</v>
      </c>
      <c r="AQ928" s="7" t="e">
        <f ca="1"/>
        <v>#REF!</v>
      </c>
      <c r="AR928" s="7" t="e">
        <f ca="1"/>
        <v>#REF!</v>
      </c>
      <c r="AS928" s="7">
        <f ca="1"/>
        <v>0.14798710972583889</v>
      </c>
      <c r="AT928" s="7" t="e">
        <f ca="1"/>
        <v>#REF!</v>
      </c>
      <c r="AU928" s="7" t="e">
        <f ca="1"/>
        <v>#REF!</v>
      </c>
      <c r="AV928" s="7" t="e">
        <f ca="1"/>
        <v>#REF!</v>
      </c>
    </row>
    <row r="929" spans="37:48" x14ac:dyDescent="0.25">
      <c r="AK929" t="str">
        <f ca="1"/>
        <v>Obs. 1604</v>
      </c>
      <c r="AL929" s="7">
        <f ca="1"/>
        <v>78.2</v>
      </c>
      <c r="AN929" s="7" t="e">
        <f ca="1"/>
        <v>#REF!</v>
      </c>
      <c r="AO929" s="7" t="e">
        <f ca="1"/>
        <v>#REF!</v>
      </c>
      <c r="AP929" s="7">
        <f ca="1"/>
        <v>7.8058961615349254E-2</v>
      </c>
      <c r="AQ929" s="7" t="e">
        <f ca="1"/>
        <v>#REF!</v>
      </c>
      <c r="AR929" s="7" t="e">
        <f ca="1"/>
        <v>#REF!</v>
      </c>
      <c r="AS929" s="7">
        <f ca="1"/>
        <v>0.14798710972583889</v>
      </c>
      <c r="AT929" s="7" t="e">
        <f ca="1"/>
        <v>#REF!</v>
      </c>
      <c r="AU929" s="7" t="e">
        <f ca="1"/>
        <v>#REF!</v>
      </c>
      <c r="AV929" s="7" t="e">
        <f ca="1"/>
        <v>#REF!</v>
      </c>
    </row>
    <row r="930" spans="37:48" x14ac:dyDescent="0.25">
      <c r="AK930" t="str">
        <f ca="1"/>
        <v>Obs. 1605</v>
      </c>
      <c r="AL930" s="7">
        <f ca="1"/>
        <v>77.900000000000006</v>
      </c>
      <c r="AN930" s="7" t="e">
        <f ca="1"/>
        <v>#REF!</v>
      </c>
      <c r="AO930" s="7" t="e">
        <f ca="1"/>
        <v>#REF!</v>
      </c>
      <c r="AP930" s="7">
        <f ca="1"/>
        <v>7.0514395807771871E-2</v>
      </c>
      <c r="AQ930" s="7" t="e">
        <f ca="1"/>
        <v>#REF!</v>
      </c>
      <c r="AR930" s="7" t="e">
        <f ca="1"/>
        <v>#REF!</v>
      </c>
      <c r="AS930" s="7">
        <f ca="1"/>
        <v>0.14798710972583889</v>
      </c>
      <c r="AT930" s="7" t="e">
        <f ca="1"/>
        <v>#REF!</v>
      </c>
      <c r="AU930" s="7" t="e">
        <f ca="1"/>
        <v>#REF!</v>
      </c>
      <c r="AV930" s="7" t="e">
        <f ca="1"/>
        <v>#REF!</v>
      </c>
    </row>
    <row r="931" spans="37:48" x14ac:dyDescent="0.25">
      <c r="AK931" t="str">
        <f ca="1"/>
        <v>Obs. 1606</v>
      </c>
      <c r="AL931" s="7">
        <f ca="1"/>
        <v>77.599999999999994</v>
      </c>
      <c r="AN931" s="7" t="e">
        <f ca="1"/>
        <v>#REF!</v>
      </c>
      <c r="AO931" s="7" t="e">
        <f ca="1"/>
        <v>#REF!</v>
      </c>
      <c r="AP931" s="7">
        <f ca="1"/>
        <v>6.7181176727186667E-2</v>
      </c>
      <c r="AQ931" s="7" t="e">
        <f ca="1"/>
        <v>#REF!</v>
      </c>
      <c r="AR931" s="7" t="e">
        <f ca="1"/>
        <v>#REF!</v>
      </c>
      <c r="AS931" s="7">
        <f ca="1"/>
        <v>0.14798710972583889</v>
      </c>
      <c r="AT931" s="7" t="e">
        <f ca="1"/>
        <v>#REF!</v>
      </c>
      <c r="AU931" s="7" t="e">
        <f ca="1"/>
        <v>#REF!</v>
      </c>
      <c r="AV931" s="7" t="e">
        <f ca="1"/>
        <v>#REF!</v>
      </c>
    </row>
    <row r="932" spans="37:48" x14ac:dyDescent="0.25">
      <c r="AK932" t="str">
        <f ca="1"/>
        <v>Obs. 1607</v>
      </c>
      <c r="AL932" s="7">
        <f ca="1"/>
        <v>77.3</v>
      </c>
      <c r="AN932" s="7" t="e">
        <f ca="1"/>
        <v>#REF!</v>
      </c>
      <c r="AO932" s="7" t="e">
        <f ca="1"/>
        <v>#REF!</v>
      </c>
      <c r="AP932" s="7">
        <f ca="1"/>
        <v>6.7336929976055851E-2</v>
      </c>
      <c r="AQ932" s="7" t="e">
        <f ca="1"/>
        <v>#REF!</v>
      </c>
      <c r="AR932" s="7" t="e">
        <f ca="1"/>
        <v>#REF!</v>
      </c>
      <c r="AS932" s="7">
        <f ca="1"/>
        <v>0.14798710972583889</v>
      </c>
      <c r="AT932" s="7" t="e">
        <f ca="1"/>
        <v>#REF!</v>
      </c>
      <c r="AU932" s="7" t="e">
        <f ca="1"/>
        <v>#REF!</v>
      </c>
      <c r="AV932" s="7" t="e">
        <f ca="1"/>
        <v>#REF!</v>
      </c>
    </row>
    <row r="933" spans="37:48" x14ac:dyDescent="0.25">
      <c r="AK933" t="str">
        <f ca="1"/>
        <v>Obs. 1608</v>
      </c>
      <c r="AL933" s="7">
        <f ca="1"/>
        <v>76.7</v>
      </c>
      <c r="AN933" s="7" t="e">
        <f ca="1"/>
        <v>#REF!</v>
      </c>
      <c r="AO933" s="7" t="e">
        <f ca="1"/>
        <v>#REF!</v>
      </c>
      <c r="AP933" s="7">
        <f ca="1"/>
        <v>6.6895275454422254E-2</v>
      </c>
      <c r="AQ933" s="7" t="e">
        <f ca="1"/>
        <v>#REF!</v>
      </c>
      <c r="AR933" s="7" t="e">
        <f ca="1"/>
        <v>#REF!</v>
      </c>
      <c r="AS933" s="7">
        <f ca="1"/>
        <v>0.14798710972583889</v>
      </c>
      <c r="AT933" s="7" t="e">
        <f ca="1"/>
        <v>#REF!</v>
      </c>
      <c r="AU933" s="7" t="e">
        <f ca="1"/>
        <v>#REF!</v>
      </c>
      <c r="AV933" s="7" t="e">
        <f ca="1"/>
        <v>#REF!</v>
      </c>
    </row>
    <row r="934" spans="37:48" x14ac:dyDescent="0.25">
      <c r="AK934" t="str">
        <f ca="1"/>
        <v>Obs. 1609</v>
      </c>
      <c r="AL934" s="7">
        <f ca="1"/>
        <v>76.3</v>
      </c>
      <c r="AN934" s="7" t="e">
        <f ca="1"/>
        <v>#REF!</v>
      </c>
      <c r="AO934" s="7" t="e">
        <f ca="1"/>
        <v>#REF!</v>
      </c>
      <c r="AP934" s="7">
        <f ca="1"/>
        <v>6.6125551103006455E-2</v>
      </c>
      <c r="AQ934" s="7" t="e">
        <f ca="1"/>
        <v>#REF!</v>
      </c>
      <c r="AR934" s="7" t="e">
        <f ca="1"/>
        <v>#REF!</v>
      </c>
      <c r="AS934" s="7">
        <f ca="1"/>
        <v>0.16337348484333708</v>
      </c>
      <c r="AT934" s="7" t="e">
        <f ca="1"/>
        <v>#REF!</v>
      </c>
      <c r="AU934" s="7" t="e">
        <f ca="1"/>
        <v>#REF!</v>
      </c>
      <c r="AV934" s="7" t="e">
        <f ca="1"/>
        <v>#REF!</v>
      </c>
    </row>
    <row r="935" spans="37:48" x14ac:dyDescent="0.25">
      <c r="AK935" t="str">
        <f ca="1"/>
        <v>Obs. 1610</v>
      </c>
      <c r="AL935" s="7">
        <f ca="1"/>
        <v>75.900000000000006</v>
      </c>
      <c r="AN935" s="7" t="e">
        <f ca="1"/>
        <v>#REF!</v>
      </c>
      <c r="AO935" s="7" t="e">
        <f ca="1"/>
        <v>#REF!</v>
      </c>
      <c r="AP935" s="7">
        <f ca="1"/>
        <v>6.6697796525081871E-2</v>
      </c>
      <c r="AQ935" s="7" t="e">
        <f ca="1"/>
        <v>#REF!</v>
      </c>
      <c r="AR935" s="7" t="e">
        <f ca="1"/>
        <v>#REF!</v>
      </c>
      <c r="AS935" s="7">
        <f ca="1"/>
        <v>0.16337348484333708</v>
      </c>
      <c r="AT935" s="7" t="e">
        <f ca="1"/>
        <v>#REF!</v>
      </c>
      <c r="AU935" s="7" t="e">
        <f ca="1"/>
        <v>#REF!</v>
      </c>
      <c r="AV935" s="7" t="e">
        <f ca="1"/>
        <v>#REF!</v>
      </c>
    </row>
    <row r="936" spans="37:48" x14ac:dyDescent="0.25">
      <c r="AK936" t="str">
        <f ca="1"/>
        <v>Obs. 1611</v>
      </c>
      <c r="AL936" s="7">
        <f ca="1"/>
        <v>75.400000000000006</v>
      </c>
      <c r="AN936" s="7" t="e">
        <f ca="1"/>
        <v>#REF!</v>
      </c>
      <c r="AO936" s="7" t="e">
        <f ca="1"/>
        <v>#REF!</v>
      </c>
      <c r="AP936" s="7">
        <f ca="1"/>
        <v>6.5975894127577858E-2</v>
      </c>
      <c r="AQ936" s="7" t="e">
        <f ca="1"/>
        <v>#REF!</v>
      </c>
      <c r="AR936" s="7" t="e">
        <f ca="1"/>
        <v>#REF!</v>
      </c>
      <c r="AS936" s="7">
        <f ca="1"/>
        <v>0.16337348484333708</v>
      </c>
      <c r="AT936" s="7" t="e">
        <f ca="1"/>
        <v>#REF!</v>
      </c>
      <c r="AU936" s="7" t="e">
        <f ca="1"/>
        <v>#REF!</v>
      </c>
      <c r="AV936" s="7" t="e">
        <f ca="1"/>
        <v>#REF!</v>
      </c>
    </row>
    <row r="937" spans="37:48" x14ac:dyDescent="0.25">
      <c r="AK937" t="str">
        <f ca="1"/>
        <v>Obs. 1612</v>
      </c>
      <c r="AL937" s="7">
        <f ca="1"/>
        <v>75</v>
      </c>
      <c r="AN937" s="7" t="e">
        <f ca="1"/>
        <v>#REF!</v>
      </c>
      <c r="AO937" s="7" t="e">
        <f ca="1"/>
        <v>#REF!</v>
      </c>
      <c r="AP937" s="7">
        <f ca="1"/>
        <v>6.5323291447553208E-2</v>
      </c>
      <c r="AQ937" s="7" t="e">
        <f ca="1"/>
        <v>#REF!</v>
      </c>
      <c r="AR937" s="7" t="e">
        <f ca="1"/>
        <v>#REF!</v>
      </c>
      <c r="AS937" s="7">
        <f ca="1"/>
        <v>0.16337348484333708</v>
      </c>
      <c r="AT937" s="7" t="e">
        <f ca="1"/>
        <v>#REF!</v>
      </c>
      <c r="AU937" s="7" t="e">
        <f ca="1"/>
        <v>#REF!</v>
      </c>
      <c r="AV937" s="7" t="e">
        <f ca="1"/>
        <v>#REF!</v>
      </c>
    </row>
    <row r="938" spans="37:48" x14ac:dyDescent="0.25">
      <c r="AK938" t="str">
        <f ca="1"/>
        <v>Obs. 1613</v>
      </c>
      <c r="AL938" s="7">
        <f ca="1"/>
        <v>74.3</v>
      </c>
      <c r="AN938" s="7" t="e">
        <f ca="1"/>
        <v>#REF!</v>
      </c>
      <c r="AO938" s="7" t="e">
        <f ca="1"/>
        <v>#REF!</v>
      </c>
      <c r="AP938" s="7">
        <f ca="1"/>
        <v>6.623081439979972E-2</v>
      </c>
      <c r="AQ938" s="7" t="e">
        <f ca="1"/>
        <v>#REF!</v>
      </c>
      <c r="AR938" s="7" t="e">
        <f ca="1"/>
        <v>#REF!</v>
      </c>
      <c r="AS938" s="7">
        <f ca="1"/>
        <v>0.16337348484333708</v>
      </c>
      <c r="AT938" s="7" t="e">
        <f ca="1"/>
        <v>#REF!</v>
      </c>
      <c r="AU938" s="7" t="e">
        <f ca="1"/>
        <v>#REF!</v>
      </c>
      <c r="AV938" s="7" t="e">
        <f ca="1"/>
        <v>#REF!</v>
      </c>
    </row>
    <row r="939" spans="37:48" x14ac:dyDescent="0.25">
      <c r="AK939" t="str">
        <f ca="1"/>
        <v>Obs. 1614</v>
      </c>
      <c r="AL939" s="7">
        <f ca="1"/>
        <v>73.400000000000006</v>
      </c>
      <c r="AN939" s="7" t="e">
        <f ca="1"/>
        <v>#REF!</v>
      </c>
      <c r="AO939" s="7" t="e">
        <f ca="1"/>
        <v>#REF!</v>
      </c>
      <c r="AP939" s="7">
        <f ca="1"/>
        <v>6.8056386801717605E-2</v>
      </c>
      <c r="AQ939" s="7" t="e">
        <f ca="1"/>
        <v>#REF!</v>
      </c>
      <c r="AR939" s="7" t="e">
        <f ca="1"/>
        <v>#REF!</v>
      </c>
      <c r="AS939" s="7">
        <f ca="1"/>
        <v>0.16337348484333708</v>
      </c>
      <c r="AT939" s="7" t="e">
        <f ca="1"/>
        <v>#REF!</v>
      </c>
      <c r="AU939" s="7" t="e">
        <f ca="1"/>
        <v>#REF!</v>
      </c>
      <c r="AV939" s="7" t="e">
        <f ca="1"/>
        <v>#REF!</v>
      </c>
    </row>
    <row r="940" spans="37:48" x14ac:dyDescent="0.25">
      <c r="AK940" t="str">
        <f ca="1"/>
        <v>Obs. 1615</v>
      </c>
      <c r="AL940" s="7">
        <f ca="1"/>
        <v>72.7</v>
      </c>
      <c r="AN940" s="7" t="e">
        <f ca="1"/>
        <v>#REF!</v>
      </c>
      <c r="AO940" s="7" t="e">
        <f ca="1"/>
        <v>#REF!</v>
      </c>
      <c r="AP940" s="7">
        <f ca="1"/>
        <v>6.749009591633974E-2</v>
      </c>
      <c r="AQ940" s="7" t="e">
        <f ca="1"/>
        <v>#REF!</v>
      </c>
      <c r="AR940" s="7" t="e">
        <f ca="1"/>
        <v>#REF!</v>
      </c>
      <c r="AS940" s="7">
        <f ca="1"/>
        <v>0.16337348484333708</v>
      </c>
      <c r="AT940" s="7" t="e">
        <f ca="1"/>
        <v>#REF!</v>
      </c>
      <c r="AU940" s="7" t="e">
        <f ca="1"/>
        <v>#REF!</v>
      </c>
      <c r="AV940" s="7" t="e">
        <f ca="1"/>
        <v>#REF!</v>
      </c>
    </row>
    <row r="941" spans="37:48" x14ac:dyDescent="0.25">
      <c r="AK941" t="str">
        <f ca="1"/>
        <v>Obs. 1616</v>
      </c>
      <c r="AL941" s="7">
        <f ca="1"/>
        <v>71.8</v>
      </c>
      <c r="AN941" s="7" t="e">
        <f ca="1"/>
        <v>#REF!</v>
      </c>
      <c r="AO941" s="7" t="e">
        <f ca="1"/>
        <v>#REF!</v>
      </c>
      <c r="AP941" s="7">
        <f ca="1"/>
        <v>6.9023939882152108E-2</v>
      </c>
      <c r="AQ941" s="7" t="e">
        <f ca="1"/>
        <v>#REF!</v>
      </c>
      <c r="AR941" s="7" t="e">
        <f ca="1"/>
        <v>#REF!</v>
      </c>
      <c r="AS941" s="7">
        <f ca="1"/>
        <v>0.16337348484333708</v>
      </c>
      <c r="AT941" s="7" t="e">
        <f ca="1"/>
        <v>#REF!</v>
      </c>
      <c r="AU941" s="7" t="e">
        <f ca="1"/>
        <v>#REF!</v>
      </c>
      <c r="AV941" s="7" t="e">
        <f ca="1"/>
        <v>#REF!</v>
      </c>
    </row>
    <row r="942" spans="37:48" x14ac:dyDescent="0.25">
      <c r="AK942" t="str">
        <f ca="1"/>
        <v>Obs. 1617</v>
      </c>
      <c r="AL942" s="7">
        <f ca="1"/>
        <v>78</v>
      </c>
      <c r="AN942" s="7" t="e">
        <f ca="1"/>
        <v>#REF!</v>
      </c>
      <c r="AO942" s="7" t="e">
        <f ca="1"/>
        <v>#REF!</v>
      </c>
      <c r="AP942" s="7">
        <f ca="1"/>
        <v>6.9317109980234159E-2</v>
      </c>
      <c r="AQ942" s="7" t="e">
        <f ca="1"/>
        <v>#REF!</v>
      </c>
      <c r="AR942" s="7" t="e">
        <f ca="1"/>
        <v>#REF!</v>
      </c>
      <c r="AS942" s="7">
        <f ca="1"/>
        <v>0.16337348484333708</v>
      </c>
      <c r="AT942" s="7" t="e">
        <f ca="1"/>
        <v>#REF!</v>
      </c>
      <c r="AU942" s="7" t="e">
        <f ca="1"/>
        <v>#REF!</v>
      </c>
      <c r="AV942" s="7" t="e">
        <f ca="1"/>
        <v>#REF!</v>
      </c>
    </row>
    <row r="943" spans="37:48" x14ac:dyDescent="0.25">
      <c r="AK943" t="str">
        <f ca="1"/>
        <v>Obs. 1618</v>
      </c>
      <c r="AL943" s="7">
        <f ca="1"/>
        <v>69.599999999999994</v>
      </c>
      <c r="AN943" s="7" t="e">
        <f ca="1"/>
        <v>#REF!</v>
      </c>
      <c r="AO943" s="7" t="e">
        <f ca="1"/>
        <v>#REF!</v>
      </c>
      <c r="AP943" s="7">
        <f ca="1"/>
        <v>6.7944907807365423E-2</v>
      </c>
      <c r="AQ943" s="7" t="e">
        <f ca="1"/>
        <v>#REF!</v>
      </c>
      <c r="AR943" s="7" t="e">
        <f ca="1"/>
        <v>#REF!</v>
      </c>
      <c r="AS943" s="7">
        <f ca="1"/>
        <v>0.16337348484333708</v>
      </c>
      <c r="AT943" s="7" t="e">
        <f ca="1"/>
        <v>#REF!</v>
      </c>
      <c r="AU943" s="7" t="e">
        <f ca="1"/>
        <v>#REF!</v>
      </c>
      <c r="AV943" s="7" t="e">
        <f ca="1"/>
        <v>#REF!</v>
      </c>
    </row>
    <row r="944" spans="37:48" x14ac:dyDescent="0.25">
      <c r="AK944" t="str">
        <f ca="1"/>
        <v>Obs. 1620</v>
      </c>
      <c r="AL944" s="7">
        <f ca="1"/>
        <v>57.8</v>
      </c>
      <c r="AN944" s="7" t="e">
        <f ca="1"/>
        <v>#REF!</v>
      </c>
      <c r="AO944" s="7" t="e">
        <f ca="1"/>
        <v>#REF!</v>
      </c>
      <c r="AP944" s="7">
        <f ca="1"/>
        <v>8.6126425349835764E-2</v>
      </c>
      <c r="AQ944" s="7" t="e">
        <f ca="1"/>
        <v>#REF!</v>
      </c>
      <c r="AR944" s="7" t="e">
        <f ca="1"/>
        <v>#REF!</v>
      </c>
      <c r="AS944" s="7">
        <f ca="1"/>
        <v>0.16337348484333708</v>
      </c>
      <c r="AT944" s="7" t="e">
        <f ca="1"/>
        <v>#REF!</v>
      </c>
      <c r="AU944" s="7" t="e">
        <f ca="1"/>
        <v>#REF!</v>
      </c>
      <c r="AV944" s="7" t="e">
        <f ca="1"/>
        <v>#REF!</v>
      </c>
    </row>
    <row r="945" spans="37:48" x14ac:dyDescent="0.25">
      <c r="AK945" t="str">
        <f ca="1"/>
        <v>Obs. 1621</v>
      </c>
      <c r="AL945" s="7">
        <f ca="1"/>
        <v>57.3</v>
      </c>
      <c r="AN945" s="7" t="e">
        <f ca="1"/>
        <v>#REF!</v>
      </c>
      <c r="AO945" s="7" t="e">
        <f ca="1"/>
        <v>#REF!</v>
      </c>
      <c r="AP945" s="7">
        <f ca="1"/>
        <v>9.3287687875242636E-2</v>
      </c>
      <c r="AQ945" s="7" t="e">
        <f ca="1"/>
        <v>#REF!</v>
      </c>
      <c r="AR945" s="7" t="e">
        <f ca="1"/>
        <v>#REF!</v>
      </c>
      <c r="AS945" s="7">
        <f ca="1"/>
        <v>0.16337348484333708</v>
      </c>
      <c r="AT945" s="7" t="e">
        <f ca="1"/>
        <v>#REF!</v>
      </c>
      <c r="AU945" s="7" t="e">
        <f ca="1"/>
        <v>#REF!</v>
      </c>
      <c r="AV945" s="7" t="e">
        <f ca="1"/>
        <v>#REF!</v>
      </c>
    </row>
    <row r="946" spans="37:48" x14ac:dyDescent="0.25">
      <c r="AK946" t="str">
        <f ca="1"/>
        <v>Obs. 1622</v>
      </c>
      <c r="AL946" s="7">
        <f ca="1"/>
        <v>57.2</v>
      </c>
      <c r="AN946" s="7" t="e">
        <f ca="1"/>
        <v>#REF!</v>
      </c>
      <c r="AO946" s="7" t="e">
        <f ca="1"/>
        <v>#REF!</v>
      </c>
      <c r="AP946" s="7">
        <f ca="1"/>
        <v>8.8666376858277218E-2</v>
      </c>
      <c r="AQ946" s="7" t="e">
        <f ca="1"/>
        <v>#REF!</v>
      </c>
      <c r="AR946" s="7" t="e">
        <f ca="1"/>
        <v>#REF!</v>
      </c>
      <c r="AS946" s="7">
        <f ca="1"/>
        <v>0.16337348484333708</v>
      </c>
      <c r="AT946" s="7" t="e">
        <f ca="1"/>
        <v>#REF!</v>
      </c>
      <c r="AU946" s="7" t="e">
        <f ca="1"/>
        <v>#REF!</v>
      </c>
      <c r="AV946" s="7" t="e">
        <f ca="1"/>
        <v>#REF!</v>
      </c>
    </row>
    <row r="947" spans="37:48" x14ac:dyDescent="0.25">
      <c r="AK947" t="str">
        <f ca="1"/>
        <v>Obs. 1623</v>
      </c>
      <c r="AL947" s="7">
        <f ca="1"/>
        <v>56.8</v>
      </c>
      <c r="AN947" s="7" t="e">
        <f ca="1"/>
        <v>#REF!</v>
      </c>
      <c r="AO947" s="7" t="e">
        <f ca="1"/>
        <v>#REF!</v>
      </c>
      <c r="AP947" s="7">
        <f ca="1"/>
        <v>8.4195773677722768E-2</v>
      </c>
      <c r="AQ947" s="7" t="e">
        <f ca="1"/>
        <v>#REF!</v>
      </c>
      <c r="AR947" s="7" t="e">
        <f ca="1"/>
        <v>#REF!</v>
      </c>
      <c r="AS947" s="7">
        <f ca="1"/>
        <v>0.18343432307636306</v>
      </c>
      <c r="AT947" s="7" t="e">
        <f ca="1"/>
        <v>#REF!</v>
      </c>
      <c r="AU947" s="7" t="e">
        <f ca="1"/>
        <v>#REF!</v>
      </c>
      <c r="AV947" s="7" t="e">
        <f ca="1"/>
        <v>#REF!</v>
      </c>
    </row>
    <row r="948" spans="37:48" x14ac:dyDescent="0.25">
      <c r="AK948" t="str">
        <f ca="1"/>
        <v>Obs. 1624</v>
      </c>
      <c r="AL948" s="7">
        <f ca="1"/>
        <v>56.5</v>
      </c>
      <c r="AN948" s="7" t="e">
        <f ca="1"/>
        <v>#REF!</v>
      </c>
      <c r="AO948" s="7" t="e">
        <f ca="1"/>
        <v>#REF!</v>
      </c>
      <c r="AP948" s="7">
        <f ca="1"/>
        <v>8.4772858033726112E-2</v>
      </c>
      <c r="AQ948" s="7" t="e">
        <f ca="1"/>
        <v>#REF!</v>
      </c>
      <c r="AR948" s="7" t="e">
        <f ca="1"/>
        <v>#REF!</v>
      </c>
      <c r="AS948" s="7">
        <f ca="1"/>
        <v>0.18343432307636306</v>
      </c>
      <c r="AT948" s="7" t="e">
        <f ca="1"/>
        <v>#REF!</v>
      </c>
      <c r="AU948" s="7" t="e">
        <f ca="1"/>
        <v>#REF!</v>
      </c>
      <c r="AV948" s="7" t="e">
        <f ca="1"/>
        <v>#REF!</v>
      </c>
    </row>
    <row r="949" spans="37:48" x14ac:dyDescent="0.25">
      <c r="AK949" t="str">
        <f ca="1"/>
        <v>Obs. 1625</v>
      </c>
      <c r="AL949" s="7">
        <f ca="1"/>
        <v>56</v>
      </c>
      <c r="AN949" s="7" t="e">
        <f ca="1"/>
        <v>#REF!</v>
      </c>
      <c r="AO949" s="7" t="e">
        <f ca="1"/>
        <v>#REF!</v>
      </c>
      <c r="AP949" s="7">
        <f ca="1"/>
        <v>8.4721510610810041E-2</v>
      </c>
      <c r="AQ949" s="7" t="e">
        <f ca="1"/>
        <v>#REF!</v>
      </c>
      <c r="AR949" s="7" t="e">
        <f ca="1"/>
        <v>#REF!</v>
      </c>
      <c r="AS949" s="7">
        <f ca="1"/>
        <v>0.18343432307636306</v>
      </c>
      <c r="AT949" s="7" t="e">
        <f ca="1"/>
        <v>#REF!</v>
      </c>
      <c r="AU949" s="7" t="e">
        <f ca="1"/>
        <v>#REF!</v>
      </c>
      <c r="AV949" s="7" t="e">
        <f ca="1"/>
        <v>#REF!</v>
      </c>
    </row>
    <row r="950" spans="37:48" x14ac:dyDescent="0.25">
      <c r="AK950" t="str">
        <f ca="1"/>
        <v>Obs. 1626</v>
      </c>
      <c r="AL950" s="7">
        <f ca="1"/>
        <v>55.5</v>
      </c>
      <c r="AN950" s="7" t="e">
        <f ca="1"/>
        <v>#REF!</v>
      </c>
      <c r="AO950" s="7" t="e">
        <f ca="1"/>
        <v>#REF!</v>
      </c>
      <c r="AP950" s="7">
        <f ca="1"/>
        <v>8.508436872027407E-2</v>
      </c>
      <c r="AQ950" s="7" t="e">
        <f ca="1"/>
        <v>#REF!</v>
      </c>
      <c r="AR950" s="7" t="e">
        <f ca="1"/>
        <v>#REF!</v>
      </c>
      <c r="AS950" s="7">
        <f ca="1"/>
        <v>0.18343432307636306</v>
      </c>
      <c r="AT950" s="7" t="e">
        <f ca="1"/>
        <v>#REF!</v>
      </c>
      <c r="AU950" s="7" t="e">
        <f ca="1"/>
        <v>#REF!</v>
      </c>
      <c r="AV950" s="7" t="e">
        <f ca="1"/>
        <v>#REF!</v>
      </c>
    </row>
    <row r="951" spans="37:48" x14ac:dyDescent="0.25">
      <c r="AK951" t="str">
        <f ca="1"/>
        <v>Obs. 1627</v>
      </c>
      <c r="AL951" s="7">
        <f ca="1"/>
        <v>55</v>
      </c>
      <c r="AN951" s="7" t="e">
        <f ca="1"/>
        <v>#REF!</v>
      </c>
      <c r="AO951" s="7" t="e">
        <f ca="1"/>
        <v>#REF!</v>
      </c>
      <c r="AP951" s="7">
        <f ca="1"/>
        <v>8.3862937702019483E-2</v>
      </c>
      <c r="AQ951" s="7" t="e">
        <f ca="1"/>
        <v>#REF!</v>
      </c>
      <c r="AR951" s="7" t="e">
        <f ca="1"/>
        <v>#REF!</v>
      </c>
      <c r="AS951" s="7">
        <f ca="1"/>
        <v>0.18343432307636306</v>
      </c>
      <c r="AT951" s="7" t="e">
        <f ca="1"/>
        <v>#REF!</v>
      </c>
      <c r="AU951" s="7" t="e">
        <f ca="1"/>
        <v>#REF!</v>
      </c>
      <c r="AV951" s="7" t="e">
        <f ca="1"/>
        <v>#REF!</v>
      </c>
    </row>
    <row r="952" spans="37:48" x14ac:dyDescent="0.25">
      <c r="AK952" t="str">
        <f ca="1"/>
        <v>Obs. 1628</v>
      </c>
      <c r="AL952" s="7">
        <f ca="1"/>
        <v>54.3</v>
      </c>
      <c r="AN952" s="7" t="e">
        <f ca="1"/>
        <v>#REF!</v>
      </c>
      <c r="AO952" s="7" t="e">
        <f ca="1"/>
        <v>#REF!</v>
      </c>
      <c r="AP952" s="7">
        <f ca="1"/>
        <v>9.2922315763326352E-2</v>
      </c>
      <c r="AQ952" s="7" t="e">
        <f ca="1"/>
        <v>#REF!</v>
      </c>
      <c r="AR952" s="7" t="e">
        <f ca="1"/>
        <v>#REF!</v>
      </c>
      <c r="AS952" s="7">
        <f ca="1"/>
        <v>0.18343432307636306</v>
      </c>
      <c r="AT952" s="7" t="e">
        <f ca="1"/>
        <v>#REF!</v>
      </c>
      <c r="AU952" s="7" t="e">
        <f ca="1"/>
        <v>#REF!</v>
      </c>
      <c r="AV952" s="7" t="e">
        <f ca="1"/>
        <v>#REF!</v>
      </c>
    </row>
    <row r="953" spans="37:48" x14ac:dyDescent="0.25">
      <c r="AK953" t="str">
        <f ca="1"/>
        <v>Obs. 1629</v>
      </c>
      <c r="AL953" s="7">
        <f ca="1"/>
        <v>53.6</v>
      </c>
      <c r="AN953" s="7" t="e">
        <f ca="1"/>
        <v>#REF!</v>
      </c>
      <c r="AO953" s="7" t="e">
        <f ca="1"/>
        <v>#REF!</v>
      </c>
      <c r="AP953" s="7">
        <f ca="1"/>
        <v>9.1135791709687594E-2</v>
      </c>
      <c r="AQ953" s="7" t="e">
        <f ca="1"/>
        <v>#REF!</v>
      </c>
      <c r="AR953" s="7" t="e">
        <f ca="1"/>
        <v>#REF!</v>
      </c>
      <c r="AS953" s="7">
        <f ca="1"/>
        <v>0.18343432307636306</v>
      </c>
      <c r="AT953" s="7" t="e">
        <f ca="1"/>
        <v>#REF!</v>
      </c>
      <c r="AU953" s="7" t="e">
        <f ca="1"/>
        <v>#REF!</v>
      </c>
      <c r="AV953" s="7" t="e">
        <f ca="1"/>
        <v>#REF!</v>
      </c>
    </row>
    <row r="954" spans="37:48" x14ac:dyDescent="0.25">
      <c r="AK954" t="str">
        <f ca="1"/>
        <v>Obs. 1630</v>
      </c>
      <c r="AL954" s="7">
        <f ca="1"/>
        <v>52.8</v>
      </c>
      <c r="AN954" s="7" t="e">
        <f ca="1"/>
        <v>#REF!</v>
      </c>
      <c r="AO954" s="7" t="e">
        <f ca="1"/>
        <v>#REF!</v>
      </c>
      <c r="AP954" s="7">
        <f ca="1"/>
        <v>0.10659452599650102</v>
      </c>
      <c r="AQ954" s="7" t="e">
        <f ca="1"/>
        <v>#REF!</v>
      </c>
      <c r="AR954" s="7" t="e">
        <f ca="1"/>
        <v>#REF!</v>
      </c>
      <c r="AS954" s="7">
        <f ca="1"/>
        <v>0.18343432307636306</v>
      </c>
      <c r="AT954" s="7" t="e">
        <f ca="1"/>
        <v>#REF!</v>
      </c>
      <c r="AU954" s="7" t="e">
        <f ca="1"/>
        <v>#REF!</v>
      </c>
      <c r="AV954" s="7" t="e">
        <f ca="1"/>
        <v>#REF!</v>
      </c>
    </row>
    <row r="955" spans="37:48" x14ac:dyDescent="0.25">
      <c r="AK955" t="str">
        <f ca="1"/>
        <v>Obs. 1631</v>
      </c>
      <c r="AL955" s="7">
        <f ca="1"/>
        <v>52</v>
      </c>
      <c r="AN955" s="7" t="e">
        <f ca="1"/>
        <v>#REF!</v>
      </c>
      <c r="AO955" s="7" t="e">
        <f ca="1"/>
        <v>#REF!</v>
      </c>
      <c r="AP955" s="7">
        <f ca="1"/>
        <v>0.10248183225733162</v>
      </c>
      <c r="AQ955" s="7" t="e">
        <f ca="1"/>
        <v>#REF!</v>
      </c>
      <c r="AR955" s="7" t="e">
        <f ca="1"/>
        <v>#REF!</v>
      </c>
      <c r="AS955" s="7">
        <f ca="1"/>
        <v>0.18343432307636306</v>
      </c>
      <c r="AT955" s="7" t="e">
        <f ca="1"/>
        <v>#REF!</v>
      </c>
      <c r="AU955" s="7" t="e">
        <f ca="1"/>
        <v>#REF!</v>
      </c>
      <c r="AV955" s="7" t="e">
        <f ca="1"/>
        <v>#REF!</v>
      </c>
    </row>
    <row r="956" spans="37:48" x14ac:dyDescent="0.25">
      <c r="AK956" t="str">
        <f ca="1"/>
        <v>Obs. 1636</v>
      </c>
      <c r="AL956" s="7">
        <f ca="1"/>
        <v>81.400000000000006</v>
      </c>
      <c r="AN956" s="7" t="e">
        <f ca="1"/>
        <v>#REF!</v>
      </c>
      <c r="AO956" s="7" t="e">
        <f ca="1"/>
        <v>#REF!</v>
      </c>
      <c r="AP956" s="7">
        <f ca="1"/>
        <v>0.11277629992849195</v>
      </c>
      <c r="AQ956" s="7" t="e">
        <f ca="1"/>
        <v>#REF!</v>
      </c>
      <c r="AR956" s="7" t="e">
        <f ca="1"/>
        <v>#REF!</v>
      </c>
      <c r="AS956" s="7">
        <f ca="1"/>
        <v>0.18343432307636306</v>
      </c>
      <c r="AT956" s="7" t="e">
        <f ca="1"/>
        <v>#REF!</v>
      </c>
      <c r="AU956" s="7" t="e">
        <f ca="1"/>
        <v>#REF!</v>
      </c>
      <c r="AV956" s="7" t="e">
        <f ca="1"/>
        <v>#REF!</v>
      </c>
    </row>
    <row r="957" spans="37:48" x14ac:dyDescent="0.25">
      <c r="AK957" t="str">
        <f ca="1"/>
        <v>Obs. 1637</v>
      </c>
      <c r="AL957" s="7">
        <f ca="1"/>
        <v>81.099999999999994</v>
      </c>
      <c r="AN957" s="7" t="e">
        <f ca="1"/>
        <v>#REF!</v>
      </c>
      <c r="AO957" s="7" t="e">
        <f ca="1"/>
        <v>#REF!</v>
      </c>
      <c r="AP957" s="7">
        <f ca="1"/>
        <v>9.7332888263812131E-2</v>
      </c>
      <c r="AQ957" s="7" t="e">
        <f ca="1"/>
        <v>#REF!</v>
      </c>
      <c r="AR957" s="7" t="e">
        <f ca="1"/>
        <v>#REF!</v>
      </c>
      <c r="AS957" s="7">
        <f ca="1"/>
        <v>0.18343432307636306</v>
      </c>
      <c r="AT957" s="7" t="e">
        <f ca="1"/>
        <v>#REF!</v>
      </c>
      <c r="AU957" s="7" t="e">
        <f ca="1"/>
        <v>#REF!</v>
      </c>
      <c r="AV957" s="7" t="e">
        <f ca="1"/>
        <v>#REF!</v>
      </c>
    </row>
    <row r="958" spans="37:48" x14ac:dyDescent="0.25">
      <c r="AK958" t="str">
        <f ca="1"/>
        <v>Obs. 1638</v>
      </c>
      <c r="AL958" s="7">
        <f ca="1"/>
        <v>81</v>
      </c>
      <c r="AN958" s="7" t="e">
        <f ca="1"/>
        <v>#REF!</v>
      </c>
      <c r="AO958" s="7" t="e">
        <f ca="1"/>
        <v>#REF!</v>
      </c>
      <c r="AP958" s="7">
        <f ca="1"/>
        <v>9.550620741968785E-2</v>
      </c>
      <c r="AQ958" s="7" t="e">
        <f ca="1"/>
        <v>#REF!</v>
      </c>
      <c r="AR958" s="7" t="e">
        <f ca="1"/>
        <v>#REF!</v>
      </c>
      <c r="AS958" s="7">
        <f ca="1"/>
        <v>0.18343432307636306</v>
      </c>
      <c r="AT958" s="7" t="e">
        <f ca="1"/>
        <v>#REF!</v>
      </c>
      <c r="AU958" s="7" t="e">
        <f ca="1"/>
        <v>#REF!</v>
      </c>
      <c r="AV958" s="7" t="e">
        <f ca="1"/>
        <v>#REF!</v>
      </c>
    </row>
    <row r="959" spans="37:48" x14ac:dyDescent="0.25">
      <c r="AK959" t="str">
        <f ca="1"/>
        <v>Obs. 1639</v>
      </c>
      <c r="AL959" s="7">
        <f ca="1"/>
        <v>87</v>
      </c>
      <c r="AN959" s="7" t="e">
        <f ca="1"/>
        <v>#REF!</v>
      </c>
      <c r="AO959" s="7" t="e">
        <f ca="1"/>
        <v>#REF!</v>
      </c>
      <c r="AP959" s="7">
        <f ca="1"/>
        <v>9.4966353809875434E-2</v>
      </c>
      <c r="AQ959" s="7" t="e">
        <f ca="1"/>
        <v>#REF!</v>
      </c>
      <c r="AR959" s="7" t="e">
        <f ca="1"/>
        <v>#REF!</v>
      </c>
      <c r="AS959" s="7">
        <f ca="1"/>
        <v>0.18343432307636306</v>
      </c>
      <c r="AT959" s="7" t="e">
        <f ca="1"/>
        <v>#REF!</v>
      </c>
      <c r="AU959" s="7" t="e">
        <f ca="1"/>
        <v>#REF!</v>
      </c>
      <c r="AV959" s="7" t="e">
        <f ca="1"/>
        <v>#REF!</v>
      </c>
    </row>
    <row r="960" spans="37:48" x14ac:dyDescent="0.25">
      <c r="AK960" t="str">
        <f ca="1"/>
        <v>Obs. 1640</v>
      </c>
      <c r="AL960" s="7">
        <f ca="1"/>
        <v>83</v>
      </c>
      <c r="AN960" s="7" t="e">
        <f ca="1"/>
        <v>#REF!</v>
      </c>
      <c r="AO960" s="7" t="e">
        <f ca="1"/>
        <v>#REF!</v>
      </c>
      <c r="AP960" s="7">
        <f ca="1"/>
        <v>9.3417011305432104E-2</v>
      </c>
      <c r="AQ960" s="7" t="e">
        <f ca="1"/>
        <v>#REF!</v>
      </c>
      <c r="AR960" s="7" t="e">
        <f ca="1"/>
        <v>#REF!</v>
      </c>
      <c r="AS960" s="7">
        <f ca="1"/>
        <v>0.18343432307636306</v>
      </c>
      <c r="AT960" s="7" t="e">
        <f ca="1"/>
        <v>#REF!</v>
      </c>
      <c r="AU960" s="7" t="e">
        <f ca="1"/>
        <v>#REF!</v>
      </c>
      <c r="AV960" s="7" t="e">
        <f ca="1"/>
        <v>#REF!</v>
      </c>
    </row>
    <row r="961" spans="37:48" x14ac:dyDescent="0.25">
      <c r="AK961" t="str">
        <f ca="1"/>
        <v>Obs. 1641</v>
      </c>
      <c r="AL961" s="7">
        <f ca="1"/>
        <v>82</v>
      </c>
      <c r="AN961" s="7" t="e">
        <f ca="1"/>
        <v>#REF!</v>
      </c>
      <c r="AO961" s="7" t="e">
        <f ca="1"/>
        <v>#REF!</v>
      </c>
      <c r="AP961" s="7">
        <f ca="1"/>
        <v>9.3810240734565203E-2</v>
      </c>
      <c r="AQ961" s="7" t="e">
        <f ca="1"/>
        <v>#REF!</v>
      </c>
      <c r="AR961" s="7" t="e">
        <f ca="1"/>
        <v>#REF!</v>
      </c>
      <c r="AS961" s="7">
        <f ca="1"/>
        <v>0.18343432307636306</v>
      </c>
      <c r="AT961" s="7" t="e">
        <f ca="1"/>
        <v>#REF!</v>
      </c>
      <c r="AU961" s="7" t="e">
        <f ca="1"/>
        <v>#REF!</v>
      </c>
      <c r="AV961" s="7" t="e">
        <f ca="1"/>
        <v>#REF!</v>
      </c>
    </row>
    <row r="962" spans="37:48" x14ac:dyDescent="0.25">
      <c r="AK962" t="str">
        <f ca="1"/>
        <v>Obs. 1642</v>
      </c>
      <c r="AL962" s="7">
        <f ca="1"/>
        <v>80</v>
      </c>
      <c r="AN962" s="7" t="e">
        <f ca="1"/>
        <v>#REF!</v>
      </c>
      <c r="AO962" s="7" t="e">
        <f ca="1"/>
        <v>#REF!</v>
      </c>
      <c r="AP962" s="7">
        <f ca="1"/>
        <v>9.6374525828328853E-2</v>
      </c>
      <c r="AQ962" s="7" t="e">
        <f ca="1"/>
        <v>#REF!</v>
      </c>
      <c r="AR962" s="7" t="e">
        <f ca="1"/>
        <v>#REF!</v>
      </c>
      <c r="AS962" s="7">
        <f ca="1"/>
        <v>0.206674078513852</v>
      </c>
      <c r="AT962" s="7" t="e">
        <f ca="1"/>
        <v>#REF!</v>
      </c>
      <c r="AU962" s="7" t="e">
        <f ca="1"/>
        <v>#REF!</v>
      </c>
      <c r="AV962" s="7" t="e">
        <f ca="1"/>
        <v>#REF!</v>
      </c>
    </row>
    <row r="963" spans="37:48" x14ac:dyDescent="0.25">
      <c r="AK963" t="str">
        <f ca="1"/>
        <v>Obs. 1643</v>
      </c>
      <c r="AL963" s="7">
        <f ca="1"/>
        <v>79.599999999999994</v>
      </c>
      <c r="AN963" s="7" t="e">
        <f ca="1"/>
        <v>#REF!</v>
      </c>
      <c r="AO963" s="7" t="e">
        <f ca="1"/>
        <v>#REF!</v>
      </c>
      <c r="AP963" s="7">
        <f ca="1"/>
        <v>9.428551786588403E-2</v>
      </c>
      <c r="AQ963" s="7" t="e">
        <f ca="1"/>
        <v>#REF!</v>
      </c>
      <c r="AR963" s="7" t="e">
        <f ca="1"/>
        <v>#REF!</v>
      </c>
      <c r="AS963" s="7">
        <f ca="1"/>
        <v>0.206674078513852</v>
      </c>
      <c r="AT963" s="7" t="e">
        <f ca="1"/>
        <v>#REF!</v>
      </c>
      <c r="AU963" s="7" t="e">
        <f ca="1"/>
        <v>#REF!</v>
      </c>
      <c r="AV963" s="7" t="e">
        <f ca="1"/>
        <v>#REF!</v>
      </c>
    </row>
    <row r="964" spans="37:48" x14ac:dyDescent="0.25">
      <c r="AK964" t="str">
        <f ca="1"/>
        <v>Obs. 1644</v>
      </c>
      <c r="AL964" s="7">
        <f ca="1"/>
        <v>79.3</v>
      </c>
      <c r="AN964" s="7" t="e">
        <f ca="1"/>
        <v>#REF!</v>
      </c>
      <c r="AO964" s="7" t="e">
        <f ca="1"/>
        <v>#REF!</v>
      </c>
      <c r="AP964" s="7">
        <f ca="1"/>
        <v>9.4656185639232171E-2</v>
      </c>
      <c r="AQ964" s="7" t="e">
        <f ca="1"/>
        <v>#REF!</v>
      </c>
      <c r="AR964" s="7" t="e">
        <f ca="1"/>
        <v>#REF!</v>
      </c>
      <c r="AS964" s="7">
        <f ca="1"/>
        <v>0.206674078513852</v>
      </c>
      <c r="AT964" s="7" t="e">
        <f ca="1"/>
        <v>#REF!</v>
      </c>
      <c r="AU964" s="7" t="e">
        <f ca="1"/>
        <v>#REF!</v>
      </c>
      <c r="AV964" s="7" t="e">
        <f ca="1"/>
        <v>#REF!</v>
      </c>
    </row>
    <row r="965" spans="37:48" x14ac:dyDescent="0.25">
      <c r="AK965" t="str">
        <f ca="1"/>
        <v>Obs. 1645</v>
      </c>
      <c r="AL965" s="7">
        <f ca="1"/>
        <v>79</v>
      </c>
      <c r="AN965" s="7" t="e">
        <f ca="1"/>
        <v>#REF!</v>
      </c>
      <c r="AO965" s="7" t="e">
        <f ca="1"/>
        <v>#REF!</v>
      </c>
      <c r="AP965" s="7">
        <f ca="1"/>
        <v>9.5052431422230813E-2</v>
      </c>
      <c r="AQ965" s="7" t="e">
        <f ca="1"/>
        <v>#REF!</v>
      </c>
      <c r="AR965" s="7" t="e">
        <f ca="1"/>
        <v>#REF!</v>
      </c>
      <c r="AS965" s="7">
        <f ca="1"/>
        <v>0.206674078513852</v>
      </c>
      <c r="AT965" s="7" t="e">
        <f ca="1"/>
        <v>#REF!</v>
      </c>
      <c r="AU965" s="7" t="e">
        <f ca="1"/>
        <v>#REF!</v>
      </c>
      <c r="AV965" s="7" t="e">
        <f ca="1"/>
        <v>#REF!</v>
      </c>
    </row>
    <row r="966" spans="37:48" x14ac:dyDescent="0.25">
      <c r="AK966" t="str">
        <f ca="1"/>
        <v>Obs. 1646</v>
      </c>
      <c r="AL966" s="7">
        <f ca="1"/>
        <v>78.7</v>
      </c>
      <c r="AN966" s="7" t="e">
        <f ca="1"/>
        <v>#REF!</v>
      </c>
      <c r="AO966" s="7" t="e">
        <f ca="1"/>
        <v>#REF!</v>
      </c>
      <c r="AP966" s="7">
        <f ca="1"/>
        <v>9.4394303751903913E-2</v>
      </c>
      <c r="AQ966" s="7" t="e">
        <f ca="1"/>
        <v>#REF!</v>
      </c>
      <c r="AR966" s="7" t="e">
        <f ca="1"/>
        <v>#REF!</v>
      </c>
      <c r="AS966" s="7">
        <f ca="1"/>
        <v>0.206674078513852</v>
      </c>
      <c r="AT966" s="7" t="e">
        <f ca="1"/>
        <v>#REF!</v>
      </c>
      <c r="AU966" s="7" t="e">
        <f ca="1"/>
        <v>#REF!</v>
      </c>
      <c r="AV966" s="7" t="e">
        <f ca="1"/>
        <v>#REF!</v>
      </c>
    </row>
    <row r="967" spans="37:48" x14ac:dyDescent="0.25">
      <c r="AK967" t="str">
        <f ca="1"/>
        <v>Obs. 1647</v>
      </c>
      <c r="AL967" s="7">
        <f ca="1"/>
        <v>78.5</v>
      </c>
      <c r="AN967" s="7" t="e">
        <f ca="1"/>
        <v>#REF!</v>
      </c>
      <c r="AO967" s="7" t="e">
        <f ca="1"/>
        <v>#REF!</v>
      </c>
      <c r="AP967" s="7">
        <f ca="1"/>
        <v>9.512776970517603E-2</v>
      </c>
      <c r="AQ967" s="7" t="e">
        <f ca="1"/>
        <v>#REF!</v>
      </c>
      <c r="AR967" s="7" t="e">
        <f ca="1"/>
        <v>#REF!</v>
      </c>
      <c r="AS967" s="7">
        <f ca="1"/>
        <v>0.206674078513852</v>
      </c>
      <c r="AT967" s="7" t="e">
        <f ca="1"/>
        <v>#REF!</v>
      </c>
      <c r="AU967" s="7" t="e">
        <f ca="1"/>
        <v>#REF!</v>
      </c>
      <c r="AV967" s="7" t="e">
        <f ca="1"/>
        <v>#REF!</v>
      </c>
    </row>
    <row r="968" spans="37:48" x14ac:dyDescent="0.25">
      <c r="AK968" t="str">
        <f ca="1"/>
        <v>Obs. 1653</v>
      </c>
      <c r="AL968" s="7">
        <f ca="1"/>
        <v>63</v>
      </c>
      <c r="AN968" s="7" t="e">
        <f ca="1"/>
        <v>#REF!</v>
      </c>
      <c r="AO968" s="7" t="e">
        <f ca="1"/>
        <v>#REF!</v>
      </c>
      <c r="AP968" s="7">
        <f ca="1"/>
        <v>0.10545292397756037</v>
      </c>
      <c r="AQ968" s="7" t="e">
        <f ca="1"/>
        <v>#REF!</v>
      </c>
      <c r="AR968" s="7" t="e">
        <f ca="1"/>
        <v>#REF!</v>
      </c>
      <c r="AS968" s="7">
        <f ca="1"/>
        <v>0.206674078513852</v>
      </c>
      <c r="AT968" s="7" t="e">
        <f ca="1"/>
        <v>#REF!</v>
      </c>
      <c r="AU968" s="7" t="e">
        <f ca="1"/>
        <v>#REF!</v>
      </c>
      <c r="AV968" s="7" t="e">
        <f ca="1"/>
        <v>#REF!</v>
      </c>
    </row>
    <row r="969" spans="37:48" x14ac:dyDescent="0.25">
      <c r="AK969" t="str">
        <f ca="1"/>
        <v>Obs. 1654</v>
      </c>
      <c r="AL969" s="7">
        <f ca="1"/>
        <v>62.7</v>
      </c>
      <c r="AN969" s="7" t="e">
        <f ca="1"/>
        <v>#REF!</v>
      </c>
      <c r="AO969" s="7" t="e">
        <f ca="1"/>
        <v>#REF!</v>
      </c>
      <c r="AP969" s="7">
        <f ca="1"/>
        <v>0.10930260245881569</v>
      </c>
      <c r="AQ969" s="7" t="e">
        <f ca="1"/>
        <v>#REF!</v>
      </c>
      <c r="AR969" s="7" t="e">
        <f ca="1"/>
        <v>#REF!</v>
      </c>
      <c r="AS969" s="7">
        <f ca="1"/>
        <v>0.206674078513852</v>
      </c>
      <c r="AT969" s="7" t="e">
        <f ca="1"/>
        <v>#REF!</v>
      </c>
      <c r="AU969" s="7" t="e">
        <f ca="1"/>
        <v>#REF!</v>
      </c>
      <c r="AV969" s="7" t="e">
        <f ca="1"/>
        <v>#REF!</v>
      </c>
    </row>
    <row r="970" spans="37:48" x14ac:dyDescent="0.25">
      <c r="AK970" t="str">
        <f ca="1"/>
        <v>Obs. 1655</v>
      </c>
      <c r="AL970" s="7">
        <f ca="1"/>
        <v>62.5</v>
      </c>
      <c r="AN970" s="7" t="e">
        <f ca="1"/>
        <v>#REF!</v>
      </c>
      <c r="AO970" s="7" t="e">
        <f ca="1"/>
        <v>#REF!</v>
      </c>
      <c r="AP970" s="7">
        <f ca="1"/>
        <v>0.1087258866337171</v>
      </c>
      <c r="AQ970" s="7" t="e">
        <f ca="1"/>
        <v>#REF!</v>
      </c>
      <c r="AR970" s="7" t="e">
        <f ca="1"/>
        <v>#REF!</v>
      </c>
      <c r="AS970" s="7">
        <f ca="1"/>
        <v>0.206674078513852</v>
      </c>
      <c r="AT970" s="7" t="e">
        <f ca="1"/>
        <v>#REF!</v>
      </c>
      <c r="AU970" s="7" t="e">
        <f ca="1"/>
        <v>#REF!</v>
      </c>
      <c r="AV970" s="7" t="e">
        <f ca="1"/>
        <v>#REF!</v>
      </c>
    </row>
    <row r="971" spans="37:48" x14ac:dyDescent="0.25">
      <c r="AK971" t="str">
        <f ca="1"/>
        <v>Obs. 1656</v>
      </c>
      <c r="AL971" s="7">
        <f ca="1"/>
        <v>62.2</v>
      </c>
      <c r="AN971" s="7" t="e">
        <f ca="1"/>
        <v>#REF!</v>
      </c>
      <c r="AO971" s="7" t="e">
        <f ca="1"/>
        <v>#REF!</v>
      </c>
      <c r="AP971" s="7">
        <f ca="1"/>
        <v>9.9675375737195149E-2</v>
      </c>
      <c r="AQ971" s="7" t="e">
        <f ca="1"/>
        <v>#REF!</v>
      </c>
      <c r="AR971" s="7" t="e">
        <f ca="1"/>
        <v>#REF!</v>
      </c>
      <c r="AS971" s="7">
        <f ca="1"/>
        <v>0.206674078513852</v>
      </c>
      <c r="AT971" s="7" t="e">
        <f ca="1"/>
        <v>#REF!</v>
      </c>
      <c r="AU971" s="7" t="e">
        <f ca="1"/>
        <v>#REF!</v>
      </c>
      <c r="AV971" s="7" t="e">
        <f ca="1"/>
        <v>#REF!</v>
      </c>
    </row>
    <row r="972" spans="37:48" x14ac:dyDescent="0.25">
      <c r="AK972" t="str">
        <f ca="1"/>
        <v>Obs. 1657</v>
      </c>
      <c r="AL972" s="7">
        <f ca="1"/>
        <v>62</v>
      </c>
      <c r="AN972" s="7" t="e">
        <f ca="1"/>
        <v>#REF!</v>
      </c>
      <c r="AO972" s="7" t="e">
        <f ca="1"/>
        <v>#REF!</v>
      </c>
      <c r="AP972" s="7">
        <f ca="1"/>
        <v>9.8993236113437466E-2</v>
      </c>
      <c r="AQ972" s="7" t="e">
        <f ca="1"/>
        <v>#REF!</v>
      </c>
      <c r="AR972" s="7" t="e">
        <f ca="1"/>
        <v>#REF!</v>
      </c>
      <c r="AS972" s="7">
        <f ca="1"/>
        <v>0.22222871718700732</v>
      </c>
      <c r="AT972" s="7" t="e">
        <f ca="1"/>
        <v>#REF!</v>
      </c>
      <c r="AU972" s="7" t="e">
        <f ca="1"/>
        <v>#REF!</v>
      </c>
      <c r="AV972" s="7" t="e">
        <f ca="1"/>
        <v>#REF!</v>
      </c>
    </row>
    <row r="973" spans="37:48" x14ac:dyDescent="0.25">
      <c r="AK973" t="str">
        <f ca="1"/>
        <v>Obs. 1658</v>
      </c>
      <c r="AL973" s="7">
        <f ca="1"/>
        <v>61.7</v>
      </c>
      <c r="AN973" s="7" t="e">
        <f ca="1"/>
        <v>#REF!</v>
      </c>
      <c r="AO973" s="7" t="e">
        <f ca="1"/>
        <v>#REF!</v>
      </c>
      <c r="AP973" s="7">
        <f ca="1"/>
        <v>9.9208427819486009E-2</v>
      </c>
      <c r="AQ973" s="7" t="e">
        <f ca="1"/>
        <v>#REF!</v>
      </c>
      <c r="AR973" s="7" t="e">
        <f ca="1"/>
        <v>#REF!</v>
      </c>
      <c r="AS973" s="7">
        <f ca="1"/>
        <v>0.22222871718700732</v>
      </c>
      <c r="AT973" s="7" t="e">
        <f ca="1"/>
        <v>#REF!</v>
      </c>
      <c r="AU973" s="7" t="e">
        <f ca="1"/>
        <v>#REF!</v>
      </c>
      <c r="AV973" s="7" t="e">
        <f ca="1"/>
        <v>#REF!</v>
      </c>
    </row>
    <row r="974" spans="37:48" x14ac:dyDescent="0.25">
      <c r="AK974" t="str">
        <f ca="1"/>
        <v>Obs. 1659</v>
      </c>
      <c r="AL974" s="7">
        <f ca="1"/>
        <v>61.4</v>
      </c>
      <c r="AN974" s="7" t="e">
        <f ca="1"/>
        <v>#REF!</v>
      </c>
      <c r="AO974" s="7" t="e">
        <f ca="1"/>
        <v>#REF!</v>
      </c>
      <c r="AP974" s="7">
        <f ca="1"/>
        <v>9.9764160695844067E-2</v>
      </c>
      <c r="AQ974" s="7" t="e">
        <f ca="1"/>
        <v>#REF!</v>
      </c>
      <c r="AR974" s="7" t="e">
        <f ca="1"/>
        <v>#REF!</v>
      </c>
      <c r="AS974" s="7">
        <f ca="1"/>
        <v>0.22222871718700732</v>
      </c>
      <c r="AT974" s="7" t="e">
        <f ca="1"/>
        <v>#REF!</v>
      </c>
      <c r="AU974" s="7" t="e">
        <f ca="1"/>
        <v>#REF!</v>
      </c>
      <c r="AV974" s="7" t="e">
        <f ca="1"/>
        <v>#REF!</v>
      </c>
    </row>
    <row r="975" spans="37:48" x14ac:dyDescent="0.25">
      <c r="AK975" t="str">
        <f ca="1"/>
        <v>Obs. 1660</v>
      </c>
      <c r="AL975" s="7">
        <f ca="1"/>
        <v>61.2</v>
      </c>
      <c r="AN975" s="7" t="e">
        <f ca="1"/>
        <v>#REF!</v>
      </c>
      <c r="AO975" s="7" t="e">
        <f ca="1"/>
        <v>#REF!</v>
      </c>
      <c r="AP975" s="7">
        <f ca="1"/>
        <v>0.10008488645916691</v>
      </c>
      <c r="AQ975" s="7" t="e">
        <f ca="1"/>
        <v>#REF!</v>
      </c>
      <c r="AR975" s="7" t="e">
        <f ca="1"/>
        <v>#REF!</v>
      </c>
      <c r="AS975" s="7">
        <f ca="1"/>
        <v>0.22222871718700732</v>
      </c>
      <c r="AT975" s="7" t="e">
        <f ca="1"/>
        <v>#REF!</v>
      </c>
      <c r="AU975" s="7" t="e">
        <f ca="1"/>
        <v>#REF!</v>
      </c>
      <c r="AV975" s="7" t="e">
        <f ca="1"/>
        <v>#REF!</v>
      </c>
    </row>
    <row r="976" spans="37:48" x14ac:dyDescent="0.25">
      <c r="AK976" t="str">
        <f ca="1"/>
        <v>Obs. 1661</v>
      </c>
      <c r="AL976" s="7">
        <f ca="1"/>
        <v>69</v>
      </c>
      <c r="AN976" s="7" t="e">
        <f ca="1"/>
        <v>#REF!</v>
      </c>
      <c r="AO976" s="7" t="e">
        <f ca="1"/>
        <v>#REF!</v>
      </c>
      <c r="AP976" s="7">
        <f ca="1"/>
        <v>9.9718101802445183E-2</v>
      </c>
      <c r="AQ976" s="7" t="e">
        <f ca="1"/>
        <v>#REF!</v>
      </c>
      <c r="AR976" s="7" t="e">
        <f ca="1"/>
        <v>#REF!</v>
      </c>
      <c r="AS976" s="7">
        <f ca="1"/>
        <v>0.22222871718700732</v>
      </c>
      <c r="AT976" s="7" t="e">
        <f ca="1"/>
        <v>#REF!</v>
      </c>
      <c r="AU976" s="7" t="e">
        <f ca="1"/>
        <v>#REF!</v>
      </c>
      <c r="AV976" s="7" t="e">
        <f ca="1"/>
        <v>#REF!</v>
      </c>
    </row>
    <row r="977" spans="37:48" x14ac:dyDescent="0.25">
      <c r="AK977" t="str">
        <f ca="1"/>
        <v>Obs. 1662</v>
      </c>
      <c r="AL977" s="7">
        <f ca="1"/>
        <v>66</v>
      </c>
      <c r="AN977" s="7" t="e">
        <f ca="1"/>
        <v>#REF!</v>
      </c>
      <c r="AO977" s="7" t="e">
        <f ca="1"/>
        <v>#REF!</v>
      </c>
      <c r="AP977" s="7">
        <f ca="1"/>
        <v>0.1013945506231409</v>
      </c>
      <c r="AQ977" s="7" t="e">
        <f ca="1"/>
        <v>#REF!</v>
      </c>
      <c r="AR977" s="7" t="e">
        <f ca="1"/>
        <v>#REF!</v>
      </c>
      <c r="AS977" s="7">
        <f ca="1"/>
        <v>0.22222871718700732</v>
      </c>
      <c r="AT977" s="7" t="e">
        <f ca="1"/>
        <v>#REF!</v>
      </c>
      <c r="AU977" s="7" t="e">
        <f ca="1"/>
        <v>#REF!</v>
      </c>
      <c r="AV977" s="7" t="e">
        <f ca="1"/>
        <v>#REF!</v>
      </c>
    </row>
    <row r="978" spans="37:48" x14ac:dyDescent="0.25">
      <c r="AK978" t="str">
        <f ca="1"/>
        <v>Obs. 1669</v>
      </c>
      <c r="AL978" s="7">
        <f ca="1"/>
        <v>74.2</v>
      </c>
      <c r="AN978" s="7" t="e">
        <f ca="1"/>
        <v>#REF!</v>
      </c>
      <c r="AO978" s="7" t="e">
        <f ca="1"/>
        <v>#REF!</v>
      </c>
      <c r="AP978" s="7">
        <f ca="1"/>
        <v>6.868968679236076E-2</v>
      </c>
      <c r="AQ978" s="7" t="e">
        <f ca="1"/>
        <v>#REF!</v>
      </c>
      <c r="AR978" s="7" t="e">
        <f ca="1"/>
        <v>#REF!</v>
      </c>
      <c r="AS978" s="7">
        <f ca="1"/>
        <v>0.22222871718700732</v>
      </c>
      <c r="AT978" s="7" t="e">
        <f ca="1"/>
        <v>#REF!</v>
      </c>
      <c r="AU978" s="7" t="e">
        <f ca="1"/>
        <v>#REF!</v>
      </c>
      <c r="AV978" s="7" t="e">
        <f ca="1"/>
        <v>#REF!</v>
      </c>
    </row>
    <row r="979" spans="37:48" x14ac:dyDescent="0.25">
      <c r="AK979" t="str">
        <f ca="1"/>
        <v>Obs. 1670</v>
      </c>
      <c r="AL979" s="7">
        <f ca="1"/>
        <v>74.099999999999994</v>
      </c>
      <c r="AN979" s="7" t="e">
        <f ca="1"/>
        <v>#REF!</v>
      </c>
      <c r="AO979" s="7" t="e">
        <f ca="1"/>
        <v>#REF!</v>
      </c>
      <c r="AP979" s="7">
        <f ca="1"/>
        <v>6.799216400477405E-2</v>
      </c>
      <c r="AQ979" s="7" t="e">
        <f ca="1"/>
        <v>#REF!</v>
      </c>
      <c r="AR979" s="7" t="e">
        <f ca="1"/>
        <v>#REF!</v>
      </c>
      <c r="AS979" s="7">
        <f ca="1"/>
        <v>0.22222871718700732</v>
      </c>
      <c r="AT979" s="7" t="e">
        <f ca="1"/>
        <v>#REF!</v>
      </c>
      <c r="AU979" s="7" t="e">
        <f ca="1"/>
        <v>#REF!</v>
      </c>
      <c r="AV979" s="7" t="e">
        <f ca="1"/>
        <v>#REF!</v>
      </c>
    </row>
    <row r="980" spans="37:48" x14ac:dyDescent="0.25">
      <c r="AK980" t="str">
        <f ca="1"/>
        <v>Obs. 1671</v>
      </c>
      <c r="AL980" s="7">
        <f ca="1"/>
        <v>73.900000000000006</v>
      </c>
      <c r="AN980" s="7" t="e">
        <f ca="1"/>
        <v>#REF!</v>
      </c>
      <c r="AO980" s="7" t="e">
        <f ca="1"/>
        <v>#REF!</v>
      </c>
      <c r="AP980" s="7">
        <f ca="1"/>
        <v>6.7136694223578985E-2</v>
      </c>
      <c r="AQ980" s="7" t="e">
        <f ca="1"/>
        <v>#REF!</v>
      </c>
      <c r="AR980" s="7" t="e">
        <f ca="1"/>
        <v>#REF!</v>
      </c>
      <c r="AS980" s="7">
        <f ca="1"/>
        <v>0.22222871718700732</v>
      </c>
      <c r="AT980" s="7" t="e">
        <f ca="1"/>
        <v>#REF!</v>
      </c>
      <c r="AU980" s="7" t="e">
        <f ca="1"/>
        <v>#REF!</v>
      </c>
      <c r="AV980" s="7" t="e">
        <f ca="1"/>
        <v>#REF!</v>
      </c>
    </row>
    <row r="981" spans="37:48" x14ac:dyDescent="0.25">
      <c r="AK981" t="str">
        <f ca="1"/>
        <v>Obs. 1672</v>
      </c>
      <c r="AL981" s="7">
        <f ca="1"/>
        <v>73.599999999999994</v>
      </c>
      <c r="AN981" s="7" t="e">
        <f ca="1"/>
        <v>#REF!</v>
      </c>
      <c r="AO981" s="7" t="e">
        <f ca="1"/>
        <v>#REF!</v>
      </c>
      <c r="AP981" s="7">
        <f ca="1"/>
        <v>6.4479489782922783E-2</v>
      </c>
      <c r="AQ981" s="7" t="e">
        <f ca="1"/>
        <v>#REF!</v>
      </c>
      <c r="AR981" s="7" t="e">
        <f ca="1"/>
        <v>#REF!</v>
      </c>
      <c r="AS981" s="7">
        <f ca="1"/>
        <v>0.22222871718700732</v>
      </c>
      <c r="AT981" s="7" t="e">
        <f ca="1"/>
        <v>#REF!</v>
      </c>
      <c r="AU981" s="7" t="e">
        <f ca="1"/>
        <v>#REF!</v>
      </c>
      <c r="AV981" s="7" t="e">
        <f ca="1"/>
        <v>#REF!</v>
      </c>
    </row>
    <row r="982" spans="37:48" x14ac:dyDescent="0.25">
      <c r="AK982" t="str">
        <f ca="1"/>
        <v>Obs. 1673</v>
      </c>
      <c r="AL982" s="7">
        <f ca="1"/>
        <v>73.3</v>
      </c>
      <c r="AN982" s="7" t="e">
        <f ca="1"/>
        <v>#REF!</v>
      </c>
      <c r="AO982" s="7" t="e">
        <f ca="1"/>
        <v>#REF!</v>
      </c>
      <c r="AP982" s="7">
        <f ca="1"/>
        <v>6.7217352295315586E-2</v>
      </c>
      <c r="AQ982" s="7" t="e">
        <f ca="1"/>
        <v>#REF!</v>
      </c>
      <c r="AR982" s="7" t="e">
        <f ca="1"/>
        <v>#REF!</v>
      </c>
      <c r="AS982" s="7">
        <f ca="1"/>
        <v>0.22222871718700732</v>
      </c>
      <c r="AT982" s="7" t="e">
        <f ca="1"/>
        <v>#REF!</v>
      </c>
      <c r="AU982" s="7" t="e">
        <f ca="1"/>
        <v>#REF!</v>
      </c>
      <c r="AV982" s="7" t="e">
        <f ca="1"/>
        <v>#REF!</v>
      </c>
    </row>
    <row r="983" spans="37:48" x14ac:dyDescent="0.25">
      <c r="AK983" t="str">
        <f ca="1"/>
        <v>Obs. 1674</v>
      </c>
      <c r="AL983" s="7">
        <f ca="1"/>
        <v>72.8</v>
      </c>
      <c r="AN983" s="7" t="e">
        <f ca="1"/>
        <v>#REF!</v>
      </c>
      <c r="AO983" s="7" t="e">
        <f ca="1"/>
        <v>#REF!</v>
      </c>
      <c r="AP983" s="7">
        <f ca="1"/>
        <v>6.5813668127881989E-2</v>
      </c>
      <c r="AQ983" s="7" t="e">
        <f ca="1"/>
        <v>#REF!</v>
      </c>
      <c r="AR983" s="7" t="e">
        <f ca="1"/>
        <v>#REF!</v>
      </c>
      <c r="AS983" s="7">
        <f ca="1"/>
        <v>0.22222871718700732</v>
      </c>
      <c r="AT983" s="7" t="e">
        <f ca="1"/>
        <v>#REF!</v>
      </c>
      <c r="AU983" s="7" t="e">
        <f ca="1"/>
        <v>#REF!</v>
      </c>
      <c r="AV983" s="7" t="e">
        <f ca="1"/>
        <v>#REF!</v>
      </c>
    </row>
    <row r="984" spans="37:48" x14ac:dyDescent="0.25">
      <c r="AK984" t="str">
        <f ca="1"/>
        <v>Obs. 1675</v>
      </c>
      <c r="AL984" s="7">
        <f ca="1"/>
        <v>72.7</v>
      </c>
      <c r="AN984" s="7" t="e">
        <f ca="1"/>
        <v>#REF!</v>
      </c>
      <c r="AO984" s="7" t="e">
        <f ca="1"/>
        <v>#REF!</v>
      </c>
      <c r="AP984" s="7">
        <f ca="1"/>
        <v>6.4241791189611E-2</v>
      </c>
      <c r="AQ984" s="7" t="e">
        <f ca="1"/>
        <v>#REF!</v>
      </c>
      <c r="AR984" s="7" t="e">
        <f ca="1"/>
        <v>#REF!</v>
      </c>
      <c r="AS984" s="7">
        <f ca="1"/>
        <v>0.22222871718700732</v>
      </c>
      <c r="AT984" s="7" t="e">
        <f ca="1"/>
        <v>#REF!</v>
      </c>
      <c r="AU984" s="7" t="e">
        <f ca="1"/>
        <v>#REF!</v>
      </c>
      <c r="AV984" s="7" t="e">
        <f ca="1"/>
        <v>#REF!</v>
      </c>
    </row>
    <row r="985" spans="37:48" x14ac:dyDescent="0.25">
      <c r="AK985" t="str">
        <f ca="1"/>
        <v>Obs. 1676</v>
      </c>
      <c r="AL985" s="7">
        <f ca="1"/>
        <v>72.900000000000006</v>
      </c>
      <c r="AN985" s="7" t="e">
        <f ca="1"/>
        <v>#REF!</v>
      </c>
      <c r="AO985" s="7" t="e">
        <f ca="1"/>
        <v>#REF!</v>
      </c>
      <c r="AP985" s="7">
        <f ca="1"/>
        <v>6.354635361662847E-2</v>
      </c>
      <c r="AQ985" s="7" t="e">
        <f ca="1"/>
        <v>#REF!</v>
      </c>
      <c r="AR985" s="7" t="e">
        <f ca="1"/>
        <v>#REF!</v>
      </c>
      <c r="AS985" s="7">
        <f ca="1"/>
        <v>0.22222871718700732</v>
      </c>
      <c r="AT985" s="7" t="e">
        <f ca="1"/>
        <v>#REF!</v>
      </c>
      <c r="AU985" s="7" t="e">
        <f ca="1"/>
        <v>#REF!</v>
      </c>
      <c r="AV985" s="7" t="e">
        <f ca="1"/>
        <v>#REF!</v>
      </c>
    </row>
    <row r="986" spans="37:48" x14ac:dyDescent="0.25">
      <c r="AK986" t="str">
        <f ca="1"/>
        <v>Obs. 1677</v>
      </c>
      <c r="AL986" s="7">
        <f ca="1"/>
        <v>71.8</v>
      </c>
      <c r="AN986" s="7" t="e">
        <f ca="1"/>
        <v>#REF!</v>
      </c>
      <c r="AO986" s="7" t="e">
        <f ca="1"/>
        <v>#REF!</v>
      </c>
      <c r="AP986" s="7">
        <f ca="1"/>
        <v>6.3722579924748959E-2</v>
      </c>
      <c r="AQ986" s="7" t="e">
        <f ca="1"/>
        <v>#REF!</v>
      </c>
      <c r="AR986" s="7" t="e">
        <f ca="1"/>
        <v>#REF!</v>
      </c>
      <c r="AS986" s="7">
        <f ca="1"/>
        <v>0.22222871718700732</v>
      </c>
      <c r="AT986" s="7" t="e">
        <f ca="1"/>
        <v>#REF!</v>
      </c>
      <c r="AU986" s="7" t="e">
        <f ca="1"/>
        <v>#REF!</v>
      </c>
      <c r="AV986" s="7" t="e">
        <f ca="1"/>
        <v>#REF!</v>
      </c>
    </row>
    <row r="987" spans="37:48" x14ac:dyDescent="0.25">
      <c r="AK987" t="str">
        <f ca="1"/>
        <v>Obs. 1678</v>
      </c>
      <c r="AL987" s="7">
        <f ca="1"/>
        <v>72.099999999999994</v>
      </c>
      <c r="AN987" s="7" t="e">
        <f ca="1"/>
        <v>#REF!</v>
      </c>
      <c r="AO987" s="7" t="e">
        <f ca="1"/>
        <v>#REF!</v>
      </c>
      <c r="AP987" s="7">
        <f ca="1"/>
        <v>6.3882351158591075E-2</v>
      </c>
      <c r="AQ987" s="7" t="e">
        <f ca="1"/>
        <v>#REF!</v>
      </c>
      <c r="AR987" s="7" t="e">
        <f ca="1"/>
        <v>#REF!</v>
      </c>
      <c r="AS987" s="7">
        <f ca="1"/>
        <v>0.22222871718700732</v>
      </c>
      <c r="AT987" s="7" t="e">
        <f ca="1"/>
        <v>#REF!</v>
      </c>
      <c r="AU987" s="7" t="e">
        <f ca="1"/>
        <v>#REF!</v>
      </c>
      <c r="AV987" s="7" t="e">
        <f ca="1"/>
        <v>#REF!</v>
      </c>
    </row>
    <row r="988" spans="37:48" x14ac:dyDescent="0.25">
      <c r="AK988" t="str">
        <f ca="1"/>
        <v>Obs. 1679</v>
      </c>
      <c r="AL988" s="7">
        <f ca="1"/>
        <v>71.900000000000006</v>
      </c>
      <c r="AN988" s="7" t="e">
        <f ca="1"/>
        <v>#REF!</v>
      </c>
      <c r="AO988" s="7" t="e">
        <f ca="1"/>
        <v>#REF!</v>
      </c>
      <c r="AP988" s="7">
        <f ca="1"/>
        <v>6.428920859727387E-2</v>
      </c>
      <c r="AQ988" s="7" t="e">
        <f ca="1"/>
        <v>#REF!</v>
      </c>
      <c r="AR988" s="7" t="e">
        <f ca="1"/>
        <v>#REF!</v>
      </c>
      <c r="AS988" s="7">
        <f ca="1"/>
        <v>0.22222871718700732</v>
      </c>
      <c r="AT988" s="7" t="e">
        <f ca="1"/>
        <v>#REF!</v>
      </c>
      <c r="AU988" s="7" t="e">
        <f ca="1"/>
        <v>#REF!</v>
      </c>
      <c r="AV988" s="7" t="e">
        <f ca="1"/>
        <v>#REF!</v>
      </c>
    </row>
    <row r="989" spans="37:48" x14ac:dyDescent="0.25">
      <c r="AK989" t="str">
        <f ca="1"/>
        <v>Obs. 1680</v>
      </c>
      <c r="AL989" s="7">
        <f ca="1"/>
        <v>71.5</v>
      </c>
      <c r="AN989" s="7" t="e">
        <f ca="1"/>
        <v>#REF!</v>
      </c>
      <c r="AO989" s="7" t="e">
        <f ca="1"/>
        <v>#REF!</v>
      </c>
      <c r="AP989" s="7">
        <f ca="1"/>
        <v>6.4602948014372136E-2</v>
      </c>
      <c r="AQ989" s="7" t="e">
        <f ca="1"/>
        <v>#REF!</v>
      </c>
      <c r="AR989" s="7" t="e">
        <f ca="1"/>
        <v>#REF!</v>
      </c>
      <c r="AS989" s="7">
        <f ca="1"/>
        <v>0.22222871718700732</v>
      </c>
      <c r="AT989" s="7" t="e">
        <f ca="1"/>
        <v>#REF!</v>
      </c>
      <c r="AU989" s="7" t="e">
        <f ca="1"/>
        <v>#REF!</v>
      </c>
      <c r="AV989" s="7" t="e">
        <f ca="1"/>
        <v>#REF!</v>
      </c>
    </row>
    <row r="990" spans="37:48" x14ac:dyDescent="0.25">
      <c r="AK990" t="str">
        <f ca="1"/>
        <v>Obs. 1681</v>
      </c>
      <c r="AL990" s="7">
        <f ca="1"/>
        <v>71.5</v>
      </c>
      <c r="AN990" s="7" t="e">
        <f ca="1"/>
        <v>#REF!</v>
      </c>
      <c r="AO990" s="7" t="e">
        <f ca="1"/>
        <v>#REF!</v>
      </c>
      <c r="AP990" s="7">
        <f ca="1"/>
        <v>6.5010011144745555E-2</v>
      </c>
      <c r="AQ990" s="7" t="e">
        <f ca="1"/>
        <v>#REF!</v>
      </c>
      <c r="AR990" s="7" t="e">
        <f ca="1"/>
        <v>#REF!</v>
      </c>
      <c r="AS990" s="7">
        <f ca="1"/>
        <v>0.22222871718700732</v>
      </c>
      <c r="AT990" s="7" t="e">
        <f ca="1"/>
        <v>#REF!</v>
      </c>
      <c r="AU990" s="7" t="e">
        <f ca="1"/>
        <v>#REF!</v>
      </c>
      <c r="AV990" s="7" t="e">
        <f ca="1"/>
        <v>#REF!</v>
      </c>
    </row>
    <row r="991" spans="37:48" x14ac:dyDescent="0.25">
      <c r="AK991" t="str">
        <f ca="1"/>
        <v>Obs. 1682</v>
      </c>
      <c r="AL991" s="7">
        <f ca="1"/>
        <v>71.5</v>
      </c>
      <c r="AN991" s="7" t="e">
        <f ca="1"/>
        <v>#REF!</v>
      </c>
      <c r="AO991" s="7" t="e">
        <f ca="1"/>
        <v>#REF!</v>
      </c>
      <c r="AP991" s="7">
        <f ca="1"/>
        <v>6.6356982954265162E-2</v>
      </c>
      <c r="AQ991" s="7" t="e">
        <f ca="1"/>
        <v>#REF!</v>
      </c>
      <c r="AR991" s="7" t="e">
        <f ca="1"/>
        <v>#REF!</v>
      </c>
      <c r="AS991" s="7">
        <f ca="1"/>
        <v>0.22222871718700732</v>
      </c>
      <c r="AT991" s="7" t="e">
        <f ca="1"/>
        <v>#REF!</v>
      </c>
      <c r="AU991" s="7" t="e">
        <f ca="1"/>
        <v>#REF!</v>
      </c>
      <c r="AV991" s="7" t="e">
        <f ca="1"/>
        <v>#REF!</v>
      </c>
    </row>
    <row r="992" spans="37:48" x14ac:dyDescent="0.25">
      <c r="AK992" t="str">
        <f ca="1"/>
        <v>Obs. 1683</v>
      </c>
      <c r="AL992" s="7">
        <f ca="1"/>
        <v>71</v>
      </c>
      <c r="AN992" s="7" t="e">
        <f ca="1"/>
        <v>#REF!</v>
      </c>
      <c r="AO992" s="7" t="e">
        <f ca="1"/>
        <v>#REF!</v>
      </c>
      <c r="AP992" s="7">
        <f ca="1"/>
        <v>6.6865118456997719E-2</v>
      </c>
      <c r="AQ992" s="7" t="e">
        <f ca="1"/>
        <v>#REF!</v>
      </c>
      <c r="AR992" s="7" t="e">
        <f ca="1"/>
        <v>#REF!</v>
      </c>
      <c r="AS992" s="7">
        <f ca="1"/>
        <v>0.22222871718700732</v>
      </c>
      <c r="AT992" s="7" t="e">
        <f ca="1"/>
        <v>#REF!</v>
      </c>
      <c r="AU992" s="7" t="e">
        <f ca="1"/>
        <v>#REF!</v>
      </c>
      <c r="AV992" s="7" t="e">
        <f ca="1"/>
        <v>#REF!</v>
      </c>
    </row>
    <row r="993" spans="37:48" x14ac:dyDescent="0.25">
      <c r="AK993" t="str">
        <f ca="1"/>
        <v>Obs. 1685</v>
      </c>
      <c r="AL993" s="7">
        <f ca="1"/>
        <v>76.599999999999994</v>
      </c>
      <c r="AN993" s="7" t="e">
        <f ca="1"/>
        <v>#REF!</v>
      </c>
      <c r="AO993" s="7" t="e">
        <f ca="1"/>
        <v>#REF!</v>
      </c>
      <c r="AP993" s="7">
        <f ca="1"/>
        <v>6.7439178982876297E-2</v>
      </c>
      <c r="AQ993" s="7" t="e">
        <f ca="1"/>
        <v>#REF!</v>
      </c>
      <c r="AR993" s="7" t="e">
        <f ca="1"/>
        <v>#REF!</v>
      </c>
      <c r="AS993" s="7">
        <f ca="1"/>
        <v>0.22222871718700732</v>
      </c>
      <c r="AT993" s="7" t="e">
        <f ca="1"/>
        <v>#REF!</v>
      </c>
      <c r="AU993" s="7" t="e">
        <f ca="1"/>
        <v>#REF!</v>
      </c>
      <c r="AV993" s="7" t="e">
        <f ca="1"/>
        <v>#REF!</v>
      </c>
    </row>
    <row r="994" spans="37:48" x14ac:dyDescent="0.25">
      <c r="AK994" t="str">
        <f ca="1"/>
        <v>Obs. 1686</v>
      </c>
      <c r="AL994" s="7">
        <f ca="1"/>
        <v>76.599999999999994</v>
      </c>
      <c r="AN994" s="7" t="e">
        <f ca="1"/>
        <v>#REF!</v>
      </c>
      <c r="AO994" s="7" t="e">
        <f ca="1"/>
        <v>#REF!</v>
      </c>
      <c r="AP994" s="7">
        <f ca="1"/>
        <v>7.0538455745106046E-2</v>
      </c>
      <c r="AQ994" s="7" t="e">
        <f ca="1"/>
        <v>#REF!</v>
      </c>
      <c r="AR994" s="7" t="e">
        <f ca="1"/>
        <v>#REF!</v>
      </c>
      <c r="AS994" s="7">
        <f ca="1"/>
        <v>0.22222871718700732</v>
      </c>
      <c r="AT994" s="7" t="e">
        <f ca="1"/>
        <v>#REF!</v>
      </c>
      <c r="AU994" s="7" t="e">
        <f ca="1"/>
        <v>#REF!</v>
      </c>
      <c r="AV994" s="7" t="e">
        <f ca="1"/>
        <v>#REF!</v>
      </c>
    </row>
    <row r="995" spans="37:48" x14ac:dyDescent="0.25">
      <c r="AK995" t="str">
        <f ca="1"/>
        <v>Obs. 1687</v>
      </c>
      <c r="AL995" s="7">
        <f ca="1"/>
        <v>76.3</v>
      </c>
      <c r="AN995" s="7" t="e">
        <f ca="1"/>
        <v>#REF!</v>
      </c>
      <c r="AO995" s="7" t="e">
        <f ca="1"/>
        <v>#REF!</v>
      </c>
      <c r="AP995" s="7">
        <f ca="1"/>
        <v>6.4910042493705356E-2</v>
      </c>
      <c r="AQ995" s="7" t="e">
        <f ca="1"/>
        <v>#REF!</v>
      </c>
      <c r="AR995" s="7" t="e">
        <f ca="1"/>
        <v>#REF!</v>
      </c>
      <c r="AS995" s="7">
        <f ca="1"/>
        <v>0.22222871718700732</v>
      </c>
      <c r="AT995" s="7" t="e">
        <f ca="1"/>
        <v>#REF!</v>
      </c>
      <c r="AU995" s="7" t="e">
        <f ca="1"/>
        <v>#REF!</v>
      </c>
      <c r="AV995" s="7" t="e">
        <f ca="1"/>
        <v>#REF!</v>
      </c>
    </row>
    <row r="996" spans="37:48" x14ac:dyDescent="0.25">
      <c r="AK996" t="str">
        <f ca="1"/>
        <v>Obs. 1688</v>
      </c>
      <c r="AL996" s="7">
        <f ca="1"/>
        <v>76.099999999999994</v>
      </c>
      <c r="AN996" s="7" t="e">
        <f ca="1"/>
        <v>#REF!</v>
      </c>
      <c r="AO996" s="7" t="e">
        <f ca="1"/>
        <v>#REF!</v>
      </c>
      <c r="AP996" s="7">
        <f ca="1"/>
        <v>7.2164309369282378E-2</v>
      </c>
      <c r="AQ996" s="7" t="e">
        <f ca="1"/>
        <v>#REF!</v>
      </c>
      <c r="AR996" s="7" t="e">
        <f ca="1"/>
        <v>#REF!</v>
      </c>
      <c r="AS996" s="7">
        <f ca="1"/>
        <v>0.22222871718700732</v>
      </c>
      <c r="AT996" s="7" t="e">
        <f ca="1"/>
        <v>#REF!</v>
      </c>
      <c r="AU996" s="7" t="e">
        <f ca="1"/>
        <v>#REF!</v>
      </c>
      <c r="AV996" s="7" t="e">
        <f ca="1"/>
        <v>#REF!</v>
      </c>
    </row>
    <row r="997" spans="37:48" x14ac:dyDescent="0.25">
      <c r="AK997" t="str">
        <f ca="1"/>
        <v>Obs. 1689</v>
      </c>
      <c r="AL997" s="7">
        <f ca="1"/>
        <v>75.599999999999994</v>
      </c>
      <c r="AN997" s="7" t="e">
        <f ca="1"/>
        <v>#REF!</v>
      </c>
      <c r="AO997" s="7" t="e">
        <f ca="1"/>
        <v>#REF!</v>
      </c>
      <c r="AP997" s="7">
        <f ca="1"/>
        <v>7.4203829472149374E-2</v>
      </c>
      <c r="AQ997" s="7" t="e">
        <f ca="1"/>
        <v>#REF!</v>
      </c>
      <c r="AR997" s="7" t="e">
        <f ca="1"/>
        <v>#REF!</v>
      </c>
      <c r="AS997" s="7">
        <f ca="1"/>
        <v>0.22222871718700732</v>
      </c>
      <c r="AT997" s="7" t="e">
        <f ca="1"/>
        <v>#REF!</v>
      </c>
      <c r="AU997" s="7" t="e">
        <f ca="1"/>
        <v>#REF!</v>
      </c>
      <c r="AV997" s="7" t="e">
        <f ca="1"/>
        <v>#REF!</v>
      </c>
    </row>
    <row r="998" spans="37:48" x14ac:dyDescent="0.25">
      <c r="AK998" t="str">
        <f ca="1"/>
        <v>Obs. 1690</v>
      </c>
      <c r="AL998" s="7">
        <f ca="1"/>
        <v>75.7</v>
      </c>
      <c r="AN998" s="7" t="e">
        <f ca="1"/>
        <v>#REF!</v>
      </c>
      <c r="AO998" s="7" t="e">
        <f ca="1"/>
        <v>#REF!</v>
      </c>
      <c r="AP998" s="7">
        <f ca="1"/>
        <v>6.4029196474462369E-2</v>
      </c>
      <c r="AQ998" s="7" t="e">
        <f ca="1"/>
        <v>#REF!</v>
      </c>
      <c r="AR998" s="7" t="e">
        <f ca="1"/>
        <v>#REF!</v>
      </c>
      <c r="AS998" s="7">
        <f ca="1"/>
        <v>0.22222871718700732</v>
      </c>
      <c r="AT998" s="7" t="e">
        <f ca="1"/>
        <v>#REF!</v>
      </c>
      <c r="AU998" s="7" t="e">
        <f ca="1"/>
        <v>#REF!</v>
      </c>
      <c r="AV998" s="7" t="e">
        <f ca="1"/>
        <v>#REF!</v>
      </c>
    </row>
    <row r="999" spans="37:48" x14ac:dyDescent="0.25">
      <c r="AK999" t="str">
        <f ca="1"/>
        <v>Obs. 1691</v>
      </c>
      <c r="AL999" s="7">
        <f ca="1"/>
        <v>75.599999999999994</v>
      </c>
      <c r="AN999" s="7" t="e">
        <f ca="1"/>
        <v>#REF!</v>
      </c>
      <c r="AO999" s="7" t="e">
        <f ca="1"/>
        <v>#REF!</v>
      </c>
      <c r="AP999" s="7">
        <f ca="1"/>
        <v>6.8784215101747537E-2</v>
      </c>
      <c r="AQ999" s="7" t="e">
        <f ca="1"/>
        <v>#REF!</v>
      </c>
      <c r="AR999" s="7" t="e">
        <f ca="1"/>
        <v>#REF!</v>
      </c>
      <c r="AS999" s="7">
        <f ca="1"/>
        <v>0.22222871718700732</v>
      </c>
      <c r="AT999" s="7" t="e">
        <f ca="1"/>
        <v>#REF!</v>
      </c>
      <c r="AU999" s="7" t="e">
        <f ca="1"/>
        <v>#REF!</v>
      </c>
      <c r="AV999" s="7" t="e">
        <f ca="1"/>
        <v>#REF!</v>
      </c>
    </row>
    <row r="1000" spans="37:48" x14ac:dyDescent="0.25">
      <c r="AK1000" t="str">
        <f ca="1"/>
        <v>Obs. 1692</v>
      </c>
      <c r="AL1000" s="7">
        <f ca="1"/>
        <v>76</v>
      </c>
      <c r="AN1000" s="7" t="e">
        <f ca="1"/>
        <v>#REF!</v>
      </c>
      <c r="AO1000" s="7" t="e">
        <f ca="1"/>
        <v>#REF!</v>
      </c>
      <c r="AP1000" s="7">
        <f ca="1"/>
        <v>6.5417930326871765E-2</v>
      </c>
      <c r="AQ1000" s="7" t="e">
        <f ca="1"/>
        <v>#REF!</v>
      </c>
      <c r="AR1000" s="7" t="e">
        <f ca="1"/>
        <v>#REF!</v>
      </c>
      <c r="AS1000" s="7">
        <f ca="1"/>
        <v>0.22222871718700732</v>
      </c>
      <c r="AT1000" s="7" t="e">
        <f ca="1"/>
        <v>#REF!</v>
      </c>
      <c r="AU1000" s="7" t="e">
        <f ca="1"/>
        <v>#REF!</v>
      </c>
      <c r="AV1000" s="7" t="e">
        <f ca="1"/>
        <v>#REF!</v>
      </c>
    </row>
    <row r="1001" spans="37:48" x14ac:dyDescent="0.25">
      <c r="AK1001" t="str">
        <f ca="1"/>
        <v>Obs. 1693</v>
      </c>
      <c r="AL1001" s="7">
        <f ca="1"/>
        <v>75.8</v>
      </c>
      <c r="AN1001" s="7" t="e">
        <f ca="1"/>
        <v>#REF!</v>
      </c>
      <c r="AO1001" s="7" t="e">
        <f ca="1"/>
        <v>#REF!</v>
      </c>
      <c r="AP1001" s="7">
        <f ca="1"/>
        <v>6.3121818211670733E-2</v>
      </c>
      <c r="AQ1001" s="7" t="e">
        <f ca="1"/>
        <v>#REF!</v>
      </c>
      <c r="AR1001" s="7" t="e">
        <f ca="1"/>
        <v>#REF!</v>
      </c>
      <c r="AS1001" s="7">
        <f ca="1"/>
        <v>0.22222871718700732</v>
      </c>
      <c r="AT1001" s="7" t="e">
        <f ca="1"/>
        <v>#REF!</v>
      </c>
      <c r="AU1001" s="7" t="e">
        <f ca="1"/>
        <v>#REF!</v>
      </c>
      <c r="AV1001" s="7" t="e">
        <f ca="1"/>
        <v>#REF!</v>
      </c>
    </row>
    <row r="1002" spans="37:48" x14ac:dyDescent="0.25">
      <c r="AK1002" t="str">
        <f ca="1"/>
        <v>Obs. 1694</v>
      </c>
      <c r="AL1002" s="7">
        <f ca="1"/>
        <v>75.3</v>
      </c>
      <c r="AN1002" s="7" t="e">
        <f ca="1"/>
        <v>#REF!</v>
      </c>
      <c r="AO1002" s="7" t="e">
        <f ca="1"/>
        <v>#REF!</v>
      </c>
      <c r="AP1002" s="7">
        <f ca="1"/>
        <v>6.3121517880967398E-2</v>
      </c>
      <c r="AQ1002" s="7" t="e">
        <f ca="1"/>
        <v>#REF!</v>
      </c>
      <c r="AR1002" s="7" t="e">
        <f ca="1"/>
        <v>#REF!</v>
      </c>
      <c r="AS1002" s="7">
        <f ca="1"/>
        <v>0.22222871718700732</v>
      </c>
      <c r="AT1002" s="7" t="e">
        <f ca="1"/>
        <v>#REF!</v>
      </c>
      <c r="AU1002" s="7" t="e">
        <f ca="1"/>
        <v>#REF!</v>
      </c>
      <c r="AV1002" s="7" t="e">
        <f ca="1"/>
        <v>#REF!</v>
      </c>
    </row>
    <row r="1003" spans="37:48" x14ac:dyDescent="0.25">
      <c r="AK1003" t="str">
        <f ca="1"/>
        <v>Obs. 1695</v>
      </c>
      <c r="AL1003" s="7">
        <f ca="1"/>
        <v>75.400000000000006</v>
      </c>
      <c r="AN1003" s="7" t="e">
        <f ca="1"/>
        <v>#REF!</v>
      </c>
      <c r="AO1003" s="7" t="e">
        <f ca="1"/>
        <v>#REF!</v>
      </c>
      <c r="AP1003" s="7">
        <f ca="1"/>
        <v>6.3548879361482374E-2</v>
      </c>
      <c r="AQ1003" s="7" t="e">
        <f ca="1"/>
        <v>#REF!</v>
      </c>
      <c r="AR1003" s="7" t="e">
        <f ca="1"/>
        <v>#REF!</v>
      </c>
      <c r="AS1003" s="7">
        <f ca="1"/>
        <v>0.22222871718700732</v>
      </c>
      <c r="AT1003" s="7" t="e">
        <f ca="1"/>
        <v>#REF!</v>
      </c>
      <c r="AU1003" s="7" t="e">
        <f ca="1"/>
        <v>#REF!</v>
      </c>
      <c r="AV1003" s="7" t="e">
        <f ca="1"/>
        <v>#REF!</v>
      </c>
    </row>
    <row r="1004" spans="37:48" x14ac:dyDescent="0.25">
      <c r="AK1004" t="str">
        <f ca="1"/>
        <v>Obs. 1696</v>
      </c>
      <c r="AL1004" s="7">
        <f ca="1"/>
        <v>75</v>
      </c>
      <c r="AN1004" s="7" t="e">
        <f ca="1"/>
        <v>#REF!</v>
      </c>
      <c r="AO1004" s="7" t="e">
        <f ca="1"/>
        <v>#REF!</v>
      </c>
      <c r="AP1004" s="7">
        <f ca="1"/>
        <v>6.4279058265432842E-2</v>
      </c>
      <c r="AQ1004" s="7" t="e">
        <f ca="1"/>
        <v>#REF!</v>
      </c>
      <c r="AR1004" s="7" t="e">
        <f ca="1"/>
        <v>#REF!</v>
      </c>
      <c r="AS1004" s="7">
        <f ca="1"/>
        <v>0.22222871718700732</v>
      </c>
      <c r="AT1004" s="7" t="e">
        <f ca="1"/>
        <v>#REF!</v>
      </c>
      <c r="AU1004" s="7" t="e">
        <f ca="1"/>
        <v>#REF!</v>
      </c>
      <c r="AV1004" s="7" t="e">
        <f ca="1"/>
        <v>#REF!</v>
      </c>
    </row>
    <row r="1005" spans="37:48" x14ac:dyDescent="0.25">
      <c r="AK1005" t="str">
        <f ca="1"/>
        <v>Obs. 1697</v>
      </c>
      <c r="AL1005" s="7">
        <f ca="1"/>
        <v>75</v>
      </c>
      <c r="AN1005" s="7" t="e">
        <f ca="1"/>
        <v>#REF!</v>
      </c>
      <c r="AO1005" s="7" t="e">
        <f ca="1"/>
        <v>#REF!</v>
      </c>
      <c r="AP1005" s="7">
        <f ca="1"/>
        <v>6.4639408781411445E-2</v>
      </c>
      <c r="AQ1005" s="7" t="e">
        <f ca="1"/>
        <v>#REF!</v>
      </c>
      <c r="AR1005" s="7" t="e">
        <f ca="1"/>
        <v>#REF!</v>
      </c>
      <c r="AS1005" s="7">
        <f ca="1"/>
        <v>0.22222871718700732</v>
      </c>
      <c r="AT1005" s="7" t="e">
        <f ca="1"/>
        <v>#REF!</v>
      </c>
      <c r="AU1005" s="7" t="e">
        <f ca="1"/>
        <v>#REF!</v>
      </c>
      <c r="AV1005" s="7" t="e">
        <f ca="1"/>
        <v>#REF!</v>
      </c>
    </row>
    <row r="1006" spans="37:48" x14ac:dyDescent="0.25">
      <c r="AK1006" t="str">
        <f ca="1"/>
        <v>Obs. 1698</v>
      </c>
      <c r="AL1006" s="7">
        <f ca="1"/>
        <v>75</v>
      </c>
      <c r="AN1006" s="7" t="e">
        <f ca="1"/>
        <v>#REF!</v>
      </c>
      <c r="AO1006" s="7" t="e">
        <f ca="1"/>
        <v>#REF!</v>
      </c>
      <c r="AP1006" s="7">
        <f ca="1"/>
        <v>6.4995004889004615E-2</v>
      </c>
      <c r="AQ1006" s="7" t="e">
        <f ca="1"/>
        <v>#REF!</v>
      </c>
      <c r="AR1006" s="7" t="e">
        <f ca="1"/>
        <v>#REF!</v>
      </c>
      <c r="AS1006" s="7">
        <f ca="1"/>
        <v>0.22222871718700732</v>
      </c>
      <c r="AT1006" s="7" t="e">
        <f ca="1"/>
        <v>#REF!</v>
      </c>
      <c r="AU1006" s="7" t="e">
        <f ca="1"/>
        <v>#REF!</v>
      </c>
      <c r="AV1006" s="7" t="e">
        <f ca="1"/>
        <v>#REF!</v>
      </c>
    </row>
    <row r="1007" spans="37:48" x14ac:dyDescent="0.25">
      <c r="AK1007" t="str">
        <f ca="1"/>
        <v>Obs. 1699</v>
      </c>
      <c r="AL1007" s="7">
        <f ca="1"/>
        <v>74.8</v>
      </c>
      <c r="AN1007" s="7" t="e">
        <f ca="1"/>
        <v>#REF!</v>
      </c>
      <c r="AO1007" s="7" t="e">
        <f ca="1"/>
        <v>#REF!</v>
      </c>
      <c r="AP1007" s="7">
        <f ca="1"/>
        <v>6.6194669225110969E-2</v>
      </c>
      <c r="AQ1007" s="7" t="e">
        <f ca="1"/>
        <v>#REF!</v>
      </c>
      <c r="AR1007" s="7" t="e">
        <f ca="1"/>
        <v>#REF!</v>
      </c>
      <c r="AS1007" s="7">
        <f ca="1"/>
        <v>0.22222871718700732</v>
      </c>
      <c r="AT1007" s="7" t="e">
        <f ca="1"/>
        <v>#REF!</v>
      </c>
      <c r="AU1007" s="7" t="e">
        <f ca="1"/>
        <v>#REF!</v>
      </c>
      <c r="AV1007" s="7" t="e">
        <f ca="1"/>
        <v>#REF!</v>
      </c>
    </row>
    <row r="1008" spans="37:48" x14ac:dyDescent="0.25">
      <c r="AK1008" t="str">
        <f ca="1"/>
        <v>Obs. 1718</v>
      </c>
      <c r="AL1008" s="7">
        <f ca="1"/>
        <v>68.400000000000006</v>
      </c>
      <c r="AN1008" s="7" t="e">
        <f ca="1"/>
        <v>#REF!</v>
      </c>
      <c r="AO1008" s="7" t="e">
        <f ca="1"/>
        <v>#REF!</v>
      </c>
      <c r="AP1008" s="7">
        <f ca="1"/>
        <v>7.1773801439067045E-2</v>
      </c>
      <c r="AQ1008" s="7" t="e">
        <f ca="1"/>
        <v>#REF!</v>
      </c>
      <c r="AR1008" s="7" t="e">
        <f ca="1"/>
        <v>#REF!</v>
      </c>
      <c r="AS1008" s="7">
        <f ca="1"/>
        <v>0.27870266916975811</v>
      </c>
      <c r="AT1008" s="7" t="e">
        <f ca="1"/>
        <v>#REF!</v>
      </c>
      <c r="AU1008" s="7" t="e">
        <f ca="1"/>
        <v>#REF!</v>
      </c>
      <c r="AV1008" s="7" t="e">
        <f ca="1"/>
        <v>#REF!</v>
      </c>
    </row>
    <row r="1009" spans="37:48" x14ac:dyDescent="0.25">
      <c r="AK1009" t="str">
        <f ca="1"/>
        <v>Obs. 1719</v>
      </c>
      <c r="AL1009" s="7">
        <f ca="1"/>
        <v>68.099999999999994</v>
      </c>
      <c r="AN1009" s="7" t="e">
        <f ca="1"/>
        <v>#REF!</v>
      </c>
      <c r="AO1009" s="7" t="e">
        <f ca="1"/>
        <v>#REF!</v>
      </c>
      <c r="AP1009" s="7">
        <f ca="1"/>
        <v>7.6942344764626538E-2</v>
      </c>
      <c r="AQ1009" s="7" t="e">
        <f ca="1"/>
        <v>#REF!</v>
      </c>
      <c r="AR1009" s="7" t="e">
        <f ca="1"/>
        <v>#REF!</v>
      </c>
      <c r="AS1009" s="7">
        <f ca="1"/>
        <v>0.27870266916975811</v>
      </c>
      <c r="AT1009" s="7" t="e">
        <f ca="1"/>
        <v>#REF!</v>
      </c>
      <c r="AU1009" s="7" t="e">
        <f ca="1"/>
        <v>#REF!</v>
      </c>
      <c r="AV1009" s="7" t="e">
        <f ca="1"/>
        <v>#REF!</v>
      </c>
    </row>
    <row r="1010" spans="37:48" x14ac:dyDescent="0.25">
      <c r="AK1010" t="str">
        <f ca="1"/>
        <v>Obs. 1720</v>
      </c>
      <c r="AL1010" s="7">
        <f ca="1"/>
        <v>67.8</v>
      </c>
      <c r="AN1010" s="7" t="e">
        <f ca="1"/>
        <v>#REF!</v>
      </c>
      <c r="AO1010" s="7" t="e">
        <f ca="1"/>
        <v>#REF!</v>
      </c>
      <c r="AP1010" s="7">
        <f ca="1"/>
        <v>7.2272907011547885E-2</v>
      </c>
      <c r="AQ1010" s="7" t="e">
        <f ca="1"/>
        <v>#REF!</v>
      </c>
      <c r="AR1010" s="7" t="e">
        <f ca="1"/>
        <v>#REF!</v>
      </c>
      <c r="AS1010" s="7">
        <f ca="1"/>
        <v>0.27870266916975811</v>
      </c>
      <c r="AT1010" s="7" t="e">
        <f ca="1"/>
        <v>#REF!</v>
      </c>
      <c r="AU1010" s="7" t="e">
        <f ca="1"/>
        <v>#REF!</v>
      </c>
      <c r="AV1010" s="7" t="e">
        <f ca="1"/>
        <v>#REF!</v>
      </c>
    </row>
    <row r="1011" spans="37:48" x14ac:dyDescent="0.25">
      <c r="AK1011" t="str">
        <f ca="1"/>
        <v>Obs. 1721</v>
      </c>
      <c r="AL1011" s="7">
        <f ca="1"/>
        <v>67.3</v>
      </c>
      <c r="AN1011" s="7" t="e">
        <f ca="1"/>
        <v>#REF!</v>
      </c>
      <c r="AO1011" s="7" t="e">
        <f ca="1"/>
        <v>#REF!</v>
      </c>
      <c r="AP1011" s="7">
        <f ca="1"/>
        <v>7.1851462189687548E-2</v>
      </c>
      <c r="AQ1011" s="7" t="e">
        <f ca="1"/>
        <v>#REF!</v>
      </c>
      <c r="AR1011" s="7" t="e">
        <f ca="1"/>
        <v>#REF!</v>
      </c>
      <c r="AS1011" s="7">
        <f ca="1"/>
        <v>0.27870266916975811</v>
      </c>
      <c r="AT1011" s="7" t="e">
        <f ca="1"/>
        <v>#REF!</v>
      </c>
      <c r="AU1011" s="7" t="e">
        <f ca="1"/>
        <v>#REF!</v>
      </c>
      <c r="AV1011" s="7" t="e">
        <f ca="1"/>
        <v>#REF!</v>
      </c>
    </row>
    <row r="1012" spans="37:48" x14ac:dyDescent="0.25">
      <c r="AK1012" t="str">
        <f ca="1"/>
        <v>Obs. 1722</v>
      </c>
      <c r="AL1012" s="7">
        <f ca="1"/>
        <v>66.3</v>
      </c>
      <c r="AN1012" s="7" t="e">
        <f ca="1"/>
        <v>#REF!</v>
      </c>
      <c r="AO1012" s="7" t="e">
        <f ca="1"/>
        <v>#REF!</v>
      </c>
      <c r="AP1012" s="7">
        <f ca="1"/>
        <v>7.6149747793287523E-2</v>
      </c>
      <c r="AQ1012" s="7" t="e">
        <f ca="1"/>
        <v>#REF!</v>
      </c>
      <c r="AR1012" s="7" t="e">
        <f ca="1"/>
        <v>#REF!</v>
      </c>
      <c r="AS1012" s="7">
        <f ca="1"/>
        <v>0.27870266916975811</v>
      </c>
      <c r="AT1012" s="7" t="e">
        <f ca="1"/>
        <v>#REF!</v>
      </c>
      <c r="AU1012" s="7" t="e">
        <f ca="1"/>
        <v>#REF!</v>
      </c>
      <c r="AV1012" s="7" t="e">
        <f ca="1"/>
        <v>#REF!</v>
      </c>
    </row>
    <row r="1013" spans="37:48" x14ac:dyDescent="0.25">
      <c r="AK1013" t="str">
        <f ca="1"/>
        <v>Obs. 1723</v>
      </c>
      <c r="AL1013" s="7">
        <f ca="1"/>
        <v>66.900000000000006</v>
      </c>
      <c r="AN1013" s="7" t="e">
        <f ca="1"/>
        <v>#REF!</v>
      </c>
      <c r="AO1013" s="7" t="e">
        <f ca="1"/>
        <v>#REF!</v>
      </c>
      <c r="AP1013" s="7">
        <f ca="1"/>
        <v>6.8003793627729361E-2</v>
      </c>
      <c r="AQ1013" s="7" t="e">
        <f ca="1"/>
        <v>#REF!</v>
      </c>
      <c r="AR1013" s="7" t="e">
        <f ca="1"/>
        <v>#REF!</v>
      </c>
      <c r="AS1013" s="7">
        <f ca="1"/>
        <v>0.27870266916975811</v>
      </c>
      <c r="AT1013" s="7" t="e">
        <f ca="1"/>
        <v>#REF!</v>
      </c>
      <c r="AU1013" s="7" t="e">
        <f ca="1"/>
        <v>#REF!</v>
      </c>
      <c r="AV1013" s="7" t="e">
        <f ca="1"/>
        <v>#REF!</v>
      </c>
    </row>
    <row r="1014" spans="37:48" x14ac:dyDescent="0.25">
      <c r="AK1014" t="str">
        <f ca="1"/>
        <v>Obs. 1724</v>
      </c>
      <c r="AL1014" s="7">
        <f ca="1"/>
        <v>67.400000000000006</v>
      </c>
      <c r="AN1014" s="7" t="e">
        <f ca="1"/>
        <v>#REF!</v>
      </c>
      <c r="AO1014" s="7" t="e">
        <f ca="1"/>
        <v>#REF!</v>
      </c>
      <c r="AP1014" s="7">
        <f ca="1"/>
        <v>6.6217097260992383E-2</v>
      </c>
      <c r="AQ1014" s="7" t="e">
        <f ca="1"/>
        <v>#REF!</v>
      </c>
      <c r="AR1014" s="7" t="e">
        <f ca="1"/>
        <v>#REF!</v>
      </c>
      <c r="AS1014" s="7">
        <f ca="1"/>
        <v>0.27870266916975811</v>
      </c>
      <c r="AT1014" s="7" t="e">
        <f ca="1"/>
        <v>#REF!</v>
      </c>
      <c r="AU1014" s="7" t="e">
        <f ca="1"/>
        <v>#REF!</v>
      </c>
      <c r="AV1014" s="7" t="e">
        <f ca="1"/>
        <v>#REF!</v>
      </c>
    </row>
    <row r="1015" spans="37:48" x14ac:dyDescent="0.25">
      <c r="AK1015" t="str">
        <f ca="1"/>
        <v>Obs. 1725</v>
      </c>
      <c r="AL1015" s="7">
        <f ca="1"/>
        <v>65.900000000000006</v>
      </c>
      <c r="AN1015" s="7" t="e">
        <f ca="1"/>
        <v>#REF!</v>
      </c>
      <c r="AO1015" s="7" t="e">
        <f ca="1"/>
        <v>#REF!</v>
      </c>
      <c r="AP1015" s="7">
        <f ca="1"/>
        <v>6.8765050903955405E-2</v>
      </c>
      <c r="AQ1015" s="7" t="e">
        <f ca="1"/>
        <v>#REF!</v>
      </c>
      <c r="AR1015" s="7" t="e">
        <f ca="1"/>
        <v>#REF!</v>
      </c>
      <c r="AS1015" s="7">
        <f ca="1"/>
        <v>0.27870266916975811</v>
      </c>
      <c r="AT1015" s="7" t="e">
        <f ca="1"/>
        <v>#REF!</v>
      </c>
      <c r="AU1015" s="7" t="e">
        <f ca="1"/>
        <v>#REF!</v>
      </c>
      <c r="AV1015" s="7" t="e">
        <f ca="1"/>
        <v>#REF!</v>
      </c>
    </row>
    <row r="1016" spans="37:48" x14ac:dyDescent="0.25">
      <c r="AK1016" t="str">
        <f ca="1"/>
        <v>Obs. 1726</v>
      </c>
      <c r="AL1016" s="7">
        <f ca="1"/>
        <v>65</v>
      </c>
      <c r="AN1016" s="7" t="e">
        <f ca="1"/>
        <v>#REF!</v>
      </c>
      <c r="AO1016" s="7" t="e">
        <f ca="1"/>
        <v>#REF!</v>
      </c>
      <c r="AP1016" s="7">
        <f ca="1"/>
        <v>6.4326934934086949E-2</v>
      </c>
      <c r="AQ1016" s="7" t="e">
        <f ca="1"/>
        <v>#REF!</v>
      </c>
      <c r="AR1016" s="7" t="e">
        <f ca="1"/>
        <v>#REF!</v>
      </c>
      <c r="AS1016" s="7">
        <f ca="1"/>
        <v>0.27870266916975811</v>
      </c>
      <c r="AT1016" s="7" t="e">
        <f ca="1"/>
        <v>#REF!</v>
      </c>
      <c r="AU1016" s="7" t="e">
        <f ca="1"/>
        <v>#REF!</v>
      </c>
      <c r="AV1016" s="7" t="e">
        <f ca="1"/>
        <v>#REF!</v>
      </c>
    </row>
    <row r="1017" spans="37:48" x14ac:dyDescent="0.25">
      <c r="AK1017" t="str">
        <f ca="1"/>
        <v>Obs. 1727</v>
      </c>
      <c r="AL1017" s="7">
        <f ca="1"/>
        <v>64.5</v>
      </c>
      <c r="AN1017" s="7" t="e">
        <f ca="1"/>
        <v>#REF!</v>
      </c>
      <c r="AO1017" s="7" t="e">
        <f ca="1"/>
        <v>#REF!</v>
      </c>
      <c r="AP1017" s="7">
        <f ca="1"/>
        <v>6.4726307056250362E-2</v>
      </c>
      <c r="AQ1017" s="7" t="e">
        <f ca="1"/>
        <v>#REF!</v>
      </c>
      <c r="AR1017" s="7" t="e">
        <f ca="1"/>
        <v>#REF!</v>
      </c>
      <c r="AS1017" s="7">
        <f ca="1"/>
        <v>0.29295400660571058</v>
      </c>
      <c r="AT1017" s="7" t="e">
        <f ca="1"/>
        <v>#REF!</v>
      </c>
      <c r="AU1017" s="7" t="e">
        <f ca="1"/>
        <v>#REF!</v>
      </c>
      <c r="AV1017" s="7" t="e">
        <f ca="1"/>
        <v>#REF!</v>
      </c>
    </row>
    <row r="1018" spans="37:48" x14ac:dyDescent="0.25">
      <c r="AK1018" t="str">
        <f ca="1"/>
        <v>Obs. 1728</v>
      </c>
      <c r="AL1018" s="7">
        <f ca="1"/>
        <v>64</v>
      </c>
      <c r="AN1018" s="7" t="e">
        <f ca="1"/>
        <v>#REF!</v>
      </c>
      <c r="AO1018" s="7" t="e">
        <f ca="1"/>
        <v>#REF!</v>
      </c>
      <c r="AP1018" s="7">
        <f ca="1"/>
        <v>6.6624452828390163E-2</v>
      </c>
      <c r="AQ1018" s="7" t="e">
        <f ca="1"/>
        <v>#REF!</v>
      </c>
      <c r="AR1018" s="7" t="e">
        <f ca="1"/>
        <v>#REF!</v>
      </c>
      <c r="AS1018" s="7">
        <f ca="1"/>
        <v>0.29295400660571058</v>
      </c>
      <c r="AT1018" s="7" t="e">
        <f ca="1"/>
        <v>#REF!</v>
      </c>
      <c r="AU1018" s="7" t="e">
        <f ca="1"/>
        <v>#REF!</v>
      </c>
      <c r="AV1018" s="7" t="e">
        <f ca="1"/>
        <v>#REF!</v>
      </c>
    </row>
    <row r="1019" spans="37:48" x14ac:dyDescent="0.25">
      <c r="AK1019" t="str">
        <f ca="1"/>
        <v>Obs. 1729</v>
      </c>
      <c r="AL1019" s="7">
        <f ca="1"/>
        <v>64</v>
      </c>
      <c r="AN1019" s="7" t="e">
        <f ca="1"/>
        <v>#REF!</v>
      </c>
      <c r="AO1019" s="7" t="e">
        <f ca="1"/>
        <v>#REF!</v>
      </c>
      <c r="AP1019" s="7">
        <f ca="1"/>
        <v>7.4480216161914997E-2</v>
      </c>
      <c r="AQ1019" s="7" t="e">
        <f ca="1"/>
        <v>#REF!</v>
      </c>
      <c r="AR1019" s="7" t="e">
        <f ca="1"/>
        <v>#REF!</v>
      </c>
      <c r="AS1019" s="7">
        <f ca="1"/>
        <v>0.29295400660571058</v>
      </c>
      <c r="AT1019" s="7" t="e">
        <f ca="1"/>
        <v>#REF!</v>
      </c>
      <c r="AU1019" s="7" t="e">
        <f ca="1"/>
        <v>#REF!</v>
      </c>
      <c r="AV1019" s="7" t="e">
        <f ca="1"/>
        <v>#REF!</v>
      </c>
    </row>
    <row r="1020" spans="37:48" x14ac:dyDescent="0.25">
      <c r="AK1020" t="str">
        <f ca="1"/>
        <v>Obs. 1730</v>
      </c>
      <c r="AL1020" s="7">
        <f ca="1"/>
        <v>63.8</v>
      </c>
      <c r="AN1020" s="7" t="e">
        <f ca="1"/>
        <v>#REF!</v>
      </c>
      <c r="AO1020" s="7" t="e">
        <f ca="1"/>
        <v>#REF!</v>
      </c>
      <c r="AP1020" s="7">
        <f ca="1"/>
        <v>7.1886274703146E-2</v>
      </c>
      <c r="AQ1020" s="7" t="e">
        <f ca="1"/>
        <v>#REF!</v>
      </c>
      <c r="AR1020" s="7" t="e">
        <f ca="1"/>
        <v>#REF!</v>
      </c>
      <c r="AS1020" s="7">
        <f ca="1"/>
        <v>0.29295400660571058</v>
      </c>
      <c r="AT1020" s="7" t="e">
        <f ca="1"/>
        <v>#REF!</v>
      </c>
      <c r="AU1020" s="7" t="e">
        <f ca="1"/>
        <v>#REF!</v>
      </c>
      <c r="AV1020" s="7" t="e">
        <f ca="1"/>
        <v>#REF!</v>
      </c>
    </row>
    <row r="1021" spans="37:48" x14ac:dyDescent="0.25">
      <c r="AK1021" t="str">
        <f ca="1"/>
        <v>Obs. 1731</v>
      </c>
      <c r="AL1021" s="7">
        <f ca="1"/>
        <v>63.2</v>
      </c>
      <c r="AN1021" s="7" t="e">
        <f ca="1"/>
        <v>#REF!</v>
      </c>
      <c r="AO1021" s="7" t="e">
        <f ca="1"/>
        <v>#REF!</v>
      </c>
      <c r="AP1021" s="7">
        <f ca="1"/>
        <v>7.8218353922367589E-2</v>
      </c>
      <c r="AQ1021" s="7" t="e">
        <f ca="1"/>
        <v>#REF!</v>
      </c>
      <c r="AR1021" s="7" t="e">
        <f ca="1"/>
        <v>#REF!</v>
      </c>
      <c r="AS1021" s="7">
        <f ca="1"/>
        <v>0.29295400660571058</v>
      </c>
      <c r="AT1021" s="7" t="e">
        <f ca="1"/>
        <v>#REF!</v>
      </c>
      <c r="AU1021" s="7" t="e">
        <f ca="1"/>
        <v>#REF!</v>
      </c>
      <c r="AV1021" s="7" t="e">
        <f ca="1"/>
        <v>#REF!</v>
      </c>
    </row>
    <row r="1022" spans="37:48" x14ac:dyDescent="0.25">
      <c r="AK1022" t="str">
        <f ca="1"/>
        <v>Obs. 1732</v>
      </c>
      <c r="AL1022" s="7">
        <f ca="1"/>
        <v>62.8</v>
      </c>
      <c r="AN1022" s="7" t="e">
        <f ca="1"/>
        <v>#REF!</v>
      </c>
      <c r="AO1022" s="7" t="e">
        <f ca="1"/>
        <v>#REF!</v>
      </c>
      <c r="AP1022" s="7">
        <f ca="1"/>
        <v>8.1848012806005371E-2</v>
      </c>
      <c r="AQ1022" s="7" t="e">
        <f ca="1"/>
        <v>#REF!</v>
      </c>
      <c r="AR1022" s="7" t="e">
        <f ca="1"/>
        <v>#REF!</v>
      </c>
      <c r="AS1022" s="7">
        <f ca="1"/>
        <v>0.29295400660571058</v>
      </c>
      <c r="AT1022" s="7" t="e">
        <f ca="1"/>
        <v>#REF!</v>
      </c>
      <c r="AU1022" s="7" t="e">
        <f ca="1"/>
        <v>#REF!</v>
      </c>
      <c r="AV1022" s="7" t="e">
        <f ca="1"/>
        <v>#REF!</v>
      </c>
    </row>
    <row r="1023" spans="37:48" x14ac:dyDescent="0.25">
      <c r="AK1023" t="str">
        <f ca="1"/>
        <v>Obs. 1734</v>
      </c>
      <c r="AL1023" s="7">
        <f ca="1"/>
        <v>75.900000000000006</v>
      </c>
      <c r="AN1023" s="7" t="e">
        <f ca="1"/>
        <v>#REF!</v>
      </c>
      <c r="AO1023" s="7" t="e">
        <f ca="1"/>
        <v>#REF!</v>
      </c>
      <c r="AP1023" s="7">
        <f ca="1"/>
        <v>0.11758820970210233</v>
      </c>
      <c r="AQ1023" s="7" t="e">
        <f ca="1"/>
        <v>#REF!</v>
      </c>
      <c r="AR1023" s="7" t="e">
        <f ca="1"/>
        <v>#REF!</v>
      </c>
      <c r="AS1023" s="7">
        <f ca="1"/>
        <v>0.29295400660571058</v>
      </c>
      <c r="AT1023" s="7" t="e">
        <f ca="1"/>
        <v>#REF!</v>
      </c>
      <c r="AU1023" s="7" t="e">
        <f ca="1"/>
        <v>#REF!</v>
      </c>
      <c r="AV1023" s="7" t="e">
        <f ca="1"/>
        <v>#REF!</v>
      </c>
    </row>
    <row r="1024" spans="37:48" x14ac:dyDescent="0.25">
      <c r="AK1024" t="str">
        <f ca="1"/>
        <v>Obs. 1735</v>
      </c>
      <c r="AL1024" s="7">
        <f ca="1"/>
        <v>75.8</v>
      </c>
      <c r="AN1024" s="7" t="e">
        <f ca="1"/>
        <v>#REF!</v>
      </c>
      <c r="AO1024" s="7" t="e">
        <f ca="1"/>
        <v>#REF!</v>
      </c>
      <c r="AP1024" s="7">
        <f ca="1"/>
        <v>0.12532377937623676</v>
      </c>
      <c r="AQ1024" s="7" t="e">
        <f ca="1"/>
        <v>#REF!</v>
      </c>
      <c r="AR1024" s="7" t="e">
        <f ca="1"/>
        <v>#REF!</v>
      </c>
      <c r="AS1024" s="7">
        <f ca="1"/>
        <v>0.29295400660571058</v>
      </c>
      <c r="AT1024" s="7" t="e">
        <f ca="1"/>
        <v>#REF!</v>
      </c>
      <c r="AU1024" s="7" t="e">
        <f ca="1"/>
        <v>#REF!</v>
      </c>
      <c r="AV1024" s="7" t="e">
        <f ca="1"/>
        <v>#REF!</v>
      </c>
    </row>
    <row r="1025" spans="37:48" x14ac:dyDescent="0.25">
      <c r="AK1025" t="str">
        <f ca="1"/>
        <v>Obs. 1736</v>
      </c>
      <c r="AL1025" s="7">
        <f ca="1"/>
        <v>75.599999999999994</v>
      </c>
      <c r="AN1025" s="7" t="e">
        <f ca="1"/>
        <v>#REF!</v>
      </c>
      <c r="AO1025" s="7" t="e">
        <f ca="1"/>
        <v>#REF!</v>
      </c>
      <c r="AP1025" s="7">
        <f ca="1"/>
        <v>0.12515824233306597</v>
      </c>
      <c r="AQ1025" s="7" t="e">
        <f ca="1"/>
        <v>#REF!</v>
      </c>
      <c r="AR1025" s="7" t="e">
        <f ca="1"/>
        <v>#REF!</v>
      </c>
      <c r="AS1025" s="7">
        <f ca="1"/>
        <v>0.29295400660571058</v>
      </c>
      <c r="AT1025" s="7" t="e">
        <f ca="1"/>
        <v>#REF!</v>
      </c>
      <c r="AU1025" s="7" t="e">
        <f ca="1"/>
        <v>#REF!</v>
      </c>
      <c r="AV1025" s="7" t="e">
        <f ca="1"/>
        <v>#REF!</v>
      </c>
    </row>
    <row r="1026" spans="37:48" x14ac:dyDescent="0.25">
      <c r="AK1026" t="str">
        <f ca="1"/>
        <v>Obs. 1737</v>
      </c>
      <c r="AL1026" s="7">
        <f ca="1"/>
        <v>75.400000000000006</v>
      </c>
      <c r="AN1026" s="7" t="e">
        <f ca="1"/>
        <v>#REF!</v>
      </c>
      <c r="AO1026" s="7" t="e">
        <f ca="1"/>
        <v>#REF!</v>
      </c>
      <c r="AP1026" s="7">
        <f ca="1"/>
        <v>0.11527975592649561</v>
      </c>
      <c r="AQ1026" s="7" t="e">
        <f ca="1"/>
        <v>#REF!</v>
      </c>
      <c r="AR1026" s="7" t="e">
        <f ca="1"/>
        <v>#REF!</v>
      </c>
      <c r="AS1026" s="7">
        <f ca="1"/>
        <v>0.29295400660571058</v>
      </c>
      <c r="AT1026" s="7" t="e">
        <f ca="1"/>
        <v>#REF!</v>
      </c>
      <c r="AU1026" s="7" t="e">
        <f ca="1"/>
        <v>#REF!</v>
      </c>
      <c r="AV1026" s="7" t="e">
        <f ca="1"/>
        <v>#REF!</v>
      </c>
    </row>
    <row r="1027" spans="37:48" x14ac:dyDescent="0.25">
      <c r="AK1027" t="str">
        <f ca="1"/>
        <v>Obs. 1738</v>
      </c>
      <c r="AL1027" s="7">
        <f ca="1"/>
        <v>75.3</v>
      </c>
      <c r="AN1027" s="7" t="e">
        <f ca="1"/>
        <v>#REF!</v>
      </c>
      <c r="AO1027" s="7" t="e">
        <f ca="1"/>
        <v>#REF!</v>
      </c>
      <c r="AP1027" s="7">
        <f ca="1"/>
        <v>0.11614785385817507</v>
      </c>
      <c r="AQ1027" s="7" t="e">
        <f ca="1"/>
        <v>#REF!</v>
      </c>
      <c r="AR1027" s="7" t="e">
        <f ca="1"/>
        <v>#REF!</v>
      </c>
      <c r="AS1027" s="7">
        <f ca="1"/>
        <v>0.29295400660571058</v>
      </c>
      <c r="AT1027" s="7" t="e">
        <f ca="1"/>
        <v>#REF!</v>
      </c>
      <c r="AU1027" s="7" t="e">
        <f ca="1"/>
        <v>#REF!</v>
      </c>
      <c r="AV1027" s="7" t="e">
        <f ca="1"/>
        <v>#REF!</v>
      </c>
    </row>
    <row r="1028" spans="37:48" x14ac:dyDescent="0.25">
      <c r="AK1028" t="str">
        <f ca="1"/>
        <v>Obs. 1739</v>
      </c>
      <c r="AL1028" s="7">
        <f ca="1"/>
        <v>75</v>
      </c>
      <c r="AN1028" s="7" t="e">
        <f ca="1"/>
        <v>#REF!</v>
      </c>
      <c r="AO1028" s="7" t="e">
        <f ca="1"/>
        <v>#REF!</v>
      </c>
      <c r="AP1028" s="7">
        <f ca="1"/>
        <v>0.11466646383617939</v>
      </c>
      <c r="AQ1028" s="7" t="e">
        <f ca="1"/>
        <v>#REF!</v>
      </c>
      <c r="AR1028" s="7" t="e">
        <f ca="1"/>
        <v>#REF!</v>
      </c>
      <c r="AS1028" s="7">
        <f ca="1"/>
        <v>0.29295400660571058</v>
      </c>
      <c r="AT1028" s="7" t="e">
        <f ca="1"/>
        <v>#REF!</v>
      </c>
      <c r="AU1028" s="7" t="e">
        <f ca="1"/>
        <v>#REF!</v>
      </c>
      <c r="AV1028" s="7" t="e">
        <f ca="1"/>
        <v>#REF!</v>
      </c>
    </row>
    <row r="1029" spans="37:48" x14ac:dyDescent="0.25">
      <c r="AK1029" t="str">
        <f ca="1"/>
        <v>Obs. 1740</v>
      </c>
      <c r="AL1029" s="7">
        <f ca="1"/>
        <v>74.599999999999994</v>
      </c>
      <c r="AN1029" s="7" t="e">
        <f ca="1"/>
        <v>#REF!</v>
      </c>
      <c r="AO1029" s="7" t="e">
        <f ca="1"/>
        <v>#REF!</v>
      </c>
      <c r="AP1029" s="7">
        <f ca="1"/>
        <v>0.11518350922497844</v>
      </c>
      <c r="AQ1029" s="7" t="e">
        <f ca="1"/>
        <v>#REF!</v>
      </c>
      <c r="AR1029" s="7" t="e">
        <f ca="1"/>
        <v>#REF!</v>
      </c>
      <c r="AS1029" s="7">
        <f ca="1"/>
        <v>0.29295400660571058</v>
      </c>
      <c r="AT1029" s="7" t="e">
        <f ca="1"/>
        <v>#REF!</v>
      </c>
      <c r="AU1029" s="7" t="e">
        <f ca="1"/>
        <v>#REF!</v>
      </c>
      <c r="AV1029" s="7" t="e">
        <f ca="1"/>
        <v>#REF!</v>
      </c>
    </row>
    <row r="1030" spans="37:48" x14ac:dyDescent="0.25">
      <c r="AK1030" t="str">
        <f ca="1"/>
        <v>Obs. 1741</v>
      </c>
      <c r="AL1030" s="7">
        <f ca="1"/>
        <v>74.2</v>
      </c>
      <c r="AN1030" s="7" t="e">
        <f ca="1"/>
        <v>#REF!</v>
      </c>
      <c r="AO1030" s="7" t="e">
        <f ca="1"/>
        <v>#REF!</v>
      </c>
      <c r="AP1030" s="7">
        <f ca="1"/>
        <v>0.11438051362473932</v>
      </c>
      <c r="AQ1030" s="7" t="e">
        <f ca="1"/>
        <v>#REF!</v>
      </c>
      <c r="AR1030" s="7" t="e">
        <f ca="1"/>
        <v>#REF!</v>
      </c>
      <c r="AS1030" s="7">
        <f ca="1"/>
        <v>0.29295400660571058</v>
      </c>
      <c r="AT1030" s="7" t="e">
        <f ca="1"/>
        <v>#REF!</v>
      </c>
      <c r="AU1030" s="7" t="e">
        <f ca="1"/>
        <v>#REF!</v>
      </c>
      <c r="AV1030" s="7" t="e">
        <f ca="1"/>
        <v>#REF!</v>
      </c>
    </row>
    <row r="1031" spans="37:48" x14ac:dyDescent="0.25">
      <c r="AK1031" t="str">
        <f ca="1"/>
        <v>Obs. 1742</v>
      </c>
      <c r="AL1031" s="7">
        <f ca="1"/>
        <v>73.8</v>
      </c>
      <c r="AN1031" s="7" t="e">
        <f ca="1"/>
        <v>#REF!</v>
      </c>
      <c r="AO1031" s="7" t="e">
        <f ca="1"/>
        <v>#REF!</v>
      </c>
      <c r="AP1031" s="7">
        <f ca="1"/>
        <v>0.12973935926906821</v>
      </c>
      <c r="AQ1031" s="7" t="e">
        <f ca="1"/>
        <v>#REF!</v>
      </c>
      <c r="AR1031" s="7" t="e">
        <f ca="1"/>
        <v>#REF!</v>
      </c>
      <c r="AS1031" s="7">
        <f ca="1"/>
        <v>0.3152427890443939</v>
      </c>
      <c r="AT1031" s="7" t="e">
        <f ca="1"/>
        <v>#REF!</v>
      </c>
      <c r="AU1031" s="7" t="e">
        <f ca="1"/>
        <v>#REF!</v>
      </c>
      <c r="AV1031" s="7" t="e">
        <f ca="1"/>
        <v>#REF!</v>
      </c>
    </row>
    <row r="1032" spans="37:48" x14ac:dyDescent="0.25">
      <c r="AK1032" t="str">
        <f ca="1"/>
        <v>Obs. 1750</v>
      </c>
      <c r="AL1032" s="7">
        <f ca="1"/>
        <v>74.099999999999994</v>
      </c>
      <c r="AN1032" s="7" t="e">
        <f ca="1"/>
        <v>#REF!</v>
      </c>
      <c r="AO1032" s="7" t="e">
        <f ca="1"/>
        <v>#REF!</v>
      </c>
      <c r="AP1032" s="7">
        <f ca="1"/>
        <v>6.8421463343396202E-2</v>
      </c>
      <c r="AQ1032" s="7" t="e">
        <f ca="1"/>
        <v>#REF!</v>
      </c>
      <c r="AR1032" s="7" t="e">
        <f ca="1"/>
        <v>#REF!</v>
      </c>
      <c r="AS1032" s="7">
        <f ca="1"/>
        <v>0.3152427890443939</v>
      </c>
      <c r="AT1032" s="7" t="e">
        <f ca="1"/>
        <v>#REF!</v>
      </c>
      <c r="AU1032" s="7" t="e">
        <f ca="1"/>
        <v>#REF!</v>
      </c>
      <c r="AV1032" s="7" t="e">
        <f ca="1"/>
        <v>#REF!</v>
      </c>
    </row>
    <row r="1033" spans="37:48" x14ac:dyDescent="0.25">
      <c r="AK1033" t="str">
        <f ca="1"/>
        <v>Obs. 1751</v>
      </c>
      <c r="AL1033" s="7">
        <f ca="1"/>
        <v>73.900000000000006</v>
      </c>
      <c r="AN1033" s="7" t="e">
        <f ca="1"/>
        <v>#REF!</v>
      </c>
      <c r="AO1033" s="7" t="e">
        <f ca="1"/>
        <v>#REF!</v>
      </c>
      <c r="AP1033" s="7">
        <f ca="1"/>
        <v>6.8331001354180645E-2</v>
      </c>
      <c r="AQ1033" s="7" t="e">
        <f ca="1"/>
        <v>#REF!</v>
      </c>
      <c r="AR1033" s="7" t="e">
        <f ca="1"/>
        <v>#REF!</v>
      </c>
      <c r="AS1033" s="7">
        <f ca="1"/>
        <v>0.3152427890443939</v>
      </c>
      <c r="AT1033" s="7" t="e">
        <f ca="1"/>
        <v>#REF!</v>
      </c>
      <c r="AU1033" s="7" t="e">
        <f ca="1"/>
        <v>#REF!</v>
      </c>
      <c r="AV1033" s="7" t="e">
        <f ca="1"/>
        <v>#REF!</v>
      </c>
    </row>
    <row r="1034" spans="37:48" x14ac:dyDescent="0.25">
      <c r="AK1034" t="str">
        <f ca="1"/>
        <v>Obs. 1752</v>
      </c>
      <c r="AL1034" s="7">
        <f ca="1"/>
        <v>73.599999999999994</v>
      </c>
      <c r="AN1034" s="7" t="e">
        <f ca="1"/>
        <v>#REF!</v>
      </c>
      <c r="AO1034" s="7" t="e">
        <f ca="1"/>
        <v>#REF!</v>
      </c>
      <c r="AP1034" s="7">
        <f ca="1"/>
        <v>6.668552959368701E-2</v>
      </c>
      <c r="AQ1034" s="7" t="e">
        <f ca="1"/>
        <v>#REF!</v>
      </c>
      <c r="AR1034" s="7" t="e">
        <f ca="1"/>
        <v>#REF!</v>
      </c>
      <c r="AS1034" s="7">
        <f ca="1"/>
        <v>0.3152427890443939</v>
      </c>
      <c r="AT1034" s="7" t="e">
        <f ca="1"/>
        <v>#REF!</v>
      </c>
      <c r="AU1034" s="7" t="e">
        <f ca="1"/>
        <v>#REF!</v>
      </c>
      <c r="AV1034" s="7" t="e">
        <f ca="1"/>
        <v>#REF!</v>
      </c>
    </row>
    <row r="1035" spans="37:48" x14ac:dyDescent="0.25">
      <c r="AK1035" t="str">
        <f ca="1"/>
        <v>Obs. 1753</v>
      </c>
      <c r="AL1035" s="7">
        <f ca="1"/>
        <v>73.3</v>
      </c>
      <c r="AN1035" s="7" t="e">
        <f ca="1"/>
        <v>#REF!</v>
      </c>
      <c r="AO1035" s="7" t="e">
        <f ca="1"/>
        <v>#REF!</v>
      </c>
      <c r="AP1035" s="7">
        <f ca="1"/>
        <v>6.6001749442037919E-2</v>
      </c>
      <c r="AQ1035" s="7" t="e">
        <f ca="1"/>
        <v>#REF!</v>
      </c>
      <c r="AR1035" s="7" t="e">
        <f ca="1"/>
        <v>#REF!</v>
      </c>
      <c r="AS1035" s="7">
        <f ca="1"/>
        <v>0.3152427890443939</v>
      </c>
      <c r="AT1035" s="7" t="e">
        <f ca="1"/>
        <v>#REF!</v>
      </c>
      <c r="AU1035" s="7" t="e">
        <f ca="1"/>
        <v>#REF!</v>
      </c>
      <c r="AV1035" s="7" t="e">
        <f ca="1"/>
        <v>#REF!</v>
      </c>
    </row>
    <row r="1036" spans="37:48" x14ac:dyDescent="0.25">
      <c r="AK1036" t="str">
        <f ca="1"/>
        <v>Obs. 1754</v>
      </c>
      <c r="AL1036" s="7">
        <f ca="1"/>
        <v>72.8</v>
      </c>
      <c r="AN1036" s="7" t="e">
        <f ca="1"/>
        <v>#REF!</v>
      </c>
      <c r="AO1036" s="7" t="e">
        <f ca="1"/>
        <v>#REF!</v>
      </c>
      <c r="AP1036" s="7">
        <f ca="1"/>
        <v>6.5108001201197627E-2</v>
      </c>
      <c r="AQ1036" s="7" t="e">
        <f ca="1"/>
        <v>#REF!</v>
      </c>
      <c r="AR1036" s="7" t="e">
        <f ca="1"/>
        <v>#REF!</v>
      </c>
      <c r="AS1036" s="7">
        <f ca="1"/>
        <v>0.3152427890443939</v>
      </c>
      <c r="AT1036" s="7" t="e">
        <f ca="1"/>
        <v>#REF!</v>
      </c>
      <c r="AU1036" s="7" t="e">
        <f ca="1"/>
        <v>#REF!</v>
      </c>
      <c r="AV1036" s="7" t="e">
        <f ca="1"/>
        <v>#REF!</v>
      </c>
    </row>
    <row r="1037" spans="37:48" x14ac:dyDescent="0.25">
      <c r="AK1037" t="str">
        <f ca="1"/>
        <v>Obs. 1755</v>
      </c>
      <c r="AL1037" s="7">
        <f ca="1"/>
        <v>72.3</v>
      </c>
      <c r="AN1037" s="7" t="e">
        <f ca="1"/>
        <v>#REF!</v>
      </c>
      <c r="AO1037" s="7" t="e">
        <f ca="1"/>
        <v>#REF!</v>
      </c>
      <c r="AP1037" s="7">
        <f ca="1"/>
        <v>6.4187288598851866E-2</v>
      </c>
      <c r="AQ1037" s="7" t="e">
        <f ca="1"/>
        <v>#REF!</v>
      </c>
      <c r="AR1037" s="7" t="e">
        <f ca="1"/>
        <v>#REF!</v>
      </c>
      <c r="AS1037" s="7">
        <f ca="1"/>
        <v>0.3152427890443939</v>
      </c>
      <c r="AT1037" s="7" t="e">
        <f ca="1"/>
        <v>#REF!</v>
      </c>
      <c r="AU1037" s="7" t="e">
        <f ca="1"/>
        <v>#REF!</v>
      </c>
      <c r="AV1037" s="7" t="e">
        <f ca="1"/>
        <v>#REF!</v>
      </c>
    </row>
    <row r="1038" spans="37:48" x14ac:dyDescent="0.25">
      <c r="AK1038" t="str">
        <f ca="1"/>
        <v>Obs. 1756</v>
      </c>
      <c r="AL1038" s="7">
        <f ca="1"/>
        <v>71.8</v>
      </c>
      <c r="AN1038" s="7" t="e">
        <f ca="1"/>
        <v>#REF!</v>
      </c>
      <c r="AO1038" s="7" t="e">
        <f ca="1"/>
        <v>#REF!</v>
      </c>
      <c r="AP1038" s="7">
        <f ca="1"/>
        <v>6.4002395113749874E-2</v>
      </c>
      <c r="AQ1038" s="7" t="e">
        <f ca="1"/>
        <v>#REF!</v>
      </c>
      <c r="AR1038" s="7" t="e">
        <f ca="1"/>
        <v>#REF!</v>
      </c>
      <c r="AS1038" s="7">
        <f ca="1"/>
        <v>0.3152427890443939</v>
      </c>
      <c r="AT1038" s="7" t="e">
        <f ca="1"/>
        <v>#REF!</v>
      </c>
      <c r="AU1038" s="7" t="e">
        <f ca="1"/>
        <v>#REF!</v>
      </c>
      <c r="AV1038" s="7" t="e">
        <f ca="1"/>
        <v>#REF!</v>
      </c>
    </row>
    <row r="1039" spans="37:48" x14ac:dyDescent="0.25">
      <c r="AK1039" t="str">
        <f ca="1"/>
        <v>Obs. 1757</v>
      </c>
      <c r="AL1039" s="7">
        <f ca="1"/>
        <v>71.400000000000006</v>
      </c>
      <c r="AN1039" s="7" t="e">
        <f ca="1"/>
        <v>#REF!</v>
      </c>
      <c r="AO1039" s="7" t="e">
        <f ca="1"/>
        <v>#REF!</v>
      </c>
      <c r="AP1039" s="7">
        <f ca="1"/>
        <v>7.1658013115312405E-2</v>
      </c>
      <c r="AQ1039" s="7" t="e">
        <f ca="1"/>
        <v>#REF!</v>
      </c>
      <c r="AR1039" s="7" t="e">
        <f ca="1"/>
        <v>#REF!</v>
      </c>
      <c r="AS1039" s="7">
        <f ca="1"/>
        <v>0.3152427890443939</v>
      </c>
      <c r="AT1039" s="7" t="e">
        <f ca="1"/>
        <v>#REF!</v>
      </c>
      <c r="AU1039" s="7" t="e">
        <f ca="1"/>
        <v>#REF!</v>
      </c>
      <c r="AV1039" s="7" t="e">
        <f ca="1"/>
        <v>#REF!</v>
      </c>
    </row>
    <row r="1040" spans="37:48" x14ac:dyDescent="0.25">
      <c r="AK1040" t="str">
        <f ca="1"/>
        <v>Obs. 1758</v>
      </c>
      <c r="AL1040" s="7">
        <f ca="1"/>
        <v>71</v>
      </c>
      <c r="AN1040" s="7" t="e">
        <f ca="1"/>
        <v>#REF!</v>
      </c>
      <c r="AO1040" s="7" t="e">
        <f ca="1"/>
        <v>#REF!</v>
      </c>
      <c r="AP1040" s="7">
        <f ca="1"/>
        <v>6.41960048417059E-2</v>
      </c>
      <c r="AQ1040" s="7" t="e">
        <f ca="1"/>
        <v>#REF!</v>
      </c>
      <c r="AR1040" s="7" t="e">
        <f ca="1"/>
        <v>#REF!</v>
      </c>
      <c r="AS1040" s="7">
        <f ca="1"/>
        <v>0.3152427890443939</v>
      </c>
      <c r="AT1040" s="7" t="e">
        <f ca="1"/>
        <v>#REF!</v>
      </c>
      <c r="AU1040" s="7" t="e">
        <f ca="1"/>
        <v>#REF!</v>
      </c>
      <c r="AV1040" s="7" t="e">
        <f ca="1"/>
        <v>#REF!</v>
      </c>
    </row>
    <row r="1041" spans="37:48" x14ac:dyDescent="0.25">
      <c r="AK1041" t="str">
        <f ca="1"/>
        <v>Obs. 1759</v>
      </c>
      <c r="AL1041" s="7">
        <f ca="1"/>
        <v>77</v>
      </c>
      <c r="AN1041" s="7" t="e">
        <f ca="1"/>
        <v>#REF!</v>
      </c>
      <c r="AO1041" s="7" t="e">
        <f ca="1"/>
        <v>#REF!</v>
      </c>
      <c r="AP1041" s="7">
        <f ca="1"/>
        <v>6.4541678098684052E-2</v>
      </c>
      <c r="AQ1041" s="7" t="e">
        <f ca="1"/>
        <v>#REF!</v>
      </c>
      <c r="AR1041" s="7" t="e">
        <f ca="1"/>
        <v>#REF!</v>
      </c>
      <c r="AS1041" s="7">
        <f ca="1"/>
        <v>0.3152427890443939</v>
      </c>
      <c r="AT1041" s="7" t="e">
        <f ca="1"/>
        <v>#REF!</v>
      </c>
      <c r="AU1041" s="7" t="e">
        <f ca="1"/>
        <v>#REF!</v>
      </c>
      <c r="AV1041" s="7" t="e">
        <f ca="1"/>
        <v>#REF!</v>
      </c>
    </row>
    <row r="1042" spans="37:48" x14ac:dyDescent="0.25">
      <c r="AK1042" t="str">
        <f ca="1"/>
        <v>Obs. 1760</v>
      </c>
      <c r="AL1042" s="7">
        <f ca="1"/>
        <v>72</v>
      </c>
      <c r="AN1042" s="7" t="e">
        <f ca="1"/>
        <v>#REF!</v>
      </c>
      <c r="AO1042" s="7" t="e">
        <f ca="1"/>
        <v>#REF!</v>
      </c>
      <c r="AP1042" s="7">
        <f ca="1"/>
        <v>6.4892445153554884E-2</v>
      </c>
      <c r="AQ1042" s="7" t="e">
        <f ca="1"/>
        <v>#REF!</v>
      </c>
      <c r="AR1042" s="7" t="e">
        <f ca="1"/>
        <v>#REF!</v>
      </c>
      <c r="AS1042" s="7">
        <f ca="1"/>
        <v>0.33286538375086522</v>
      </c>
      <c r="AT1042" s="7" t="e">
        <f ca="1"/>
        <v>#REF!</v>
      </c>
      <c r="AU1042" s="7" t="e">
        <f ca="1"/>
        <v>#REF!</v>
      </c>
      <c r="AV1042" s="7" t="e">
        <f ca="1"/>
        <v>#REF!</v>
      </c>
    </row>
    <row r="1043" spans="37:48" x14ac:dyDescent="0.25">
      <c r="AK1043" t="str">
        <f ca="1"/>
        <v>Obs. 1761</v>
      </c>
      <c r="AL1043" s="7">
        <f ca="1"/>
        <v>69.900000000000006</v>
      </c>
      <c r="AN1043" s="7" t="e">
        <f ca="1"/>
        <v>#REF!</v>
      </c>
      <c r="AO1043" s="7" t="e">
        <f ca="1"/>
        <v>#REF!</v>
      </c>
      <c r="AP1043" s="7">
        <f ca="1"/>
        <v>7.5962065979688659E-2</v>
      </c>
      <c r="AQ1043" s="7" t="e">
        <f ca="1"/>
        <v>#REF!</v>
      </c>
      <c r="AR1043" s="7" t="e">
        <f ca="1"/>
        <v>#REF!</v>
      </c>
      <c r="AS1043" s="7">
        <f ca="1"/>
        <v>0.33286538375086522</v>
      </c>
      <c r="AT1043" s="7" t="e">
        <f ca="1"/>
        <v>#REF!</v>
      </c>
      <c r="AU1043" s="7" t="e">
        <f ca="1"/>
        <v>#REF!</v>
      </c>
      <c r="AV1043" s="7" t="e">
        <f ca="1"/>
        <v>#REF!</v>
      </c>
    </row>
    <row r="1044" spans="37:48" x14ac:dyDescent="0.25">
      <c r="AK1044" t="str">
        <f ca="1"/>
        <v>Obs. 1762</v>
      </c>
      <c r="AL1044" s="7">
        <f ca="1"/>
        <v>69.5</v>
      </c>
      <c r="AN1044" s="7" t="e">
        <f ca="1"/>
        <v>#REF!</v>
      </c>
      <c r="AO1044" s="7" t="e">
        <f ca="1"/>
        <v>#REF!</v>
      </c>
      <c r="AP1044" s="7">
        <f ca="1"/>
        <v>6.713741247084172E-2</v>
      </c>
      <c r="AQ1044" s="7" t="e">
        <f ca="1"/>
        <v>#REF!</v>
      </c>
      <c r="AR1044" s="7" t="e">
        <f ca="1"/>
        <v>#REF!</v>
      </c>
      <c r="AS1044" s="7">
        <f ca="1"/>
        <v>0.33286538375086522</v>
      </c>
      <c r="AT1044" s="7" t="e">
        <f ca="1"/>
        <v>#REF!</v>
      </c>
      <c r="AU1044" s="7" t="e">
        <f ca="1"/>
        <v>#REF!</v>
      </c>
      <c r="AV1044" s="7" t="e">
        <f ca="1"/>
        <v>#REF!</v>
      </c>
    </row>
    <row r="1045" spans="37:48" x14ac:dyDescent="0.25">
      <c r="AK1045" t="str">
        <f ca="1"/>
        <v>Obs. 1763</v>
      </c>
      <c r="AL1045" s="7">
        <f ca="1"/>
        <v>69</v>
      </c>
      <c r="AN1045" s="7" t="e">
        <f ca="1"/>
        <v>#REF!</v>
      </c>
      <c r="AO1045" s="7" t="e">
        <f ca="1"/>
        <v>#REF!</v>
      </c>
      <c r="AP1045" s="7">
        <f ca="1"/>
        <v>6.746498738251952E-2</v>
      </c>
      <c r="AQ1045" s="7" t="e">
        <f ca="1"/>
        <v>#REF!</v>
      </c>
      <c r="AR1045" s="7" t="e">
        <f ca="1"/>
        <v>#REF!</v>
      </c>
      <c r="AS1045" s="7">
        <f ca="1"/>
        <v>0.33286538375086522</v>
      </c>
      <c r="AT1045" s="7" t="e">
        <f ca="1"/>
        <v>#REF!</v>
      </c>
      <c r="AU1045" s="7" t="e">
        <f ca="1"/>
        <v>#REF!</v>
      </c>
      <c r="AV1045" s="7" t="e">
        <f ca="1"/>
        <v>#REF!</v>
      </c>
    </row>
    <row r="1046" spans="37:48" x14ac:dyDescent="0.25">
      <c r="AK1046" t="str">
        <f ca="1"/>
        <v>Obs. 1764</v>
      </c>
      <c r="AL1046" s="7">
        <f ca="1"/>
        <v>68.599999999999994</v>
      </c>
      <c r="AN1046" s="7" t="e">
        <f ca="1"/>
        <v>#REF!</v>
      </c>
      <c r="AO1046" s="7" t="e">
        <f ca="1"/>
        <v>#REF!</v>
      </c>
      <c r="AP1046" s="7">
        <f ca="1"/>
        <v>7.3136231405296404E-2</v>
      </c>
      <c r="AQ1046" s="7" t="e">
        <f ca="1"/>
        <v>#REF!</v>
      </c>
      <c r="AR1046" s="7" t="e">
        <f ca="1"/>
        <v>#REF!</v>
      </c>
      <c r="AS1046" s="7">
        <f ca="1"/>
        <v>0.33286538375086522</v>
      </c>
      <c r="AT1046" s="7" t="e">
        <f ca="1"/>
        <v>#REF!</v>
      </c>
      <c r="AU1046" s="7" t="e">
        <f ca="1"/>
        <v>#REF!</v>
      </c>
      <c r="AV1046" s="7" t="e">
        <f ca="1"/>
        <v>#REF!</v>
      </c>
    </row>
    <row r="1047" spans="37:48" x14ac:dyDescent="0.25">
      <c r="AK1047" t="str">
        <f ca="1"/>
        <v>Obs. 1766</v>
      </c>
      <c r="AL1047" s="7">
        <f ca="1"/>
        <v>56.7</v>
      </c>
      <c r="AN1047" s="7" t="e">
        <f ca="1"/>
        <v>#REF!</v>
      </c>
      <c r="AO1047" s="7" t="e">
        <f ca="1"/>
        <v>#REF!</v>
      </c>
      <c r="AP1047" s="7">
        <f ca="1"/>
        <v>7.9397043911444629E-2</v>
      </c>
      <c r="AQ1047" s="7" t="e">
        <f ca="1"/>
        <v>#REF!</v>
      </c>
      <c r="AR1047" s="7" t="e">
        <f ca="1"/>
        <v>#REF!</v>
      </c>
      <c r="AS1047" s="7">
        <f ca="1"/>
        <v>0.33286538375086522</v>
      </c>
      <c r="AT1047" s="7" t="e">
        <f ca="1"/>
        <v>#REF!</v>
      </c>
      <c r="AU1047" s="7" t="e">
        <f ca="1"/>
        <v>#REF!</v>
      </c>
      <c r="AV1047" s="7" t="e">
        <f ca="1"/>
        <v>#REF!</v>
      </c>
    </row>
    <row r="1048" spans="37:48" x14ac:dyDescent="0.25">
      <c r="AK1048" t="str">
        <f ca="1"/>
        <v>Obs. 1767</v>
      </c>
      <c r="AL1048" s="7">
        <f ca="1"/>
        <v>55.3</v>
      </c>
      <c r="AN1048" s="7" t="e">
        <f ca="1"/>
        <v>#REF!</v>
      </c>
      <c r="AO1048" s="7" t="e">
        <f ca="1"/>
        <v>#REF!</v>
      </c>
      <c r="AP1048" s="7">
        <f ca="1"/>
        <v>7.5941459587734905E-2</v>
      </c>
      <c r="AQ1048" s="7" t="e">
        <f ca="1"/>
        <v>#REF!</v>
      </c>
      <c r="AR1048" s="7" t="e">
        <f ca="1"/>
        <v>#REF!</v>
      </c>
      <c r="AS1048" s="7">
        <f ca="1"/>
        <v>0.33286538375086522</v>
      </c>
      <c r="AT1048" s="7" t="e">
        <f ca="1"/>
        <v>#REF!</v>
      </c>
      <c r="AU1048" s="7" t="e">
        <f ca="1"/>
        <v>#REF!</v>
      </c>
      <c r="AV1048" s="7" t="e">
        <f ca="1"/>
        <v>#REF!</v>
      </c>
    </row>
    <row r="1049" spans="37:48" x14ac:dyDescent="0.25">
      <c r="AK1049" t="str">
        <f ca="1"/>
        <v>Obs. 1768</v>
      </c>
      <c r="AL1049" s="7">
        <f ca="1"/>
        <v>54.8</v>
      </c>
      <c r="AN1049" s="7" t="e">
        <f ca="1"/>
        <v>#REF!</v>
      </c>
      <c r="AO1049" s="7" t="e">
        <f ca="1"/>
        <v>#REF!</v>
      </c>
      <c r="AP1049" s="7">
        <f ca="1"/>
        <v>7.4773334556367033E-2</v>
      </c>
      <c r="AQ1049" s="7" t="e">
        <f ca="1"/>
        <v>#REF!</v>
      </c>
      <c r="AR1049" s="7" t="e">
        <f ca="1"/>
        <v>#REF!</v>
      </c>
      <c r="AS1049" s="7">
        <f ca="1"/>
        <v>0.33286538375086522</v>
      </c>
      <c r="AT1049" s="7" t="e">
        <f ca="1"/>
        <v>#REF!</v>
      </c>
      <c r="AU1049" s="7" t="e">
        <f ca="1"/>
        <v>#REF!</v>
      </c>
      <c r="AV1049" s="7" t="e">
        <f ca="1"/>
        <v>#REF!</v>
      </c>
    </row>
    <row r="1050" spans="37:48" x14ac:dyDescent="0.25">
      <c r="AK1050" t="str">
        <f ca="1"/>
        <v>Obs. 1769</v>
      </c>
      <c r="AL1050" s="7">
        <f ca="1"/>
        <v>54.3</v>
      </c>
      <c r="AN1050" s="7" t="e">
        <f ca="1"/>
        <v>#REF!</v>
      </c>
      <c r="AO1050" s="7" t="e">
        <f ca="1"/>
        <v>#REF!</v>
      </c>
      <c r="AP1050" s="7">
        <f ca="1"/>
        <v>7.5213928794948634E-2</v>
      </c>
      <c r="AQ1050" s="7" t="e">
        <f ca="1"/>
        <v>#REF!</v>
      </c>
      <c r="AR1050" s="7" t="e">
        <f ca="1"/>
        <v>#REF!</v>
      </c>
      <c r="AS1050" s="7">
        <f ca="1"/>
        <v>0.33286538375086522</v>
      </c>
      <c r="AT1050" s="7" t="e">
        <f ca="1"/>
        <v>#REF!</v>
      </c>
      <c r="AU1050" s="7" t="e">
        <f ca="1"/>
        <v>#REF!</v>
      </c>
      <c r="AV1050" s="7" t="e">
        <f ca="1"/>
        <v>#REF!</v>
      </c>
    </row>
    <row r="1051" spans="37:48" x14ac:dyDescent="0.25">
      <c r="AK1051" t="str">
        <f ca="1"/>
        <v>Obs. 1770</v>
      </c>
      <c r="AL1051" s="7">
        <f ca="1"/>
        <v>54</v>
      </c>
      <c r="AN1051" s="7" t="e">
        <f ca="1"/>
        <v>#REF!</v>
      </c>
      <c r="AO1051" s="7" t="e">
        <f ca="1"/>
        <v>#REF!</v>
      </c>
      <c r="AP1051" s="7">
        <f ca="1"/>
        <v>7.4999300470973335E-2</v>
      </c>
      <c r="AQ1051" s="7" t="e">
        <f ca="1"/>
        <v>#REF!</v>
      </c>
      <c r="AR1051" s="7" t="e">
        <f ca="1"/>
        <v>#REF!</v>
      </c>
      <c r="AS1051" s="7">
        <f ca="1"/>
        <v>0.33286538375086522</v>
      </c>
      <c r="AT1051" s="7" t="e">
        <f ca="1"/>
        <v>#REF!</v>
      </c>
      <c r="AU1051" s="7" t="e">
        <f ca="1"/>
        <v>#REF!</v>
      </c>
      <c r="AV1051" s="7" t="e">
        <f ca="1"/>
        <v>#REF!</v>
      </c>
    </row>
    <row r="1052" spans="37:48" x14ac:dyDescent="0.25">
      <c r="AK1052" t="str">
        <f ca="1"/>
        <v>Obs. 1771</v>
      </c>
      <c r="AL1052" s="7">
        <f ca="1"/>
        <v>53.8</v>
      </c>
      <c r="AN1052" s="7" t="e">
        <f ca="1"/>
        <v>#REF!</v>
      </c>
      <c r="AO1052" s="7" t="e">
        <f ca="1"/>
        <v>#REF!</v>
      </c>
      <c r="AP1052" s="7">
        <f ca="1"/>
        <v>7.7116816252053466E-2</v>
      </c>
      <c r="AQ1052" s="7" t="e">
        <f ca="1"/>
        <v>#REF!</v>
      </c>
      <c r="AR1052" s="7" t="e">
        <f ca="1"/>
        <v>#REF!</v>
      </c>
      <c r="AS1052" s="7">
        <f ca="1"/>
        <v>0.33286538375086522</v>
      </c>
      <c r="AT1052" s="7" t="e">
        <f ca="1"/>
        <v>#REF!</v>
      </c>
      <c r="AU1052" s="7" t="e">
        <f ca="1"/>
        <v>#REF!</v>
      </c>
      <c r="AV1052" s="7" t="e">
        <f ca="1"/>
        <v>#REF!</v>
      </c>
    </row>
    <row r="1053" spans="37:48" x14ac:dyDescent="0.25">
      <c r="AK1053" t="str">
        <f ca="1"/>
        <v>Obs. 1772</v>
      </c>
      <c r="AL1053" s="7">
        <f ca="1"/>
        <v>53.2</v>
      </c>
      <c r="AN1053" s="7" t="e">
        <f ca="1"/>
        <v>#REF!</v>
      </c>
      <c r="AO1053" s="7" t="e">
        <f ca="1"/>
        <v>#REF!</v>
      </c>
      <c r="AP1053" s="7">
        <f ca="1"/>
        <v>7.4085252504583671E-2</v>
      </c>
      <c r="AQ1053" s="7" t="e">
        <f ca="1"/>
        <v>#REF!</v>
      </c>
      <c r="AR1053" s="7" t="e">
        <f ca="1"/>
        <v>#REF!</v>
      </c>
      <c r="AS1053" s="7">
        <f ca="1"/>
        <v>0.33286538375086522</v>
      </c>
      <c r="AT1053" s="7" t="e">
        <f ca="1"/>
        <v>#REF!</v>
      </c>
      <c r="AU1053" s="7" t="e">
        <f ca="1"/>
        <v>#REF!</v>
      </c>
      <c r="AV1053" s="7" t="e">
        <f ca="1"/>
        <v>#REF!</v>
      </c>
    </row>
    <row r="1054" spans="37:48" x14ac:dyDescent="0.25">
      <c r="AK1054" t="str">
        <f ca="1"/>
        <v>Obs. 1773</v>
      </c>
      <c r="AL1054" s="7">
        <f ca="1"/>
        <v>52.1</v>
      </c>
      <c r="AN1054" s="7" t="e">
        <f ca="1"/>
        <v>#REF!</v>
      </c>
      <c r="AO1054" s="7" t="e">
        <f ca="1"/>
        <v>#REF!</v>
      </c>
      <c r="AP1054" s="7">
        <f ca="1"/>
        <v>7.3414424967791228E-2</v>
      </c>
      <c r="AQ1054" s="7" t="e">
        <f ca="1"/>
        <v>#REF!</v>
      </c>
      <c r="AR1054" s="7" t="e">
        <f ca="1"/>
        <v>#REF!</v>
      </c>
      <c r="AS1054" s="7">
        <f ca="1"/>
        <v>0.35220887014201224</v>
      </c>
      <c r="AT1054" s="7" t="e">
        <f ca="1"/>
        <v>#REF!</v>
      </c>
      <c r="AU1054" s="7" t="e">
        <f ca="1"/>
        <v>#REF!</v>
      </c>
      <c r="AV1054" s="7" t="e">
        <f ca="1"/>
        <v>#REF!</v>
      </c>
    </row>
    <row r="1055" spans="37:48" x14ac:dyDescent="0.25">
      <c r="AK1055" t="str">
        <f ca="1"/>
        <v>Obs. 1774</v>
      </c>
      <c r="AL1055" s="7">
        <f ca="1"/>
        <v>51.2</v>
      </c>
      <c r="AN1055" s="7" t="e">
        <f ca="1"/>
        <v>#REF!</v>
      </c>
      <c r="AO1055" s="7" t="e">
        <f ca="1"/>
        <v>#REF!</v>
      </c>
      <c r="AP1055" s="7">
        <f ca="1"/>
        <v>7.4475148212005515E-2</v>
      </c>
      <c r="AQ1055" s="7" t="e">
        <f ca="1"/>
        <v>#REF!</v>
      </c>
      <c r="AR1055" s="7" t="e">
        <f ca="1"/>
        <v>#REF!</v>
      </c>
      <c r="AS1055" s="7">
        <f ca="1"/>
        <v>0.35220887014201224</v>
      </c>
      <c r="AT1055" s="7" t="e">
        <f ca="1"/>
        <v>#REF!</v>
      </c>
      <c r="AU1055" s="7" t="e">
        <f ca="1"/>
        <v>#REF!</v>
      </c>
      <c r="AV1055" s="7" t="e">
        <f ca="1"/>
        <v>#REF!</v>
      </c>
    </row>
    <row r="1056" spans="37:48" x14ac:dyDescent="0.25">
      <c r="AK1056" t="str">
        <f ca="1"/>
        <v>Obs. 1775</v>
      </c>
      <c r="AL1056" s="7">
        <f ca="1"/>
        <v>58</v>
      </c>
      <c r="AN1056" s="7" t="e">
        <f ca="1"/>
        <v>#REF!</v>
      </c>
      <c r="AO1056" s="7" t="e">
        <f ca="1"/>
        <v>#REF!</v>
      </c>
      <c r="AP1056" s="7">
        <f ca="1"/>
        <v>8.8730313005575337E-2</v>
      </c>
      <c r="AQ1056" s="7" t="e">
        <f ca="1"/>
        <v>#REF!</v>
      </c>
      <c r="AR1056" s="7" t="e">
        <f ca="1"/>
        <v>#REF!</v>
      </c>
      <c r="AS1056" s="7">
        <f ca="1"/>
        <v>0.35220887014201224</v>
      </c>
      <c r="AT1056" s="7" t="e">
        <f ca="1"/>
        <v>#REF!</v>
      </c>
      <c r="AU1056" s="7" t="e">
        <f ca="1"/>
        <v>#REF!</v>
      </c>
      <c r="AV1056" s="7" t="e">
        <f ca="1"/>
        <v>#REF!</v>
      </c>
    </row>
    <row r="1057" spans="37:48" x14ac:dyDescent="0.25">
      <c r="AK1057" t="str">
        <f ca="1"/>
        <v>Obs. 1776</v>
      </c>
      <c r="AL1057" s="7">
        <f ca="1"/>
        <v>54</v>
      </c>
      <c r="AN1057" s="7" t="e">
        <f ca="1"/>
        <v>#REF!</v>
      </c>
      <c r="AO1057" s="7" t="e">
        <f ca="1"/>
        <v>#REF!</v>
      </c>
      <c r="AP1057" s="7">
        <f ca="1"/>
        <v>7.5365388698197033E-2</v>
      </c>
      <c r="AQ1057" s="7" t="e">
        <f ca="1"/>
        <v>#REF!</v>
      </c>
      <c r="AR1057" s="7" t="e">
        <f ca="1"/>
        <v>#REF!</v>
      </c>
      <c r="AS1057" s="7">
        <f ca="1"/>
        <v>0.35220887014201224</v>
      </c>
      <c r="AT1057" s="7" t="e">
        <f ca="1"/>
        <v>#REF!</v>
      </c>
      <c r="AU1057" s="7" t="e">
        <f ca="1"/>
        <v>#REF!</v>
      </c>
      <c r="AV1057" s="7" t="e">
        <f ca="1"/>
        <v>#REF!</v>
      </c>
    </row>
    <row r="1058" spans="37:48" x14ac:dyDescent="0.25">
      <c r="AK1058" t="str">
        <f ca="1"/>
        <v>Obs. 1777</v>
      </c>
      <c r="AL1058" s="7">
        <f ca="1"/>
        <v>51</v>
      </c>
      <c r="AN1058" s="7" t="e">
        <f ca="1"/>
        <v>#REF!</v>
      </c>
      <c r="AO1058" s="7" t="e">
        <f ca="1"/>
        <v>#REF!</v>
      </c>
      <c r="AP1058" s="7">
        <f ca="1"/>
        <v>8.3578192225160039E-2</v>
      </c>
      <c r="AQ1058" s="7" t="e">
        <f ca="1"/>
        <v>#REF!</v>
      </c>
      <c r="AR1058" s="7" t="e">
        <f ca="1"/>
        <v>#REF!</v>
      </c>
      <c r="AS1058" s="7">
        <f ca="1"/>
        <v>0.35220887014201224</v>
      </c>
      <c r="AT1058" s="7" t="e">
        <f ca="1"/>
        <v>#REF!</v>
      </c>
      <c r="AU1058" s="7" t="e">
        <f ca="1"/>
        <v>#REF!</v>
      </c>
      <c r="AV1058" s="7" t="e">
        <f ca="1"/>
        <v>#REF!</v>
      </c>
    </row>
    <row r="1059" spans="37:48" x14ac:dyDescent="0.25">
      <c r="AK1059" t="str">
        <f ca="1"/>
        <v>Obs. 1778</v>
      </c>
      <c r="AL1059" s="7">
        <f ca="1"/>
        <v>49.8</v>
      </c>
      <c r="AN1059" s="7" t="e">
        <f ca="1"/>
        <v>#REF!</v>
      </c>
      <c r="AO1059" s="7" t="e">
        <f ca="1"/>
        <v>#REF!</v>
      </c>
      <c r="AP1059" s="7">
        <f ca="1"/>
        <v>7.6425520343709877E-2</v>
      </c>
      <c r="AQ1059" s="7" t="e">
        <f ca="1"/>
        <v>#REF!</v>
      </c>
      <c r="AR1059" s="7" t="e">
        <f ca="1"/>
        <v>#REF!</v>
      </c>
      <c r="AS1059" s="7">
        <f ca="1"/>
        <v>0.35220887014201224</v>
      </c>
      <c r="AT1059" s="7" t="e">
        <f ca="1"/>
        <v>#REF!</v>
      </c>
      <c r="AU1059" s="7" t="e">
        <f ca="1"/>
        <v>#REF!</v>
      </c>
      <c r="AV1059" s="7" t="e">
        <f ca="1"/>
        <v>#REF!</v>
      </c>
    </row>
    <row r="1060" spans="37:48" x14ac:dyDescent="0.25">
      <c r="AK1060" t="str">
        <f ca="1"/>
        <v>Obs. 1779</v>
      </c>
      <c r="AL1060" s="7">
        <f ca="1"/>
        <v>49.5</v>
      </c>
      <c r="AN1060" s="7" t="e">
        <f ca="1"/>
        <v>#REF!</v>
      </c>
      <c r="AO1060" s="7" t="e">
        <f ca="1"/>
        <v>#REF!</v>
      </c>
      <c r="AP1060" s="7">
        <f ca="1"/>
        <v>8.3627892392326875E-2</v>
      </c>
      <c r="AQ1060" s="7" t="e">
        <f ca="1"/>
        <v>#REF!</v>
      </c>
      <c r="AR1060" s="7" t="e">
        <f ca="1"/>
        <v>#REF!</v>
      </c>
      <c r="AS1060" s="7">
        <f ca="1"/>
        <v>0.35220887014201224</v>
      </c>
      <c r="AT1060" s="7" t="e">
        <f ca="1"/>
        <v>#REF!</v>
      </c>
      <c r="AU1060" s="7" t="e">
        <f ca="1"/>
        <v>#REF!</v>
      </c>
      <c r="AV1060" s="7" t="e">
        <f ca="1"/>
        <v>#REF!</v>
      </c>
    </row>
    <row r="1061" spans="37:48" x14ac:dyDescent="0.25">
      <c r="AK1061" t="str">
        <f ca="1"/>
        <v>Obs. 1782</v>
      </c>
      <c r="AL1061" s="7">
        <f ca="1"/>
        <v>66.400000000000006</v>
      </c>
      <c r="AN1061" s="7" t="e">
        <f ca="1"/>
        <v>#REF!</v>
      </c>
      <c r="AO1061" s="7" t="e">
        <f ca="1"/>
        <v>#REF!</v>
      </c>
      <c r="AP1061" s="7">
        <f ca="1"/>
        <v>8.417735032837538E-2</v>
      </c>
      <c r="AQ1061" s="7" t="e">
        <f ca="1"/>
        <v>#REF!</v>
      </c>
      <c r="AR1061" s="7" t="e">
        <f ca="1"/>
        <v>#REF!</v>
      </c>
      <c r="AS1061" s="7">
        <f ca="1"/>
        <v>0.35220887014201224</v>
      </c>
      <c r="AT1061" s="7" t="e">
        <f ca="1"/>
        <v>#REF!</v>
      </c>
      <c r="AU1061" s="7" t="e">
        <f ca="1"/>
        <v>#REF!</v>
      </c>
      <c r="AV1061" s="7" t="e">
        <f ca="1"/>
        <v>#REF!</v>
      </c>
    </row>
    <row r="1062" spans="37:48" x14ac:dyDescent="0.25">
      <c r="AK1062" t="str">
        <f ca="1"/>
        <v>Obs. 1783</v>
      </c>
      <c r="AL1062" s="7">
        <f ca="1"/>
        <v>66.2</v>
      </c>
      <c r="AN1062" s="7" t="e">
        <f ca="1"/>
        <v>#REF!</v>
      </c>
      <c r="AO1062" s="7" t="e">
        <f ca="1"/>
        <v>#REF!</v>
      </c>
      <c r="AP1062" s="7">
        <f ca="1"/>
        <v>8.3158082904985955E-2</v>
      </c>
      <c r="AQ1062" s="7" t="e">
        <f ca="1"/>
        <v>#REF!</v>
      </c>
      <c r="AR1062" s="7" t="e">
        <f ca="1"/>
        <v>#REF!</v>
      </c>
      <c r="AS1062" s="7">
        <f ca="1"/>
        <v>0.35220887014201224</v>
      </c>
      <c r="AT1062" s="7" t="e">
        <f ca="1"/>
        <v>#REF!</v>
      </c>
      <c r="AU1062" s="7" t="e">
        <f ca="1"/>
        <v>#REF!</v>
      </c>
      <c r="AV1062" s="7" t="e">
        <f ca="1"/>
        <v>#REF!</v>
      </c>
    </row>
    <row r="1063" spans="37:48" x14ac:dyDescent="0.25">
      <c r="AK1063" t="str">
        <f ca="1"/>
        <v>Obs. 1784</v>
      </c>
      <c r="AL1063" s="7">
        <f ca="1"/>
        <v>65.900000000000006</v>
      </c>
      <c r="AN1063" s="7" t="e">
        <f ca="1"/>
        <v>#REF!</v>
      </c>
      <c r="AO1063" s="7" t="e">
        <f ca="1"/>
        <v>#REF!</v>
      </c>
      <c r="AP1063" s="7">
        <f ca="1"/>
        <v>8.4039400341533593E-2</v>
      </c>
      <c r="AQ1063" s="7" t="e">
        <f ca="1"/>
        <v>#REF!</v>
      </c>
      <c r="AR1063" s="7" t="e">
        <f ca="1"/>
        <v>#REF!</v>
      </c>
      <c r="AS1063" s="7">
        <f ca="1"/>
        <v>0.35220887014201224</v>
      </c>
      <c r="AT1063" s="7" t="e">
        <f ca="1"/>
        <v>#REF!</v>
      </c>
      <c r="AU1063" s="7" t="e">
        <f ca="1"/>
        <v>#REF!</v>
      </c>
      <c r="AV1063" s="7" t="e">
        <f ca="1"/>
        <v>#REF!</v>
      </c>
    </row>
    <row r="1064" spans="37:48" x14ac:dyDescent="0.25">
      <c r="AK1064" t="str">
        <f ca="1"/>
        <v>Obs. 1785</v>
      </c>
      <c r="AL1064" s="7">
        <f ca="1"/>
        <v>65.599999999999994</v>
      </c>
      <c r="AN1064" s="7" t="e">
        <f ca="1"/>
        <v>#REF!</v>
      </c>
      <c r="AO1064" s="7" t="e">
        <f ca="1"/>
        <v>#REF!</v>
      </c>
      <c r="AP1064" s="7">
        <f ca="1"/>
        <v>0.10168827733914387</v>
      </c>
      <c r="AQ1064" s="7" t="e">
        <f ca="1"/>
        <v>#REF!</v>
      </c>
      <c r="AR1064" s="7" t="e">
        <f ca="1"/>
        <v>#REF!</v>
      </c>
      <c r="AS1064" s="7">
        <f ca="1"/>
        <v>0.35220887014201224</v>
      </c>
      <c r="AT1064" s="7" t="e">
        <f ca="1"/>
        <v>#REF!</v>
      </c>
      <c r="AU1064" s="7" t="e">
        <f ca="1"/>
        <v>#REF!</v>
      </c>
      <c r="AV1064" s="7" t="e">
        <f ca="1"/>
        <v>#REF!</v>
      </c>
    </row>
    <row r="1065" spans="37:48" x14ac:dyDescent="0.25">
      <c r="AK1065" t="str">
        <f ca="1"/>
        <v>Obs. 1786</v>
      </c>
      <c r="AL1065" s="7">
        <f ca="1"/>
        <v>65.400000000000006</v>
      </c>
      <c r="AN1065" s="7" t="e">
        <f ca="1"/>
        <v>#REF!</v>
      </c>
      <c r="AO1065" s="7" t="e">
        <f ca="1"/>
        <v>#REF!</v>
      </c>
      <c r="AP1065" s="7">
        <f ca="1"/>
        <v>0.10148249686488278</v>
      </c>
      <c r="AQ1065" s="7" t="e">
        <f ca="1"/>
        <v>#REF!</v>
      </c>
      <c r="AR1065" s="7" t="e">
        <f ca="1"/>
        <v>#REF!</v>
      </c>
      <c r="AS1065" s="7">
        <f ca="1"/>
        <v>0.35220887014201224</v>
      </c>
      <c r="AT1065" s="7" t="e">
        <f ca="1"/>
        <v>#REF!</v>
      </c>
      <c r="AU1065" s="7" t="e">
        <f ca="1"/>
        <v>#REF!</v>
      </c>
      <c r="AV1065" s="7" t="e">
        <f ca="1"/>
        <v>#REF!</v>
      </c>
    </row>
    <row r="1066" spans="37:48" x14ac:dyDescent="0.25">
      <c r="AK1066" t="str">
        <f ca="1"/>
        <v>Obs. 1787</v>
      </c>
      <c r="AL1066" s="7">
        <f ca="1"/>
        <v>65.2</v>
      </c>
      <c r="AN1066" s="7" t="e">
        <f ca="1"/>
        <v>#REF!</v>
      </c>
      <c r="AO1066" s="7" t="e">
        <f ca="1"/>
        <v>#REF!</v>
      </c>
      <c r="AP1066" s="7">
        <f ca="1"/>
        <v>0.10137435847574205</v>
      </c>
      <c r="AQ1066" s="7" t="e">
        <f ca="1"/>
        <v>#REF!</v>
      </c>
      <c r="AR1066" s="7" t="e">
        <f ca="1"/>
        <v>#REF!</v>
      </c>
      <c r="AS1066" s="7">
        <f ca="1"/>
        <v>0.3716850598056044</v>
      </c>
      <c r="AT1066" s="7" t="e">
        <f ca="1"/>
        <v>#REF!</v>
      </c>
      <c r="AU1066" s="7" t="e">
        <f ca="1"/>
        <v>#REF!</v>
      </c>
      <c r="AV1066" s="7" t="e">
        <f ca="1"/>
        <v>#REF!</v>
      </c>
    </row>
    <row r="1067" spans="37:48" x14ac:dyDescent="0.25">
      <c r="AK1067" t="str">
        <f ca="1"/>
        <v>Obs. 1788</v>
      </c>
      <c r="AL1067" s="7">
        <f ca="1"/>
        <v>59.2</v>
      </c>
      <c r="AN1067" s="7" t="e">
        <f ca="1"/>
        <v>#REF!</v>
      </c>
      <c r="AO1067" s="7" t="e">
        <f ca="1"/>
        <v>#REF!</v>
      </c>
      <c r="AP1067" s="7">
        <f ca="1"/>
        <v>9.5482464612133278E-2</v>
      </c>
      <c r="AQ1067" s="7" t="e">
        <f ca="1"/>
        <v>#REF!</v>
      </c>
      <c r="AR1067" s="7" t="e">
        <f ca="1"/>
        <v>#REF!</v>
      </c>
      <c r="AS1067" s="7">
        <f ca="1"/>
        <v>0.3716850598056044</v>
      </c>
      <c r="AT1067" s="7" t="e">
        <f ca="1"/>
        <v>#REF!</v>
      </c>
      <c r="AU1067" s="7" t="e">
        <f ca="1"/>
        <v>#REF!</v>
      </c>
      <c r="AV1067" s="7" t="e">
        <f ca="1"/>
        <v>#REF!</v>
      </c>
    </row>
    <row r="1068" spans="37:48" x14ac:dyDescent="0.25">
      <c r="AK1068" t="str">
        <f ca="1"/>
        <v>Obs. 1789</v>
      </c>
      <c r="AL1068" s="7">
        <f ca="1"/>
        <v>64.5</v>
      </c>
      <c r="AN1068" s="7" t="e">
        <f ca="1"/>
        <v>#REF!</v>
      </c>
      <c r="AO1068" s="7" t="e">
        <f ca="1"/>
        <v>#REF!</v>
      </c>
      <c r="AP1068" s="7">
        <f ca="1"/>
        <v>8.2687744261885077E-2</v>
      </c>
      <c r="AQ1068" s="7" t="e">
        <f ca="1"/>
        <v>#REF!</v>
      </c>
      <c r="AR1068" s="7" t="e">
        <f ca="1"/>
        <v>#REF!</v>
      </c>
      <c r="AS1068" s="7">
        <f ca="1"/>
        <v>0.3716850598056044</v>
      </c>
      <c r="AT1068" s="7" t="e">
        <f ca="1"/>
        <v>#REF!</v>
      </c>
      <c r="AU1068" s="7" t="e">
        <f ca="1"/>
        <v>#REF!</v>
      </c>
      <c r="AV1068" s="7" t="e">
        <f ca="1"/>
        <v>#REF!</v>
      </c>
    </row>
    <row r="1069" spans="37:48" x14ac:dyDescent="0.25">
      <c r="AK1069" t="str">
        <f ca="1"/>
        <v>Obs. 1790</v>
      </c>
      <c r="AL1069" s="7">
        <f ca="1"/>
        <v>64.2</v>
      </c>
      <c r="AN1069" s="7" t="e">
        <f ca="1"/>
        <v>#REF!</v>
      </c>
      <c r="AO1069" s="7" t="e">
        <f ca="1"/>
        <v>#REF!</v>
      </c>
      <c r="AP1069" s="7">
        <f ca="1"/>
        <v>8.3180259559564124E-2</v>
      </c>
      <c r="AQ1069" s="7" t="e">
        <f ca="1"/>
        <v>#REF!</v>
      </c>
      <c r="AR1069" s="7" t="e">
        <f ca="1"/>
        <v>#REF!</v>
      </c>
      <c r="AS1069" s="7">
        <f ca="1"/>
        <v>0.3716850598056044</v>
      </c>
      <c r="AT1069" s="7" t="e">
        <f ca="1"/>
        <v>#REF!</v>
      </c>
      <c r="AU1069" s="7" t="e">
        <f ca="1"/>
        <v>#REF!</v>
      </c>
      <c r="AV1069" s="7" t="e">
        <f ca="1"/>
        <v>#REF!</v>
      </c>
    </row>
    <row r="1070" spans="37:48" x14ac:dyDescent="0.25">
      <c r="AK1070" t="str">
        <f ca="1"/>
        <v>Obs. 1791</v>
      </c>
      <c r="AL1070" s="7">
        <f ca="1"/>
        <v>63.9</v>
      </c>
      <c r="AN1070" s="7" t="e">
        <f ca="1"/>
        <v>#REF!</v>
      </c>
      <c r="AO1070" s="7" t="e">
        <f ca="1"/>
        <v>#REF!</v>
      </c>
      <c r="AP1070" s="7">
        <f ca="1"/>
        <v>8.3022996134691079E-2</v>
      </c>
      <c r="AQ1070" s="7" t="e">
        <f ca="1"/>
        <v>#REF!</v>
      </c>
      <c r="AR1070" s="7" t="e">
        <f ca="1"/>
        <v>#REF!</v>
      </c>
      <c r="AS1070" s="7">
        <f ca="1"/>
        <v>0.3716850598056044</v>
      </c>
      <c r="AT1070" s="7" t="e">
        <f ca="1"/>
        <v>#REF!</v>
      </c>
      <c r="AU1070" s="7" t="e">
        <f ca="1"/>
        <v>#REF!</v>
      </c>
      <c r="AV1070" s="7" t="e">
        <f ca="1"/>
        <v>#REF!</v>
      </c>
    </row>
    <row r="1071" spans="37:48" x14ac:dyDescent="0.25">
      <c r="AK1071" t="str">
        <f ca="1"/>
        <v>Obs. 1792</v>
      </c>
      <c r="AL1071" s="7">
        <f ca="1"/>
        <v>63.5</v>
      </c>
      <c r="AN1071" s="7" t="e">
        <f ca="1"/>
        <v>#REF!</v>
      </c>
      <c r="AO1071" s="7" t="e">
        <f ca="1"/>
        <v>#REF!</v>
      </c>
      <c r="AP1071" s="7">
        <f ca="1"/>
        <v>8.6123173004122561E-2</v>
      </c>
      <c r="AQ1071" s="7" t="e">
        <f ca="1"/>
        <v>#REF!</v>
      </c>
      <c r="AR1071" s="7" t="e">
        <f ca="1"/>
        <v>#REF!</v>
      </c>
      <c r="AS1071" s="7">
        <f ca="1"/>
        <v>0.3716850598056044</v>
      </c>
      <c r="AT1071" s="7" t="e">
        <f ca="1"/>
        <v>#REF!</v>
      </c>
      <c r="AU1071" s="7" t="e">
        <f ca="1"/>
        <v>#REF!</v>
      </c>
      <c r="AV1071" s="7" t="e">
        <f ca="1"/>
        <v>#REF!</v>
      </c>
    </row>
    <row r="1072" spans="37:48" x14ac:dyDescent="0.25">
      <c r="AK1072" t="str">
        <f ca="1"/>
        <v>Obs. 1793</v>
      </c>
      <c r="AL1072" s="7">
        <f ca="1"/>
        <v>63.2</v>
      </c>
      <c r="AN1072" s="7" t="e">
        <f ca="1"/>
        <v>#REF!</v>
      </c>
      <c r="AO1072" s="7" t="e">
        <f ca="1"/>
        <v>#REF!</v>
      </c>
      <c r="AP1072" s="7">
        <f ca="1"/>
        <v>9.0498504609319144E-2</v>
      </c>
      <c r="AQ1072" s="7" t="e">
        <f ca="1"/>
        <v>#REF!</v>
      </c>
      <c r="AR1072" s="7" t="e">
        <f ca="1"/>
        <v>#REF!</v>
      </c>
      <c r="AS1072" s="7">
        <f ca="1"/>
        <v>0.3716850598056044</v>
      </c>
      <c r="AT1072" s="7" t="e">
        <f ca="1"/>
        <v>#REF!</v>
      </c>
      <c r="AU1072" s="7" t="e">
        <f ca="1"/>
        <v>#REF!</v>
      </c>
      <c r="AV1072" s="7" t="e">
        <f ca="1"/>
        <v>#REF!</v>
      </c>
    </row>
    <row r="1073" spans="37:48" x14ac:dyDescent="0.25">
      <c r="AK1073" t="str">
        <f ca="1"/>
        <v>Obs. 1798</v>
      </c>
      <c r="AL1073" s="7">
        <f ca="1"/>
        <v>65.900000000000006</v>
      </c>
      <c r="AN1073" s="7" t="e">
        <f ca="1"/>
        <v>#REF!</v>
      </c>
      <c r="AO1073" s="7" t="e">
        <f ca="1"/>
        <v>#REF!</v>
      </c>
      <c r="AP1073" s="7">
        <f ca="1"/>
        <v>0.20062900518251006</v>
      </c>
      <c r="AQ1073" s="7" t="e">
        <f ca="1"/>
        <v>#REF!</v>
      </c>
      <c r="AR1073" s="7" t="e">
        <f ca="1"/>
        <v>#REF!</v>
      </c>
      <c r="AS1073" s="7">
        <f ca="1"/>
        <v>0.3716850598056044</v>
      </c>
      <c r="AT1073" s="7" t="e">
        <f ca="1"/>
        <v>#REF!</v>
      </c>
      <c r="AU1073" s="7" t="e">
        <f ca="1"/>
        <v>#REF!</v>
      </c>
      <c r="AV1073" s="7" t="e">
        <f ca="1"/>
        <v>#REF!</v>
      </c>
    </row>
    <row r="1074" spans="37:48" x14ac:dyDescent="0.25">
      <c r="AK1074" t="str">
        <f ca="1"/>
        <v>Obs. 1799</v>
      </c>
      <c r="AL1074" s="7">
        <f ca="1"/>
        <v>66.099999999999994</v>
      </c>
      <c r="AN1074" s="7" t="e">
        <f ca="1"/>
        <v>#REF!</v>
      </c>
      <c r="AO1074" s="7" t="e">
        <f ca="1"/>
        <v>#REF!</v>
      </c>
      <c r="AP1074" s="7">
        <f ca="1"/>
        <v>0.200860408146118</v>
      </c>
      <c r="AQ1074" s="7" t="e">
        <f ca="1"/>
        <v>#REF!</v>
      </c>
      <c r="AR1074" s="7" t="e">
        <f ca="1"/>
        <v>#REF!</v>
      </c>
      <c r="AS1074" s="7">
        <f ca="1"/>
        <v>0.3716850598056044</v>
      </c>
      <c r="AT1074" s="7" t="e">
        <f ca="1"/>
        <v>#REF!</v>
      </c>
      <c r="AU1074" s="7" t="e">
        <f ca="1"/>
        <v>#REF!</v>
      </c>
      <c r="AV1074" s="7" t="e">
        <f ca="1"/>
        <v>#REF!</v>
      </c>
    </row>
    <row r="1075" spans="37:48" x14ac:dyDescent="0.25">
      <c r="AK1075" t="str">
        <f ca="1"/>
        <v>Obs. 1800</v>
      </c>
      <c r="AL1075" s="7">
        <f ca="1"/>
        <v>65.8</v>
      </c>
      <c r="AN1075" s="7" t="e">
        <f ca="1"/>
        <v>#REF!</v>
      </c>
      <c r="AO1075" s="7" t="e">
        <f ca="1"/>
        <v>#REF!</v>
      </c>
      <c r="AP1075" s="7">
        <f ca="1"/>
        <v>0.2014607917168191</v>
      </c>
      <c r="AQ1075" s="7" t="e">
        <f ca="1"/>
        <v>#REF!</v>
      </c>
      <c r="AR1075" s="7" t="e">
        <f ca="1"/>
        <v>#REF!</v>
      </c>
      <c r="AS1075" s="7">
        <f ca="1"/>
        <v>0.3716850598056044</v>
      </c>
      <c r="AT1075" s="7" t="e">
        <f ca="1"/>
        <v>#REF!</v>
      </c>
      <c r="AU1075" s="7" t="e">
        <f ca="1"/>
        <v>#REF!</v>
      </c>
      <c r="AV1075" s="7" t="e">
        <f ca="1"/>
        <v>#REF!</v>
      </c>
    </row>
    <row r="1076" spans="37:48" x14ac:dyDescent="0.25">
      <c r="AK1076" t="str">
        <f ca="1"/>
        <v>Obs. 1801</v>
      </c>
      <c r="AL1076" s="7">
        <f ca="1"/>
        <v>64.3</v>
      </c>
      <c r="AN1076" s="7" t="e">
        <f ca="1"/>
        <v>#REF!</v>
      </c>
      <c r="AO1076" s="7" t="e">
        <f ca="1"/>
        <v>#REF!</v>
      </c>
      <c r="AP1076" s="7">
        <f ca="1"/>
        <v>0.20623596375193051</v>
      </c>
      <c r="AQ1076" s="7" t="e">
        <f ca="1"/>
        <v>#REF!</v>
      </c>
      <c r="AR1076" s="7" t="e">
        <f ca="1"/>
        <v>#REF!</v>
      </c>
      <c r="AS1076" s="7">
        <f ca="1"/>
        <v>0.3716850598056044</v>
      </c>
      <c r="AT1076" s="7" t="e">
        <f ca="1"/>
        <v>#REF!</v>
      </c>
      <c r="AU1076" s="7" t="e">
        <f ca="1"/>
        <v>#REF!</v>
      </c>
      <c r="AV1076" s="7" t="e">
        <f ca="1"/>
        <v>#REF!</v>
      </c>
    </row>
    <row r="1077" spans="37:48" x14ac:dyDescent="0.25">
      <c r="AK1077" t="str">
        <f ca="1"/>
        <v>Obs. 1802</v>
      </c>
      <c r="AL1077" s="7">
        <f ca="1"/>
        <v>63</v>
      </c>
      <c r="AN1077" s="7" t="e">
        <f ca="1"/>
        <v>#REF!</v>
      </c>
      <c r="AO1077" s="7" t="e">
        <f ca="1"/>
        <v>#REF!</v>
      </c>
      <c r="AP1077" s="7">
        <f ca="1"/>
        <v>0.21724160915528362</v>
      </c>
      <c r="AQ1077" s="7" t="e">
        <f ca="1"/>
        <v>#REF!</v>
      </c>
      <c r="AR1077" s="7" t="e">
        <f ca="1"/>
        <v>#REF!</v>
      </c>
      <c r="AS1077" s="7">
        <f ca="1"/>
        <v>0.3716850598056044</v>
      </c>
      <c r="AT1077" s="7" t="e">
        <f ca="1"/>
        <v>#REF!</v>
      </c>
      <c r="AU1077" s="7" t="e">
        <f ca="1"/>
        <v>#REF!</v>
      </c>
      <c r="AV1077" s="7" t="e">
        <f ca="1"/>
        <v>#REF!</v>
      </c>
    </row>
    <row r="1078" spans="37:48" x14ac:dyDescent="0.25">
      <c r="AK1078" t="str">
        <f ca="1"/>
        <v>Obs. 1815</v>
      </c>
      <c r="AL1078" s="7">
        <f ca="1"/>
        <v>69.599999999999994</v>
      </c>
      <c r="AN1078" s="7" t="e">
        <f ca="1"/>
        <v>#REF!</v>
      </c>
      <c r="AO1078" s="7" t="e">
        <f ca="1"/>
        <v>#REF!</v>
      </c>
      <c r="AP1078" s="7">
        <f ca="1"/>
        <v>8.2778632376910077E-2</v>
      </c>
      <c r="AQ1078" s="7" t="e">
        <f ca="1"/>
        <v>#REF!</v>
      </c>
      <c r="AR1078" s="7" t="e">
        <f ca="1"/>
        <v>#REF!</v>
      </c>
      <c r="AS1078" s="7">
        <f ca="1"/>
        <v>0.3716850598056044</v>
      </c>
      <c r="AT1078" s="7" t="e">
        <f ca="1"/>
        <v>#REF!</v>
      </c>
      <c r="AU1078" s="7" t="e">
        <f ca="1"/>
        <v>#REF!</v>
      </c>
      <c r="AV1078" s="7" t="e">
        <f ca="1"/>
        <v>#REF!</v>
      </c>
    </row>
    <row r="1079" spans="37:48" x14ac:dyDescent="0.25">
      <c r="AK1079" t="str">
        <f ca="1"/>
        <v>Obs. 1816</v>
      </c>
      <c r="AL1079" s="7">
        <f ca="1"/>
        <v>69.3</v>
      </c>
      <c r="AN1079" s="7" t="e">
        <f ca="1"/>
        <v>#REF!</v>
      </c>
      <c r="AO1079" s="7" t="e">
        <f ca="1"/>
        <v>#REF!</v>
      </c>
      <c r="AP1079" s="7">
        <f ca="1"/>
        <v>8.256210498029995E-2</v>
      </c>
      <c r="AQ1079" s="7" t="e">
        <f ca="1"/>
        <v>#REF!</v>
      </c>
      <c r="AR1079" s="7" t="e">
        <f ca="1"/>
        <v>#REF!</v>
      </c>
      <c r="AS1079" s="7">
        <f ca="1"/>
        <v>0.3716850598056044</v>
      </c>
      <c r="AT1079" s="7" t="e">
        <f ca="1"/>
        <v>#REF!</v>
      </c>
      <c r="AU1079" s="7" t="e">
        <f ca="1"/>
        <v>#REF!</v>
      </c>
      <c r="AV1079" s="7" t="e">
        <f ca="1"/>
        <v>#REF!</v>
      </c>
    </row>
    <row r="1080" spans="37:48" x14ac:dyDescent="0.25">
      <c r="AK1080" t="str">
        <f ca="1"/>
        <v>Obs. 1817</v>
      </c>
      <c r="AL1080" s="7">
        <f ca="1"/>
        <v>68.900000000000006</v>
      </c>
      <c r="AN1080" s="7" t="e">
        <f ca="1"/>
        <v>#REF!</v>
      </c>
      <c r="AO1080" s="7" t="e">
        <f ca="1"/>
        <v>#REF!</v>
      </c>
      <c r="AP1080" s="7">
        <f ca="1"/>
        <v>9.5651459411685902E-2</v>
      </c>
      <c r="AQ1080" s="7" t="e">
        <f ca="1"/>
        <v>#REF!</v>
      </c>
      <c r="AR1080" s="7" t="e">
        <f ca="1"/>
        <v>#REF!</v>
      </c>
      <c r="AS1080" s="7">
        <f ca="1"/>
        <v>0.3716850598056044</v>
      </c>
      <c r="AT1080" s="7" t="e">
        <f ca="1"/>
        <v>#REF!</v>
      </c>
      <c r="AU1080" s="7" t="e">
        <f ca="1"/>
        <v>#REF!</v>
      </c>
      <c r="AV1080" s="7" t="e">
        <f ca="1"/>
        <v>#REF!</v>
      </c>
    </row>
    <row r="1081" spans="37:48" x14ac:dyDescent="0.25">
      <c r="AK1081" t="str">
        <f ca="1"/>
        <v>Obs. 1818</v>
      </c>
      <c r="AL1081" s="7">
        <f ca="1"/>
        <v>68.400000000000006</v>
      </c>
      <c r="AN1081" s="7" t="e">
        <f ca="1"/>
        <v>#REF!</v>
      </c>
      <c r="AO1081" s="7" t="e">
        <f ca="1"/>
        <v>#REF!</v>
      </c>
      <c r="AP1081" s="7">
        <f ca="1"/>
        <v>8.203156057346353E-2</v>
      </c>
      <c r="AQ1081" s="7" t="e">
        <f ca="1"/>
        <v>#REF!</v>
      </c>
      <c r="AR1081" s="7" t="e">
        <f ca="1"/>
        <v>#REF!</v>
      </c>
      <c r="AS1081" s="7">
        <f ca="1"/>
        <v>0.3716850598056044</v>
      </c>
      <c r="AT1081" s="7" t="e">
        <f ca="1"/>
        <v>#REF!</v>
      </c>
      <c r="AU1081" s="7" t="e">
        <f ca="1"/>
        <v>#REF!</v>
      </c>
      <c r="AV1081" s="7" t="e">
        <f ca="1"/>
        <v>#REF!</v>
      </c>
    </row>
    <row r="1082" spans="37:48" x14ac:dyDescent="0.25">
      <c r="AK1082" t="str">
        <f ca="1"/>
        <v>Obs. 1819</v>
      </c>
      <c r="AL1082" s="7">
        <f ca="1"/>
        <v>68</v>
      </c>
      <c r="AN1082" s="7" t="e">
        <f ca="1"/>
        <v>#REF!</v>
      </c>
      <c r="AO1082" s="7" t="e">
        <f ca="1"/>
        <v>#REF!</v>
      </c>
      <c r="AP1082" s="7">
        <f ca="1"/>
        <v>7.898378490195096E-2</v>
      </c>
      <c r="AQ1082" s="7" t="e">
        <f ca="1"/>
        <v>#REF!</v>
      </c>
      <c r="AR1082" s="7" t="e">
        <f ca="1"/>
        <v>#REF!</v>
      </c>
      <c r="AS1082" s="7">
        <f ca="1"/>
        <v>0.39787592189543292</v>
      </c>
      <c r="AT1082" s="7" t="e">
        <f ca="1"/>
        <v>#REF!</v>
      </c>
      <c r="AU1082" s="7" t="e">
        <f ca="1"/>
        <v>#REF!</v>
      </c>
      <c r="AV1082" s="7" t="e">
        <f ca="1"/>
        <v>#REF!</v>
      </c>
    </row>
    <row r="1083" spans="37:48" x14ac:dyDescent="0.25">
      <c r="AK1083" t="str">
        <f ca="1"/>
        <v>Obs. 1820</v>
      </c>
      <c r="AL1083" s="7">
        <f ca="1"/>
        <v>67.5</v>
      </c>
      <c r="AN1083" s="7" t="e">
        <f ca="1"/>
        <v>#REF!</v>
      </c>
      <c r="AO1083" s="7" t="e">
        <f ca="1"/>
        <v>#REF!</v>
      </c>
      <c r="AP1083" s="7">
        <f ca="1"/>
        <v>8.0005252515709918E-2</v>
      </c>
      <c r="AQ1083" s="7" t="e">
        <f ca="1"/>
        <v>#REF!</v>
      </c>
      <c r="AR1083" s="7" t="e">
        <f ca="1"/>
        <v>#REF!</v>
      </c>
      <c r="AS1083" s="7">
        <f ca="1"/>
        <v>0.39787592189543292</v>
      </c>
      <c r="AT1083" s="7" t="e">
        <f ca="1"/>
        <v>#REF!</v>
      </c>
      <c r="AU1083" s="7" t="e">
        <f ca="1"/>
        <v>#REF!</v>
      </c>
      <c r="AV1083" s="7" t="e">
        <f ca="1"/>
        <v>#REF!</v>
      </c>
    </row>
    <row r="1084" spans="37:48" x14ac:dyDescent="0.25">
      <c r="AK1084" t="str">
        <f ca="1"/>
        <v>Obs. 1821</v>
      </c>
      <c r="AL1084" s="7">
        <f ca="1"/>
        <v>67</v>
      </c>
      <c r="AN1084" s="7" t="e">
        <f ca="1"/>
        <v>#REF!</v>
      </c>
      <c r="AO1084" s="7" t="e">
        <f ca="1"/>
        <v>#REF!</v>
      </c>
      <c r="AP1084" s="7">
        <f ca="1"/>
        <v>7.9487196224394166E-2</v>
      </c>
      <c r="AQ1084" s="7" t="e">
        <f ca="1"/>
        <v>#REF!</v>
      </c>
      <c r="AR1084" s="7" t="e">
        <f ca="1"/>
        <v>#REF!</v>
      </c>
      <c r="AS1084" s="7">
        <f ca="1"/>
        <v>0.39787592189543292</v>
      </c>
      <c r="AT1084" s="7" t="e">
        <f ca="1"/>
        <v>#REF!</v>
      </c>
      <c r="AU1084" s="7" t="e">
        <f ca="1"/>
        <v>#REF!</v>
      </c>
      <c r="AV1084" s="7" t="e">
        <f ca="1"/>
        <v>#REF!</v>
      </c>
    </row>
    <row r="1085" spans="37:48" x14ac:dyDescent="0.25">
      <c r="AK1085" t="str">
        <f ca="1"/>
        <v>Obs. 1822</v>
      </c>
      <c r="AL1085" s="7">
        <f ca="1"/>
        <v>66.599999999999994</v>
      </c>
      <c r="AN1085" s="7" t="e">
        <f ca="1"/>
        <v>#REF!</v>
      </c>
      <c r="AO1085" s="7" t="e">
        <f ca="1"/>
        <v>#REF!</v>
      </c>
      <c r="AP1085" s="7">
        <f ca="1"/>
        <v>7.9720712428127241E-2</v>
      </c>
      <c r="AQ1085" s="7" t="e">
        <f ca="1"/>
        <v>#REF!</v>
      </c>
      <c r="AR1085" s="7" t="e">
        <f ca="1"/>
        <v>#REF!</v>
      </c>
      <c r="AS1085" s="7">
        <f ca="1"/>
        <v>0.39787592189543292</v>
      </c>
      <c r="AT1085" s="7" t="e">
        <f ca="1"/>
        <v>#REF!</v>
      </c>
      <c r="AU1085" s="7" t="e">
        <f ca="1"/>
        <v>#REF!</v>
      </c>
      <c r="AV1085" s="7" t="e">
        <f ca="1"/>
        <v>#REF!</v>
      </c>
    </row>
    <row r="1086" spans="37:48" x14ac:dyDescent="0.25">
      <c r="AK1086" t="str">
        <f ca="1"/>
        <v>Obs. 1823</v>
      </c>
      <c r="AL1086" s="7">
        <f ca="1"/>
        <v>66</v>
      </c>
      <c r="AN1086" s="7" t="e">
        <f ca="1"/>
        <v>#REF!</v>
      </c>
      <c r="AO1086" s="7" t="e">
        <f ca="1"/>
        <v>#REF!</v>
      </c>
      <c r="AP1086" s="7">
        <f ca="1"/>
        <v>8.2327692406405403E-2</v>
      </c>
      <c r="AQ1086" s="7" t="e">
        <f ca="1"/>
        <v>#REF!</v>
      </c>
      <c r="AR1086" s="7" t="e">
        <f ca="1"/>
        <v>#REF!</v>
      </c>
      <c r="AS1086" s="7">
        <f ca="1"/>
        <v>0.39787592189543292</v>
      </c>
      <c r="AT1086" s="7" t="e">
        <f ca="1"/>
        <v>#REF!</v>
      </c>
      <c r="AU1086" s="7" t="e">
        <f ca="1"/>
        <v>#REF!</v>
      </c>
      <c r="AV1086" s="7" t="e">
        <f ca="1"/>
        <v>#REF!</v>
      </c>
    </row>
    <row r="1087" spans="37:48" x14ac:dyDescent="0.25">
      <c r="AK1087" t="str">
        <f ca="1"/>
        <v>Obs. 1824</v>
      </c>
      <c r="AL1087" s="7">
        <f ca="1"/>
        <v>65.400000000000006</v>
      </c>
      <c r="AN1087" s="7" t="e">
        <f ca="1"/>
        <v>#REF!</v>
      </c>
      <c r="AO1087" s="7" t="e">
        <f ca="1"/>
        <v>#REF!</v>
      </c>
      <c r="AP1087" s="7">
        <f ca="1"/>
        <v>8.263289120367262E-2</v>
      </c>
      <c r="AQ1087" s="7" t="e">
        <f ca="1"/>
        <v>#REF!</v>
      </c>
      <c r="AR1087" s="7" t="e">
        <f ca="1"/>
        <v>#REF!</v>
      </c>
      <c r="AS1087" s="7">
        <f ca="1"/>
        <v>0.39787592189543292</v>
      </c>
      <c r="AT1087" s="7" t="e">
        <f ca="1"/>
        <v>#REF!</v>
      </c>
      <c r="AU1087" s="7" t="e">
        <f ca="1"/>
        <v>#REF!</v>
      </c>
      <c r="AV1087" s="7" t="e">
        <f ca="1"/>
        <v>#REF!</v>
      </c>
    </row>
    <row r="1088" spans="37:48" x14ac:dyDescent="0.25">
      <c r="AK1088" t="str">
        <f ca="1"/>
        <v>Obs. 1825</v>
      </c>
      <c r="AL1088" s="7">
        <f ca="1"/>
        <v>64.7</v>
      </c>
      <c r="AN1088" s="7" t="e">
        <f ca="1"/>
        <v>#REF!</v>
      </c>
      <c r="AO1088" s="7" t="e">
        <f ca="1"/>
        <v>#REF!</v>
      </c>
      <c r="AP1088" s="7">
        <f ca="1"/>
        <v>9.3691628062183535E-2</v>
      </c>
      <c r="AQ1088" s="7" t="e">
        <f ca="1"/>
        <v>#REF!</v>
      </c>
      <c r="AR1088" s="7" t="e">
        <f ca="1"/>
        <v>#REF!</v>
      </c>
      <c r="AS1088" s="7">
        <f ca="1"/>
        <v>0.39787592189543292</v>
      </c>
      <c r="AT1088" s="7" t="e">
        <f ca="1"/>
        <v>#REF!</v>
      </c>
      <c r="AU1088" s="7" t="e">
        <f ca="1"/>
        <v>#REF!</v>
      </c>
      <c r="AV1088" s="7" t="e">
        <f ca="1"/>
        <v>#REF!</v>
      </c>
    </row>
    <row r="1089" spans="37:48" x14ac:dyDescent="0.25">
      <c r="AK1089" t="str">
        <f ca="1"/>
        <v>Obs. 1826</v>
      </c>
      <c r="AL1089" s="7">
        <f ca="1"/>
        <v>64.3</v>
      </c>
      <c r="AN1089" s="7" t="e">
        <f ca="1"/>
        <v>#REF!</v>
      </c>
      <c r="AO1089" s="7" t="e">
        <f ca="1"/>
        <v>#REF!</v>
      </c>
      <c r="AP1089" s="7">
        <f ca="1"/>
        <v>9.0944545064476204E-2</v>
      </c>
      <c r="AQ1089" s="7" t="e">
        <f ca="1"/>
        <v>#REF!</v>
      </c>
      <c r="AR1089" s="7" t="e">
        <f ca="1"/>
        <v>#REF!</v>
      </c>
      <c r="AS1089" s="7">
        <f ca="1"/>
        <v>0.39787592189543292</v>
      </c>
      <c r="AT1089" s="7" t="e">
        <f ca="1"/>
        <v>#REF!</v>
      </c>
      <c r="AU1089" s="7" t="e">
        <f ca="1"/>
        <v>#REF!</v>
      </c>
      <c r="AV1089" s="7" t="e">
        <f ca="1"/>
        <v>#REF!</v>
      </c>
    </row>
    <row r="1090" spans="37:48" x14ac:dyDescent="0.25">
      <c r="AK1090" t="str">
        <f ca="1"/>
        <v>Obs. 1831</v>
      </c>
      <c r="AL1090" s="7">
        <f ca="1"/>
        <v>81.7</v>
      </c>
      <c r="AN1090" s="7" t="e">
        <f ca="1"/>
        <v>#REF!</v>
      </c>
      <c r="AO1090" s="7" t="e">
        <f ca="1"/>
        <v>#REF!</v>
      </c>
      <c r="AP1090" s="7">
        <f ca="1"/>
        <v>0.28604354617474909</v>
      </c>
      <c r="AQ1090" s="7" t="e">
        <f ca="1"/>
        <v>#REF!</v>
      </c>
      <c r="AR1090" s="7" t="e">
        <f ca="1"/>
        <v>#REF!</v>
      </c>
      <c r="AS1090" s="7">
        <f ca="1"/>
        <v>0.39787592189543292</v>
      </c>
      <c r="AT1090" s="7" t="e">
        <f ca="1"/>
        <v>#REF!</v>
      </c>
      <c r="AU1090" s="7" t="e">
        <f ca="1"/>
        <v>#REF!</v>
      </c>
      <c r="AV1090" s="7" t="e">
        <f ca="1"/>
        <v>#REF!</v>
      </c>
    </row>
    <row r="1091" spans="37:48" x14ac:dyDescent="0.25">
      <c r="AK1091" t="str">
        <f ca="1"/>
        <v>Obs. 1832</v>
      </c>
      <c r="AL1091" s="7">
        <f ca="1"/>
        <v>81.400000000000006</v>
      </c>
      <c r="AN1091" s="7" t="e">
        <f ca="1"/>
        <v>#REF!</v>
      </c>
      <c r="AO1091" s="7" t="e">
        <f ca="1"/>
        <v>#REF!</v>
      </c>
      <c r="AP1091" s="7">
        <f ca="1"/>
        <v>0.26566114105387278</v>
      </c>
      <c r="AQ1091" s="7" t="e">
        <f ca="1"/>
        <v>#REF!</v>
      </c>
      <c r="AR1091" s="7" t="e">
        <f ca="1"/>
        <v>#REF!</v>
      </c>
      <c r="AS1091" s="7">
        <f ca="1"/>
        <v>0.39787592189543292</v>
      </c>
      <c r="AT1091" s="7" t="e">
        <f ca="1"/>
        <v>#REF!</v>
      </c>
      <c r="AU1091" s="7" t="e">
        <f ca="1"/>
        <v>#REF!</v>
      </c>
      <c r="AV1091" s="7" t="e">
        <f ca="1"/>
        <v>#REF!</v>
      </c>
    </row>
    <row r="1092" spans="37:48" x14ac:dyDescent="0.25">
      <c r="AK1092" t="str">
        <f ca="1"/>
        <v>Obs. 1833</v>
      </c>
      <c r="AL1092" s="7">
        <f ca="1"/>
        <v>81.099999999999994</v>
      </c>
      <c r="AN1092" s="7" t="e">
        <f ca="1"/>
        <v>#REF!</v>
      </c>
      <c r="AO1092" s="7" t="e">
        <f ca="1"/>
        <v>#REF!</v>
      </c>
      <c r="AP1092" s="7">
        <f ca="1"/>
        <v>0.2712110800980238</v>
      </c>
      <c r="AQ1092" s="7" t="e">
        <f ca="1"/>
        <v>#REF!</v>
      </c>
      <c r="AR1092" s="7" t="e">
        <f ca="1"/>
        <v>#REF!</v>
      </c>
      <c r="AS1092" s="7">
        <f ca="1"/>
        <v>0.4143837514429769</v>
      </c>
      <c r="AT1092" s="7" t="e">
        <f ca="1"/>
        <v>#REF!</v>
      </c>
      <c r="AU1092" s="7" t="e">
        <f ca="1"/>
        <v>#REF!</v>
      </c>
      <c r="AV1092" s="7" t="e">
        <f ca="1"/>
        <v>#REF!</v>
      </c>
    </row>
    <row r="1093" spans="37:48" x14ac:dyDescent="0.25">
      <c r="AK1093" t="str">
        <f ca="1"/>
        <v>Obs. 1834</v>
      </c>
      <c r="AL1093" s="7">
        <f ca="1"/>
        <v>81.099999999999994</v>
      </c>
      <c r="AN1093" s="7" t="e">
        <f ca="1"/>
        <v>#REF!</v>
      </c>
      <c r="AO1093" s="7" t="e">
        <f ca="1"/>
        <v>#REF!</v>
      </c>
      <c r="AP1093" s="7">
        <f ca="1"/>
        <v>0.38399443388420912</v>
      </c>
      <c r="AQ1093" s="7" t="e">
        <f ca="1"/>
        <v>#REF!</v>
      </c>
      <c r="AR1093" s="7" t="e">
        <f ca="1"/>
        <v>#REF!</v>
      </c>
      <c r="AS1093" s="7">
        <f ca="1"/>
        <v>0.4143837514429769</v>
      </c>
      <c r="AT1093" s="7" t="e">
        <f ca="1"/>
        <v>#REF!</v>
      </c>
      <c r="AU1093" s="7" t="e">
        <f ca="1"/>
        <v>#REF!</v>
      </c>
      <c r="AV1093" s="7" t="e">
        <f ca="1"/>
        <v>#REF!</v>
      </c>
    </row>
    <row r="1094" spans="37:48" x14ac:dyDescent="0.25">
      <c r="AK1094" t="str">
        <f ca="1"/>
        <v>Obs. 1863</v>
      </c>
      <c r="AL1094" s="7">
        <f ca="1"/>
        <v>74.5</v>
      </c>
      <c r="AN1094" s="7" t="e">
        <f ca="1"/>
        <v>#REF!</v>
      </c>
      <c r="AO1094" s="7" t="e">
        <f ca="1"/>
        <v>#REF!</v>
      </c>
      <c r="AP1094" s="7">
        <f ca="1"/>
        <v>6.8892549059660496E-2</v>
      </c>
      <c r="AQ1094" s="7" t="e">
        <f ca="1"/>
        <v>#REF!</v>
      </c>
      <c r="AR1094" s="7" t="e">
        <f ca="1"/>
        <v>#REF!</v>
      </c>
      <c r="AS1094" s="7">
        <f ca="1"/>
        <v>0.4143837514429769</v>
      </c>
      <c r="AT1094" s="7" t="e">
        <f ca="1"/>
        <v>#REF!</v>
      </c>
      <c r="AU1094" s="7" t="e">
        <f ca="1"/>
        <v>#REF!</v>
      </c>
      <c r="AV1094" s="7" t="e">
        <f ca="1"/>
        <v>#REF!</v>
      </c>
    </row>
    <row r="1095" spans="37:48" x14ac:dyDescent="0.25">
      <c r="AK1095" t="str">
        <f ca="1"/>
        <v>Obs. 1864</v>
      </c>
      <c r="AL1095" s="7">
        <f ca="1"/>
        <v>73.900000000000006</v>
      </c>
      <c r="AN1095" s="7" t="e">
        <f ca="1"/>
        <v>#REF!</v>
      </c>
      <c r="AO1095" s="7" t="e">
        <f ca="1"/>
        <v>#REF!</v>
      </c>
      <c r="AP1095" s="7">
        <f ca="1"/>
        <v>6.711512625180388E-2</v>
      </c>
      <c r="AQ1095" s="7" t="e">
        <f ca="1"/>
        <v>#REF!</v>
      </c>
      <c r="AR1095" s="7" t="e">
        <f ca="1"/>
        <v>#REF!</v>
      </c>
      <c r="AS1095" s="7">
        <f ca="1"/>
        <v>0.4143837514429769</v>
      </c>
      <c r="AT1095" s="7" t="e">
        <f ca="1"/>
        <v>#REF!</v>
      </c>
      <c r="AU1095" s="7" t="e">
        <f ca="1"/>
        <v>#REF!</v>
      </c>
      <c r="AV1095" s="7" t="e">
        <f ca="1"/>
        <v>#REF!</v>
      </c>
    </row>
    <row r="1096" spans="37:48" x14ac:dyDescent="0.25">
      <c r="AK1096" t="str">
        <f ca="1"/>
        <v>Obs. 1865</v>
      </c>
      <c r="AL1096" s="7">
        <f ca="1"/>
        <v>73.900000000000006</v>
      </c>
      <c r="AN1096" s="7" t="e">
        <f ca="1"/>
        <v>#REF!</v>
      </c>
      <c r="AO1096" s="7" t="e">
        <f ca="1"/>
        <v>#REF!</v>
      </c>
      <c r="AP1096" s="7">
        <f ca="1"/>
        <v>6.6694297710120698E-2</v>
      </c>
      <c r="AQ1096" s="7" t="e">
        <f ca="1"/>
        <v>#REF!</v>
      </c>
      <c r="AR1096" s="7" t="e">
        <f ca="1"/>
        <v>#REF!</v>
      </c>
      <c r="AS1096" s="7">
        <f ca="1"/>
        <v>0.4143837514429769</v>
      </c>
      <c r="AT1096" s="7" t="e">
        <f ca="1"/>
        <v>#REF!</v>
      </c>
      <c r="AU1096" s="7" t="e">
        <f ca="1"/>
        <v>#REF!</v>
      </c>
      <c r="AV1096" s="7" t="e">
        <f ca="1"/>
        <v>#REF!</v>
      </c>
    </row>
    <row r="1097" spans="37:48" x14ac:dyDescent="0.25">
      <c r="AK1097" t="str">
        <f ca="1"/>
        <v>Obs. 1866</v>
      </c>
      <c r="AL1097" s="7">
        <f ca="1"/>
        <v>74.5</v>
      </c>
      <c r="AN1097" s="7" t="e">
        <f ca="1"/>
        <v>#REF!</v>
      </c>
      <c r="AO1097" s="7" t="e">
        <f ca="1"/>
        <v>#REF!</v>
      </c>
      <c r="AP1097" s="7">
        <f ca="1"/>
        <v>7.1023912480354265E-2</v>
      </c>
      <c r="AQ1097" s="7" t="e">
        <f ca="1"/>
        <v>#REF!</v>
      </c>
      <c r="AR1097" s="7" t="e">
        <f ca="1"/>
        <v>#REF!</v>
      </c>
      <c r="AS1097" s="7">
        <f ca="1"/>
        <v>0.4143837514429769</v>
      </c>
      <c r="AT1097" s="7" t="e">
        <f ca="1"/>
        <v>#REF!</v>
      </c>
      <c r="AU1097" s="7" t="e">
        <f ca="1"/>
        <v>#REF!</v>
      </c>
      <c r="AV1097" s="7" t="e">
        <f ca="1"/>
        <v>#REF!</v>
      </c>
    </row>
    <row r="1098" spans="37:48" x14ac:dyDescent="0.25">
      <c r="AK1098" t="str">
        <f ca="1"/>
        <v>Obs. 1867</v>
      </c>
      <c r="AL1098" s="7">
        <f ca="1"/>
        <v>73.2</v>
      </c>
      <c r="AN1098" s="7" t="e">
        <f ca="1"/>
        <v>#REF!</v>
      </c>
      <c r="AO1098" s="7" t="e">
        <f ca="1"/>
        <v>#REF!</v>
      </c>
      <c r="AP1098" s="7">
        <f ca="1"/>
        <v>7.0549687971647082E-2</v>
      </c>
      <c r="AQ1098" s="7" t="e">
        <f ca="1"/>
        <v>#REF!</v>
      </c>
      <c r="AR1098" s="7" t="e">
        <f ca="1"/>
        <v>#REF!</v>
      </c>
      <c r="AS1098" s="7">
        <f ca="1"/>
        <v>0.4143837514429769</v>
      </c>
      <c r="AT1098" s="7" t="e">
        <f ca="1"/>
        <v>#REF!</v>
      </c>
      <c r="AU1098" s="7" t="e">
        <f ca="1"/>
        <v>#REF!</v>
      </c>
      <c r="AV1098" s="7" t="e">
        <f ca="1"/>
        <v>#REF!</v>
      </c>
    </row>
    <row r="1099" spans="37:48" x14ac:dyDescent="0.25">
      <c r="AK1099" t="str">
        <f ca="1"/>
        <v>Obs. 1868</v>
      </c>
      <c r="AL1099" s="7">
        <f ca="1"/>
        <v>73.2</v>
      </c>
      <c r="AN1099" s="7" t="e">
        <f ca="1"/>
        <v>#REF!</v>
      </c>
      <c r="AO1099" s="7" t="e">
        <f ca="1"/>
        <v>#REF!</v>
      </c>
      <c r="AP1099" s="7">
        <f ca="1"/>
        <v>6.4488062719323877E-2</v>
      </c>
      <c r="AQ1099" s="7" t="e">
        <f ca="1"/>
        <v>#REF!</v>
      </c>
      <c r="AR1099" s="7" t="e">
        <f ca="1"/>
        <v>#REF!</v>
      </c>
      <c r="AS1099" s="7">
        <f ca="1"/>
        <v>0.4143837514429769</v>
      </c>
      <c r="AT1099" s="7" t="e">
        <f ca="1"/>
        <v>#REF!</v>
      </c>
      <c r="AU1099" s="7" t="e">
        <f ca="1"/>
        <v>#REF!</v>
      </c>
      <c r="AV1099" s="7" t="e">
        <f ca="1"/>
        <v>#REF!</v>
      </c>
    </row>
    <row r="1100" spans="37:48" x14ac:dyDescent="0.25">
      <c r="AK1100" t="str">
        <f ca="1"/>
        <v>Obs. 1869</v>
      </c>
      <c r="AL1100" s="7">
        <f ca="1"/>
        <v>72.5</v>
      </c>
      <c r="AN1100" s="7" t="e">
        <f ca="1"/>
        <v>#REF!</v>
      </c>
      <c r="AO1100" s="7" t="e">
        <f ca="1"/>
        <v>#REF!</v>
      </c>
      <c r="AP1100" s="7">
        <f ca="1"/>
        <v>6.4305094119821979E-2</v>
      </c>
      <c r="AQ1100" s="7" t="e">
        <f ca="1"/>
        <v>#REF!</v>
      </c>
      <c r="AR1100" s="7" t="e">
        <f ca="1"/>
        <v>#REF!</v>
      </c>
      <c r="AS1100" s="7">
        <f ca="1"/>
        <v>0.4143837514429769</v>
      </c>
      <c r="AT1100" s="7" t="e">
        <f ca="1"/>
        <v>#REF!</v>
      </c>
      <c r="AU1100" s="7" t="e">
        <f ca="1"/>
        <v>#REF!</v>
      </c>
      <c r="AV1100" s="7" t="e">
        <f ca="1"/>
        <v>#REF!</v>
      </c>
    </row>
    <row r="1101" spans="37:48" x14ac:dyDescent="0.25">
      <c r="AK1101" t="str">
        <f ca="1"/>
        <v>Obs. 1870</v>
      </c>
      <c r="AL1101" s="7">
        <f ca="1"/>
        <v>72.5</v>
      </c>
      <c r="AN1101" s="7" t="e">
        <f ca="1"/>
        <v>#REF!</v>
      </c>
      <c r="AO1101" s="7" t="e">
        <f ca="1"/>
        <v>#REF!</v>
      </c>
      <c r="AP1101" s="7">
        <f ca="1"/>
        <v>6.4142113554821412E-2</v>
      </c>
      <c r="AQ1101" s="7" t="e">
        <f ca="1"/>
        <v>#REF!</v>
      </c>
      <c r="AR1101" s="7" t="e">
        <f ca="1"/>
        <v>#REF!</v>
      </c>
      <c r="AS1101" s="7">
        <f ca="1"/>
        <v>0.4143837514429769</v>
      </c>
      <c r="AT1101" s="7" t="e">
        <f ca="1"/>
        <v>#REF!</v>
      </c>
      <c r="AU1101" s="7" t="e">
        <f ca="1"/>
        <v>#REF!</v>
      </c>
      <c r="AV1101" s="7" t="e">
        <f ca="1"/>
        <v>#REF!</v>
      </c>
    </row>
    <row r="1102" spans="37:48" x14ac:dyDescent="0.25">
      <c r="AK1102" t="str">
        <f ca="1"/>
        <v>Obs. 1871</v>
      </c>
      <c r="AL1102" s="7">
        <f ca="1"/>
        <v>73</v>
      </c>
      <c r="AN1102" s="7" t="e">
        <f ca="1"/>
        <v>#REF!</v>
      </c>
      <c r="AO1102" s="7" t="e">
        <f ca="1"/>
        <v>#REF!</v>
      </c>
      <c r="AP1102" s="7">
        <f ca="1"/>
        <v>6.6541681443689313E-2</v>
      </c>
      <c r="AQ1102" s="7" t="e">
        <f ca="1"/>
        <v>#REF!</v>
      </c>
      <c r="AR1102" s="7" t="e">
        <f ca="1"/>
        <v>#REF!</v>
      </c>
      <c r="AS1102" s="7">
        <f ca="1"/>
        <v>0.4143837514429769</v>
      </c>
      <c r="AT1102" s="7" t="e">
        <f ca="1"/>
        <v>#REF!</v>
      </c>
      <c r="AU1102" s="7" t="e">
        <f ca="1"/>
        <v>#REF!</v>
      </c>
      <c r="AV1102" s="7" t="e">
        <f ca="1"/>
        <v>#REF!</v>
      </c>
    </row>
    <row r="1103" spans="37:48" x14ac:dyDescent="0.25">
      <c r="AK1103" t="str">
        <f ca="1"/>
        <v>Obs. 1872</v>
      </c>
      <c r="AL1103" s="7">
        <f ca="1"/>
        <v>71.2</v>
      </c>
      <c r="AN1103" s="7" t="e">
        <f ca="1"/>
        <v>#REF!</v>
      </c>
      <c r="AO1103" s="7" t="e">
        <f ca="1"/>
        <v>#REF!</v>
      </c>
      <c r="AP1103" s="7">
        <f ca="1"/>
        <v>6.4485965573654505E-2</v>
      </c>
      <c r="AQ1103" s="7" t="e">
        <f ca="1"/>
        <v>#REF!</v>
      </c>
      <c r="AR1103" s="7" t="e">
        <f ca="1"/>
        <v>#REF!</v>
      </c>
      <c r="AS1103" s="7">
        <f ca="1"/>
        <v>0.4143837514429769</v>
      </c>
      <c r="AT1103" s="7" t="e">
        <f ca="1"/>
        <v>#REF!</v>
      </c>
      <c r="AU1103" s="7" t="e">
        <f ca="1"/>
        <v>#REF!</v>
      </c>
      <c r="AV1103" s="7" t="e">
        <f ca="1"/>
        <v>#REF!</v>
      </c>
    </row>
    <row r="1104" spans="37:48" x14ac:dyDescent="0.25">
      <c r="AK1104" t="str">
        <f ca="1"/>
        <v>Obs. 1873</v>
      </c>
      <c r="AL1104" s="7">
        <f ca="1"/>
        <v>71</v>
      </c>
      <c r="AN1104" s="7" t="e">
        <f ca="1"/>
        <v>#REF!</v>
      </c>
      <c r="AO1104" s="7" t="e">
        <f ca="1"/>
        <v>#REF!</v>
      </c>
      <c r="AP1104" s="7">
        <f ca="1"/>
        <v>7.8390936028301703E-2</v>
      </c>
      <c r="AQ1104" s="7" t="e">
        <f ca="1"/>
        <v>#REF!</v>
      </c>
      <c r="AR1104" s="7" t="e">
        <f ca="1"/>
        <v>#REF!</v>
      </c>
      <c r="AS1104" s="7">
        <f ca="1"/>
        <v>0.43434378704136062</v>
      </c>
      <c r="AT1104" s="7" t="e">
        <f ca="1"/>
        <v>#REF!</v>
      </c>
      <c r="AU1104" s="7" t="e">
        <f ca="1"/>
        <v>#REF!</v>
      </c>
      <c r="AV1104" s="7" t="e">
        <f ca="1"/>
        <v>#REF!</v>
      </c>
    </row>
    <row r="1105" spans="37:48" x14ac:dyDescent="0.25">
      <c r="AK1105" t="str">
        <f ca="1"/>
        <v>Obs. 1874</v>
      </c>
      <c r="AL1105" s="7">
        <f ca="1"/>
        <v>76</v>
      </c>
      <c r="AN1105" s="7" t="e">
        <f ca="1"/>
        <v>#REF!</v>
      </c>
      <c r="AO1105" s="7" t="e">
        <f ca="1"/>
        <v>#REF!</v>
      </c>
      <c r="AP1105" s="7">
        <f ca="1"/>
        <v>6.503403418022688E-2</v>
      </c>
      <c r="AQ1105" s="7" t="e">
        <f ca="1"/>
        <v>#REF!</v>
      </c>
      <c r="AR1105" s="7" t="e">
        <f ca="1"/>
        <v>#REF!</v>
      </c>
      <c r="AS1105" s="7">
        <f ca="1"/>
        <v>0.43434378704136062</v>
      </c>
      <c r="AT1105" s="7" t="e">
        <f ca="1"/>
        <v>#REF!</v>
      </c>
      <c r="AU1105" s="7" t="e">
        <f ca="1"/>
        <v>#REF!</v>
      </c>
      <c r="AV1105" s="7" t="e">
        <f ca="1"/>
        <v>#REF!</v>
      </c>
    </row>
    <row r="1106" spans="37:48" x14ac:dyDescent="0.25">
      <c r="AK1106" t="str">
        <f ca="1"/>
        <v>Obs. 1875</v>
      </c>
      <c r="AL1106" s="7">
        <f ca="1"/>
        <v>75</v>
      </c>
      <c r="AN1106" s="7" t="e">
        <f ca="1"/>
        <v>#REF!</v>
      </c>
      <c r="AO1106" s="7" t="e">
        <f ca="1"/>
        <v>#REF!</v>
      </c>
      <c r="AP1106" s="7">
        <f ca="1"/>
        <v>6.5840279506876431E-2</v>
      </c>
      <c r="AQ1106" s="7" t="e">
        <f ca="1"/>
        <v>#REF!</v>
      </c>
      <c r="AR1106" s="7" t="e">
        <f ca="1"/>
        <v>#REF!</v>
      </c>
      <c r="AS1106" s="7">
        <f ca="1"/>
        <v>0.43434378704136062</v>
      </c>
      <c r="AT1106" s="7" t="e">
        <f ca="1"/>
        <v>#REF!</v>
      </c>
      <c r="AU1106" s="7" t="e">
        <f ca="1"/>
        <v>#REF!</v>
      </c>
      <c r="AV1106" s="7" t="e">
        <f ca="1"/>
        <v>#REF!</v>
      </c>
    </row>
    <row r="1107" spans="37:48" x14ac:dyDescent="0.25">
      <c r="AK1107" t="str">
        <f ca="1"/>
        <v>Obs. 1876</v>
      </c>
      <c r="AL1107" s="7">
        <f ca="1"/>
        <v>73</v>
      </c>
      <c r="AN1107" s="7" t="e">
        <f ca="1"/>
        <v>#REF!</v>
      </c>
      <c r="AO1107" s="7" t="e">
        <f ca="1"/>
        <v>#REF!</v>
      </c>
      <c r="AP1107" s="7">
        <f ca="1"/>
        <v>6.6189611086854311E-2</v>
      </c>
      <c r="AQ1107" s="7" t="e">
        <f ca="1"/>
        <v>#REF!</v>
      </c>
      <c r="AR1107" s="7" t="e">
        <f ca="1"/>
        <v>#REF!</v>
      </c>
      <c r="AS1107" s="7">
        <f ca="1"/>
        <v>0.43434378704136062</v>
      </c>
      <c r="AT1107" s="7" t="e">
        <f ca="1"/>
        <v>#REF!</v>
      </c>
      <c r="AU1107" s="7" t="e">
        <f ca="1"/>
        <v>#REF!</v>
      </c>
      <c r="AV1107" s="7" t="e">
        <f ca="1"/>
        <v>#REF!</v>
      </c>
    </row>
    <row r="1108" spans="37:48" x14ac:dyDescent="0.25">
      <c r="AK1108" t="str">
        <f ca="1"/>
        <v>Obs. 1877</v>
      </c>
      <c r="AL1108" s="7">
        <f ca="1"/>
        <v>73</v>
      </c>
      <c r="AN1108" s="7" t="e">
        <f ca="1"/>
        <v>#REF!</v>
      </c>
      <c r="AO1108" s="7" t="e">
        <f ca="1"/>
        <v>#REF!</v>
      </c>
      <c r="AP1108" s="7">
        <f ca="1"/>
        <v>6.6635947726219405E-2</v>
      </c>
      <c r="AQ1108" s="7" t="e">
        <f ca="1"/>
        <v>#REF!</v>
      </c>
      <c r="AR1108" s="7" t="e">
        <f ca="1"/>
        <v>#REF!</v>
      </c>
      <c r="AS1108" s="7">
        <f ca="1"/>
        <v>0.43434378704136062</v>
      </c>
      <c r="AT1108" s="7" t="e">
        <f ca="1"/>
        <v>#REF!</v>
      </c>
      <c r="AU1108" s="7" t="e">
        <f ca="1"/>
        <v>#REF!</v>
      </c>
      <c r="AV1108" s="7" t="e">
        <f ca="1"/>
        <v>#REF!</v>
      </c>
    </row>
    <row r="1109" spans="37:48" x14ac:dyDescent="0.25">
      <c r="AK1109" t="str">
        <f ca="1"/>
        <v>Obs. 1879</v>
      </c>
      <c r="AL1109" s="7">
        <f ca="1"/>
        <v>61.4</v>
      </c>
      <c r="AN1109" s="7" t="e">
        <f ca="1"/>
        <v>#REF!</v>
      </c>
      <c r="AO1109" s="7" t="e">
        <f ca="1"/>
        <v>#REF!</v>
      </c>
      <c r="AP1109" s="7">
        <f ca="1"/>
        <v>0.17578706095287439</v>
      </c>
      <c r="AQ1109" s="7" t="e">
        <f ca="1"/>
        <v>#REF!</v>
      </c>
      <c r="AR1109" s="7" t="e">
        <f ca="1"/>
        <v>#REF!</v>
      </c>
      <c r="AS1109" s="7">
        <f ca="1"/>
        <v>0.43434378704136062</v>
      </c>
      <c r="AT1109" s="7" t="e">
        <f ca="1"/>
        <v>#REF!</v>
      </c>
      <c r="AU1109" s="7" t="e">
        <f ca="1"/>
        <v>#REF!</v>
      </c>
      <c r="AV1109" s="7" t="e">
        <f ca="1"/>
        <v>#REF!</v>
      </c>
    </row>
    <row r="1110" spans="37:48" x14ac:dyDescent="0.25">
      <c r="AK1110" t="str">
        <f ca="1"/>
        <v>Obs. 1880</v>
      </c>
      <c r="AL1110" s="7">
        <f ca="1"/>
        <v>69</v>
      </c>
      <c r="AN1110" s="7" t="e">
        <f ca="1"/>
        <v>#REF!</v>
      </c>
      <c r="AO1110" s="7" t="e">
        <f ca="1"/>
        <v>#REF!</v>
      </c>
      <c r="AP1110" s="7">
        <f ca="1"/>
        <v>0.1890044944445454</v>
      </c>
      <c r="AQ1110" s="7" t="e">
        <f ca="1"/>
        <v>#REF!</v>
      </c>
      <c r="AR1110" s="7" t="e">
        <f ca="1"/>
        <v>#REF!</v>
      </c>
      <c r="AS1110" s="7">
        <f ca="1"/>
        <v>0.43434378704136062</v>
      </c>
      <c r="AT1110" s="7" t="e">
        <f ca="1"/>
        <v>#REF!</v>
      </c>
      <c r="AU1110" s="7" t="e">
        <f ca="1"/>
        <v>#REF!</v>
      </c>
      <c r="AV1110" s="7" t="e">
        <f ca="1"/>
        <v>#REF!</v>
      </c>
    </row>
    <row r="1111" spans="37:48" x14ac:dyDescent="0.25">
      <c r="AK1111" t="str">
        <f ca="1"/>
        <v>Obs. 1881</v>
      </c>
      <c r="AL1111" s="7">
        <f ca="1"/>
        <v>63</v>
      </c>
      <c r="AN1111" s="7" t="e">
        <f ca="1"/>
        <v>#REF!</v>
      </c>
      <c r="AO1111" s="7" t="e">
        <f ca="1"/>
        <v>#REF!</v>
      </c>
      <c r="AP1111" s="7">
        <f ca="1"/>
        <v>0.16840958130421985</v>
      </c>
      <c r="AQ1111" s="7" t="e">
        <f ca="1"/>
        <v>#REF!</v>
      </c>
      <c r="AR1111" s="7" t="e">
        <f ca="1"/>
        <v>#REF!</v>
      </c>
      <c r="AS1111" s="7">
        <f ca="1"/>
        <v>0.43434378704136062</v>
      </c>
      <c r="AT1111" s="7" t="e">
        <f ca="1"/>
        <v>#REF!</v>
      </c>
      <c r="AU1111" s="7" t="e">
        <f ca="1"/>
        <v>#REF!</v>
      </c>
      <c r="AV1111" s="7" t="e">
        <f ca="1"/>
        <v>#REF!</v>
      </c>
    </row>
    <row r="1112" spans="37:48" x14ac:dyDescent="0.25">
      <c r="AK1112" t="str">
        <f ca="1"/>
        <v>Obs. 1882</v>
      </c>
      <c r="AL1112" s="7">
        <f ca="1"/>
        <v>59.4</v>
      </c>
      <c r="AN1112" s="7" t="e">
        <f ca="1"/>
        <v>#REF!</v>
      </c>
      <c r="AO1112" s="7" t="e">
        <f ca="1"/>
        <v>#REF!</v>
      </c>
      <c r="AP1112" s="7">
        <f ca="1"/>
        <v>0.17648440285890335</v>
      </c>
      <c r="AQ1112" s="7" t="e">
        <f ca="1"/>
        <v>#REF!</v>
      </c>
      <c r="AR1112" s="7" t="e">
        <f ca="1"/>
        <v>#REF!</v>
      </c>
      <c r="AS1112" s="7">
        <f ca="1"/>
        <v>0.43434378704136062</v>
      </c>
      <c r="AT1112" s="7" t="e">
        <f ca="1"/>
        <v>#REF!</v>
      </c>
      <c r="AU1112" s="7" t="e">
        <f ca="1"/>
        <v>#REF!</v>
      </c>
      <c r="AV1112" s="7" t="e">
        <f ca="1"/>
        <v>#REF!</v>
      </c>
    </row>
    <row r="1113" spans="37:48" x14ac:dyDescent="0.25">
      <c r="AK1113" t="str">
        <f ca="1"/>
        <v>Obs. 1883</v>
      </c>
      <c r="AL1113" s="7">
        <f ca="1"/>
        <v>58.2</v>
      </c>
      <c r="AN1113" s="7" t="e">
        <f ca="1"/>
        <v>#REF!</v>
      </c>
      <c r="AO1113" s="7" t="e">
        <f ca="1"/>
        <v>#REF!</v>
      </c>
      <c r="AP1113" s="7">
        <f ca="1"/>
        <v>0.17932130007215033</v>
      </c>
      <c r="AQ1113" s="7" t="e">
        <f ca="1"/>
        <v>#REF!</v>
      </c>
      <c r="AR1113" s="7" t="e">
        <f ca="1"/>
        <v>#REF!</v>
      </c>
      <c r="AS1113" s="7">
        <f ca="1"/>
        <v>0.43434378704136062</v>
      </c>
      <c r="AT1113" s="7" t="e">
        <f ca="1"/>
        <v>#REF!</v>
      </c>
      <c r="AU1113" s="7" t="e">
        <f ca="1"/>
        <v>#REF!</v>
      </c>
      <c r="AV1113" s="7" t="e">
        <f ca="1"/>
        <v>#REF!</v>
      </c>
    </row>
    <row r="1114" spans="37:48" x14ac:dyDescent="0.25">
      <c r="AK1114" t="str">
        <f ca="1"/>
        <v>Obs. 1884</v>
      </c>
      <c r="AL1114" s="7">
        <f ca="1"/>
        <v>57.1</v>
      </c>
      <c r="AN1114" s="7" t="e">
        <f ca="1"/>
        <v>#REF!</v>
      </c>
      <c r="AO1114" s="7" t="e">
        <f ca="1"/>
        <v>#REF!</v>
      </c>
      <c r="AP1114" s="7">
        <f ca="1"/>
        <v>0.19157852652579124</v>
      </c>
      <c r="AQ1114" s="7" t="e">
        <f ca="1"/>
        <v>#REF!</v>
      </c>
      <c r="AR1114" s="7" t="e">
        <f ca="1"/>
        <v>#REF!</v>
      </c>
      <c r="AS1114" s="7">
        <f ca="1"/>
        <v>0.43434378704136062</v>
      </c>
      <c r="AT1114" s="7" t="e">
        <f ca="1"/>
        <v>#REF!</v>
      </c>
      <c r="AU1114" s="7" t="e">
        <f ca="1"/>
        <v>#REF!</v>
      </c>
      <c r="AV1114" s="7" t="e">
        <f ca="1"/>
        <v>#REF!</v>
      </c>
    </row>
    <row r="1115" spans="37:48" x14ac:dyDescent="0.25">
      <c r="AK1115" t="str">
        <f ca="1"/>
        <v>Obs. 1895</v>
      </c>
      <c r="AL1115" s="7">
        <f ca="1"/>
        <v>53.6</v>
      </c>
      <c r="AN1115" s="7" t="e">
        <f ca="1"/>
        <v>#REF!</v>
      </c>
      <c r="AO1115" s="7" t="e">
        <f ca="1"/>
        <v>#REF!</v>
      </c>
      <c r="AP1115" s="7">
        <f ca="1"/>
        <v>0.15993411239706334</v>
      </c>
      <c r="AQ1115" s="7" t="e">
        <f ca="1"/>
        <v>#REF!</v>
      </c>
      <c r="AR1115" s="7" t="e">
        <f ca="1"/>
        <v>#REF!</v>
      </c>
      <c r="AS1115" s="7">
        <f ca="1"/>
        <v>0.43434378704136062</v>
      </c>
      <c r="AT1115" s="7" t="e">
        <f ca="1"/>
        <v>#REF!</v>
      </c>
      <c r="AU1115" s="7" t="e">
        <f ca="1"/>
        <v>#REF!</v>
      </c>
      <c r="AV1115" s="7" t="e">
        <f ca="1"/>
        <v>#REF!</v>
      </c>
    </row>
    <row r="1116" spans="37:48" x14ac:dyDescent="0.25">
      <c r="AK1116" t="str">
        <f ca="1"/>
        <v>Obs. 1896</v>
      </c>
      <c r="AL1116" s="7">
        <f ca="1"/>
        <v>53.2</v>
      </c>
      <c r="AN1116" s="7" t="e">
        <f ca="1"/>
        <v>#REF!</v>
      </c>
      <c r="AO1116" s="7" t="e">
        <f ca="1"/>
        <v>#REF!</v>
      </c>
      <c r="AP1116" s="7">
        <f ca="1"/>
        <v>0.13839814793864891</v>
      </c>
      <c r="AQ1116" s="7" t="e">
        <f ca="1"/>
        <v>#REF!</v>
      </c>
      <c r="AR1116" s="7" t="e">
        <f ca="1"/>
        <v>#REF!</v>
      </c>
      <c r="AS1116" s="7">
        <f ca="1"/>
        <v>0.43434378704136062</v>
      </c>
      <c r="AT1116" s="7" t="e">
        <f ca="1"/>
        <v>#REF!</v>
      </c>
      <c r="AU1116" s="7" t="e">
        <f ca="1"/>
        <v>#REF!</v>
      </c>
      <c r="AV1116" s="7" t="e">
        <f ca="1"/>
        <v>#REF!</v>
      </c>
    </row>
    <row r="1117" spans="37:48" x14ac:dyDescent="0.25">
      <c r="AK1117" t="str">
        <f ca="1"/>
        <v>Obs. 1897</v>
      </c>
      <c r="AL1117" s="7">
        <f ca="1"/>
        <v>52.7</v>
      </c>
      <c r="AN1117" s="7" t="e">
        <f ca="1"/>
        <v>#REF!</v>
      </c>
      <c r="AO1117" s="7" t="e">
        <f ca="1"/>
        <v>#REF!</v>
      </c>
      <c r="AP1117" s="7">
        <f ca="1"/>
        <v>0.12349140179812901</v>
      </c>
      <c r="AQ1117" s="7" t="e">
        <f ca="1"/>
        <v>#REF!</v>
      </c>
      <c r="AR1117" s="7" t="e">
        <f ca="1"/>
        <v>#REF!</v>
      </c>
      <c r="AS1117" s="7">
        <f ca="1"/>
        <v>0.43434378704136062</v>
      </c>
      <c r="AT1117" s="7" t="e">
        <f ca="1"/>
        <v>#REF!</v>
      </c>
      <c r="AU1117" s="7" t="e">
        <f ca="1"/>
        <v>#REF!</v>
      </c>
      <c r="AV1117" s="7" t="e">
        <f ca="1"/>
        <v>#REF!</v>
      </c>
    </row>
    <row r="1118" spans="37:48" x14ac:dyDescent="0.25">
      <c r="AK1118" t="str">
        <f ca="1"/>
        <v>Obs. 1898</v>
      </c>
      <c r="AL1118" s="7">
        <f ca="1"/>
        <v>52.3</v>
      </c>
      <c r="AN1118" s="7" t="e">
        <f ca="1"/>
        <v>#REF!</v>
      </c>
      <c r="AO1118" s="7" t="e">
        <f ca="1"/>
        <v>#REF!</v>
      </c>
      <c r="AP1118" s="7">
        <f ca="1"/>
        <v>0.12556865010208323</v>
      </c>
      <c r="AQ1118" s="7" t="e">
        <f ca="1"/>
        <v>#REF!</v>
      </c>
      <c r="AR1118" s="7" t="e">
        <f ca="1"/>
        <v>#REF!</v>
      </c>
      <c r="AS1118" s="7">
        <f ca="1"/>
        <v>0.43434378704136062</v>
      </c>
      <c r="AT1118" s="7" t="e">
        <f ca="1"/>
        <v>#REF!</v>
      </c>
      <c r="AU1118" s="7" t="e">
        <f ca="1"/>
        <v>#REF!</v>
      </c>
      <c r="AV1118" s="7" t="e">
        <f ca="1"/>
        <v>#REF!</v>
      </c>
    </row>
    <row r="1119" spans="37:48" x14ac:dyDescent="0.25">
      <c r="AK1119" t="str">
        <f ca="1"/>
        <v>Obs. 1899</v>
      </c>
      <c r="AL1119" s="7">
        <f ca="1"/>
        <v>52</v>
      </c>
      <c r="AN1119" s="7" t="e">
        <f ca="1"/>
        <v>#REF!</v>
      </c>
      <c r="AO1119" s="7" t="e">
        <f ca="1"/>
        <v>#REF!</v>
      </c>
      <c r="AP1119" s="7">
        <f ca="1"/>
        <v>0.10556520500317956</v>
      </c>
      <c r="AQ1119" s="7" t="e">
        <f ca="1"/>
        <v>#REF!</v>
      </c>
      <c r="AR1119" s="7" t="e">
        <f ca="1"/>
        <v>#REF!</v>
      </c>
      <c r="AS1119" s="7">
        <f ca="1"/>
        <v>0.43434378704136062</v>
      </c>
      <c r="AT1119" s="7" t="e">
        <f ca="1"/>
        <v>#REF!</v>
      </c>
      <c r="AU1119" s="7" t="e">
        <f ca="1"/>
        <v>#REF!</v>
      </c>
      <c r="AV1119" s="7" t="e">
        <f ca="1"/>
        <v>#REF!</v>
      </c>
    </row>
    <row r="1120" spans="37:48" x14ac:dyDescent="0.25">
      <c r="AK1120" t="str">
        <f ca="1"/>
        <v>Obs. 1900</v>
      </c>
      <c r="AL1120" s="7">
        <f ca="1"/>
        <v>51.6</v>
      </c>
      <c r="AN1120" s="7" t="e">
        <f ca="1"/>
        <v>#REF!</v>
      </c>
      <c r="AO1120" s="7" t="e">
        <f ca="1"/>
        <v>#REF!</v>
      </c>
      <c r="AP1120" s="7">
        <f ca="1"/>
        <v>0.10667899985593669</v>
      </c>
      <c r="AQ1120" s="7" t="e">
        <f ca="1"/>
        <v>#REF!</v>
      </c>
      <c r="AR1120" s="7" t="e">
        <f ca="1"/>
        <v>#REF!</v>
      </c>
      <c r="AS1120" s="7">
        <f ca="1"/>
        <v>0.43434378704136062</v>
      </c>
      <c r="AT1120" s="7" t="e">
        <f ca="1"/>
        <v>#REF!</v>
      </c>
      <c r="AU1120" s="7" t="e">
        <f ca="1"/>
        <v>#REF!</v>
      </c>
      <c r="AV1120" s="7" t="e">
        <f ca="1"/>
        <v>#REF!</v>
      </c>
    </row>
    <row r="1121" spans="37:48" x14ac:dyDescent="0.25">
      <c r="AK1121" t="str">
        <f ca="1"/>
        <v>Obs. 1901</v>
      </c>
      <c r="AL1121" s="7">
        <f ca="1"/>
        <v>59</v>
      </c>
      <c r="AN1121" s="7" t="e">
        <f ca="1"/>
        <v>#REF!</v>
      </c>
      <c r="AO1121" s="7" t="e">
        <f ca="1"/>
        <v>#REF!</v>
      </c>
      <c r="AP1121" s="7">
        <f ca="1"/>
        <v>0.10864740402298351</v>
      </c>
      <c r="AQ1121" s="7" t="e">
        <f ca="1"/>
        <v>#REF!</v>
      </c>
      <c r="AR1121" s="7" t="e">
        <f ca="1"/>
        <v>#REF!</v>
      </c>
      <c r="AS1121" s="7">
        <f ca="1"/>
        <v>0.43434378704136062</v>
      </c>
      <c r="AT1121" s="7" t="e">
        <f ca="1"/>
        <v>#REF!</v>
      </c>
      <c r="AU1121" s="7" t="e">
        <f ca="1"/>
        <v>#REF!</v>
      </c>
      <c r="AV1121" s="7" t="e">
        <f ca="1"/>
        <v>#REF!</v>
      </c>
    </row>
    <row r="1122" spans="37:48" x14ac:dyDescent="0.25">
      <c r="AK1122" t="str">
        <f ca="1"/>
        <v>Obs. 1902</v>
      </c>
      <c r="AL1122" s="7">
        <f ca="1"/>
        <v>55</v>
      </c>
      <c r="AN1122" s="7" t="e">
        <f ca="1"/>
        <v>#REF!</v>
      </c>
      <c r="AO1122" s="7" t="e">
        <f ca="1"/>
        <v>#REF!</v>
      </c>
      <c r="AP1122" s="7">
        <f ca="1"/>
        <v>0.11220202628348175</v>
      </c>
      <c r="AQ1122" s="7" t="e">
        <f ca="1"/>
        <v>#REF!</v>
      </c>
      <c r="AR1122" s="7" t="e">
        <f ca="1"/>
        <v>#REF!</v>
      </c>
      <c r="AS1122" s="7">
        <f ca="1"/>
        <v>0.43434378704136062</v>
      </c>
      <c r="AT1122" s="7" t="e">
        <f ca="1"/>
        <v>#REF!</v>
      </c>
      <c r="AU1122" s="7" t="e">
        <f ca="1"/>
        <v>#REF!</v>
      </c>
      <c r="AV1122" s="7" t="e">
        <f ca="1"/>
        <v>#REF!</v>
      </c>
    </row>
    <row r="1123" spans="37:48" x14ac:dyDescent="0.25">
      <c r="AK1123" t="str">
        <f ca="1"/>
        <v>Obs. 1903</v>
      </c>
      <c r="AL1123" s="7">
        <f ca="1"/>
        <v>49.8</v>
      </c>
      <c r="AN1123" s="7" t="e">
        <f ca="1"/>
        <v>#REF!</v>
      </c>
      <c r="AO1123" s="7" t="e">
        <f ca="1"/>
        <v>#REF!</v>
      </c>
      <c r="AP1123" s="7">
        <f ca="1"/>
        <v>0.12334193662342229</v>
      </c>
      <c r="AQ1123" s="7" t="e">
        <f ca="1"/>
        <v>#REF!</v>
      </c>
      <c r="AR1123" s="7" t="e">
        <f ca="1"/>
        <v>#REF!</v>
      </c>
      <c r="AS1123" s="7">
        <f ca="1"/>
        <v>0.4663087141536239</v>
      </c>
      <c r="AT1123" s="7" t="e">
        <f ca="1"/>
        <v>#REF!</v>
      </c>
      <c r="AU1123" s="7" t="e">
        <f ca="1"/>
        <v>#REF!</v>
      </c>
      <c r="AV1123" s="7" t="e">
        <f ca="1"/>
        <v>#REF!</v>
      </c>
    </row>
    <row r="1124" spans="37:48" x14ac:dyDescent="0.25">
      <c r="AK1124" t="str">
        <f ca="1"/>
        <v>Obs. 1904</v>
      </c>
      <c r="AL1124" s="7">
        <f ca="1"/>
        <v>49.2</v>
      </c>
      <c r="AN1124" s="7" t="e">
        <f ca="1"/>
        <v>#REF!</v>
      </c>
      <c r="AO1124" s="7" t="e">
        <f ca="1"/>
        <v>#REF!</v>
      </c>
      <c r="AP1124" s="7">
        <f ca="1"/>
        <v>0.25928462246148343</v>
      </c>
      <c r="AQ1124" s="7" t="e">
        <f ca="1"/>
        <v>#REF!</v>
      </c>
      <c r="AR1124" s="7" t="e">
        <f ca="1"/>
        <v>#REF!</v>
      </c>
      <c r="AS1124" s="7">
        <f ca="1"/>
        <v>0.4663087141536239</v>
      </c>
      <c r="AT1124" s="7" t="e">
        <f ca="1"/>
        <v>#REF!</v>
      </c>
      <c r="AU1124" s="7" t="e">
        <f ca="1"/>
        <v>#REF!</v>
      </c>
      <c r="AV1124" s="7" t="e">
        <f ca="1"/>
        <v>#REF!</v>
      </c>
    </row>
    <row r="1125" spans="37:48" x14ac:dyDescent="0.25">
      <c r="AK1125" t="str">
        <f ca="1"/>
        <v>Obs. 1944</v>
      </c>
      <c r="AL1125" s="7">
        <f ca="1"/>
        <v>66.2</v>
      </c>
      <c r="AN1125" s="7" t="e">
        <f ca="1"/>
        <v>#REF!</v>
      </c>
      <c r="AO1125" s="7" t="e">
        <f ca="1"/>
        <v>#REF!</v>
      </c>
      <c r="AP1125" s="7">
        <f ca="1"/>
        <v>0.10064866121957261</v>
      </c>
      <c r="AQ1125" s="7" t="e">
        <f ca="1"/>
        <v>#REF!</v>
      </c>
      <c r="AR1125" s="7" t="e">
        <f ca="1"/>
        <v>#REF!</v>
      </c>
      <c r="AS1125" s="7">
        <f ca="1"/>
        <v>0.4663087141536239</v>
      </c>
      <c r="AT1125" s="7" t="e">
        <f ca="1"/>
        <v>#REF!</v>
      </c>
      <c r="AU1125" s="7" t="e">
        <f ca="1"/>
        <v>#REF!</v>
      </c>
      <c r="AV1125" s="7" t="e">
        <f ca="1"/>
        <v>#REF!</v>
      </c>
    </row>
    <row r="1126" spans="37:48" x14ac:dyDescent="0.25">
      <c r="AK1126" t="str">
        <f ca="1"/>
        <v>Obs. 1945</v>
      </c>
      <c r="AL1126" s="7">
        <f ca="1"/>
        <v>66</v>
      </c>
      <c r="AN1126" s="7" t="e">
        <f ca="1"/>
        <v>#REF!</v>
      </c>
      <c r="AO1126" s="7" t="e">
        <f ca="1"/>
        <v>#REF!</v>
      </c>
      <c r="AP1126" s="7">
        <f ca="1"/>
        <v>0.17621990044975458</v>
      </c>
      <c r="AQ1126" s="7" t="e">
        <f ca="1"/>
        <v>#REF!</v>
      </c>
      <c r="AR1126" s="7" t="e">
        <f ca="1"/>
        <v>#REF!</v>
      </c>
      <c r="AS1126" s="7">
        <f ca="1"/>
        <v>0.4663087141536239</v>
      </c>
      <c r="AT1126" s="7" t="e">
        <f ca="1"/>
        <v>#REF!</v>
      </c>
      <c r="AU1126" s="7" t="e">
        <f ca="1"/>
        <v>#REF!</v>
      </c>
      <c r="AV1126" s="7" t="e">
        <f ca="1"/>
        <v>#REF!</v>
      </c>
    </row>
    <row r="1127" spans="37:48" x14ac:dyDescent="0.25">
      <c r="AK1127" t="str">
        <f ca="1"/>
        <v>Obs. 1946</v>
      </c>
      <c r="AL1127" s="7">
        <f ca="1"/>
        <v>65.7</v>
      </c>
      <c r="AN1127" s="7" t="e">
        <f ca="1"/>
        <v>#REF!</v>
      </c>
      <c r="AO1127" s="7" t="e">
        <f ca="1"/>
        <v>#REF!</v>
      </c>
      <c r="AP1127" s="7">
        <f ca="1"/>
        <v>0.17523283365553971</v>
      </c>
      <c r="AQ1127" s="7" t="e">
        <f ca="1"/>
        <v>#REF!</v>
      </c>
      <c r="AR1127" s="7" t="e">
        <f ca="1"/>
        <v>#REF!</v>
      </c>
      <c r="AS1127" s="7">
        <f ca="1"/>
        <v>0.4663087141536239</v>
      </c>
      <c r="AT1127" s="7" t="e">
        <f ca="1"/>
        <v>#REF!</v>
      </c>
      <c r="AU1127" s="7" t="e">
        <f ca="1"/>
        <v>#REF!</v>
      </c>
      <c r="AV1127" s="7" t="e">
        <f ca="1"/>
        <v>#REF!</v>
      </c>
    </row>
    <row r="1128" spans="37:48" x14ac:dyDescent="0.25">
      <c r="AK1128" t="str">
        <f ca="1"/>
        <v>Obs. 1947</v>
      </c>
      <c r="AL1128" s="7">
        <f ca="1"/>
        <v>65.5</v>
      </c>
      <c r="AN1128" s="7" t="e">
        <f ca="1"/>
        <v>#REF!</v>
      </c>
      <c r="AO1128" s="7" t="e">
        <f ca="1"/>
        <v>#REF!</v>
      </c>
      <c r="AP1128" s="7">
        <f ca="1"/>
        <v>0.12070096227021687</v>
      </c>
      <c r="AQ1128" s="7" t="e">
        <f ca="1"/>
        <v>#REF!</v>
      </c>
      <c r="AR1128" s="7" t="e">
        <f ca="1"/>
        <v>#REF!</v>
      </c>
      <c r="AS1128" s="7">
        <f ca="1"/>
        <v>0.4663087141536239</v>
      </c>
      <c r="AT1128" s="7" t="e">
        <f ca="1"/>
        <v>#REF!</v>
      </c>
      <c r="AU1128" s="7" t="e">
        <f ca="1"/>
        <v>#REF!</v>
      </c>
      <c r="AV1128" s="7" t="e">
        <f ca="1"/>
        <v>#REF!</v>
      </c>
    </row>
    <row r="1129" spans="37:48" x14ac:dyDescent="0.25">
      <c r="AK1129" t="str">
        <f ca="1"/>
        <v>Obs. 1948</v>
      </c>
      <c r="AL1129" s="7">
        <f ca="1"/>
        <v>65.099999999999994</v>
      </c>
      <c r="AN1129" s="7" t="e">
        <f ca="1"/>
        <v>#REF!</v>
      </c>
      <c r="AO1129" s="7" t="e">
        <f ca="1"/>
        <v>#REF!</v>
      </c>
      <c r="AP1129" s="7">
        <f ca="1"/>
        <v>0.12015346000285936</v>
      </c>
      <c r="AQ1129" s="7" t="e">
        <f ca="1"/>
        <v>#REF!</v>
      </c>
      <c r="AR1129" s="7" t="e">
        <f ca="1"/>
        <v>#REF!</v>
      </c>
      <c r="AS1129" s="7">
        <f ca="1"/>
        <v>0.4663087141536239</v>
      </c>
      <c r="AT1129" s="7" t="e">
        <f ca="1"/>
        <v>#REF!</v>
      </c>
      <c r="AU1129" s="7" t="e">
        <f ca="1"/>
        <v>#REF!</v>
      </c>
      <c r="AV1129" s="7" t="e">
        <f ca="1"/>
        <v>#REF!</v>
      </c>
    </row>
    <row r="1130" spans="37:48" x14ac:dyDescent="0.25">
      <c r="AK1130" t="str">
        <f ca="1"/>
        <v>Obs. 1949</v>
      </c>
      <c r="AL1130" s="7">
        <f ca="1"/>
        <v>64.8</v>
      </c>
      <c r="AN1130" s="7" t="e">
        <f ca="1"/>
        <v>#REF!</v>
      </c>
      <c r="AO1130" s="7" t="e">
        <f ca="1"/>
        <v>#REF!</v>
      </c>
      <c r="AP1130" s="7">
        <f ca="1"/>
        <v>0.12271465043346313</v>
      </c>
      <c r="AQ1130" s="7" t="e">
        <f ca="1"/>
        <v>#REF!</v>
      </c>
      <c r="AR1130" s="7" t="e">
        <f ca="1"/>
        <v>#REF!</v>
      </c>
      <c r="AS1130" s="7">
        <f ca="1"/>
        <v>0.4663087141536239</v>
      </c>
      <c r="AT1130" s="7" t="e">
        <f ca="1"/>
        <v>#REF!</v>
      </c>
      <c r="AU1130" s="7" t="e">
        <f ca="1"/>
        <v>#REF!</v>
      </c>
      <c r="AV1130" s="7" t="e">
        <f ca="1"/>
        <v>#REF!</v>
      </c>
    </row>
    <row r="1131" spans="37:48" x14ac:dyDescent="0.25">
      <c r="AK1131" t="str">
        <f ca="1"/>
        <v>Obs. 1950</v>
      </c>
      <c r="AL1131" s="7">
        <f ca="1"/>
        <v>64.599999999999994</v>
      </c>
      <c r="AN1131" s="7" t="e">
        <f ca="1"/>
        <v>#REF!</v>
      </c>
      <c r="AO1131" s="7" t="e">
        <f ca="1"/>
        <v>#REF!</v>
      </c>
      <c r="AP1131" s="7">
        <f ca="1"/>
        <v>0.17781633899249888</v>
      </c>
      <c r="AQ1131" s="7" t="e">
        <f ca="1"/>
        <v>#REF!</v>
      </c>
      <c r="AR1131" s="7" t="e">
        <f ca="1"/>
        <v>#REF!</v>
      </c>
      <c r="AS1131" s="7">
        <f ca="1"/>
        <v>0.4663087141536239</v>
      </c>
      <c r="AT1131" s="7" t="e">
        <f ca="1"/>
        <v>#REF!</v>
      </c>
      <c r="AU1131" s="7" t="e">
        <f ca="1"/>
        <v>#REF!</v>
      </c>
      <c r="AV1131" s="7" t="e">
        <f ca="1"/>
        <v>#REF!</v>
      </c>
    </row>
    <row r="1132" spans="37:48" x14ac:dyDescent="0.25">
      <c r="AK1132" t="str">
        <f ca="1"/>
        <v>Obs. 1951</v>
      </c>
      <c r="AL1132" s="7">
        <f ca="1"/>
        <v>64.400000000000006</v>
      </c>
      <c r="AN1132" s="7" t="e">
        <f ca="1"/>
        <v>#REF!</v>
      </c>
      <c r="AO1132" s="7" t="e">
        <f ca="1"/>
        <v>#REF!</v>
      </c>
      <c r="AP1132" s="7">
        <f ca="1"/>
        <v>0.17663044704720446</v>
      </c>
      <c r="AQ1132" s="7" t="e">
        <f ca="1"/>
        <v>#REF!</v>
      </c>
      <c r="AR1132" s="7" t="e">
        <f ca="1"/>
        <v>#REF!</v>
      </c>
      <c r="AS1132" s="7">
        <f ca="1"/>
        <v>0.48161589062349974</v>
      </c>
      <c r="AT1132" s="7" t="e">
        <f ca="1"/>
        <v>#REF!</v>
      </c>
      <c r="AU1132" s="7" t="e">
        <f ca="1"/>
        <v>#REF!</v>
      </c>
      <c r="AV1132" s="7" t="e">
        <f ca="1"/>
        <v>#REF!</v>
      </c>
    </row>
    <row r="1133" spans="37:48" x14ac:dyDescent="0.25">
      <c r="AK1133" t="str">
        <f ca="1"/>
        <v>Obs. 1952</v>
      </c>
      <c r="AL1133" s="7">
        <f ca="1"/>
        <v>64.2</v>
      </c>
      <c r="AN1133" s="7" t="e">
        <f ca="1"/>
        <v>#REF!</v>
      </c>
      <c r="AO1133" s="7" t="e">
        <f ca="1"/>
        <v>#REF!</v>
      </c>
      <c r="AP1133" s="7">
        <f ca="1"/>
        <v>0.10031260030028137</v>
      </c>
      <c r="AQ1133" s="7" t="e">
        <f ca="1"/>
        <v>#REF!</v>
      </c>
      <c r="AR1133" s="7" t="e">
        <f ca="1"/>
        <v>#REF!</v>
      </c>
      <c r="AS1133" s="7">
        <f ca="1"/>
        <v>0.48161589062349974</v>
      </c>
      <c r="AT1133" s="7" t="e">
        <f ca="1"/>
        <v>#REF!</v>
      </c>
      <c r="AU1133" s="7" t="e">
        <f ca="1"/>
        <v>#REF!</v>
      </c>
      <c r="AV1133" s="7" t="e">
        <f ca="1"/>
        <v>#REF!</v>
      </c>
    </row>
    <row r="1134" spans="37:48" x14ac:dyDescent="0.25">
      <c r="AK1134" t="str">
        <f ca="1"/>
        <v>Obs. 1953</v>
      </c>
      <c r="AL1134" s="7">
        <f ca="1"/>
        <v>62.9</v>
      </c>
      <c r="AN1134" s="7" t="e">
        <f ca="1"/>
        <v>#REF!</v>
      </c>
      <c r="AO1134" s="7" t="e">
        <f ca="1"/>
        <v>#REF!</v>
      </c>
      <c r="AP1134" s="7">
        <f ca="1"/>
        <v>0.1130217109623796</v>
      </c>
      <c r="AQ1134" s="7" t="e">
        <f ca="1"/>
        <v>#REF!</v>
      </c>
      <c r="AR1134" s="7" t="e">
        <f ca="1"/>
        <v>#REF!</v>
      </c>
      <c r="AS1134" s="7">
        <f ca="1"/>
        <v>0.48161589062349974</v>
      </c>
      <c r="AT1134" s="7" t="e">
        <f ca="1"/>
        <v>#REF!</v>
      </c>
      <c r="AU1134" s="7" t="e">
        <f ca="1"/>
        <v>#REF!</v>
      </c>
      <c r="AV1134" s="7" t="e">
        <f ca="1"/>
        <v>#REF!</v>
      </c>
    </row>
    <row r="1135" spans="37:48" x14ac:dyDescent="0.25">
      <c r="AK1135" t="str">
        <f ca="1"/>
        <v>Obs. 1954</v>
      </c>
      <c r="AL1135" s="7">
        <f ca="1"/>
        <v>63.7</v>
      </c>
      <c r="AN1135" s="7" t="e">
        <f ca="1"/>
        <v>#REF!</v>
      </c>
      <c r="AO1135" s="7" t="e">
        <f ca="1"/>
        <v>#REF!</v>
      </c>
      <c r="AP1135" s="7">
        <f ca="1"/>
        <v>0.1038720300306869</v>
      </c>
      <c r="AQ1135" s="7" t="e">
        <f ca="1"/>
        <v>#REF!</v>
      </c>
      <c r="AR1135" s="7" t="e">
        <f ca="1"/>
        <v>#REF!</v>
      </c>
      <c r="AS1135" s="7">
        <f ca="1"/>
        <v>0.48161589062349974</v>
      </c>
      <c r="AT1135" s="7" t="e">
        <f ca="1"/>
        <v>#REF!</v>
      </c>
      <c r="AU1135" s="7" t="e">
        <f ca="1"/>
        <v>#REF!</v>
      </c>
      <c r="AV1135" s="7" t="e">
        <f ca="1"/>
        <v>#REF!</v>
      </c>
    </row>
    <row r="1136" spans="37:48" x14ac:dyDescent="0.25">
      <c r="AK1136" t="str">
        <f ca="1"/>
        <v>Obs. 1955</v>
      </c>
      <c r="AL1136" s="7">
        <f ca="1"/>
        <v>63.5</v>
      </c>
      <c r="AN1136" s="7" t="e">
        <f ca="1"/>
        <v>#REF!</v>
      </c>
      <c r="AO1136" s="7" t="e">
        <f ca="1"/>
        <v>#REF!</v>
      </c>
      <c r="AP1136" s="7">
        <f ca="1"/>
        <v>0.10573553851601483</v>
      </c>
      <c r="AQ1136" s="7" t="e">
        <f ca="1"/>
        <v>#REF!</v>
      </c>
      <c r="AR1136" s="7" t="e">
        <f ca="1"/>
        <v>#REF!</v>
      </c>
      <c r="AS1136" s="7">
        <f ca="1"/>
        <v>0.48161589062349974</v>
      </c>
      <c r="AT1136" s="7" t="e">
        <f ca="1"/>
        <v>#REF!</v>
      </c>
      <c r="AU1136" s="7" t="e">
        <f ca="1"/>
        <v>#REF!</v>
      </c>
      <c r="AV1136" s="7" t="e">
        <f ca="1"/>
        <v>#REF!</v>
      </c>
    </row>
    <row r="1137" spans="37:48" x14ac:dyDescent="0.25">
      <c r="AK1137" t="str">
        <f ca="1"/>
        <v>Obs. 1961</v>
      </c>
      <c r="AL1137" s="7">
        <f ca="1"/>
        <v>77.599999999999994</v>
      </c>
      <c r="AN1137" s="7" t="e">
        <f ca="1"/>
        <v>#REF!</v>
      </c>
      <c r="AO1137" s="7" t="e">
        <f ca="1"/>
        <v>#REF!</v>
      </c>
      <c r="AP1137" s="7">
        <f ca="1"/>
        <v>9.1026910688113444E-2</v>
      </c>
      <c r="AQ1137" s="7" t="e">
        <f ca="1"/>
        <v>#REF!</v>
      </c>
      <c r="AR1137" s="7" t="e">
        <f ca="1"/>
        <v>#REF!</v>
      </c>
      <c r="AS1137" s="7">
        <f ca="1"/>
        <v>0.48161589062349974</v>
      </c>
      <c r="AT1137" s="7" t="e">
        <f ca="1"/>
        <v>#REF!</v>
      </c>
      <c r="AU1137" s="7" t="e">
        <f ca="1"/>
        <v>#REF!</v>
      </c>
      <c r="AV1137" s="7" t="e">
        <f ca="1"/>
        <v>#REF!</v>
      </c>
    </row>
    <row r="1138" spans="37:48" x14ac:dyDescent="0.25">
      <c r="AK1138" t="str">
        <f ca="1"/>
        <v>Obs. 1962</v>
      </c>
      <c r="AL1138" s="7">
        <f ca="1"/>
        <v>77.5</v>
      </c>
      <c r="AN1138" s="7" t="e">
        <f ca="1"/>
        <v>#REF!</v>
      </c>
      <c r="AO1138" s="7" t="e">
        <f ca="1"/>
        <v>#REF!</v>
      </c>
      <c r="AP1138" s="7">
        <f ca="1"/>
        <v>8.8678834285145572E-2</v>
      </c>
      <c r="AQ1138" s="7" t="e">
        <f ca="1"/>
        <v>#REF!</v>
      </c>
      <c r="AR1138" s="7" t="e">
        <f ca="1"/>
        <v>#REF!</v>
      </c>
      <c r="AS1138" s="7">
        <f ca="1"/>
        <v>0.48161589062349974</v>
      </c>
      <c r="AT1138" s="7" t="e">
        <f ca="1"/>
        <v>#REF!</v>
      </c>
      <c r="AU1138" s="7" t="e">
        <f ca="1"/>
        <v>#REF!</v>
      </c>
      <c r="AV1138" s="7" t="e">
        <f ca="1"/>
        <v>#REF!</v>
      </c>
    </row>
    <row r="1139" spans="37:48" x14ac:dyDescent="0.25">
      <c r="AK1139" t="str">
        <f ca="1"/>
        <v>Obs. 1963</v>
      </c>
      <c r="AL1139" s="7">
        <f ca="1"/>
        <v>77.2</v>
      </c>
      <c r="AN1139" s="7" t="e">
        <f ca="1"/>
        <v>#REF!</v>
      </c>
      <c r="AO1139" s="7" t="e">
        <f ca="1"/>
        <v>#REF!</v>
      </c>
      <c r="AP1139" s="7">
        <f ca="1"/>
        <v>7.1967705854260558E-2</v>
      </c>
      <c r="AQ1139" s="7" t="e">
        <f ca="1"/>
        <v>#REF!</v>
      </c>
      <c r="AR1139" s="7" t="e">
        <f ca="1"/>
        <v>#REF!</v>
      </c>
      <c r="AS1139" s="7">
        <f ca="1"/>
        <v>0.48161589062349974</v>
      </c>
      <c r="AT1139" s="7" t="e">
        <f ca="1"/>
        <v>#REF!</v>
      </c>
      <c r="AU1139" s="7" t="e">
        <f ca="1"/>
        <v>#REF!</v>
      </c>
      <c r="AV1139" s="7" t="e">
        <f ca="1"/>
        <v>#REF!</v>
      </c>
    </row>
    <row r="1140" spans="37:48" x14ac:dyDescent="0.25">
      <c r="AK1140" t="str">
        <f ca="1"/>
        <v>Obs. 1964</v>
      </c>
      <c r="AL1140" s="7">
        <f ca="1"/>
        <v>77.3</v>
      </c>
      <c r="AN1140" s="7" t="e">
        <f ca="1"/>
        <v>#REF!</v>
      </c>
      <c r="AO1140" s="7" t="e">
        <f ca="1"/>
        <v>#REF!</v>
      </c>
      <c r="AP1140" s="7">
        <f ca="1"/>
        <v>7.0297893357281468E-2</v>
      </c>
      <c r="AQ1140" s="7" t="e">
        <f ca="1"/>
        <v>#REF!</v>
      </c>
      <c r="AR1140" s="7" t="e">
        <f ca="1"/>
        <v>#REF!</v>
      </c>
      <c r="AS1140" s="7">
        <f ca="1"/>
        <v>0.48161589062349974</v>
      </c>
      <c r="AT1140" s="7" t="e">
        <f ca="1"/>
        <v>#REF!</v>
      </c>
      <c r="AU1140" s="7" t="e">
        <f ca="1"/>
        <v>#REF!</v>
      </c>
      <c r="AV1140" s="7" t="e">
        <f ca="1"/>
        <v>#REF!</v>
      </c>
    </row>
    <row r="1141" spans="37:48" x14ac:dyDescent="0.25">
      <c r="AK1141" t="str">
        <f ca="1"/>
        <v>Obs. 1965</v>
      </c>
      <c r="AL1141" s="7">
        <f ca="1"/>
        <v>76.5</v>
      </c>
      <c r="AN1141" s="7" t="e">
        <f ca="1"/>
        <v>#REF!</v>
      </c>
      <c r="AO1141" s="7" t="e">
        <f ca="1"/>
        <v>#REF!</v>
      </c>
      <c r="AP1141" s="7">
        <f ca="1"/>
        <v>7.0115635507314117E-2</v>
      </c>
      <c r="AQ1141" s="7" t="e">
        <f ca="1"/>
        <v>#REF!</v>
      </c>
      <c r="AR1141" s="7" t="e">
        <f ca="1"/>
        <v>#REF!</v>
      </c>
      <c r="AS1141" s="7">
        <f ca="1"/>
        <v>0.48161589062349974</v>
      </c>
      <c r="AT1141" s="7" t="e">
        <f ca="1"/>
        <v>#REF!</v>
      </c>
      <c r="AU1141" s="7" t="e">
        <f ca="1"/>
        <v>#REF!</v>
      </c>
      <c r="AV1141" s="7" t="e">
        <f ca="1"/>
        <v>#REF!</v>
      </c>
    </row>
    <row r="1142" spans="37:48" x14ac:dyDescent="0.25">
      <c r="AK1142" t="str">
        <f ca="1"/>
        <v>Obs. 1966</v>
      </c>
      <c r="AL1142" s="7">
        <f ca="1"/>
        <v>76.8</v>
      </c>
      <c r="AN1142" s="7" t="e">
        <f ca="1"/>
        <v>#REF!</v>
      </c>
      <c r="AO1142" s="7" t="e">
        <f ca="1"/>
        <v>#REF!</v>
      </c>
      <c r="AP1142" s="7">
        <f ca="1"/>
        <v>6.8908514446468228E-2</v>
      </c>
      <c r="AQ1142" s="7" t="e">
        <f ca="1"/>
        <v>#REF!</v>
      </c>
      <c r="AR1142" s="7" t="e">
        <f ca="1"/>
        <v>#REF!</v>
      </c>
      <c r="AS1142" s="7">
        <f ca="1"/>
        <v>0.48161589062349974</v>
      </c>
      <c r="AT1142" s="7" t="e">
        <f ca="1"/>
        <v>#REF!</v>
      </c>
      <c r="AU1142" s="7" t="e">
        <f ca="1"/>
        <v>#REF!</v>
      </c>
      <c r="AV1142" s="7" t="e">
        <f ca="1"/>
        <v>#REF!</v>
      </c>
    </row>
    <row r="1143" spans="37:48" x14ac:dyDescent="0.25">
      <c r="AK1143" t="str">
        <f ca="1"/>
        <v>Obs. 1967</v>
      </c>
      <c r="AL1143" s="7">
        <f ca="1"/>
        <v>76.5</v>
      </c>
      <c r="AN1143" s="7" t="e">
        <f ca="1"/>
        <v>#REF!</v>
      </c>
      <c r="AO1143" s="7" t="e">
        <f ca="1"/>
        <v>#REF!</v>
      </c>
      <c r="AP1143" s="7">
        <f ca="1"/>
        <v>6.876843169776535E-2</v>
      </c>
      <c r="AQ1143" s="7" t="e">
        <f ca="1"/>
        <v>#REF!</v>
      </c>
      <c r="AR1143" s="7" t="e">
        <f ca="1"/>
        <v>#REF!</v>
      </c>
      <c r="AS1143" s="7">
        <f ca="1"/>
        <v>0.48161589062349974</v>
      </c>
      <c r="AT1143" s="7" t="e">
        <f ca="1"/>
        <v>#REF!</v>
      </c>
      <c r="AU1143" s="7" t="e">
        <f ca="1"/>
        <v>#REF!</v>
      </c>
      <c r="AV1143" s="7" t="e">
        <f ca="1"/>
        <v>#REF!</v>
      </c>
    </row>
    <row r="1144" spans="37:48" x14ac:dyDescent="0.25">
      <c r="AK1144" t="str">
        <f ca="1"/>
        <v>Obs. 1968</v>
      </c>
      <c r="AL1144" s="7">
        <f ca="1"/>
        <v>76.400000000000006</v>
      </c>
      <c r="AN1144" s="7" t="e">
        <f ca="1"/>
        <v>#REF!</v>
      </c>
      <c r="AO1144" s="7" t="e">
        <f ca="1"/>
        <v>#REF!</v>
      </c>
      <c r="AP1144" s="7">
        <f ca="1"/>
        <v>6.9154344157960526E-2</v>
      </c>
      <c r="AQ1144" s="7" t="e">
        <f ca="1"/>
        <v>#REF!</v>
      </c>
      <c r="AR1144" s="7" t="e">
        <f ca="1"/>
        <v>#REF!</v>
      </c>
      <c r="AS1144" s="7">
        <f ca="1"/>
        <v>0.48161589062349974</v>
      </c>
      <c r="AT1144" s="7" t="e">
        <f ca="1"/>
        <v>#REF!</v>
      </c>
      <c r="AU1144" s="7" t="e">
        <f ca="1"/>
        <v>#REF!</v>
      </c>
      <c r="AV1144" s="7" t="e">
        <f ca="1"/>
        <v>#REF!</v>
      </c>
    </row>
    <row r="1145" spans="37:48" x14ac:dyDescent="0.25">
      <c r="AK1145" t="str">
        <f ca="1"/>
        <v>Obs. 1969</v>
      </c>
      <c r="AL1145" s="7">
        <f ca="1"/>
        <v>76.2</v>
      </c>
      <c r="AN1145" s="7" t="e">
        <f ca="1"/>
        <v>#REF!</v>
      </c>
      <c r="AO1145" s="7" t="e">
        <f ca="1"/>
        <v>#REF!</v>
      </c>
      <c r="AP1145" s="7">
        <f ca="1"/>
        <v>6.9500142290056799E-2</v>
      </c>
      <c r="AQ1145" s="7" t="e">
        <f ca="1"/>
        <v>#REF!</v>
      </c>
      <c r="AR1145" s="7" t="e">
        <f ca="1"/>
        <v>#REF!</v>
      </c>
      <c r="AS1145" s="7">
        <f ca="1"/>
        <v>0.5039283835636299</v>
      </c>
      <c r="AT1145" s="7" t="e">
        <f ca="1"/>
        <v>#REF!</v>
      </c>
      <c r="AU1145" s="7" t="e">
        <f ca="1"/>
        <v>#REF!</v>
      </c>
      <c r="AV1145" s="7" t="e">
        <f ca="1"/>
        <v>#REF!</v>
      </c>
    </row>
    <row r="1146" spans="37:48" x14ac:dyDescent="0.25">
      <c r="AK1146" t="str">
        <f ca="1"/>
        <v>Obs. 1970</v>
      </c>
      <c r="AL1146" s="7">
        <f ca="1"/>
        <v>75.8</v>
      </c>
      <c r="AN1146" s="7" t="e">
        <f ca="1"/>
        <v>#REF!</v>
      </c>
      <c r="AO1146" s="7" t="e">
        <f ca="1"/>
        <v>#REF!</v>
      </c>
      <c r="AP1146" s="7">
        <f ca="1"/>
        <v>7.7451047672265891E-2</v>
      </c>
      <c r="AQ1146" s="7" t="e">
        <f ca="1"/>
        <v>#REF!</v>
      </c>
      <c r="AR1146" s="7" t="e">
        <f ca="1"/>
        <v>#REF!</v>
      </c>
      <c r="AS1146" s="7">
        <f ca="1"/>
        <v>0.5039283835636299</v>
      </c>
      <c r="AT1146" s="7" t="e">
        <f ca="1"/>
        <v>#REF!</v>
      </c>
      <c r="AU1146" s="7" t="e">
        <f ca="1"/>
        <v>#REF!</v>
      </c>
      <c r="AV1146" s="7" t="e">
        <f ca="1"/>
        <v>#REF!</v>
      </c>
    </row>
    <row r="1147" spans="37:48" x14ac:dyDescent="0.25">
      <c r="AK1147" t="str">
        <f ca="1"/>
        <v>Obs. 1971</v>
      </c>
      <c r="AL1147" s="7">
        <f ca="1"/>
        <v>75.8</v>
      </c>
      <c r="AN1147" s="7" t="e">
        <f ca="1"/>
        <v>#REF!</v>
      </c>
      <c r="AO1147" s="7" t="e">
        <f ca="1"/>
        <v>#REF!</v>
      </c>
      <c r="AP1147" s="7">
        <f ca="1"/>
        <v>7.0602961870148931E-2</v>
      </c>
      <c r="AQ1147" s="7" t="e">
        <f ca="1"/>
        <v>#REF!</v>
      </c>
      <c r="AR1147" s="7" t="e">
        <f ca="1"/>
        <v>#REF!</v>
      </c>
      <c r="AS1147" s="7">
        <f ca="1"/>
        <v>0.5039283835636299</v>
      </c>
      <c r="AT1147" s="7" t="e">
        <f ca="1"/>
        <v>#REF!</v>
      </c>
      <c r="AU1147" s="7" t="e">
        <f ca="1"/>
        <v>#REF!</v>
      </c>
      <c r="AV1147" s="7" t="e">
        <f ca="1"/>
        <v>#REF!</v>
      </c>
    </row>
    <row r="1148" spans="37:48" x14ac:dyDescent="0.25">
      <c r="AK1148" t="str">
        <f ca="1"/>
        <v>Obs. 1972</v>
      </c>
      <c r="AL1148" s="7">
        <f ca="1"/>
        <v>75.5</v>
      </c>
      <c r="AN1148" s="7" t="e">
        <f ca="1"/>
        <v>#REF!</v>
      </c>
      <c r="AO1148" s="7" t="e">
        <f ca="1"/>
        <v>#REF!</v>
      </c>
      <c r="AP1148" s="7">
        <f ca="1"/>
        <v>7.2622232090085365E-2</v>
      </c>
      <c r="AQ1148" s="7" t="e">
        <f ca="1"/>
        <v>#REF!</v>
      </c>
      <c r="AR1148" s="7" t="e">
        <f ca="1"/>
        <v>#REF!</v>
      </c>
      <c r="AS1148" s="7">
        <f ca="1"/>
        <v>0.5039283835636299</v>
      </c>
      <c r="AT1148" s="7" t="e">
        <f ca="1"/>
        <v>#REF!</v>
      </c>
      <c r="AU1148" s="7" t="e">
        <f ca="1"/>
        <v>#REF!</v>
      </c>
      <c r="AV1148" s="7" t="e">
        <f ca="1"/>
        <v>#REF!</v>
      </c>
    </row>
    <row r="1149" spans="37:48" x14ac:dyDescent="0.25">
      <c r="AK1149" t="str">
        <f ca="1"/>
        <v>Obs. 1973</v>
      </c>
      <c r="AL1149" s="7">
        <f ca="1"/>
        <v>75.7</v>
      </c>
      <c r="AN1149" s="7" t="e">
        <f ca="1"/>
        <v>#REF!</v>
      </c>
      <c r="AO1149" s="7" t="e">
        <f ca="1"/>
        <v>#REF!</v>
      </c>
      <c r="AP1149" s="7">
        <f ca="1"/>
        <v>7.3527211576208951E-2</v>
      </c>
      <c r="AQ1149" s="7" t="e">
        <f ca="1"/>
        <v>#REF!</v>
      </c>
      <c r="AR1149" s="7" t="e">
        <f ca="1"/>
        <v>#REF!</v>
      </c>
      <c r="AS1149" s="7">
        <f ca="1"/>
        <v>0.5039283835636299</v>
      </c>
      <c r="AT1149" s="7" t="e">
        <f ca="1"/>
        <v>#REF!</v>
      </c>
      <c r="AU1149" s="7" t="e">
        <f ca="1"/>
        <v>#REF!</v>
      </c>
      <c r="AV1149" s="7" t="e">
        <f ca="1"/>
        <v>#REF!</v>
      </c>
    </row>
    <row r="1150" spans="37:48" x14ac:dyDescent="0.25">
      <c r="AK1150" t="str">
        <f ca="1"/>
        <v>Obs. 1974</v>
      </c>
      <c r="AL1150" s="7">
        <f ca="1"/>
        <v>75.5</v>
      </c>
      <c r="AN1150" s="7" t="e">
        <f ca="1"/>
        <v>#REF!</v>
      </c>
      <c r="AO1150" s="7" t="e">
        <f ca="1"/>
        <v>#REF!</v>
      </c>
      <c r="AP1150" s="7">
        <f ca="1"/>
        <v>7.2781266812444234E-2</v>
      </c>
      <c r="AQ1150" s="7" t="e">
        <f ca="1"/>
        <v>#REF!</v>
      </c>
      <c r="AR1150" s="7" t="e">
        <f ca="1"/>
        <v>#REF!</v>
      </c>
      <c r="AS1150" s="7">
        <f ca="1"/>
        <v>0.5039283835636299</v>
      </c>
      <c r="AT1150" s="7" t="e">
        <f ca="1"/>
        <v>#REF!</v>
      </c>
      <c r="AU1150" s="7" t="e">
        <f ca="1"/>
        <v>#REF!</v>
      </c>
      <c r="AV1150" s="7" t="e">
        <f ca="1"/>
        <v>#REF!</v>
      </c>
    </row>
    <row r="1151" spans="37:48" x14ac:dyDescent="0.25">
      <c r="AK1151" t="str">
        <f ca="1"/>
        <v>Obs. 1977</v>
      </c>
      <c r="AL1151" s="7">
        <f ca="1"/>
        <v>62.7</v>
      </c>
      <c r="AN1151" s="7" t="e">
        <f ca="1"/>
        <v>#REF!</v>
      </c>
      <c r="AO1151" s="7" t="e">
        <f ca="1"/>
        <v>#REF!</v>
      </c>
      <c r="AP1151" s="7">
        <f ca="1"/>
        <v>6.8256685936852496E-2</v>
      </c>
      <c r="AQ1151" s="7" t="e">
        <f ca="1"/>
        <v>#REF!</v>
      </c>
      <c r="AR1151" s="7" t="e">
        <f ca="1"/>
        <v>#REF!</v>
      </c>
      <c r="AS1151" s="7">
        <f ca="1"/>
        <v>0.5039283835636299</v>
      </c>
      <c r="AT1151" s="7" t="e">
        <f ca="1"/>
        <v>#REF!</v>
      </c>
      <c r="AU1151" s="7" t="e">
        <f ca="1"/>
        <v>#REF!</v>
      </c>
      <c r="AV1151" s="7" t="e">
        <f ca="1"/>
        <v>#REF!</v>
      </c>
    </row>
    <row r="1152" spans="37:48" x14ac:dyDescent="0.25">
      <c r="AK1152" t="str">
        <f ca="1"/>
        <v>Obs. 1978</v>
      </c>
      <c r="AL1152" s="7">
        <f ca="1"/>
        <v>62.4</v>
      </c>
      <c r="AN1152" s="7" t="e">
        <f ca="1"/>
        <v>#REF!</v>
      </c>
      <c r="AO1152" s="7" t="e">
        <f ca="1"/>
        <v>#REF!</v>
      </c>
      <c r="AP1152" s="7">
        <f ca="1"/>
        <v>7.6898167291070352E-2</v>
      </c>
      <c r="AQ1152" s="7" t="e">
        <f ca="1"/>
        <v>#REF!</v>
      </c>
      <c r="AR1152" s="7" t="e">
        <f ca="1"/>
        <v>#REF!</v>
      </c>
      <c r="AS1152" s="7">
        <f ca="1"/>
        <v>0.5039283835636299</v>
      </c>
      <c r="AT1152" s="7" t="e">
        <f ca="1"/>
        <v>#REF!</v>
      </c>
      <c r="AU1152" s="7" t="e">
        <f ca="1"/>
        <v>#REF!</v>
      </c>
      <c r="AV1152" s="7" t="e">
        <f ca="1"/>
        <v>#REF!</v>
      </c>
    </row>
    <row r="1153" spans="37:48" x14ac:dyDescent="0.25">
      <c r="AK1153" t="str">
        <f ca="1"/>
        <v>Obs. 1979</v>
      </c>
      <c r="AL1153" s="7">
        <f ca="1"/>
        <v>62.2</v>
      </c>
      <c r="AN1153" s="7" t="e">
        <f ca="1"/>
        <v>#REF!</v>
      </c>
      <c r="AO1153" s="7" t="e">
        <f ca="1"/>
        <v>#REF!</v>
      </c>
      <c r="AP1153" s="7">
        <f ca="1"/>
        <v>6.8302125344086626E-2</v>
      </c>
      <c r="AQ1153" s="7" t="e">
        <f ca="1"/>
        <v>#REF!</v>
      </c>
      <c r="AR1153" s="7" t="e">
        <f ca="1"/>
        <v>#REF!</v>
      </c>
      <c r="AS1153" s="7">
        <f ca="1"/>
        <v>0.5039283835636299</v>
      </c>
      <c r="AT1153" s="7" t="e">
        <f ca="1"/>
        <v>#REF!</v>
      </c>
      <c r="AU1153" s="7" t="e">
        <f ca="1"/>
        <v>#REF!</v>
      </c>
      <c r="AV1153" s="7" t="e">
        <f ca="1"/>
        <v>#REF!</v>
      </c>
    </row>
    <row r="1154" spans="37:48" x14ac:dyDescent="0.25">
      <c r="AK1154" t="str">
        <f ca="1"/>
        <v>Obs. 1980</v>
      </c>
      <c r="AL1154" s="7">
        <f ca="1"/>
        <v>62</v>
      </c>
      <c r="AN1154" s="7" t="e">
        <f ca="1"/>
        <v>#REF!</v>
      </c>
      <c r="AO1154" s="7" t="e">
        <f ca="1"/>
        <v>#REF!</v>
      </c>
      <c r="AP1154" s="7">
        <f ca="1"/>
        <v>6.7607184715082994E-2</v>
      </c>
      <c r="AQ1154" s="7" t="e">
        <f ca="1"/>
        <v>#REF!</v>
      </c>
      <c r="AR1154" s="7" t="e">
        <f ca="1"/>
        <v>#REF!</v>
      </c>
      <c r="AS1154" s="7">
        <f ca="1"/>
        <v>0.5039283835636299</v>
      </c>
      <c r="AT1154" s="7" t="e">
        <f ca="1"/>
        <v>#REF!</v>
      </c>
      <c r="AU1154" s="7" t="e">
        <f ca="1"/>
        <v>#REF!</v>
      </c>
      <c r="AV1154" s="7" t="e">
        <f ca="1"/>
        <v>#REF!</v>
      </c>
    </row>
    <row r="1155" spans="37:48" x14ac:dyDescent="0.25">
      <c r="AK1155" t="str">
        <f ca="1"/>
        <v>Obs. 1981</v>
      </c>
      <c r="AL1155" s="7">
        <f ca="1"/>
        <v>61.8</v>
      </c>
      <c r="AN1155" s="7" t="e">
        <f ca="1"/>
        <v>#REF!</v>
      </c>
      <c r="AO1155" s="7" t="e">
        <f ca="1"/>
        <v>#REF!</v>
      </c>
      <c r="AP1155" s="7">
        <f ca="1"/>
        <v>6.7255358795032513E-2</v>
      </c>
      <c r="AQ1155" s="7" t="e">
        <f ca="1"/>
        <v>#REF!</v>
      </c>
      <c r="AR1155" s="7" t="e">
        <f ca="1"/>
        <v>#REF!</v>
      </c>
      <c r="AS1155" s="7">
        <f ca="1"/>
        <v>0.5039283835636299</v>
      </c>
      <c r="AT1155" s="7" t="e">
        <f ca="1"/>
        <v>#REF!</v>
      </c>
      <c r="AU1155" s="7" t="e">
        <f ca="1"/>
        <v>#REF!</v>
      </c>
      <c r="AV1155" s="7" t="e">
        <f ca="1"/>
        <v>#REF!</v>
      </c>
    </row>
    <row r="1156" spans="37:48" x14ac:dyDescent="0.25">
      <c r="AK1156" t="str">
        <f ca="1"/>
        <v>Obs. 1982</v>
      </c>
      <c r="AL1156" s="7">
        <f ca="1"/>
        <v>61.6</v>
      </c>
      <c r="AN1156" s="7" t="e">
        <f ca="1"/>
        <v>#REF!</v>
      </c>
      <c r="AO1156" s="7" t="e">
        <f ca="1"/>
        <v>#REF!</v>
      </c>
      <c r="AP1156" s="7">
        <f ca="1"/>
        <v>6.649694676980196E-2</v>
      </c>
      <c r="AQ1156" s="7" t="e">
        <f ca="1"/>
        <v>#REF!</v>
      </c>
      <c r="AR1156" s="7" t="e">
        <f ca="1"/>
        <v>#REF!</v>
      </c>
      <c r="AS1156" s="7">
        <f ca="1"/>
        <v>0.5039283835636299</v>
      </c>
      <c r="AT1156" s="7" t="e">
        <f ca="1"/>
        <v>#REF!</v>
      </c>
      <c r="AU1156" s="7" t="e">
        <f ca="1"/>
        <v>#REF!</v>
      </c>
      <c r="AV1156" s="7" t="e">
        <f ca="1"/>
        <v>#REF!</v>
      </c>
    </row>
    <row r="1157" spans="37:48" x14ac:dyDescent="0.25">
      <c r="AK1157" t="str">
        <f ca="1"/>
        <v>Obs. 1983</v>
      </c>
      <c r="AL1157" s="7">
        <f ca="1"/>
        <v>61.4</v>
      </c>
      <c r="AN1157" s="7" t="e">
        <f ca="1"/>
        <v>#REF!</v>
      </c>
      <c r="AO1157" s="7" t="e">
        <f ca="1"/>
        <v>#REF!</v>
      </c>
      <c r="AP1157" s="7">
        <f ca="1"/>
        <v>7.1681558558960273E-2</v>
      </c>
      <c r="AQ1157" s="7" t="e">
        <f ca="1"/>
        <v>#REF!</v>
      </c>
      <c r="AR1157" s="7" t="e">
        <f ca="1"/>
        <v>#REF!</v>
      </c>
      <c r="AS1157" s="7">
        <f ca="1"/>
        <v>0.5039283835636299</v>
      </c>
      <c r="AT1157" s="7" t="e">
        <f ca="1"/>
        <v>#REF!</v>
      </c>
      <c r="AU1157" s="7" t="e">
        <f ca="1"/>
        <v>#REF!</v>
      </c>
      <c r="AV1157" s="7" t="e">
        <f ca="1"/>
        <v>#REF!</v>
      </c>
    </row>
    <row r="1158" spans="37:48" x14ac:dyDescent="0.25">
      <c r="AK1158" t="str">
        <f ca="1"/>
        <v>Obs. 1984</v>
      </c>
      <c r="AL1158" s="7">
        <f ca="1"/>
        <v>61.1</v>
      </c>
      <c r="AN1158" s="7" t="e">
        <f ca="1"/>
        <v>#REF!</v>
      </c>
      <c r="AO1158" s="7" t="e">
        <f ca="1"/>
        <v>#REF!</v>
      </c>
      <c r="AP1158" s="7">
        <f ca="1"/>
        <v>6.5341502054244494E-2</v>
      </c>
      <c r="AQ1158" s="7" t="e">
        <f ca="1"/>
        <v>#REF!</v>
      </c>
      <c r="AR1158" s="7" t="e">
        <f ca="1"/>
        <v>#REF!</v>
      </c>
      <c r="AS1158" s="7">
        <f ca="1"/>
        <v>0.5039283835636299</v>
      </c>
      <c r="AT1158" s="7" t="e">
        <f ca="1"/>
        <v>#REF!</v>
      </c>
      <c r="AU1158" s="7" t="e">
        <f ca="1"/>
        <v>#REF!</v>
      </c>
      <c r="AV1158" s="7" t="e">
        <f ca="1"/>
        <v>#REF!</v>
      </c>
    </row>
    <row r="1159" spans="37:48" x14ac:dyDescent="0.25">
      <c r="AK1159" t="str">
        <f ca="1"/>
        <v>Obs. 1985</v>
      </c>
      <c r="AL1159" s="7">
        <f ca="1"/>
        <v>68</v>
      </c>
      <c r="AN1159" s="7" t="e">
        <f ca="1"/>
        <v>#REF!</v>
      </c>
      <c r="AO1159" s="7" t="e">
        <f ca="1"/>
        <v>#REF!</v>
      </c>
      <c r="AP1159" s="7">
        <f ca="1"/>
        <v>6.534725496236185E-2</v>
      </c>
      <c r="AQ1159" s="7" t="e">
        <f ca="1"/>
        <v>#REF!</v>
      </c>
      <c r="AR1159" s="7" t="e">
        <f ca="1"/>
        <v>#REF!</v>
      </c>
      <c r="AS1159" s="7">
        <f ca="1"/>
        <v>0.52824151828033117</v>
      </c>
      <c r="AT1159" s="7" t="e">
        <f ca="1"/>
        <v>#REF!</v>
      </c>
      <c r="AU1159" s="7" t="e">
        <f ca="1"/>
        <v>#REF!</v>
      </c>
      <c r="AV1159" s="7" t="e">
        <f ca="1"/>
        <v>#REF!</v>
      </c>
    </row>
    <row r="1160" spans="37:48" x14ac:dyDescent="0.25">
      <c r="AK1160" t="str">
        <f ca="1"/>
        <v>Obs. 1986</v>
      </c>
      <c r="AL1160" s="7">
        <f ca="1"/>
        <v>64</v>
      </c>
      <c r="AN1160" s="7" t="e">
        <f ca="1"/>
        <v>#REF!</v>
      </c>
      <c r="AO1160" s="7" t="e">
        <f ca="1"/>
        <v>#REF!</v>
      </c>
      <c r="AP1160" s="7">
        <f ca="1"/>
        <v>7.1261300745479553E-2</v>
      </c>
      <c r="AQ1160" s="7" t="e">
        <f ca="1"/>
        <v>#REF!</v>
      </c>
      <c r="AR1160" s="7" t="e">
        <f ca="1"/>
        <v>#REF!</v>
      </c>
      <c r="AS1160" s="7">
        <f ca="1"/>
        <v>0.52824151828033117</v>
      </c>
      <c r="AT1160" s="7" t="e">
        <f ca="1"/>
        <v>#REF!</v>
      </c>
      <c r="AU1160" s="7" t="e">
        <f ca="1"/>
        <v>#REF!</v>
      </c>
      <c r="AV1160" s="7" t="e">
        <f ca="1"/>
        <v>#REF!</v>
      </c>
    </row>
    <row r="1161" spans="37:48" x14ac:dyDescent="0.25">
      <c r="AK1161" t="str">
        <f ca="1"/>
        <v>Obs. 1987</v>
      </c>
      <c r="AL1161" s="7">
        <f ca="1"/>
        <v>59.9</v>
      </c>
      <c r="AN1161" s="7" t="e">
        <f ca="1"/>
        <v>#REF!</v>
      </c>
      <c r="AO1161" s="7" t="e">
        <f ca="1"/>
        <v>#REF!</v>
      </c>
      <c r="AP1161" s="7">
        <f ca="1"/>
        <v>7.6391059988257667E-2</v>
      </c>
      <c r="AQ1161" s="7" t="e">
        <f ca="1"/>
        <v>#REF!</v>
      </c>
      <c r="AR1161" s="7" t="e">
        <f ca="1"/>
        <v>#REF!</v>
      </c>
      <c r="AS1161" s="7">
        <f ca="1"/>
        <v>0.52824151828033117</v>
      </c>
      <c r="AT1161" s="7" t="e">
        <f ca="1"/>
        <v>#REF!</v>
      </c>
      <c r="AU1161" s="7" t="e">
        <f ca="1"/>
        <v>#REF!</v>
      </c>
      <c r="AV1161" s="7" t="e">
        <f ca="1"/>
        <v>#REF!</v>
      </c>
    </row>
    <row r="1162" spans="37:48" x14ac:dyDescent="0.25">
      <c r="AK1162" t="str">
        <f ca="1"/>
        <v>Obs. 1988</v>
      </c>
      <c r="AL1162" s="7">
        <f ca="1"/>
        <v>59.6</v>
      </c>
      <c r="AN1162" s="7" t="e">
        <f ca="1"/>
        <v>#REF!</v>
      </c>
      <c r="AO1162" s="7" t="e">
        <f ca="1"/>
        <v>#REF!</v>
      </c>
      <c r="AP1162" s="7">
        <f ca="1"/>
        <v>6.7624766157911742E-2</v>
      </c>
      <c r="AQ1162" s="7" t="e">
        <f ca="1"/>
        <v>#REF!</v>
      </c>
      <c r="AR1162" s="7" t="e">
        <f ca="1"/>
        <v>#REF!</v>
      </c>
      <c r="AS1162" s="7">
        <f ca="1"/>
        <v>0.52824151828033117</v>
      </c>
      <c r="AT1162" s="7" t="e">
        <f ca="1"/>
        <v>#REF!</v>
      </c>
      <c r="AU1162" s="7" t="e">
        <f ca="1"/>
        <v>#REF!</v>
      </c>
      <c r="AV1162" s="7" t="e">
        <f ca="1"/>
        <v>#REF!</v>
      </c>
    </row>
    <row r="1163" spans="37:48" x14ac:dyDescent="0.25">
      <c r="AK1163" t="str">
        <f ca="1"/>
        <v>Obs. 1989</v>
      </c>
      <c r="AL1163" s="7">
        <f ca="1"/>
        <v>59.3</v>
      </c>
      <c r="AN1163" s="7" t="e">
        <f ca="1"/>
        <v>#REF!</v>
      </c>
      <c r="AO1163" s="7" t="e">
        <f ca="1"/>
        <v>#REF!</v>
      </c>
      <c r="AP1163" s="7">
        <f ca="1"/>
        <v>7.5991668959515091E-2</v>
      </c>
      <c r="AQ1163" s="7" t="e">
        <f ca="1"/>
        <v>#REF!</v>
      </c>
      <c r="AR1163" s="7" t="e">
        <f ca="1"/>
        <v>#REF!</v>
      </c>
      <c r="AS1163" s="7">
        <f ca="1"/>
        <v>0.52824151828033117</v>
      </c>
      <c r="AT1163" s="7" t="e">
        <f ca="1"/>
        <v>#REF!</v>
      </c>
      <c r="AU1163" s="7" t="e">
        <f ca="1"/>
        <v>#REF!</v>
      </c>
      <c r="AV1163" s="7" t="e">
        <f ca="1"/>
        <v>#REF!</v>
      </c>
    </row>
    <row r="1164" spans="37:48" x14ac:dyDescent="0.25">
      <c r="AK1164" t="str">
        <f ca="1"/>
        <v>Obs. 1990</v>
      </c>
      <c r="AL1164" s="7">
        <f ca="1"/>
        <v>59.1</v>
      </c>
      <c r="AN1164" s="7" t="e">
        <f ca="1"/>
        <v>#REF!</v>
      </c>
      <c r="AO1164" s="7" t="e">
        <f ca="1"/>
        <v>#REF!</v>
      </c>
      <c r="AP1164" s="7">
        <f ca="1"/>
        <v>7.0252248314445057E-2</v>
      </c>
      <c r="AQ1164" s="7" t="e">
        <f ca="1"/>
        <v>#REF!</v>
      </c>
      <c r="AR1164" s="7" t="e">
        <f ca="1"/>
        <v>#REF!</v>
      </c>
      <c r="AS1164" s="7">
        <f ca="1"/>
        <v>0.52824151828033117</v>
      </c>
      <c r="AT1164" s="7" t="e">
        <f ca="1"/>
        <v>#REF!</v>
      </c>
      <c r="AU1164" s="7" t="e">
        <f ca="1"/>
        <v>#REF!</v>
      </c>
      <c r="AV1164" s="7" t="e">
        <f ca="1"/>
        <v>#REF!</v>
      </c>
    </row>
    <row r="1165" spans="37:48" x14ac:dyDescent="0.25">
      <c r="AK1165" t="str">
        <f ca="1"/>
        <v>Obs. 1991</v>
      </c>
      <c r="AL1165" s="7">
        <f ca="1"/>
        <v>58.9</v>
      </c>
      <c r="AN1165" s="7" t="e">
        <f ca="1"/>
        <v>#REF!</v>
      </c>
      <c r="AO1165" s="7" t="e">
        <f ca="1"/>
        <v>#REF!</v>
      </c>
      <c r="AP1165" s="7">
        <f ca="1"/>
        <v>7.2045741761166293E-2</v>
      </c>
      <c r="AQ1165" s="7" t="e">
        <f ca="1"/>
        <v>#REF!</v>
      </c>
      <c r="AR1165" s="7" t="e">
        <f ca="1"/>
        <v>#REF!</v>
      </c>
      <c r="AS1165" s="7">
        <f ca="1"/>
        <v>0.52824151828033117</v>
      </c>
      <c r="AT1165" s="7" t="e">
        <f ca="1"/>
        <v>#REF!</v>
      </c>
      <c r="AU1165" s="7" t="e">
        <f ca="1"/>
        <v>#REF!</v>
      </c>
      <c r="AV1165" s="7" t="e">
        <f ca="1"/>
        <v>#REF!</v>
      </c>
    </row>
    <row r="1166" spans="37:48" x14ac:dyDescent="0.25">
      <c r="AK1166" t="str">
        <f ca="1"/>
        <v>Obs. 1993</v>
      </c>
      <c r="AL1166" s="7">
        <f ca="1"/>
        <v>73.900000000000006</v>
      </c>
      <c r="AN1166" s="7" t="e">
        <f ca="1"/>
        <v>#REF!</v>
      </c>
      <c r="AO1166" s="7" t="e">
        <f ca="1"/>
        <v>#REF!</v>
      </c>
      <c r="AP1166" s="7">
        <f ca="1"/>
        <v>9.1302298446559904E-2</v>
      </c>
      <c r="AQ1166" s="7" t="e">
        <f ca="1"/>
        <v>#REF!</v>
      </c>
      <c r="AR1166" s="7" t="e">
        <f ca="1"/>
        <v>#REF!</v>
      </c>
      <c r="AS1166" s="7">
        <f ca="1"/>
        <v>0.54051528578164909</v>
      </c>
      <c r="AT1166" s="7" t="e">
        <f ca="1"/>
        <v>#REF!</v>
      </c>
      <c r="AU1166" s="7" t="e">
        <f ca="1"/>
        <v>#REF!</v>
      </c>
      <c r="AV1166" s="7" t="e">
        <f ca="1"/>
        <v>#REF!</v>
      </c>
    </row>
    <row r="1167" spans="37:48" x14ac:dyDescent="0.25">
      <c r="AK1167" t="str">
        <f ca="1"/>
        <v>Obs. 1994</v>
      </c>
      <c r="AL1167" s="7">
        <f ca="1"/>
        <v>73.8</v>
      </c>
      <c r="AN1167" s="7" t="e">
        <f ca="1"/>
        <v>#REF!</v>
      </c>
      <c r="AO1167" s="7" t="e">
        <f ca="1"/>
        <v>#REF!</v>
      </c>
      <c r="AP1167" s="7">
        <f ca="1"/>
        <v>0.10022129204646145</v>
      </c>
      <c r="AQ1167" s="7" t="e">
        <f ca="1"/>
        <v>#REF!</v>
      </c>
      <c r="AR1167" s="7" t="e">
        <f ca="1"/>
        <v>#REF!</v>
      </c>
      <c r="AS1167" s="7">
        <f ca="1"/>
        <v>0.54051528578164909</v>
      </c>
      <c r="AT1167" s="7" t="e">
        <f ca="1"/>
        <v>#REF!</v>
      </c>
      <c r="AU1167" s="7" t="e">
        <f ca="1"/>
        <v>#REF!</v>
      </c>
      <c r="AV1167" s="7" t="e">
        <f ca="1"/>
        <v>#REF!</v>
      </c>
    </row>
    <row r="1168" spans="37:48" x14ac:dyDescent="0.25">
      <c r="AK1168" t="str">
        <f ca="1"/>
        <v>Obs. 1995</v>
      </c>
      <c r="AL1168" s="7">
        <f ca="1"/>
        <v>73.599999999999994</v>
      </c>
      <c r="AN1168" s="7" t="e">
        <f ca="1"/>
        <v>#REF!</v>
      </c>
      <c r="AO1168" s="7" t="e">
        <f ca="1"/>
        <v>#REF!</v>
      </c>
      <c r="AP1168" s="7">
        <f ca="1"/>
        <v>8.7605693372941912E-2</v>
      </c>
      <c r="AQ1168" s="7" t="e">
        <f ca="1"/>
        <v>#REF!</v>
      </c>
      <c r="AR1168" s="7" t="e">
        <f ca="1"/>
        <v>#REF!</v>
      </c>
      <c r="AS1168" s="7">
        <f ca="1"/>
        <v>0.54051528578164909</v>
      </c>
      <c r="AT1168" s="7" t="e">
        <f ca="1"/>
        <v>#REF!</v>
      </c>
      <c r="AU1168" s="7" t="e">
        <f ca="1"/>
        <v>#REF!</v>
      </c>
      <c r="AV1168" s="7" t="e">
        <f ca="1"/>
        <v>#REF!</v>
      </c>
    </row>
    <row r="1169" spans="37:48" x14ac:dyDescent="0.25">
      <c r="AK1169" t="str">
        <f ca="1"/>
        <v>Obs. 1996</v>
      </c>
      <c r="AL1169" s="7">
        <f ca="1"/>
        <v>73.400000000000006</v>
      </c>
      <c r="AN1169" s="7" t="e">
        <f ca="1"/>
        <v>#REF!</v>
      </c>
      <c r="AO1169" s="7" t="e">
        <f ca="1"/>
        <v>#REF!</v>
      </c>
      <c r="AP1169" s="7">
        <f ca="1"/>
        <v>8.3026284437936318E-2</v>
      </c>
      <c r="AQ1169" s="7" t="e">
        <f ca="1"/>
        <v>#REF!</v>
      </c>
      <c r="AR1169" s="7" t="e">
        <f ca="1"/>
        <v>#REF!</v>
      </c>
      <c r="AS1169" s="7">
        <f ca="1"/>
        <v>0.54051528578164909</v>
      </c>
      <c r="AT1169" s="7" t="e">
        <f ca="1"/>
        <v>#REF!</v>
      </c>
      <c r="AU1169" s="7" t="e">
        <f ca="1"/>
        <v>#REF!</v>
      </c>
      <c r="AV1169" s="7" t="e">
        <f ca="1"/>
        <v>#REF!</v>
      </c>
    </row>
    <row r="1170" spans="37:48" x14ac:dyDescent="0.25">
      <c r="AK1170" t="str">
        <f ca="1"/>
        <v>Obs. 1997</v>
      </c>
      <c r="AL1170" s="7">
        <f ca="1"/>
        <v>73.2</v>
      </c>
      <c r="AN1170" s="7" t="e">
        <f ca="1"/>
        <v>#REF!</v>
      </c>
      <c r="AO1170" s="7" t="e">
        <f ca="1"/>
        <v>#REF!</v>
      </c>
      <c r="AP1170" s="7">
        <f ca="1"/>
        <v>8.0699207089812056E-2</v>
      </c>
      <c r="AQ1170" s="7" t="e">
        <f ca="1"/>
        <v>#REF!</v>
      </c>
      <c r="AR1170" s="7" t="e">
        <f ca="1"/>
        <v>#REF!</v>
      </c>
      <c r="AS1170" s="7">
        <f ca="1"/>
        <v>0.54051528578164909</v>
      </c>
      <c r="AT1170" s="7" t="e">
        <f ca="1"/>
        <v>#REF!</v>
      </c>
      <c r="AU1170" s="7" t="e">
        <f ca="1"/>
        <v>#REF!</v>
      </c>
      <c r="AV1170" s="7" t="e">
        <f ca="1"/>
        <v>#REF!</v>
      </c>
    </row>
    <row r="1171" spans="37:48" x14ac:dyDescent="0.25">
      <c r="AK1171" t="str">
        <f ca="1"/>
        <v>Obs. 1998</v>
      </c>
      <c r="AL1171" s="7">
        <f ca="1"/>
        <v>73</v>
      </c>
      <c r="AN1171" s="7" t="e">
        <f ca="1"/>
        <v>#REF!</v>
      </c>
      <c r="AO1171" s="7" t="e">
        <f ca="1"/>
        <v>#REF!</v>
      </c>
      <c r="AP1171" s="7">
        <f ca="1"/>
        <v>8.1204020322513226E-2</v>
      </c>
      <c r="AQ1171" s="7" t="e">
        <f ca="1"/>
        <v>#REF!</v>
      </c>
      <c r="AR1171" s="7" t="e">
        <f ca="1"/>
        <v>#REF!</v>
      </c>
      <c r="AS1171" s="7">
        <f ca="1"/>
        <v>0.54051528578164909</v>
      </c>
      <c r="AT1171" s="7" t="e">
        <f ca="1"/>
        <v>#REF!</v>
      </c>
      <c r="AU1171" s="7" t="e">
        <f ca="1"/>
        <v>#REF!</v>
      </c>
      <c r="AV1171" s="7" t="e">
        <f ca="1"/>
        <v>#REF!</v>
      </c>
    </row>
    <row r="1172" spans="37:48" x14ac:dyDescent="0.25">
      <c r="AK1172" t="str">
        <f ca="1"/>
        <v>Obs. 1999</v>
      </c>
      <c r="AL1172" s="7">
        <f ca="1"/>
        <v>72.7</v>
      </c>
      <c r="AN1172" s="7" t="e">
        <f ca="1"/>
        <v>#REF!</v>
      </c>
      <c r="AO1172" s="7" t="e">
        <f ca="1"/>
        <v>#REF!</v>
      </c>
      <c r="AP1172" s="7">
        <f ca="1"/>
        <v>7.9806191208958058E-2</v>
      </c>
      <c r="AQ1172" s="7" t="e">
        <f ca="1"/>
        <v>#REF!</v>
      </c>
      <c r="AR1172" s="7" t="e">
        <f ca="1"/>
        <v>#REF!</v>
      </c>
      <c r="AS1172" s="7">
        <f ca="1"/>
        <v>0.54051528578164909</v>
      </c>
      <c r="AT1172" s="7" t="e">
        <f ca="1"/>
        <v>#REF!</v>
      </c>
      <c r="AU1172" s="7" t="e">
        <f ca="1"/>
        <v>#REF!</v>
      </c>
      <c r="AV1172" s="7" t="e">
        <f ca="1"/>
        <v>#REF!</v>
      </c>
    </row>
    <row r="1173" spans="37:48" x14ac:dyDescent="0.25">
      <c r="AK1173" t="str">
        <f ca="1"/>
        <v>Obs. 2000</v>
      </c>
      <c r="AL1173" s="7">
        <f ca="1"/>
        <v>72.5</v>
      </c>
      <c r="AN1173" s="7" t="e">
        <f ca="1"/>
        <v>#REF!</v>
      </c>
      <c r="AO1173" s="7" t="e">
        <f ca="1"/>
        <v>#REF!</v>
      </c>
      <c r="AP1173" s="7">
        <f ca="1"/>
        <v>7.9489605861592497E-2</v>
      </c>
      <c r="AQ1173" s="7" t="e">
        <f ca="1"/>
        <v>#REF!</v>
      </c>
      <c r="AR1173" s="7" t="e">
        <f ca="1"/>
        <v>#REF!</v>
      </c>
      <c r="AS1173" s="7">
        <f ca="1"/>
        <v>0.54051528578164909</v>
      </c>
      <c r="AT1173" s="7" t="e">
        <f ca="1"/>
        <v>#REF!</v>
      </c>
      <c r="AU1173" s="7" t="e">
        <f ca="1"/>
        <v>#REF!</v>
      </c>
      <c r="AV1173" s="7" t="e">
        <f ca="1"/>
        <v>#REF!</v>
      </c>
    </row>
    <row r="1174" spans="37:48" x14ac:dyDescent="0.25">
      <c r="AK1174" t="str">
        <f ca="1"/>
        <v>Obs. 2001</v>
      </c>
      <c r="AL1174" s="7">
        <f ca="1"/>
        <v>72.3</v>
      </c>
      <c r="AN1174" s="7" t="e">
        <f ca="1"/>
        <v>#REF!</v>
      </c>
      <c r="AO1174" s="7" t="e">
        <f ca="1"/>
        <v>#REF!</v>
      </c>
      <c r="AP1174" s="7">
        <f ca="1"/>
        <v>8.0227092875555656E-2</v>
      </c>
      <c r="AQ1174" s="7" t="e">
        <f ca="1"/>
        <v>#REF!</v>
      </c>
      <c r="AR1174" s="7" t="e">
        <f ca="1"/>
        <v>#REF!</v>
      </c>
      <c r="AS1174" s="7">
        <f ca="1"/>
        <v>0.54051528578164909</v>
      </c>
      <c r="AT1174" s="7" t="e">
        <f ca="1"/>
        <v>#REF!</v>
      </c>
      <c r="AU1174" s="7" t="e">
        <f ca="1"/>
        <v>#REF!</v>
      </c>
      <c r="AV1174" s="7" t="e">
        <f ca="1"/>
        <v>#REF!</v>
      </c>
    </row>
    <row r="1175" spans="37:48" x14ac:dyDescent="0.25">
      <c r="AK1175" t="str">
        <f ca="1"/>
        <v>Obs. 2002</v>
      </c>
      <c r="AL1175" s="7">
        <f ca="1"/>
        <v>72.099999999999994</v>
      </c>
      <c r="AN1175" s="7" t="e">
        <f ca="1"/>
        <v>#REF!</v>
      </c>
      <c r="AO1175" s="7" t="e">
        <f ca="1"/>
        <v>#REF!</v>
      </c>
      <c r="AP1175" s="7">
        <f ca="1"/>
        <v>8.0832233516701713E-2</v>
      </c>
      <c r="AQ1175" s="7" t="e">
        <f ca="1"/>
        <v>#REF!</v>
      </c>
      <c r="AR1175" s="7" t="e">
        <f ca="1"/>
        <v>#REF!</v>
      </c>
      <c r="AS1175" s="7">
        <f ca="1"/>
        <v>0.54051528578164909</v>
      </c>
      <c r="AT1175" s="7" t="e">
        <f ca="1"/>
        <v>#REF!</v>
      </c>
      <c r="AU1175" s="7" t="e">
        <f ca="1"/>
        <v>#REF!</v>
      </c>
      <c r="AV1175" s="7" t="e">
        <f ca="1"/>
        <v>#REF!</v>
      </c>
    </row>
    <row r="1176" spans="37:48" x14ac:dyDescent="0.25">
      <c r="AK1176" t="str">
        <f ca="1"/>
        <v>Obs. 2003</v>
      </c>
      <c r="AL1176" s="7">
        <f ca="1"/>
        <v>71.900000000000006</v>
      </c>
      <c r="AN1176" s="7" t="e">
        <f ca="1"/>
        <v>#REF!</v>
      </c>
      <c r="AO1176" s="7" t="e">
        <f ca="1"/>
        <v>#REF!</v>
      </c>
      <c r="AP1176" s="7">
        <f ca="1"/>
        <v>9.1156342281234412E-2</v>
      </c>
      <c r="AQ1176" s="7" t="e">
        <f ca="1"/>
        <v>#REF!</v>
      </c>
      <c r="AR1176" s="7" t="e">
        <f ca="1"/>
        <v>#REF!</v>
      </c>
      <c r="AS1176" s="7">
        <f ca="1"/>
        <v>0.54051528578164909</v>
      </c>
      <c r="AT1176" s="7" t="e">
        <f ca="1"/>
        <v>#REF!</v>
      </c>
      <c r="AU1176" s="7" t="e">
        <f ca="1"/>
        <v>#REF!</v>
      </c>
      <c r="AV1176" s="7" t="e">
        <f ca="1"/>
        <v>#REF!</v>
      </c>
    </row>
    <row r="1177" spans="37:48" x14ac:dyDescent="0.25">
      <c r="AK1177" t="str">
        <f ca="1"/>
        <v>Obs. 2004</v>
      </c>
      <c r="AL1177" s="7">
        <f ca="1"/>
        <v>71.7</v>
      </c>
      <c r="AN1177" s="7" t="e">
        <f ca="1"/>
        <v>#REF!</v>
      </c>
      <c r="AO1177" s="7" t="e">
        <f ca="1"/>
        <v>#REF!</v>
      </c>
      <c r="AP1177" s="7">
        <f ca="1"/>
        <v>8.4871943400959854E-2</v>
      </c>
      <c r="AQ1177" s="7" t="e">
        <f ca="1"/>
        <v>#REF!</v>
      </c>
      <c r="AR1177" s="7" t="e">
        <f ca="1"/>
        <v>#REF!</v>
      </c>
      <c r="AS1177" s="7">
        <f ca="1"/>
        <v>0.54051528578164909</v>
      </c>
      <c r="AT1177" s="7" t="e">
        <f ca="1"/>
        <v>#REF!</v>
      </c>
      <c r="AU1177" s="7" t="e">
        <f ca="1"/>
        <v>#REF!</v>
      </c>
      <c r="AV1177" s="7" t="e">
        <f ca="1"/>
        <v>#REF!</v>
      </c>
    </row>
    <row r="1178" spans="37:48" x14ac:dyDescent="0.25">
      <c r="AK1178" t="str">
        <f ca="1"/>
        <v>Obs. 2009</v>
      </c>
      <c r="AL1178" s="7">
        <f ca="1"/>
        <v>75.3</v>
      </c>
      <c r="AN1178" s="7" t="e">
        <f ca="1"/>
        <v>#REF!</v>
      </c>
      <c r="AO1178" s="7" t="e">
        <f ca="1"/>
        <v>#REF!</v>
      </c>
      <c r="AP1178" s="7">
        <f ca="1"/>
        <v>8.8044582042448361E-2</v>
      </c>
      <c r="AQ1178" s="7" t="e">
        <f ca="1"/>
        <v>#REF!</v>
      </c>
      <c r="AR1178" s="7" t="e">
        <f ca="1"/>
        <v>#REF!</v>
      </c>
      <c r="AS1178" s="7">
        <f ca="1"/>
        <v>0.54051528578164909</v>
      </c>
      <c r="AT1178" s="7" t="e">
        <f ca="1"/>
        <v>#REF!</v>
      </c>
      <c r="AU1178" s="7" t="e">
        <f ca="1"/>
        <v>#REF!</v>
      </c>
      <c r="AV1178" s="7" t="e">
        <f ca="1"/>
        <v>#REF!</v>
      </c>
    </row>
    <row r="1179" spans="37:48" x14ac:dyDescent="0.25">
      <c r="AK1179" t="str">
        <f ca="1"/>
        <v>Obs. 2010</v>
      </c>
      <c r="AL1179" s="7">
        <f ca="1"/>
        <v>75.3</v>
      </c>
      <c r="AN1179" s="7" t="e">
        <f ca="1"/>
        <v>#REF!</v>
      </c>
      <c r="AO1179" s="7" t="e">
        <f ca="1"/>
        <v>#REF!</v>
      </c>
      <c r="AP1179" s="7">
        <f ca="1"/>
        <v>8.3740184401664919E-2</v>
      </c>
      <c r="AQ1179" s="7" t="e">
        <f ca="1"/>
        <v>#REF!</v>
      </c>
      <c r="AR1179" s="7" t="e">
        <f ca="1"/>
        <v>#REF!</v>
      </c>
      <c r="AS1179" s="7">
        <f ca="1"/>
        <v>0.54051528578164909</v>
      </c>
      <c r="AT1179" s="7" t="e">
        <f ca="1"/>
        <v>#REF!</v>
      </c>
      <c r="AU1179" s="7" t="e">
        <f ca="1"/>
        <v>#REF!</v>
      </c>
      <c r="AV1179" s="7" t="e">
        <f ca="1"/>
        <v>#REF!</v>
      </c>
    </row>
    <row r="1180" spans="37:48" x14ac:dyDescent="0.25">
      <c r="AK1180" t="str">
        <f ca="1"/>
        <v>Obs. 2011</v>
      </c>
      <c r="AL1180" s="7">
        <f ca="1"/>
        <v>74.900000000000006</v>
      </c>
      <c r="AN1180" s="7" t="e">
        <f ca="1"/>
        <v>#REF!</v>
      </c>
      <c r="AO1180" s="7" t="e">
        <f ca="1"/>
        <v>#REF!</v>
      </c>
      <c r="AP1180" s="7">
        <f ca="1"/>
        <v>8.2426192643645396E-2</v>
      </c>
      <c r="AQ1180" s="7" t="e">
        <f ca="1"/>
        <v>#REF!</v>
      </c>
      <c r="AR1180" s="7" t="e">
        <f ca="1"/>
        <v>#REF!</v>
      </c>
      <c r="AS1180" s="7">
        <f ca="1"/>
        <v>0.56531175535073552</v>
      </c>
      <c r="AT1180" s="7" t="e">
        <f ca="1"/>
        <v>#REF!</v>
      </c>
      <c r="AU1180" s="7" t="e">
        <f ca="1"/>
        <v>#REF!</v>
      </c>
      <c r="AV1180" s="7" t="e">
        <f ca="1"/>
        <v>#REF!</v>
      </c>
    </row>
    <row r="1181" spans="37:48" x14ac:dyDescent="0.25">
      <c r="AK1181" t="str">
        <f ca="1"/>
        <v>Obs. 2012</v>
      </c>
      <c r="AL1181" s="7">
        <f ca="1"/>
        <v>74.5</v>
      </c>
      <c r="AN1181" s="7" t="e">
        <f ca="1"/>
        <v>#REF!</v>
      </c>
      <c r="AO1181" s="7" t="e">
        <f ca="1"/>
        <v>#REF!</v>
      </c>
      <c r="AP1181" s="7">
        <f ca="1"/>
        <v>8.1468978608470355E-2</v>
      </c>
      <c r="AQ1181" s="7" t="e">
        <f ca="1"/>
        <v>#REF!</v>
      </c>
      <c r="AR1181" s="7" t="e">
        <f ca="1"/>
        <v>#REF!</v>
      </c>
      <c r="AS1181" s="7">
        <f ca="1"/>
        <v>0.56531175535073552</v>
      </c>
      <c r="AT1181" s="7" t="e">
        <f ca="1"/>
        <v>#REF!</v>
      </c>
      <c r="AU1181" s="7" t="e">
        <f ca="1"/>
        <v>#REF!</v>
      </c>
      <c r="AV1181" s="7" t="e">
        <f ca="1"/>
        <v>#REF!</v>
      </c>
    </row>
    <row r="1182" spans="37:48" x14ac:dyDescent="0.25">
      <c r="AK1182" t="str">
        <f ca="1"/>
        <v>Obs. 2013</v>
      </c>
      <c r="AL1182" s="7">
        <f ca="1"/>
        <v>73.7</v>
      </c>
      <c r="AN1182" s="7" t="e">
        <f ca="1"/>
        <v>#REF!</v>
      </c>
      <c r="AO1182" s="7" t="e">
        <f ca="1"/>
        <v>#REF!</v>
      </c>
      <c r="AP1182" s="7">
        <f ca="1"/>
        <v>8.2540780806175065E-2</v>
      </c>
      <c r="AQ1182" s="7" t="e">
        <f ca="1"/>
        <v>#REF!</v>
      </c>
      <c r="AR1182" s="7" t="e">
        <f ca="1"/>
        <v>#REF!</v>
      </c>
      <c r="AS1182" s="7">
        <f ca="1"/>
        <v>0.56531175535073552</v>
      </c>
      <c r="AT1182" s="7" t="e">
        <f ca="1"/>
        <v>#REF!</v>
      </c>
      <c r="AU1182" s="7" t="e">
        <f ca="1"/>
        <v>#REF!</v>
      </c>
      <c r="AV1182" s="7" t="e">
        <f ca="1"/>
        <v>#REF!</v>
      </c>
    </row>
    <row r="1183" spans="37:48" x14ac:dyDescent="0.25">
      <c r="AK1183" t="str">
        <f ca="1"/>
        <v>Obs. 2014</v>
      </c>
      <c r="AL1183" s="7">
        <f ca="1"/>
        <v>73.8</v>
      </c>
      <c r="AN1183" s="7" t="e">
        <f ca="1"/>
        <v>#REF!</v>
      </c>
      <c r="AO1183" s="7" t="e">
        <f ca="1"/>
        <v>#REF!</v>
      </c>
      <c r="AP1183" s="7">
        <f ca="1"/>
        <v>8.2156922235764901E-2</v>
      </c>
      <c r="AQ1183" s="7" t="e">
        <f ca="1"/>
        <v>#REF!</v>
      </c>
      <c r="AR1183" s="7" t="e">
        <f ca="1"/>
        <v>#REF!</v>
      </c>
      <c r="AS1183" s="7">
        <f ca="1"/>
        <v>0.56531175535073552</v>
      </c>
      <c r="AT1183" s="7" t="e">
        <f ca="1"/>
        <v>#REF!</v>
      </c>
      <c r="AU1183" s="7" t="e">
        <f ca="1"/>
        <v>#REF!</v>
      </c>
      <c r="AV1183" s="7" t="e">
        <f ca="1"/>
        <v>#REF!</v>
      </c>
    </row>
    <row r="1184" spans="37:48" x14ac:dyDescent="0.25">
      <c r="AK1184" t="str">
        <f ca="1"/>
        <v>Obs. 2015</v>
      </c>
      <c r="AL1184" s="7">
        <f ca="1"/>
        <v>73.900000000000006</v>
      </c>
      <c r="AN1184" s="7" t="e">
        <f ca="1"/>
        <v>#REF!</v>
      </c>
      <c r="AO1184" s="7" t="e">
        <f ca="1"/>
        <v>#REF!</v>
      </c>
      <c r="AP1184" s="7">
        <f ca="1"/>
        <v>8.6866200815298014E-2</v>
      </c>
      <c r="AQ1184" s="7" t="e">
        <f ca="1"/>
        <v>#REF!</v>
      </c>
      <c r="AR1184" s="7" t="e">
        <f ca="1"/>
        <v>#REF!</v>
      </c>
      <c r="AS1184" s="7">
        <f ca="1"/>
        <v>0.56531175535073552</v>
      </c>
      <c r="AT1184" s="7" t="e">
        <f ca="1"/>
        <v>#REF!</v>
      </c>
      <c r="AU1184" s="7" t="e">
        <f ca="1"/>
        <v>#REF!</v>
      </c>
      <c r="AV1184" s="7" t="e">
        <f ca="1"/>
        <v>#REF!</v>
      </c>
    </row>
    <row r="1185" spans="37:48" x14ac:dyDescent="0.25">
      <c r="AK1185" t="str">
        <f ca="1"/>
        <v>Obs. 2016</v>
      </c>
      <c r="AL1185" s="7">
        <f ca="1"/>
        <v>74</v>
      </c>
      <c r="AN1185" s="7" t="e">
        <f ca="1"/>
        <v>#REF!</v>
      </c>
      <c r="AO1185" s="7" t="e">
        <f ca="1"/>
        <v>#REF!</v>
      </c>
      <c r="AP1185" s="7">
        <f ca="1"/>
        <v>8.6978052095644853E-2</v>
      </c>
      <c r="AQ1185" s="7" t="e">
        <f ca="1"/>
        <v>#REF!</v>
      </c>
      <c r="AR1185" s="7" t="e">
        <f ca="1"/>
        <v>#REF!</v>
      </c>
      <c r="AS1185" s="7">
        <f ca="1"/>
        <v>0.56531175535073552</v>
      </c>
      <c r="AT1185" s="7" t="e">
        <f ca="1"/>
        <v>#REF!</v>
      </c>
      <c r="AU1185" s="7" t="e">
        <f ca="1"/>
        <v>#REF!</v>
      </c>
      <c r="AV1185" s="7" t="e">
        <f ca="1"/>
        <v>#REF!</v>
      </c>
    </row>
    <row r="1186" spans="37:48" x14ac:dyDescent="0.25">
      <c r="AK1186" t="str">
        <f ca="1"/>
        <v>Obs. 2017</v>
      </c>
      <c r="AL1186" s="7">
        <f ca="1"/>
        <v>74.2</v>
      </c>
      <c r="AN1186" s="7" t="e">
        <f ca="1"/>
        <v>#REF!</v>
      </c>
      <c r="AO1186" s="7" t="e">
        <f ca="1"/>
        <v>#REF!</v>
      </c>
      <c r="AP1186" s="7">
        <f ca="1"/>
        <v>8.1280270877566993E-2</v>
      </c>
      <c r="AQ1186" s="7" t="e">
        <f ca="1"/>
        <v>#REF!</v>
      </c>
      <c r="AR1186" s="7" t="e">
        <f ca="1"/>
        <v>#REF!</v>
      </c>
      <c r="AS1186" s="7">
        <f ca="1"/>
        <v>0.56531175535073552</v>
      </c>
      <c r="AT1186" s="7" t="e">
        <f ca="1"/>
        <v>#REF!</v>
      </c>
      <c r="AU1186" s="7" t="e">
        <f ca="1"/>
        <v>#REF!</v>
      </c>
      <c r="AV1186" s="7" t="e">
        <f ca="1"/>
        <v>#REF!</v>
      </c>
    </row>
    <row r="1187" spans="37:48" x14ac:dyDescent="0.25">
      <c r="AK1187" t="str">
        <f ca="1"/>
        <v>Obs. 2018</v>
      </c>
      <c r="AL1187" s="7">
        <f ca="1"/>
        <v>72.8</v>
      </c>
      <c r="AN1187" s="7" t="e">
        <f ca="1"/>
        <v>#REF!</v>
      </c>
      <c r="AO1187" s="7" t="e">
        <f ca="1"/>
        <v>#REF!</v>
      </c>
      <c r="AP1187" s="7">
        <f ca="1"/>
        <v>8.3087122679396941E-2</v>
      </c>
      <c r="AQ1187" s="7" t="e">
        <f ca="1"/>
        <v>#REF!</v>
      </c>
      <c r="AR1187" s="7" t="e">
        <f ca="1"/>
        <v>#REF!</v>
      </c>
      <c r="AS1187" s="7">
        <f ca="1"/>
        <v>0.56531175535073552</v>
      </c>
      <c r="AT1187" s="7" t="e">
        <f ca="1"/>
        <v>#REF!</v>
      </c>
      <c r="AU1187" s="7" t="e">
        <f ca="1"/>
        <v>#REF!</v>
      </c>
      <c r="AV1187" s="7" t="e">
        <f ca="1"/>
        <v>#REF!</v>
      </c>
    </row>
    <row r="1188" spans="37:48" x14ac:dyDescent="0.25">
      <c r="AK1188" t="str">
        <f ca="1"/>
        <v>Obs. 2019</v>
      </c>
      <c r="AL1188" s="7">
        <f ca="1"/>
        <v>72.2</v>
      </c>
      <c r="AN1188" s="7" t="e">
        <f ca="1"/>
        <v>#REF!</v>
      </c>
      <c r="AO1188" s="7" t="e">
        <f ca="1"/>
        <v>#REF!</v>
      </c>
      <c r="AP1188" s="7">
        <f ca="1"/>
        <v>8.2042422757864317E-2</v>
      </c>
      <c r="AQ1188" s="7" t="e">
        <f ca="1"/>
        <v>#REF!</v>
      </c>
      <c r="AR1188" s="7" t="e">
        <f ca="1"/>
        <v>#REF!</v>
      </c>
      <c r="AS1188" s="7">
        <f ca="1"/>
        <v>0.56531175535073552</v>
      </c>
      <c r="AT1188" s="7" t="e">
        <f ca="1"/>
        <v>#REF!</v>
      </c>
      <c r="AU1188" s="7" t="e">
        <f ca="1"/>
        <v>#REF!</v>
      </c>
      <c r="AV1188" s="7" t="e">
        <f ca="1"/>
        <v>#REF!</v>
      </c>
    </row>
    <row r="1189" spans="37:48" x14ac:dyDescent="0.25">
      <c r="AK1189" t="str">
        <f ca="1"/>
        <v>Obs. 2020</v>
      </c>
      <c r="AL1189" s="7">
        <f ca="1"/>
        <v>72.099999999999994</v>
      </c>
      <c r="AN1189" s="7" t="e">
        <f ca="1"/>
        <v>#REF!</v>
      </c>
      <c r="AO1189" s="7" t="e">
        <f ca="1"/>
        <v>#REF!</v>
      </c>
      <c r="AP1189" s="7">
        <f ca="1"/>
        <v>8.5419801945947199E-2</v>
      </c>
      <c r="AQ1189" s="7" t="e">
        <f ca="1"/>
        <v>#REF!</v>
      </c>
      <c r="AR1189" s="7" t="e">
        <f ca="1"/>
        <v>#REF!</v>
      </c>
      <c r="AS1189" s="7">
        <f ca="1"/>
        <v>0.56531175535073552</v>
      </c>
      <c r="AT1189" s="7" t="e">
        <f ca="1"/>
        <v>#REF!</v>
      </c>
      <c r="AU1189" s="7" t="e">
        <f ca="1"/>
        <v>#REF!</v>
      </c>
      <c r="AV1189" s="7" t="e">
        <f ca="1"/>
        <v>#REF!</v>
      </c>
    </row>
    <row r="1190" spans="37:48" x14ac:dyDescent="0.25">
      <c r="AK1190" t="str">
        <f ca="1"/>
        <v>Obs. 2025</v>
      </c>
      <c r="AL1190" s="7">
        <f ca="1"/>
        <v>68.400000000000006</v>
      </c>
      <c r="AN1190" s="7" t="e">
        <f ca="1"/>
        <v>#REF!</v>
      </c>
      <c r="AO1190" s="7" t="e">
        <f ca="1"/>
        <v>#REF!</v>
      </c>
      <c r="AP1190" s="7">
        <f ca="1"/>
        <v>0.11080453899605304</v>
      </c>
      <c r="AQ1190" s="7" t="e">
        <f ca="1"/>
        <v>#REF!</v>
      </c>
      <c r="AR1190" s="7" t="e">
        <f ca="1"/>
        <v>#REF!</v>
      </c>
      <c r="AS1190" s="7">
        <f ca="1"/>
        <v>0.56531175535073552</v>
      </c>
      <c r="AT1190" s="7" t="e">
        <f ca="1"/>
        <v>#REF!</v>
      </c>
      <c r="AU1190" s="7" t="e">
        <f ca="1"/>
        <v>#REF!</v>
      </c>
      <c r="AV1190" s="7" t="e">
        <f ca="1"/>
        <v>#REF!</v>
      </c>
    </row>
    <row r="1191" spans="37:48" x14ac:dyDescent="0.25">
      <c r="AK1191" t="str">
        <f ca="1"/>
        <v>Obs. 2026</v>
      </c>
      <c r="AL1191" s="7">
        <f ca="1"/>
        <v>68.099999999999994</v>
      </c>
      <c r="AN1191" s="7" t="e">
        <f ca="1"/>
        <v>#REF!</v>
      </c>
      <c r="AO1191" s="7" t="e">
        <f ca="1"/>
        <v>#REF!</v>
      </c>
      <c r="AP1191" s="7">
        <f ca="1"/>
        <v>6.8317614026728285E-2</v>
      </c>
      <c r="AQ1191" s="7" t="e">
        <f ca="1"/>
        <v>#REF!</v>
      </c>
      <c r="AR1191" s="7" t="e">
        <f ca="1"/>
        <v>#REF!</v>
      </c>
      <c r="AS1191" s="7">
        <f ca="1"/>
        <v>0.56531175535073552</v>
      </c>
      <c r="AT1191" s="7" t="e">
        <f ca="1"/>
        <v>#REF!</v>
      </c>
      <c r="AU1191" s="7" t="e">
        <f ca="1"/>
        <v>#REF!</v>
      </c>
      <c r="AV1191" s="7" t="e">
        <f ca="1"/>
        <v>#REF!</v>
      </c>
    </row>
    <row r="1192" spans="37:48" x14ac:dyDescent="0.25">
      <c r="AK1192" t="str">
        <f ca="1"/>
        <v>Obs. 2027</v>
      </c>
      <c r="AL1192" s="7">
        <f ca="1"/>
        <v>68.099999999999994</v>
      </c>
      <c r="AN1192" s="7" t="e">
        <f ca="1"/>
        <v>#REF!</v>
      </c>
      <c r="AO1192" s="7" t="e">
        <f ca="1"/>
        <v>#REF!</v>
      </c>
      <c r="AP1192" s="7">
        <f ca="1"/>
        <v>6.8275040598597875E-2</v>
      </c>
      <c r="AQ1192" s="7" t="e">
        <f ca="1"/>
        <v>#REF!</v>
      </c>
      <c r="AR1192" s="7" t="e">
        <f ca="1"/>
        <v>#REF!</v>
      </c>
      <c r="AS1192" s="7">
        <f ca="1"/>
        <v>0.56531175535073552</v>
      </c>
      <c r="AT1192" s="7" t="e">
        <f ca="1"/>
        <v>#REF!</v>
      </c>
      <c r="AU1192" s="7" t="e">
        <f ca="1"/>
        <v>#REF!</v>
      </c>
      <c r="AV1192" s="7" t="e">
        <f ca="1"/>
        <v>#REF!</v>
      </c>
    </row>
    <row r="1193" spans="37:48" x14ac:dyDescent="0.25">
      <c r="AK1193" t="str">
        <f ca="1"/>
        <v>Obs. 2028</v>
      </c>
      <c r="AL1193" s="7">
        <f ca="1"/>
        <v>68</v>
      </c>
      <c r="AN1193" s="7" t="e">
        <f ca="1"/>
        <v>#REF!</v>
      </c>
      <c r="AO1193" s="7" t="e">
        <f ca="1"/>
        <v>#REF!</v>
      </c>
      <c r="AP1193" s="7">
        <f ca="1"/>
        <v>6.6760163784893412E-2</v>
      </c>
      <c r="AQ1193" s="7" t="e">
        <f ca="1"/>
        <v>#REF!</v>
      </c>
      <c r="AR1193" s="7" t="e">
        <f ca="1"/>
        <v>#REF!</v>
      </c>
      <c r="AS1193" s="7">
        <f ca="1"/>
        <v>0.56531175535073552</v>
      </c>
      <c r="AT1193" s="7" t="e">
        <f ca="1"/>
        <v>#REF!</v>
      </c>
      <c r="AU1193" s="7" t="e">
        <f ca="1"/>
        <v>#REF!</v>
      </c>
      <c r="AV1193" s="7" t="e">
        <f ca="1"/>
        <v>#REF!</v>
      </c>
    </row>
    <row r="1194" spans="37:48" x14ac:dyDescent="0.25">
      <c r="AK1194" t="str">
        <f ca="1"/>
        <v>Obs. 2029</v>
      </c>
      <c r="AL1194" s="7">
        <f ca="1"/>
        <v>67.900000000000006</v>
      </c>
      <c r="AN1194" s="7" t="e">
        <f ca="1"/>
        <v>#REF!</v>
      </c>
      <c r="AO1194" s="7" t="e">
        <f ca="1"/>
        <v>#REF!</v>
      </c>
      <c r="AP1194" s="7">
        <f ca="1"/>
        <v>6.6290853214512391E-2</v>
      </c>
      <c r="AQ1194" s="7" t="e">
        <f ca="1"/>
        <v>#REF!</v>
      </c>
      <c r="AR1194" s="7" t="e">
        <f ca="1"/>
        <v>#REF!</v>
      </c>
      <c r="AS1194" s="7">
        <f ca="1"/>
        <v>0.56531175535073552</v>
      </c>
      <c r="AT1194" s="7" t="e">
        <f ca="1"/>
        <v>#REF!</v>
      </c>
      <c r="AU1194" s="7" t="e">
        <f ca="1"/>
        <v>#REF!</v>
      </c>
      <c r="AV1194" s="7" t="e">
        <f ca="1"/>
        <v>#REF!</v>
      </c>
    </row>
    <row r="1195" spans="37:48" x14ac:dyDescent="0.25">
      <c r="AK1195" t="str">
        <f ca="1"/>
        <v>Obs. 2030</v>
      </c>
      <c r="AL1195" s="7">
        <f ca="1"/>
        <v>68</v>
      </c>
      <c r="AN1195" s="7" t="e">
        <f ca="1"/>
        <v>#REF!</v>
      </c>
      <c r="AO1195" s="7" t="e">
        <f ca="1"/>
        <v>#REF!</v>
      </c>
      <c r="AP1195" s="7">
        <f ca="1"/>
        <v>6.542279682463463E-2</v>
      </c>
      <c r="AQ1195" s="7" t="e">
        <f ca="1"/>
        <v>#REF!</v>
      </c>
      <c r="AR1195" s="7" t="e">
        <f ca="1"/>
        <v>#REF!</v>
      </c>
      <c r="AS1195" s="7">
        <f ca="1"/>
        <v>0.56531175535073552</v>
      </c>
      <c r="AT1195" s="7" t="e">
        <f ca="1"/>
        <v>#REF!</v>
      </c>
      <c r="AU1195" s="7" t="e">
        <f ca="1"/>
        <v>#REF!</v>
      </c>
      <c r="AV1195" s="7" t="e">
        <f ca="1"/>
        <v>#REF!</v>
      </c>
    </row>
    <row r="1196" spans="37:48" x14ac:dyDescent="0.25">
      <c r="AK1196" t="str">
        <f ca="1"/>
        <v>Obs. 2031</v>
      </c>
      <c r="AL1196" s="7">
        <f ca="1"/>
        <v>67.5</v>
      </c>
      <c r="AN1196" s="7" t="e">
        <f ca="1"/>
        <v>#REF!</v>
      </c>
      <c r="AO1196" s="7" t="e">
        <f ca="1"/>
        <v>#REF!</v>
      </c>
      <c r="AP1196" s="7">
        <f ca="1"/>
        <v>6.5958781867560226E-2</v>
      </c>
      <c r="AQ1196" s="7" t="e">
        <f ca="1"/>
        <v>#REF!</v>
      </c>
      <c r="AR1196" s="7" t="e">
        <f ca="1"/>
        <v>#REF!</v>
      </c>
      <c r="AS1196" s="7">
        <f ca="1"/>
        <v>0.56531175535073552</v>
      </c>
      <c r="AT1196" s="7" t="e">
        <f ca="1"/>
        <v>#REF!</v>
      </c>
      <c r="AU1196" s="7" t="e">
        <f ca="1"/>
        <v>#REF!</v>
      </c>
      <c r="AV1196" s="7" t="e">
        <f ca="1"/>
        <v>#REF!</v>
      </c>
    </row>
    <row r="1197" spans="37:48" x14ac:dyDescent="0.25">
      <c r="AK1197" t="str">
        <f ca="1"/>
        <v>Obs. 2032</v>
      </c>
      <c r="AL1197" s="7">
        <f ca="1"/>
        <v>67.5</v>
      </c>
      <c r="AN1197" s="7" t="e">
        <f ca="1"/>
        <v>#REF!</v>
      </c>
      <c r="AO1197" s="7" t="e">
        <f ca="1"/>
        <v>#REF!</v>
      </c>
      <c r="AP1197" s="7">
        <f ca="1"/>
        <v>6.591669749079633E-2</v>
      </c>
      <c r="AQ1197" s="7" t="e">
        <f ca="1"/>
        <v>#REF!</v>
      </c>
      <c r="AR1197" s="7" t="e">
        <f ca="1"/>
        <v>#REF!</v>
      </c>
      <c r="AS1197" s="7">
        <f ca="1"/>
        <v>0.59589828697336056</v>
      </c>
      <c r="AT1197" s="7" t="e">
        <f ca="1"/>
        <v>#REF!</v>
      </c>
      <c r="AU1197" s="7" t="e">
        <f ca="1"/>
        <v>#REF!</v>
      </c>
      <c r="AV1197" s="7" t="e">
        <f ca="1"/>
        <v>#REF!</v>
      </c>
    </row>
    <row r="1198" spans="37:48" x14ac:dyDescent="0.25">
      <c r="AK1198" t="str">
        <f ca="1"/>
        <v>Obs. 2033</v>
      </c>
      <c r="AL1198" s="7">
        <f ca="1"/>
        <v>67.3</v>
      </c>
      <c r="AN1198" s="7" t="e">
        <f ca="1"/>
        <v>#REF!</v>
      </c>
      <c r="AO1198" s="7" t="e">
        <f ca="1"/>
        <v>#REF!</v>
      </c>
      <c r="AP1198" s="7">
        <f ca="1"/>
        <v>6.6578572578007769E-2</v>
      </c>
      <c r="AQ1198" s="7" t="e">
        <f ca="1"/>
        <v>#REF!</v>
      </c>
      <c r="AR1198" s="7" t="e">
        <f ca="1"/>
        <v>#REF!</v>
      </c>
      <c r="AS1198" s="7">
        <f ca="1"/>
        <v>0.59589828697336056</v>
      </c>
      <c r="AT1198" s="7" t="e">
        <f ca="1"/>
        <v>#REF!</v>
      </c>
      <c r="AU1198" s="7" t="e">
        <f ca="1"/>
        <v>#REF!</v>
      </c>
      <c r="AV1198" s="7" t="e">
        <f ca="1"/>
        <v>#REF!</v>
      </c>
    </row>
    <row r="1199" spans="37:48" x14ac:dyDescent="0.25">
      <c r="AK1199" t="str">
        <f ca="1"/>
        <v>Obs. 2034</v>
      </c>
      <c r="AL1199" s="7">
        <f ca="1"/>
        <v>67</v>
      </c>
      <c r="AN1199" s="7" t="e">
        <f ca="1"/>
        <v>#REF!</v>
      </c>
      <c r="AO1199" s="7" t="e">
        <f ca="1"/>
        <v>#REF!</v>
      </c>
      <c r="AP1199" s="7">
        <f ca="1"/>
        <v>7.9511616794067347E-2</v>
      </c>
      <c r="AQ1199" s="7" t="e">
        <f ca="1"/>
        <v>#REF!</v>
      </c>
      <c r="AR1199" s="7" t="e">
        <f ca="1"/>
        <v>#REF!</v>
      </c>
      <c r="AS1199" s="7">
        <f ca="1"/>
        <v>0.59589828697336056</v>
      </c>
      <c r="AT1199" s="7" t="e">
        <f ca="1"/>
        <v>#REF!</v>
      </c>
      <c r="AU1199" s="7" t="e">
        <f ca="1"/>
        <v>#REF!</v>
      </c>
      <c r="AV1199" s="7" t="e">
        <f ca="1"/>
        <v>#REF!</v>
      </c>
    </row>
    <row r="1200" spans="37:48" x14ac:dyDescent="0.25">
      <c r="AK1200" t="str">
        <f ca="1"/>
        <v>Obs. 2035</v>
      </c>
      <c r="AL1200" s="7">
        <f ca="1"/>
        <v>67.3</v>
      </c>
      <c r="AN1200" s="7" t="e">
        <f ca="1"/>
        <v>#REF!</v>
      </c>
      <c r="AO1200" s="7" t="e">
        <f ca="1"/>
        <v>#REF!</v>
      </c>
      <c r="AP1200" s="7">
        <f ca="1"/>
        <v>6.6766997733612901E-2</v>
      </c>
      <c r="AQ1200" s="7" t="e">
        <f ca="1"/>
        <v>#REF!</v>
      </c>
      <c r="AR1200" s="7" t="e">
        <f ca="1"/>
        <v>#REF!</v>
      </c>
      <c r="AS1200" s="7">
        <f ca="1"/>
        <v>0.59589828697336056</v>
      </c>
      <c r="AT1200" s="7" t="e">
        <f ca="1"/>
        <v>#REF!</v>
      </c>
      <c r="AU1200" s="7" t="e">
        <f ca="1"/>
        <v>#REF!</v>
      </c>
      <c r="AV1200" s="7" t="e">
        <f ca="1"/>
        <v>#REF!</v>
      </c>
    </row>
    <row r="1201" spans="37:48" x14ac:dyDescent="0.25">
      <c r="AK1201" t="str">
        <f ca="1"/>
        <v>Obs. 2036</v>
      </c>
      <c r="AL1201" s="7">
        <f ca="1"/>
        <v>67.2</v>
      </c>
      <c r="AN1201" s="7" t="e">
        <f ca="1"/>
        <v>#REF!</v>
      </c>
      <c r="AO1201" s="7" t="e">
        <f ca="1"/>
        <v>#REF!</v>
      </c>
      <c r="AP1201" s="7">
        <f ca="1"/>
        <v>6.653965523118191E-2</v>
      </c>
      <c r="AQ1201" s="7" t="e">
        <f ca="1"/>
        <v>#REF!</v>
      </c>
      <c r="AR1201" s="7" t="e">
        <f ca="1"/>
        <v>#REF!</v>
      </c>
      <c r="AS1201" s="7">
        <f ca="1"/>
        <v>0.59589828697336056</v>
      </c>
      <c r="AT1201" s="7" t="e">
        <f ca="1"/>
        <v>#REF!</v>
      </c>
      <c r="AU1201" s="7" t="e">
        <f ca="1"/>
        <v>#REF!</v>
      </c>
      <c r="AV1201" s="7" t="e">
        <f ca="1"/>
        <v>#REF!</v>
      </c>
    </row>
    <row r="1202" spans="37:48" x14ac:dyDescent="0.25">
      <c r="AK1202" t="str">
        <f ca="1"/>
        <v>Obs. 2037</v>
      </c>
      <c r="AL1202" s="7">
        <f ca="1"/>
        <v>66.8</v>
      </c>
      <c r="AN1202" s="7" t="e">
        <f ca="1"/>
        <v>#REF!</v>
      </c>
      <c r="AO1202" s="7" t="e">
        <f ca="1"/>
        <v>#REF!</v>
      </c>
      <c r="AP1202" s="7">
        <f ca="1"/>
        <v>6.6881151036028E-2</v>
      </c>
      <c r="AQ1202" s="7" t="e">
        <f ca="1"/>
        <v>#REF!</v>
      </c>
      <c r="AR1202" s="7" t="e">
        <f ca="1"/>
        <v>#REF!</v>
      </c>
      <c r="AS1202" s="7">
        <f ca="1"/>
        <v>0.59589828697336056</v>
      </c>
      <c r="AT1202" s="7" t="e">
        <f ca="1"/>
        <v>#REF!</v>
      </c>
      <c r="AU1202" s="7" t="e">
        <f ca="1"/>
        <v>#REF!</v>
      </c>
      <c r="AV1202" s="7" t="e">
        <f ca="1"/>
        <v>#REF!</v>
      </c>
    </row>
    <row r="1203" spans="37:48" x14ac:dyDescent="0.25">
      <c r="AK1203" t="str">
        <f ca="1"/>
        <v>Obs. 2038</v>
      </c>
      <c r="AL1203" s="7">
        <f ca="1"/>
        <v>66.8</v>
      </c>
      <c r="AN1203" s="7" t="e">
        <f ca="1"/>
        <v>#REF!</v>
      </c>
      <c r="AO1203" s="7" t="e">
        <f ca="1"/>
        <v>#REF!</v>
      </c>
      <c r="AP1203" s="7">
        <f ca="1"/>
        <v>6.8054602844248066E-2</v>
      </c>
      <c r="AQ1203" s="7" t="e">
        <f ca="1"/>
        <v>#REF!</v>
      </c>
      <c r="AR1203" s="7" t="e">
        <f ca="1"/>
        <v>#REF!</v>
      </c>
      <c r="AS1203" s="7">
        <f ca="1"/>
        <v>0.59589828697336056</v>
      </c>
      <c r="AT1203" s="7" t="e">
        <f ca="1"/>
        <v>#REF!</v>
      </c>
      <c r="AU1203" s="7" t="e">
        <f ca="1"/>
        <v>#REF!</v>
      </c>
      <c r="AV1203" s="7" t="e">
        <f ca="1"/>
        <v>#REF!</v>
      </c>
    </row>
    <row r="1204" spans="37:48" x14ac:dyDescent="0.25">
      <c r="AK1204" t="str">
        <f ca="1"/>
        <v>Obs. 2039</v>
      </c>
      <c r="AL1204" s="7">
        <f ca="1"/>
        <v>66.8</v>
      </c>
      <c r="AN1204" s="7" t="e">
        <f ca="1"/>
        <v>#REF!</v>
      </c>
      <c r="AO1204" s="7" t="e">
        <f ca="1"/>
        <v>#REF!</v>
      </c>
      <c r="AP1204" s="7">
        <f ca="1"/>
        <v>7.3681659050651549E-2</v>
      </c>
      <c r="AQ1204" s="7" t="e">
        <f ca="1"/>
        <v>#REF!</v>
      </c>
      <c r="AR1204" s="7" t="e">
        <f ca="1"/>
        <v>#REF!</v>
      </c>
      <c r="AS1204" s="7">
        <f ca="1"/>
        <v>0.59589828697336056</v>
      </c>
      <c r="AT1204" s="7" t="e">
        <f ca="1"/>
        <v>#REF!</v>
      </c>
      <c r="AU1204" s="7" t="e">
        <f ca="1"/>
        <v>#REF!</v>
      </c>
      <c r="AV1204" s="7" t="e">
        <f ca="1"/>
        <v>#REF!</v>
      </c>
    </row>
    <row r="1205" spans="37:48" x14ac:dyDescent="0.25">
      <c r="AK1205" t="str">
        <f ca="1"/>
        <v>Obs. 2041</v>
      </c>
      <c r="AL1205" s="7">
        <f ca="1"/>
        <v>77.3</v>
      </c>
      <c r="AN1205" s="7" t="e">
        <f ca="1"/>
        <v>#REF!</v>
      </c>
      <c r="AO1205" s="7" t="e">
        <f ca="1"/>
        <v>#REF!</v>
      </c>
      <c r="AP1205" s="7">
        <f ca="1"/>
        <v>8.3480336360102964E-2</v>
      </c>
      <c r="AQ1205" s="7" t="e">
        <f ca="1"/>
        <v>#REF!</v>
      </c>
      <c r="AR1205" s="7" t="e">
        <f ca="1"/>
        <v>#REF!</v>
      </c>
      <c r="AS1205" s="7">
        <f ca="1"/>
        <v>0.59589828697336056</v>
      </c>
      <c r="AT1205" s="7" t="e">
        <f ca="1"/>
        <v>#REF!</v>
      </c>
      <c r="AU1205" s="7" t="e">
        <f ca="1"/>
        <v>#REF!</v>
      </c>
      <c r="AV1205" s="7" t="e">
        <f ca="1"/>
        <v>#REF!</v>
      </c>
    </row>
    <row r="1206" spans="37:48" x14ac:dyDescent="0.25">
      <c r="AK1206" t="str">
        <f ca="1"/>
        <v>Obs. 2042</v>
      </c>
      <c r="AL1206" s="7">
        <f ca="1"/>
        <v>77.099999999999994</v>
      </c>
      <c r="AN1206" s="7" t="e">
        <f ca="1"/>
        <v>#REF!</v>
      </c>
      <c r="AO1206" s="7" t="e">
        <f ca="1"/>
        <v>#REF!</v>
      </c>
      <c r="AP1206" s="7">
        <f ca="1"/>
        <v>8.9891031036225963E-2</v>
      </c>
      <c r="AQ1206" s="7" t="e">
        <f ca="1"/>
        <v>#REF!</v>
      </c>
      <c r="AR1206" s="7" t="e">
        <f ca="1"/>
        <v>#REF!</v>
      </c>
      <c r="AS1206" s="7">
        <f ca="1"/>
        <v>0.59589828697336056</v>
      </c>
      <c r="AT1206" s="7" t="e">
        <f ca="1"/>
        <v>#REF!</v>
      </c>
      <c r="AU1206" s="7" t="e">
        <f ca="1"/>
        <v>#REF!</v>
      </c>
      <c r="AV1206" s="7" t="e">
        <f ca="1"/>
        <v>#REF!</v>
      </c>
    </row>
    <row r="1207" spans="37:48" x14ac:dyDescent="0.25">
      <c r="AK1207" t="str">
        <f ca="1"/>
        <v>Obs. 2043</v>
      </c>
      <c r="AL1207" s="7">
        <f ca="1"/>
        <v>76.8</v>
      </c>
      <c r="AN1207" s="7" t="e">
        <f ca="1"/>
        <v>#REF!</v>
      </c>
      <c r="AO1207" s="7" t="e">
        <f ca="1"/>
        <v>#REF!</v>
      </c>
      <c r="AP1207" s="7">
        <f ca="1"/>
        <v>8.0718680505536794E-2</v>
      </c>
      <c r="AQ1207" s="7" t="e">
        <f ca="1"/>
        <v>#REF!</v>
      </c>
      <c r="AR1207" s="7" t="e">
        <f ca="1"/>
        <v>#REF!</v>
      </c>
      <c r="AS1207" s="7">
        <f ca="1"/>
        <v>0.61415241452626612</v>
      </c>
      <c r="AT1207" s="7" t="e">
        <f ca="1"/>
        <v>#REF!</v>
      </c>
      <c r="AU1207" s="7" t="e">
        <f ca="1"/>
        <v>#REF!</v>
      </c>
      <c r="AV1207" s="7" t="e">
        <f ca="1"/>
        <v>#REF!</v>
      </c>
    </row>
    <row r="1208" spans="37:48" x14ac:dyDescent="0.25">
      <c r="AK1208" t="str">
        <f ca="1"/>
        <v>Obs. 2044</v>
      </c>
      <c r="AL1208" s="7">
        <f ca="1"/>
        <v>76.7</v>
      </c>
      <c r="AN1208" s="7" t="e">
        <f ca="1"/>
        <v>#REF!</v>
      </c>
      <c r="AO1208" s="7" t="e">
        <f ca="1"/>
        <v>#REF!</v>
      </c>
      <c r="AP1208" s="7">
        <f ca="1"/>
        <v>8.1002974180319029E-2</v>
      </c>
      <c r="AQ1208" s="7" t="e">
        <f ca="1"/>
        <v>#REF!</v>
      </c>
      <c r="AR1208" s="7" t="e">
        <f ca="1"/>
        <v>#REF!</v>
      </c>
      <c r="AS1208" s="7">
        <f ca="1"/>
        <v>0.61415241452626612</v>
      </c>
      <c r="AT1208" s="7" t="e">
        <f ca="1"/>
        <v>#REF!</v>
      </c>
      <c r="AU1208" s="7" t="e">
        <f ca="1"/>
        <v>#REF!</v>
      </c>
      <c r="AV1208" s="7" t="e">
        <f ca="1"/>
        <v>#REF!</v>
      </c>
    </row>
    <row r="1209" spans="37:48" x14ac:dyDescent="0.25">
      <c r="AK1209" t="str">
        <f ca="1"/>
        <v>Obs. 2045</v>
      </c>
      <c r="AL1209" s="7">
        <f ca="1"/>
        <v>76.3</v>
      </c>
      <c r="AN1209" s="7" t="e">
        <f ca="1"/>
        <v>#REF!</v>
      </c>
      <c r="AO1209" s="7" t="e">
        <f ca="1"/>
        <v>#REF!</v>
      </c>
      <c r="AP1209" s="7">
        <f ca="1"/>
        <v>7.9918022792876922E-2</v>
      </c>
      <c r="AQ1209" s="7" t="e">
        <f ca="1"/>
        <v>#REF!</v>
      </c>
      <c r="AR1209" s="7" t="e">
        <f ca="1"/>
        <v>#REF!</v>
      </c>
      <c r="AS1209" s="7">
        <f ca="1"/>
        <v>0.61415241452626612</v>
      </c>
      <c r="AT1209" s="7" t="e">
        <f ca="1"/>
        <v>#REF!</v>
      </c>
      <c r="AU1209" s="7" t="e">
        <f ca="1"/>
        <v>#REF!</v>
      </c>
      <c r="AV1209" s="7" t="e">
        <f ca="1"/>
        <v>#REF!</v>
      </c>
    </row>
    <row r="1210" spans="37:48" x14ac:dyDescent="0.25">
      <c r="AK1210" t="str">
        <f ca="1"/>
        <v>Obs. 2046</v>
      </c>
      <c r="AL1210" s="7">
        <f ca="1"/>
        <v>75.7</v>
      </c>
      <c r="AN1210" s="7" t="e">
        <f ca="1"/>
        <v>#REF!</v>
      </c>
      <c r="AO1210" s="7" t="e">
        <f ca="1"/>
        <v>#REF!</v>
      </c>
      <c r="AP1210" s="7">
        <f ca="1"/>
        <v>7.3742428054971165E-2</v>
      </c>
      <c r="AQ1210" s="7" t="e">
        <f ca="1"/>
        <v>#REF!</v>
      </c>
      <c r="AR1210" s="7" t="e">
        <f ca="1"/>
        <v>#REF!</v>
      </c>
      <c r="AS1210" s="7">
        <f ca="1"/>
        <v>0.61415241452626612</v>
      </c>
      <c r="AT1210" s="7" t="e">
        <f ca="1"/>
        <v>#REF!</v>
      </c>
      <c r="AU1210" s="7" t="e">
        <f ca="1"/>
        <v>#REF!</v>
      </c>
      <c r="AV1210" s="7" t="e">
        <f ca="1"/>
        <v>#REF!</v>
      </c>
    </row>
    <row r="1211" spans="37:48" x14ac:dyDescent="0.25">
      <c r="AK1211" t="str">
        <f ca="1"/>
        <v>Obs. 2047</v>
      </c>
      <c r="AL1211" s="7">
        <f ca="1"/>
        <v>75.5</v>
      </c>
      <c r="AN1211" s="7" t="e">
        <f ca="1"/>
        <v>#REF!</v>
      </c>
      <c r="AO1211" s="7" t="e">
        <f ca="1"/>
        <v>#REF!</v>
      </c>
      <c r="AP1211" s="7">
        <f ca="1"/>
        <v>7.6583187724313287E-2</v>
      </c>
      <c r="AQ1211" s="7" t="e">
        <f ca="1"/>
        <v>#REF!</v>
      </c>
      <c r="AR1211" s="7" t="e">
        <f ca="1"/>
        <v>#REF!</v>
      </c>
      <c r="AS1211" s="7">
        <f ca="1"/>
        <v>0.61415241452626612</v>
      </c>
      <c r="AT1211" s="7" t="e">
        <f ca="1"/>
        <v>#REF!</v>
      </c>
      <c r="AU1211" s="7" t="e">
        <f ca="1"/>
        <v>#REF!</v>
      </c>
      <c r="AV1211" s="7" t="e">
        <f ca="1"/>
        <v>#REF!</v>
      </c>
    </row>
    <row r="1212" spans="37:48" x14ac:dyDescent="0.25">
      <c r="AK1212" t="str">
        <f ca="1"/>
        <v>Obs. 2048</v>
      </c>
      <c r="AL1212" s="7">
        <f ca="1"/>
        <v>75.3</v>
      </c>
      <c r="AN1212" s="7" t="e">
        <f ca="1"/>
        <v>#REF!</v>
      </c>
      <c r="AO1212" s="7" t="e">
        <f ca="1"/>
        <v>#REF!</v>
      </c>
      <c r="AP1212" s="7">
        <f ca="1"/>
        <v>7.4030925314566731E-2</v>
      </c>
      <c r="AQ1212" s="7" t="e">
        <f ca="1"/>
        <v>#REF!</v>
      </c>
      <c r="AR1212" s="7" t="e">
        <f ca="1"/>
        <v>#REF!</v>
      </c>
      <c r="AS1212" s="7">
        <f ca="1"/>
        <v>0.61415241452626612</v>
      </c>
      <c r="AT1212" s="7" t="e">
        <f ca="1"/>
        <v>#REF!</v>
      </c>
      <c r="AU1212" s="7" t="e">
        <f ca="1"/>
        <v>#REF!</v>
      </c>
      <c r="AV1212" s="7" t="e">
        <f ca="1"/>
        <v>#REF!</v>
      </c>
    </row>
    <row r="1213" spans="37:48" x14ac:dyDescent="0.25">
      <c r="AK1213" t="str">
        <f ca="1"/>
        <v>Obs. 2049</v>
      </c>
      <c r="AL1213" s="7">
        <f ca="1"/>
        <v>75.2</v>
      </c>
      <c r="AN1213" s="7" t="e">
        <f ca="1"/>
        <v>#REF!</v>
      </c>
      <c r="AO1213" s="7" t="e">
        <f ca="1"/>
        <v>#REF!</v>
      </c>
      <c r="AP1213" s="7">
        <f ca="1"/>
        <v>7.4804576373383613E-2</v>
      </c>
      <c r="AQ1213" s="7" t="e">
        <f ca="1"/>
        <v>#REF!</v>
      </c>
      <c r="AR1213" s="7" t="e">
        <f ca="1"/>
        <v>#REF!</v>
      </c>
      <c r="AS1213" s="7">
        <f ca="1"/>
        <v>0.61415241452626612</v>
      </c>
      <c r="AT1213" s="7" t="e">
        <f ca="1"/>
        <v>#REF!</v>
      </c>
      <c r="AU1213" s="7" t="e">
        <f ca="1"/>
        <v>#REF!</v>
      </c>
      <c r="AV1213" s="7" t="e">
        <f ca="1"/>
        <v>#REF!</v>
      </c>
    </row>
    <row r="1214" spans="37:48" x14ac:dyDescent="0.25">
      <c r="AK1214" t="str">
        <f ca="1"/>
        <v>Obs. 2050</v>
      </c>
      <c r="AL1214" s="7">
        <f ca="1"/>
        <v>75</v>
      </c>
      <c r="AN1214" s="7" t="e">
        <f ca="1"/>
        <v>#REF!</v>
      </c>
      <c r="AO1214" s="7" t="e">
        <f ca="1"/>
        <v>#REF!</v>
      </c>
      <c r="AP1214" s="7">
        <f ca="1"/>
        <v>7.4551414730303009E-2</v>
      </c>
      <c r="AQ1214" s="7" t="e">
        <f ca="1"/>
        <v>#REF!</v>
      </c>
      <c r="AR1214" s="7" t="e">
        <f ca="1"/>
        <v>#REF!</v>
      </c>
      <c r="AS1214" s="7">
        <f ca="1"/>
        <v>0.61415241452626612</v>
      </c>
      <c r="AT1214" s="7" t="e">
        <f ca="1"/>
        <v>#REF!</v>
      </c>
      <c r="AU1214" s="7" t="e">
        <f ca="1"/>
        <v>#REF!</v>
      </c>
      <c r="AV1214" s="7" t="e">
        <f ca="1"/>
        <v>#REF!</v>
      </c>
    </row>
    <row r="1215" spans="37:48" x14ac:dyDescent="0.25">
      <c r="AK1215" t="str">
        <f ca="1"/>
        <v>Obs. 2051</v>
      </c>
      <c r="AL1215" s="7">
        <f ca="1"/>
        <v>74.900000000000006</v>
      </c>
      <c r="AN1215" s="7" t="e">
        <f ca="1"/>
        <v>#REF!</v>
      </c>
      <c r="AO1215" s="7" t="e">
        <f ca="1"/>
        <v>#REF!</v>
      </c>
      <c r="AP1215" s="7">
        <f ca="1"/>
        <v>7.5095931614992117E-2</v>
      </c>
      <c r="AQ1215" s="7" t="e">
        <f ca="1"/>
        <v>#REF!</v>
      </c>
      <c r="AR1215" s="7" t="e">
        <f ca="1"/>
        <v>#REF!</v>
      </c>
      <c r="AS1215" s="7">
        <f ca="1"/>
        <v>0.61415241452626612</v>
      </c>
      <c r="AT1215" s="7" t="e">
        <f ca="1"/>
        <v>#REF!</v>
      </c>
      <c r="AU1215" s="7" t="e">
        <f ca="1"/>
        <v>#REF!</v>
      </c>
      <c r="AV1215" s="7" t="e">
        <f ca="1"/>
        <v>#REF!</v>
      </c>
    </row>
    <row r="1216" spans="37:48" x14ac:dyDescent="0.25">
      <c r="AK1216" t="str">
        <f ca="1"/>
        <v>Obs. 2052</v>
      </c>
      <c r="AL1216" s="7">
        <f ca="1"/>
        <v>74.7</v>
      </c>
      <c r="AN1216" s="7" t="e">
        <f ca="1"/>
        <v>#REF!</v>
      </c>
      <c r="AO1216" s="7" t="e">
        <f ca="1"/>
        <v>#REF!</v>
      </c>
      <c r="AP1216" s="7">
        <f ca="1"/>
        <v>7.5386681232564354E-2</v>
      </c>
      <c r="AQ1216" s="7" t="e">
        <f ca="1"/>
        <v>#REF!</v>
      </c>
      <c r="AR1216" s="7" t="e">
        <f ca="1"/>
        <v>#REF!</v>
      </c>
      <c r="AS1216" s="7">
        <f ca="1"/>
        <v>0.61415241452626612</v>
      </c>
      <c r="AT1216" s="7" t="e">
        <f ca="1"/>
        <v>#REF!</v>
      </c>
      <c r="AU1216" s="7" t="e">
        <f ca="1"/>
        <v>#REF!</v>
      </c>
      <c r="AV1216" s="7" t="e">
        <f ca="1"/>
        <v>#REF!</v>
      </c>
    </row>
    <row r="1217" spans="37:48" x14ac:dyDescent="0.25">
      <c r="AK1217" t="str">
        <f ca="1"/>
        <v>Obs. 2053</v>
      </c>
      <c r="AL1217" s="7">
        <f ca="1"/>
        <v>74.5</v>
      </c>
      <c r="AN1217" s="7" t="e">
        <f ca="1"/>
        <v>#REF!</v>
      </c>
      <c r="AO1217" s="7" t="e">
        <f ca="1"/>
        <v>#REF!</v>
      </c>
      <c r="AP1217" s="7">
        <f ca="1"/>
        <v>7.6798637458559305E-2</v>
      </c>
      <c r="AQ1217" s="7" t="e">
        <f ca="1"/>
        <v>#REF!</v>
      </c>
      <c r="AR1217" s="7" t="e">
        <f ca="1"/>
        <v>#REF!</v>
      </c>
      <c r="AS1217" s="7">
        <f ca="1"/>
        <v>0.63261352584071384</v>
      </c>
      <c r="AT1217" s="7" t="e">
        <f ca="1"/>
        <v>#REF!</v>
      </c>
      <c r="AU1217" s="7" t="e">
        <f ca="1"/>
        <v>#REF!</v>
      </c>
      <c r="AV1217" s="7" t="e">
        <f ca="1"/>
        <v>#REF!</v>
      </c>
    </row>
    <row r="1218" spans="37:48" x14ac:dyDescent="0.25">
      <c r="AK1218" t="str">
        <f ca="1"/>
        <v>Obs. 2054</v>
      </c>
      <c r="AL1218" s="7">
        <f ca="1"/>
        <v>74.2</v>
      </c>
      <c r="AN1218" s="7" t="e">
        <f ca="1"/>
        <v>#REF!</v>
      </c>
      <c r="AO1218" s="7" t="e">
        <f ca="1"/>
        <v>#REF!</v>
      </c>
      <c r="AP1218" s="7">
        <f ca="1"/>
        <v>7.6974470758408797E-2</v>
      </c>
      <c r="AQ1218" s="7" t="e">
        <f ca="1"/>
        <v>#REF!</v>
      </c>
      <c r="AR1218" s="7" t="e">
        <f ca="1"/>
        <v>#REF!</v>
      </c>
      <c r="AS1218" s="7">
        <f ca="1"/>
        <v>0.63261352584071384</v>
      </c>
      <c r="AT1218" s="7" t="e">
        <f ca="1"/>
        <v>#REF!</v>
      </c>
      <c r="AU1218" s="7" t="e">
        <f ca="1"/>
        <v>#REF!</v>
      </c>
      <c r="AV1218" s="7" t="e">
        <f ca="1"/>
        <v>#REF!</v>
      </c>
    </row>
    <row r="1219" spans="37:48" x14ac:dyDescent="0.25">
      <c r="AK1219" t="str">
        <f ca="1"/>
        <v>Obs. 2055</v>
      </c>
      <c r="AL1219" s="7">
        <f ca="1"/>
        <v>73.7</v>
      </c>
      <c r="AN1219" s="7" t="e">
        <f ca="1"/>
        <v>#REF!</v>
      </c>
      <c r="AO1219" s="7" t="e">
        <f ca="1"/>
        <v>#REF!</v>
      </c>
      <c r="AP1219" s="7">
        <f ca="1"/>
        <v>7.7147295702487434E-2</v>
      </c>
      <c r="AQ1219" s="7" t="e">
        <f ca="1"/>
        <v>#REF!</v>
      </c>
      <c r="AR1219" s="7" t="e">
        <f ca="1"/>
        <v>#REF!</v>
      </c>
      <c r="AS1219" s="7">
        <f ca="1"/>
        <v>0.63261352584071384</v>
      </c>
      <c r="AT1219" s="7" t="e">
        <f ca="1"/>
        <v>#REF!</v>
      </c>
      <c r="AU1219" s="7" t="e">
        <f ca="1"/>
        <v>#REF!</v>
      </c>
      <c r="AV1219" s="7" t="e">
        <f ca="1"/>
        <v>#REF!</v>
      </c>
    </row>
    <row r="1220" spans="37:48" x14ac:dyDescent="0.25">
      <c r="AK1220" t="str">
        <f ca="1"/>
        <v>Obs. 2057</v>
      </c>
      <c r="AL1220" s="7">
        <f ca="1"/>
        <v>89</v>
      </c>
      <c r="AN1220" s="7" t="e">
        <f ca="1"/>
        <v>#REF!</v>
      </c>
      <c r="AO1220" s="7" t="e">
        <f ca="1"/>
        <v>#REF!</v>
      </c>
      <c r="AP1220" s="7">
        <f ca="1"/>
        <v>9.0658890694340313E-2</v>
      </c>
      <c r="AQ1220" s="7" t="e">
        <f ca="1"/>
        <v>#REF!</v>
      </c>
      <c r="AR1220" s="7" t="e">
        <f ca="1"/>
        <v>#REF!</v>
      </c>
      <c r="AS1220" s="7">
        <f ca="1"/>
        <v>0.63261352584071384</v>
      </c>
      <c r="AT1220" s="7" t="e">
        <f ca="1"/>
        <v>#REF!</v>
      </c>
      <c r="AU1220" s="7" t="e">
        <f ca="1"/>
        <v>#REF!</v>
      </c>
      <c r="AV1220" s="7" t="e">
        <f ca="1"/>
        <v>#REF!</v>
      </c>
    </row>
    <row r="1221" spans="37:48" x14ac:dyDescent="0.25">
      <c r="AK1221" t="str">
        <f ca="1"/>
        <v>Obs. 2058</v>
      </c>
      <c r="AL1221" s="7">
        <f ca="1"/>
        <v>86</v>
      </c>
      <c r="AN1221" s="7" t="e">
        <f ca="1"/>
        <v>#REF!</v>
      </c>
      <c r="AO1221" s="7" t="e">
        <f ca="1"/>
        <v>#REF!</v>
      </c>
      <c r="AP1221" s="7">
        <f ca="1"/>
        <v>8.9464989767534822E-2</v>
      </c>
      <c r="AQ1221" s="7" t="e">
        <f ca="1"/>
        <v>#REF!</v>
      </c>
      <c r="AR1221" s="7" t="e">
        <f ca="1"/>
        <v>#REF!</v>
      </c>
      <c r="AS1221" s="7">
        <f ca="1"/>
        <v>0.63261352584071384</v>
      </c>
      <c r="AT1221" s="7" t="e">
        <f ca="1"/>
        <v>#REF!</v>
      </c>
      <c r="AU1221" s="7" t="e">
        <f ca="1"/>
        <v>#REF!</v>
      </c>
      <c r="AV1221" s="7" t="e">
        <f ca="1"/>
        <v>#REF!</v>
      </c>
    </row>
    <row r="1222" spans="37:48" x14ac:dyDescent="0.25">
      <c r="AK1222" t="str">
        <f ca="1"/>
        <v>Obs. 2059</v>
      </c>
      <c r="AL1222" s="7">
        <f ca="1"/>
        <v>83</v>
      </c>
      <c r="AN1222" s="7" t="e">
        <f ca="1"/>
        <v>#REF!</v>
      </c>
      <c r="AO1222" s="7" t="e">
        <f ca="1"/>
        <v>#REF!</v>
      </c>
      <c r="AP1222" s="7">
        <f ca="1"/>
        <v>8.3045005124484372E-2</v>
      </c>
      <c r="AQ1222" s="7" t="e">
        <f ca="1"/>
        <v>#REF!</v>
      </c>
      <c r="AR1222" s="7" t="e">
        <f ca="1"/>
        <v>#REF!</v>
      </c>
      <c r="AS1222" s="7">
        <f ca="1"/>
        <v>0.63261352584071384</v>
      </c>
      <c r="AT1222" s="7" t="e">
        <f ca="1"/>
        <v>#REF!</v>
      </c>
      <c r="AU1222" s="7" t="e">
        <f ca="1"/>
        <v>#REF!</v>
      </c>
      <c r="AV1222" s="7" t="e">
        <f ca="1"/>
        <v>#REF!</v>
      </c>
    </row>
    <row r="1223" spans="37:48" x14ac:dyDescent="0.25">
      <c r="AK1223" t="str">
        <f ca="1"/>
        <v>Obs. 2060</v>
      </c>
      <c r="AL1223" s="7">
        <f ca="1"/>
        <v>82</v>
      </c>
      <c r="AN1223" s="7" t="e">
        <f ca="1"/>
        <v>#REF!</v>
      </c>
      <c r="AO1223" s="7" t="e">
        <f ca="1"/>
        <v>#REF!</v>
      </c>
      <c r="AP1223" s="7">
        <f ca="1"/>
        <v>9.1512796454028184E-2</v>
      </c>
      <c r="AQ1223" s="7" t="e">
        <f ca="1"/>
        <v>#REF!</v>
      </c>
      <c r="AR1223" s="7" t="e">
        <f ca="1"/>
        <v>#REF!</v>
      </c>
      <c r="AS1223" s="7">
        <f ca="1"/>
        <v>0.63261352584071384</v>
      </c>
      <c r="AT1223" s="7" t="e">
        <f ca="1"/>
        <v>#REF!</v>
      </c>
      <c r="AU1223" s="7" t="e">
        <f ca="1"/>
        <v>#REF!</v>
      </c>
      <c r="AV1223" s="7" t="e">
        <f ca="1"/>
        <v>#REF!</v>
      </c>
    </row>
    <row r="1224" spans="37:48" x14ac:dyDescent="0.25">
      <c r="AK1224" t="str">
        <f ca="1"/>
        <v>Obs. 2061</v>
      </c>
      <c r="AL1224" s="7">
        <f ca="1"/>
        <v>79.599999999999994</v>
      </c>
      <c r="AN1224" s="7" t="e">
        <f ca="1"/>
        <v>#REF!</v>
      </c>
      <c r="AO1224" s="7" t="e">
        <f ca="1"/>
        <v>#REF!</v>
      </c>
      <c r="AP1224" s="7">
        <f ca="1"/>
        <v>9.1754984020057564E-2</v>
      </c>
      <c r="AQ1224" s="7" t="e">
        <f ca="1"/>
        <v>#REF!</v>
      </c>
      <c r="AR1224" s="7" t="e">
        <f ca="1"/>
        <v>#REF!</v>
      </c>
      <c r="AS1224" s="7">
        <f ca="1"/>
        <v>0.63261352584071384</v>
      </c>
      <c r="AT1224" s="7" t="e">
        <f ca="1"/>
        <v>#REF!</v>
      </c>
      <c r="AU1224" s="7" t="e">
        <f ca="1"/>
        <v>#REF!</v>
      </c>
      <c r="AV1224" s="7" t="e">
        <f ca="1"/>
        <v>#REF!</v>
      </c>
    </row>
    <row r="1225" spans="37:48" x14ac:dyDescent="0.25">
      <c r="AK1225" t="str">
        <f ca="1"/>
        <v>Obs. 2062</v>
      </c>
      <c r="AL1225" s="7">
        <f ca="1"/>
        <v>79.3</v>
      </c>
      <c r="AN1225" s="7" t="e">
        <f ca="1"/>
        <v>#REF!</v>
      </c>
      <c r="AO1225" s="7" t="e">
        <f ca="1"/>
        <v>#REF!</v>
      </c>
      <c r="AP1225" s="7">
        <f ca="1"/>
        <v>9.1344918148700591E-2</v>
      </c>
      <c r="AQ1225" s="7" t="e">
        <f ca="1"/>
        <v>#REF!</v>
      </c>
      <c r="AR1225" s="7" t="e">
        <f ca="1"/>
        <v>#REF!</v>
      </c>
      <c r="AS1225" s="7">
        <f ca="1"/>
        <v>0.63261352584071384</v>
      </c>
      <c r="AT1225" s="7" t="e">
        <f ca="1"/>
        <v>#REF!</v>
      </c>
      <c r="AU1225" s="7" t="e">
        <f ca="1"/>
        <v>#REF!</v>
      </c>
      <c r="AV1225" s="7" t="e">
        <f ca="1"/>
        <v>#REF!</v>
      </c>
    </row>
    <row r="1226" spans="37:48" x14ac:dyDescent="0.25">
      <c r="AK1226" t="str">
        <f ca="1"/>
        <v>Obs. 2063</v>
      </c>
      <c r="AL1226" s="7">
        <f ca="1"/>
        <v>79</v>
      </c>
      <c r="AN1226" s="7" t="e">
        <f ca="1"/>
        <v>#REF!</v>
      </c>
      <c r="AO1226" s="7" t="e">
        <f ca="1"/>
        <v>#REF!</v>
      </c>
      <c r="AP1226" s="7">
        <f ca="1"/>
        <v>8.201066420680489E-2</v>
      </c>
      <c r="AQ1226" s="7" t="e">
        <f ca="1"/>
        <v>#REF!</v>
      </c>
      <c r="AR1226" s="7" t="e">
        <f ca="1"/>
        <v>#REF!</v>
      </c>
      <c r="AS1226" s="7">
        <f ca="1"/>
        <v>0.64941472986293525</v>
      </c>
      <c r="AT1226" s="7" t="e">
        <f ca="1"/>
        <v>#REF!</v>
      </c>
      <c r="AU1226" s="7" t="e">
        <f ca="1"/>
        <v>#REF!</v>
      </c>
      <c r="AV1226" s="7" t="e">
        <f ca="1"/>
        <v>#REF!</v>
      </c>
    </row>
    <row r="1227" spans="37:48" x14ac:dyDescent="0.25">
      <c r="AK1227" t="str">
        <f ca="1"/>
        <v>Obs. 2064</v>
      </c>
      <c r="AL1227" s="7">
        <f ca="1"/>
        <v>78.7</v>
      </c>
      <c r="AN1227" s="7" t="e">
        <f ca="1"/>
        <v>#REF!</v>
      </c>
      <c r="AO1227" s="7" t="e">
        <f ca="1"/>
        <v>#REF!</v>
      </c>
      <c r="AP1227" s="7">
        <f ca="1"/>
        <v>8.1818857806374268E-2</v>
      </c>
      <c r="AQ1227" s="7" t="e">
        <f ca="1"/>
        <v>#REF!</v>
      </c>
      <c r="AR1227" s="7" t="e">
        <f ca="1"/>
        <v>#REF!</v>
      </c>
      <c r="AS1227" s="7">
        <f ca="1"/>
        <v>0.64941472986293525</v>
      </c>
      <c r="AT1227" s="7" t="e">
        <f ca="1"/>
        <v>#REF!</v>
      </c>
      <c r="AU1227" s="7" t="e">
        <f ca="1"/>
        <v>#REF!</v>
      </c>
      <c r="AV1227" s="7" t="e">
        <f ca="1"/>
        <v>#REF!</v>
      </c>
    </row>
    <row r="1228" spans="37:48" x14ac:dyDescent="0.25">
      <c r="AK1228" t="str">
        <f ca="1"/>
        <v>Obs. 2065</v>
      </c>
      <c r="AL1228" s="7">
        <f ca="1"/>
        <v>78.5</v>
      </c>
      <c r="AN1228" s="7" t="e">
        <f ca="1"/>
        <v>#REF!</v>
      </c>
      <c r="AO1228" s="7" t="e">
        <f ca="1"/>
        <v>#REF!</v>
      </c>
      <c r="AP1228" s="7">
        <f ca="1"/>
        <v>8.1254290561787512E-2</v>
      </c>
      <c r="AQ1228" s="7" t="e">
        <f ca="1"/>
        <v>#REF!</v>
      </c>
      <c r="AR1228" s="7" t="e">
        <f ca="1"/>
        <v>#REF!</v>
      </c>
      <c r="AS1228" s="7">
        <f ca="1"/>
        <v>0.64941472986293525</v>
      </c>
      <c r="AT1228" s="7" t="e">
        <f ca="1"/>
        <v>#REF!</v>
      </c>
      <c r="AU1228" s="7" t="e">
        <f ca="1"/>
        <v>#REF!</v>
      </c>
      <c r="AV1228" s="7" t="e">
        <f ca="1"/>
        <v>#REF!</v>
      </c>
    </row>
    <row r="1229" spans="37:48" x14ac:dyDescent="0.25">
      <c r="AK1229" t="str">
        <f ca="1"/>
        <v>Obs. 2066</v>
      </c>
      <c r="AL1229" s="7">
        <f ca="1"/>
        <v>77.7</v>
      </c>
      <c r="AN1229" s="7" t="e">
        <f ca="1"/>
        <v>#REF!</v>
      </c>
      <c r="AO1229" s="7" t="e">
        <f ca="1"/>
        <v>#REF!</v>
      </c>
      <c r="AP1229" s="7">
        <f ca="1"/>
        <v>8.179355519912504E-2</v>
      </c>
      <c r="AQ1229" s="7" t="e">
        <f ca="1"/>
        <v>#REF!</v>
      </c>
      <c r="AR1229" s="7" t="e">
        <f ca="1"/>
        <v>#REF!</v>
      </c>
      <c r="AS1229" s="7">
        <f ca="1"/>
        <v>0.64941472986293525</v>
      </c>
      <c r="AT1229" s="7" t="e">
        <f ca="1"/>
        <v>#REF!</v>
      </c>
      <c r="AU1229" s="7" t="e">
        <f ca="1"/>
        <v>#REF!</v>
      </c>
      <c r="AV1229" s="7" t="e">
        <f ca="1"/>
        <v>#REF!</v>
      </c>
    </row>
    <row r="1230" spans="37:48" x14ac:dyDescent="0.25">
      <c r="AK1230" t="str">
        <f ca="1"/>
        <v>Obs. 2067</v>
      </c>
      <c r="AL1230" s="7">
        <f ca="1"/>
        <v>78</v>
      </c>
      <c r="AN1230" s="7" t="e">
        <f ca="1"/>
        <v>#REF!</v>
      </c>
      <c r="AO1230" s="7" t="e">
        <f ca="1"/>
        <v>#REF!</v>
      </c>
      <c r="AP1230" s="7">
        <f ca="1"/>
        <v>8.2513308814119724E-2</v>
      </c>
      <c r="AQ1230" s="7" t="e">
        <f ca="1"/>
        <v>#REF!</v>
      </c>
      <c r="AR1230" s="7" t="e">
        <f ca="1"/>
        <v>#REF!</v>
      </c>
      <c r="AS1230" s="7">
        <f ca="1"/>
        <v>0.64941472986293525</v>
      </c>
      <c r="AT1230" s="7" t="e">
        <f ca="1"/>
        <v>#REF!</v>
      </c>
      <c r="AU1230" s="7" t="e">
        <f ca="1"/>
        <v>#REF!</v>
      </c>
      <c r="AV1230" s="7" t="e">
        <f ca="1"/>
        <v>#REF!</v>
      </c>
    </row>
    <row r="1231" spans="37:48" x14ac:dyDescent="0.25">
      <c r="AK1231" t="str">
        <f ca="1"/>
        <v>Obs. 2068</v>
      </c>
      <c r="AL1231" s="7">
        <f ca="1"/>
        <v>77.3</v>
      </c>
      <c r="AN1231" s="7" t="e">
        <f ca="1"/>
        <v>#REF!</v>
      </c>
      <c r="AO1231" s="7" t="e">
        <f ca="1"/>
        <v>#REF!</v>
      </c>
      <c r="AP1231" s="7">
        <f ca="1"/>
        <v>8.2612672168925261E-2</v>
      </c>
      <c r="AQ1231" s="7" t="e">
        <f ca="1"/>
        <v>#REF!</v>
      </c>
      <c r="AR1231" s="7" t="e">
        <f ca="1"/>
        <v>#REF!</v>
      </c>
      <c r="AS1231" s="7">
        <f ca="1"/>
        <v>0.64941472986293525</v>
      </c>
      <c r="AT1231" s="7" t="e">
        <f ca="1"/>
        <v>#REF!</v>
      </c>
      <c r="AU1231" s="7" t="e">
        <f ca="1"/>
        <v>#REF!</v>
      </c>
      <c r="AV1231" s="7" t="e">
        <f ca="1"/>
        <v>#REF!</v>
      </c>
    </row>
    <row r="1232" spans="37:48" x14ac:dyDescent="0.25">
      <c r="AK1232" t="str">
        <f ca="1"/>
        <v>Obs. 2069</v>
      </c>
      <c r="AL1232" s="7">
        <f ca="1"/>
        <v>77.2</v>
      </c>
      <c r="AN1232" s="7" t="e">
        <f ca="1"/>
        <v>#REF!</v>
      </c>
      <c r="AO1232" s="7" t="e">
        <f ca="1"/>
        <v>#REF!</v>
      </c>
      <c r="AP1232" s="7">
        <f ca="1"/>
        <v>8.2199816400609832E-2</v>
      </c>
      <c r="AQ1232" s="7" t="e">
        <f ca="1"/>
        <v>#REF!</v>
      </c>
      <c r="AR1232" s="7" t="e">
        <f ca="1"/>
        <v>#REF!</v>
      </c>
      <c r="AS1232" s="7">
        <f ca="1"/>
        <v>0.64941472986293525</v>
      </c>
      <c r="AT1232" s="7" t="e">
        <f ca="1"/>
        <v>#REF!</v>
      </c>
      <c r="AU1232" s="7" t="e">
        <f ca="1"/>
        <v>#REF!</v>
      </c>
      <c r="AV1232" s="7" t="e">
        <f ca="1"/>
        <v>#REF!</v>
      </c>
    </row>
    <row r="1233" spans="37:48" x14ac:dyDescent="0.25">
      <c r="AK1233" t="str">
        <f ca="1"/>
        <v>Obs. 2070</v>
      </c>
      <c r="AL1233" s="7">
        <f ca="1"/>
        <v>76.900000000000006</v>
      </c>
      <c r="AN1233" s="7" t="e">
        <f ca="1"/>
        <v>#REF!</v>
      </c>
      <c r="AO1233" s="7" t="e">
        <f ca="1"/>
        <v>#REF!</v>
      </c>
      <c r="AP1233" s="7">
        <f ca="1"/>
        <v>9.734639307066098E-2</v>
      </c>
      <c r="AQ1233" s="7" t="e">
        <f ca="1"/>
        <v>#REF!</v>
      </c>
      <c r="AR1233" s="7" t="e">
        <f ca="1"/>
        <v>#REF!</v>
      </c>
      <c r="AS1233" s="7">
        <f ca="1"/>
        <v>0.64941472986293525</v>
      </c>
      <c r="AT1233" s="7" t="e">
        <f ca="1"/>
        <v>#REF!</v>
      </c>
      <c r="AU1233" s="7" t="e">
        <f ca="1"/>
        <v>#REF!</v>
      </c>
      <c r="AV1233" s="7" t="e">
        <f ca="1"/>
        <v>#REF!</v>
      </c>
    </row>
    <row r="1234" spans="37:48" x14ac:dyDescent="0.25">
      <c r="AK1234" t="str">
        <f ca="1"/>
        <v>Obs. 2071</v>
      </c>
      <c r="AL1234" s="7">
        <f ca="1"/>
        <v>76.599999999999994</v>
      </c>
      <c r="AN1234" s="7" t="e">
        <f ca="1"/>
        <v>#REF!</v>
      </c>
      <c r="AO1234" s="7" t="e">
        <f ca="1"/>
        <v>#REF!</v>
      </c>
      <c r="AP1234" s="7">
        <f ca="1"/>
        <v>8.8684761802803658E-2</v>
      </c>
      <c r="AQ1234" s="7" t="e">
        <f ca="1"/>
        <v>#REF!</v>
      </c>
      <c r="AR1234" s="7" t="e">
        <f ca="1"/>
        <v>#REF!</v>
      </c>
      <c r="AS1234" s="7">
        <f ca="1"/>
        <v>0.64941472986293525</v>
      </c>
      <c r="AT1234" s="7" t="e">
        <f ca="1"/>
        <v>#REF!</v>
      </c>
      <c r="AU1234" s="7" t="e">
        <f ca="1"/>
        <v>#REF!</v>
      </c>
      <c r="AV1234" s="7" t="e">
        <f ca="1"/>
        <v>#REF!</v>
      </c>
    </row>
    <row r="1235" spans="37:48" x14ac:dyDescent="0.25">
      <c r="AK1235" t="str">
        <f ca="1"/>
        <v>Obs. 2121</v>
      </c>
      <c r="AL1235" s="7">
        <f ca="1"/>
        <v>74.8</v>
      </c>
      <c r="AN1235" s="7" t="e">
        <f ca="1"/>
        <v>#REF!</v>
      </c>
      <c r="AO1235" s="7" t="e">
        <f ca="1"/>
        <v>#REF!</v>
      </c>
      <c r="AP1235" s="7">
        <f ca="1"/>
        <v>9.9258997575052951E-2</v>
      </c>
      <c r="AQ1235" s="7" t="e">
        <f ca="1"/>
        <v>#REF!</v>
      </c>
      <c r="AR1235" s="7" t="e">
        <f ca="1"/>
        <v>#REF!</v>
      </c>
      <c r="AS1235" s="7">
        <f ca="1"/>
        <v>0.64941472986293525</v>
      </c>
      <c r="AT1235" s="7" t="e">
        <f ca="1"/>
        <v>#REF!</v>
      </c>
      <c r="AU1235" s="7" t="e">
        <f ca="1"/>
        <v>#REF!</v>
      </c>
      <c r="AV1235" s="7" t="e">
        <f ca="1"/>
        <v>#REF!</v>
      </c>
    </row>
    <row r="1236" spans="37:48" x14ac:dyDescent="0.25">
      <c r="AK1236" t="str">
        <f ca="1"/>
        <v>Obs. 2122</v>
      </c>
      <c r="AL1236" s="7">
        <f ca="1"/>
        <v>74.599999999999994</v>
      </c>
      <c r="AN1236" s="7" t="e">
        <f ca="1"/>
        <v>#REF!</v>
      </c>
      <c r="AO1236" s="7" t="e">
        <f ca="1"/>
        <v>#REF!</v>
      </c>
      <c r="AP1236" s="7">
        <f ca="1"/>
        <v>7.4582065456330199E-2</v>
      </c>
      <c r="AQ1236" s="7" t="e">
        <f ca="1"/>
        <v>#REF!</v>
      </c>
      <c r="AR1236" s="7" t="e">
        <f ca="1"/>
        <v>#REF!</v>
      </c>
      <c r="AS1236" s="7">
        <f ca="1"/>
        <v>0.64941472986293525</v>
      </c>
      <c r="AT1236" s="7" t="e">
        <f ca="1"/>
        <v>#REF!</v>
      </c>
      <c r="AU1236" s="7" t="e">
        <f ca="1"/>
        <v>#REF!</v>
      </c>
      <c r="AV1236" s="7" t="e">
        <f ca="1"/>
        <v>#REF!</v>
      </c>
    </row>
    <row r="1237" spans="37:48" x14ac:dyDescent="0.25">
      <c r="AK1237" t="str">
        <f ca="1"/>
        <v>Obs. 2123</v>
      </c>
      <c r="AL1237" s="7">
        <f ca="1"/>
        <v>74.400000000000006</v>
      </c>
      <c r="AN1237" s="7" t="e">
        <f ca="1"/>
        <v>#REF!</v>
      </c>
      <c r="AO1237" s="7" t="e">
        <f ca="1"/>
        <v>#REF!</v>
      </c>
      <c r="AP1237" s="7">
        <f ca="1"/>
        <v>7.6114955189280312E-2</v>
      </c>
      <c r="AQ1237" s="7" t="e">
        <f ca="1"/>
        <v>#REF!</v>
      </c>
      <c r="AR1237" s="7" t="e">
        <f ca="1"/>
        <v>#REF!</v>
      </c>
      <c r="AS1237" s="7">
        <f ca="1"/>
        <v>0.67020216077934069</v>
      </c>
      <c r="AT1237" s="7" t="e">
        <f ca="1"/>
        <v>#REF!</v>
      </c>
      <c r="AU1237" s="7" t="e">
        <f ca="1"/>
        <v>#REF!</v>
      </c>
      <c r="AV1237" s="7" t="e">
        <f ca="1"/>
        <v>#REF!</v>
      </c>
    </row>
    <row r="1238" spans="37:48" x14ac:dyDescent="0.25">
      <c r="AK1238" t="str">
        <f ca="1"/>
        <v>Obs. 2124</v>
      </c>
      <c r="AL1238" s="7">
        <f ca="1"/>
        <v>74.3</v>
      </c>
      <c r="AN1238" s="7" t="e">
        <f ca="1"/>
        <v>#REF!</v>
      </c>
      <c r="AO1238" s="7" t="e">
        <f ca="1"/>
        <v>#REF!</v>
      </c>
      <c r="AP1238" s="7">
        <f ca="1"/>
        <v>7.7605377813986173E-2</v>
      </c>
      <c r="AQ1238" s="7" t="e">
        <f ca="1"/>
        <v>#REF!</v>
      </c>
      <c r="AR1238" s="7" t="e">
        <f ca="1"/>
        <v>#REF!</v>
      </c>
      <c r="AS1238" s="7">
        <f ca="1"/>
        <v>0.67020216077934069</v>
      </c>
      <c r="AT1238" s="7" t="e">
        <f ca="1"/>
        <v>#REF!</v>
      </c>
      <c r="AU1238" s="7" t="e">
        <f ca="1"/>
        <v>#REF!</v>
      </c>
      <c r="AV1238" s="7" t="e">
        <f ca="1"/>
        <v>#REF!</v>
      </c>
    </row>
    <row r="1239" spans="37:48" x14ac:dyDescent="0.25">
      <c r="AK1239" t="str">
        <f ca="1"/>
        <v>Obs. 2125</v>
      </c>
      <c r="AL1239" s="7">
        <f ca="1"/>
        <v>73.400000000000006</v>
      </c>
      <c r="AN1239" s="7" t="e">
        <f ca="1"/>
        <v>#REF!</v>
      </c>
      <c r="AO1239" s="7" t="e">
        <f ca="1"/>
        <v>#REF!</v>
      </c>
      <c r="AP1239" s="7">
        <f ca="1"/>
        <v>7.8245007411728754E-2</v>
      </c>
      <c r="AQ1239" s="7" t="e">
        <f ca="1"/>
        <v>#REF!</v>
      </c>
      <c r="AR1239" s="7" t="e">
        <f ca="1"/>
        <v>#REF!</v>
      </c>
      <c r="AS1239" s="7">
        <f ca="1"/>
        <v>0.67020216077934069</v>
      </c>
      <c r="AT1239" s="7" t="e">
        <f ca="1"/>
        <v>#REF!</v>
      </c>
      <c r="AU1239" s="7" t="e">
        <f ca="1"/>
        <v>#REF!</v>
      </c>
      <c r="AV1239" s="7" t="e">
        <f ca="1"/>
        <v>#REF!</v>
      </c>
    </row>
    <row r="1240" spans="37:48" x14ac:dyDescent="0.25">
      <c r="AK1240" t="str">
        <f ca="1"/>
        <v>Obs. 2126</v>
      </c>
      <c r="AL1240" s="7">
        <f ca="1"/>
        <v>73.099999999999994</v>
      </c>
      <c r="AN1240" s="7" t="e">
        <f ca="1"/>
        <v>#REF!</v>
      </c>
      <c r="AO1240" s="7" t="e">
        <f ca="1"/>
        <v>#REF!</v>
      </c>
      <c r="AP1240" s="7">
        <f ca="1"/>
        <v>7.6943395028726713E-2</v>
      </c>
      <c r="AQ1240" s="7" t="e">
        <f ca="1"/>
        <v>#REF!</v>
      </c>
      <c r="AR1240" s="7" t="e">
        <f ca="1"/>
        <v>#REF!</v>
      </c>
      <c r="AS1240" s="7">
        <f ca="1"/>
        <v>0.67020216077934069</v>
      </c>
      <c r="AT1240" s="7" t="e">
        <f ca="1"/>
        <v>#REF!</v>
      </c>
      <c r="AU1240" s="7" t="e">
        <f ca="1"/>
        <v>#REF!</v>
      </c>
      <c r="AV1240" s="7" t="e">
        <f ca="1"/>
        <v>#REF!</v>
      </c>
    </row>
    <row r="1241" spans="37:48" x14ac:dyDescent="0.25">
      <c r="AK1241" t="str">
        <f ca="1"/>
        <v>Obs. 2127</v>
      </c>
      <c r="AL1241" s="7">
        <f ca="1"/>
        <v>73.099999999999994</v>
      </c>
      <c r="AN1241" s="7" t="e">
        <f ca="1"/>
        <v>#REF!</v>
      </c>
      <c r="AO1241" s="7" t="e">
        <f ca="1"/>
        <v>#REF!</v>
      </c>
      <c r="AP1241" s="7">
        <f ca="1"/>
        <v>7.6471436358395969E-2</v>
      </c>
      <c r="AQ1241" s="7" t="e">
        <f ca="1"/>
        <v>#REF!</v>
      </c>
      <c r="AR1241" s="7" t="e">
        <f ca="1"/>
        <v>#REF!</v>
      </c>
      <c r="AS1241" s="7">
        <f ca="1"/>
        <v>0.67020216077934069</v>
      </c>
      <c r="AT1241" s="7" t="e">
        <f ca="1"/>
        <v>#REF!</v>
      </c>
      <c r="AU1241" s="7" t="e">
        <f ca="1"/>
        <v>#REF!</v>
      </c>
      <c r="AV1241" s="7" t="e">
        <f ca="1"/>
        <v>#REF!</v>
      </c>
    </row>
    <row r="1242" spans="37:48" x14ac:dyDescent="0.25">
      <c r="AK1242" t="str">
        <f ca="1"/>
        <v>Obs. 2128</v>
      </c>
      <c r="AL1242" s="7">
        <f ca="1"/>
        <v>72.900000000000006</v>
      </c>
      <c r="AN1242" s="7" t="e">
        <f ca="1"/>
        <v>#REF!</v>
      </c>
      <c r="AO1242" s="7" t="e">
        <f ca="1"/>
        <v>#REF!</v>
      </c>
      <c r="AP1242" s="7">
        <f ca="1"/>
        <v>7.3656222820306913E-2</v>
      </c>
      <c r="AQ1242" s="7" t="e">
        <f ca="1"/>
        <v>#REF!</v>
      </c>
      <c r="AR1242" s="7" t="e">
        <f ca="1"/>
        <v>#REF!</v>
      </c>
      <c r="AS1242" s="7">
        <f ca="1"/>
        <v>0.67020216077934069</v>
      </c>
      <c r="AT1242" s="7" t="e">
        <f ca="1"/>
        <v>#REF!</v>
      </c>
      <c r="AU1242" s="7" t="e">
        <f ca="1"/>
        <v>#REF!</v>
      </c>
      <c r="AV1242" s="7" t="e">
        <f ca="1"/>
        <v>#REF!</v>
      </c>
    </row>
    <row r="1243" spans="37:48" x14ac:dyDescent="0.25">
      <c r="AK1243" t="str">
        <f ca="1"/>
        <v>Obs. 2129</v>
      </c>
      <c r="AL1243" s="7">
        <f ca="1"/>
        <v>72.5</v>
      </c>
      <c r="AN1243" s="7" t="e">
        <f ca="1"/>
        <v>#REF!</v>
      </c>
      <c r="AO1243" s="7" t="e">
        <f ca="1"/>
        <v>#REF!</v>
      </c>
      <c r="AP1243" s="7">
        <f ca="1"/>
        <v>7.2774958338577431E-2</v>
      </c>
      <c r="AQ1243" s="7" t="e">
        <f ca="1"/>
        <v>#REF!</v>
      </c>
      <c r="AR1243" s="7" t="e">
        <f ca="1"/>
        <v>#REF!</v>
      </c>
      <c r="AS1243" s="7">
        <f ca="1"/>
        <v>0.67020216077934069</v>
      </c>
      <c r="AT1243" s="7" t="e">
        <f ca="1"/>
        <v>#REF!</v>
      </c>
      <c r="AU1243" s="7" t="e">
        <f ca="1"/>
        <v>#REF!</v>
      </c>
      <c r="AV1243" s="7" t="e">
        <f ca="1"/>
        <v>#REF!</v>
      </c>
    </row>
    <row r="1244" spans="37:48" x14ac:dyDescent="0.25">
      <c r="AK1244" t="str">
        <f ca="1"/>
        <v>Obs. 2130</v>
      </c>
      <c r="AL1244" s="7">
        <f ca="1"/>
        <v>71.900000000000006</v>
      </c>
      <c r="AN1244" s="7" t="e">
        <f ca="1"/>
        <v>#REF!</v>
      </c>
      <c r="AO1244" s="7" t="e">
        <f ca="1"/>
        <v>#REF!</v>
      </c>
      <c r="AP1244" s="7">
        <f ca="1"/>
        <v>7.3696033637996539E-2</v>
      </c>
      <c r="AQ1244" s="7" t="e">
        <f ca="1"/>
        <v>#REF!</v>
      </c>
      <c r="AR1244" s="7" t="e">
        <f ca="1"/>
        <v>#REF!</v>
      </c>
      <c r="AS1244" s="7">
        <f ca="1"/>
        <v>0.67020216077934069</v>
      </c>
      <c r="AT1244" s="7" t="e">
        <f ca="1"/>
        <v>#REF!</v>
      </c>
      <c r="AU1244" s="7" t="e">
        <f ca="1"/>
        <v>#REF!</v>
      </c>
      <c r="AV1244" s="7" t="e">
        <f ca="1"/>
        <v>#REF!</v>
      </c>
    </row>
    <row r="1245" spans="37:48" x14ac:dyDescent="0.25">
      <c r="AK1245" t="str">
        <f ca="1"/>
        <v>Obs. 2131</v>
      </c>
      <c r="AL1245" s="7">
        <f ca="1"/>
        <v>71.7</v>
      </c>
      <c r="AN1245" s="7" t="e">
        <f ca="1"/>
        <v>#REF!</v>
      </c>
      <c r="AO1245" s="7" t="e">
        <f ca="1"/>
        <v>#REF!</v>
      </c>
      <c r="AP1245" s="7">
        <f ca="1"/>
        <v>7.390307988192639E-2</v>
      </c>
      <c r="AQ1245" s="7" t="e">
        <f ca="1"/>
        <v>#REF!</v>
      </c>
      <c r="AR1245" s="7" t="e">
        <f ca="1"/>
        <v>#REF!</v>
      </c>
      <c r="AS1245" s="7">
        <f ca="1"/>
        <v>0.67020216077934069</v>
      </c>
      <c r="AT1245" s="7" t="e">
        <f ca="1"/>
        <v>#REF!</v>
      </c>
      <c r="AU1245" s="7" t="e">
        <f ca="1"/>
        <v>#REF!</v>
      </c>
      <c r="AV1245" s="7" t="e">
        <f ca="1"/>
        <v>#REF!</v>
      </c>
    </row>
    <row r="1246" spans="37:48" x14ac:dyDescent="0.25">
      <c r="AK1246" t="str">
        <f ca="1"/>
        <v>Obs. 2132</v>
      </c>
      <c r="AL1246" s="7">
        <f ca="1"/>
        <v>71.099999999999994</v>
      </c>
      <c r="AN1246" s="7" t="e">
        <f ca="1"/>
        <v>#REF!</v>
      </c>
      <c r="AO1246" s="7" t="e">
        <f ca="1"/>
        <v>#REF!</v>
      </c>
      <c r="AP1246" s="7">
        <f ca="1"/>
        <v>7.497134763026532E-2</v>
      </c>
      <c r="AQ1246" s="7" t="e">
        <f ca="1"/>
        <v>#REF!</v>
      </c>
      <c r="AR1246" s="7" t="e">
        <f ca="1"/>
        <v>#REF!</v>
      </c>
      <c r="AS1246" s="7">
        <f ca="1"/>
        <v>0.67020216077934069</v>
      </c>
      <c r="AT1246" s="7" t="e">
        <f ca="1"/>
        <v>#REF!</v>
      </c>
      <c r="AU1246" s="7" t="e">
        <f ca="1"/>
        <v>#REF!</v>
      </c>
      <c r="AV1246" s="7" t="e">
        <f ca="1"/>
        <v>#REF!</v>
      </c>
    </row>
    <row r="1247" spans="37:48" x14ac:dyDescent="0.25">
      <c r="AK1247" t="str">
        <f ca="1"/>
        <v>Obs. 2133</v>
      </c>
      <c r="AL1247" s="7">
        <f ca="1"/>
        <v>77</v>
      </c>
      <c r="AN1247" s="7" t="e">
        <f ca="1"/>
        <v>#REF!</v>
      </c>
      <c r="AO1247" s="7" t="e">
        <f ca="1"/>
        <v>#REF!</v>
      </c>
      <c r="AP1247" s="7">
        <f ca="1"/>
        <v>7.7244670576372979E-2</v>
      </c>
      <c r="AQ1247" s="7" t="e">
        <f ca="1"/>
        <v>#REF!</v>
      </c>
      <c r="AR1247" s="7" t="e">
        <f ca="1"/>
        <v>#REF!</v>
      </c>
      <c r="AS1247" s="7">
        <f ca="1"/>
        <v>0.67020216077934069</v>
      </c>
      <c r="AT1247" s="7" t="e">
        <f ca="1"/>
        <v>#REF!</v>
      </c>
      <c r="AU1247" s="7" t="e">
        <f ca="1"/>
        <v>#REF!</v>
      </c>
      <c r="AV1247" s="7" t="e">
        <f ca="1"/>
        <v>#REF!</v>
      </c>
    </row>
    <row r="1248" spans="37:48" x14ac:dyDescent="0.25">
      <c r="AK1248" t="str">
        <f ca="1"/>
        <v>Obs. 2134</v>
      </c>
      <c r="AL1248" s="7">
        <f ca="1"/>
        <v>78</v>
      </c>
      <c r="AN1248" s="7" t="e">
        <f ca="1"/>
        <v>#REF!</v>
      </c>
      <c r="AO1248" s="7" t="e">
        <f ca="1"/>
        <v>#REF!</v>
      </c>
      <c r="AP1248" s="7">
        <f ca="1"/>
        <v>7.865410383722457E-2</v>
      </c>
      <c r="AQ1248" s="7" t="e">
        <f ca="1"/>
        <v>#REF!</v>
      </c>
      <c r="AR1248" s="7" t="e">
        <f ca="1"/>
        <v>#REF!</v>
      </c>
      <c r="AS1248" s="7">
        <f ca="1"/>
        <v>0.67020216077934069</v>
      </c>
      <c r="AT1248" s="7" t="e">
        <f ca="1"/>
        <v>#REF!</v>
      </c>
      <c r="AU1248" s="7" t="e">
        <f ca="1"/>
        <v>#REF!</v>
      </c>
      <c r="AV1248" s="7" t="e">
        <f ca="1"/>
        <v>#REF!</v>
      </c>
    </row>
    <row r="1249" spans="37:48" x14ac:dyDescent="0.25">
      <c r="AK1249" t="str">
        <f ca="1"/>
        <v>Obs. 2135</v>
      </c>
      <c r="AL1249" s="7">
        <f ca="1"/>
        <v>77</v>
      </c>
      <c r="AN1249" s="7" t="e">
        <f ca="1"/>
        <v>#REF!</v>
      </c>
      <c r="AO1249" s="7" t="e">
        <f ca="1"/>
        <v>#REF!</v>
      </c>
      <c r="AP1249" s="7">
        <f ca="1"/>
        <v>7.9967951186955905E-2</v>
      </c>
      <c r="AQ1249" s="7" t="e">
        <f ca="1"/>
        <v>#REF!</v>
      </c>
      <c r="AR1249" s="7" t="e">
        <f ca="1"/>
        <v>#REF!</v>
      </c>
      <c r="AS1249" s="7">
        <f ca="1"/>
        <v>0.67020216077934069</v>
      </c>
      <c r="AT1249" s="7" t="e">
        <f ca="1"/>
        <v>#REF!</v>
      </c>
      <c r="AU1249" s="7" t="e">
        <f ca="1"/>
        <v>#REF!</v>
      </c>
      <c r="AV1249" s="7" t="e">
        <f ca="1"/>
        <v>#REF!</v>
      </c>
    </row>
    <row r="1250" spans="37:48" x14ac:dyDescent="0.25">
      <c r="AK1250" t="str">
        <f ca="1"/>
        <v>Obs. 2137</v>
      </c>
      <c r="AL1250" s="7">
        <f ca="1"/>
        <v>73</v>
      </c>
      <c r="AN1250" s="7" t="e">
        <f ca="1"/>
        <v>#REF!</v>
      </c>
      <c r="AO1250" s="7" t="e">
        <f ca="1"/>
        <v>#REF!</v>
      </c>
      <c r="AP1250" s="7">
        <f ca="1"/>
        <v>7.7715234760403096E-2</v>
      </c>
      <c r="AQ1250" s="7" t="e">
        <f ca="1"/>
        <v>#REF!</v>
      </c>
      <c r="AR1250" s="7" t="e">
        <f ca="1"/>
        <v>#REF!</v>
      </c>
      <c r="AS1250" s="7">
        <f ca="1"/>
        <v>0.67020216077934069</v>
      </c>
      <c r="AT1250" s="7" t="e">
        <f ca="1"/>
        <v>#REF!</v>
      </c>
      <c r="AU1250" s="7" t="e">
        <f ca="1"/>
        <v>#REF!</v>
      </c>
      <c r="AV1250" s="7" t="e">
        <f ca="1"/>
        <v>#REF!</v>
      </c>
    </row>
    <row r="1251" spans="37:48" x14ac:dyDescent="0.25">
      <c r="AK1251" t="str">
        <f ca="1"/>
        <v>Obs. 2138</v>
      </c>
      <c r="AL1251" s="7">
        <f ca="1"/>
        <v>70</v>
      </c>
      <c r="AN1251" s="7" t="e">
        <f ca="1"/>
        <v>#REF!</v>
      </c>
      <c r="AO1251" s="7" t="e">
        <f ca="1"/>
        <v>#REF!</v>
      </c>
      <c r="AP1251" s="7">
        <f ca="1"/>
        <v>7.5307759147783371E-2</v>
      </c>
      <c r="AQ1251" s="7" t="e">
        <f ca="1"/>
        <v>#REF!</v>
      </c>
      <c r="AR1251" s="7" t="e">
        <f ca="1"/>
        <v>#REF!</v>
      </c>
      <c r="AS1251" s="7">
        <f ca="1"/>
        <v>0.67020216077934069</v>
      </c>
      <c r="AT1251" s="7" t="e">
        <f ca="1"/>
        <v>#REF!</v>
      </c>
      <c r="AU1251" s="7" t="e">
        <f ca="1"/>
        <v>#REF!</v>
      </c>
      <c r="AV1251" s="7" t="e">
        <f ca="1"/>
        <v>#REF!</v>
      </c>
    </row>
    <row r="1252" spans="37:48" x14ac:dyDescent="0.25">
      <c r="AK1252" t="str">
        <f ca="1"/>
        <v>Obs. 2139</v>
      </c>
      <c r="AL1252" s="7">
        <f ca="1"/>
        <v>69.599999999999994</v>
      </c>
      <c r="AN1252" s="7" t="e">
        <f ca="1"/>
        <v>#REF!</v>
      </c>
      <c r="AO1252" s="7" t="e">
        <f ca="1"/>
        <v>#REF!</v>
      </c>
      <c r="AP1252" s="7">
        <f ca="1"/>
        <v>8.413638657765507E-2</v>
      </c>
      <c r="AQ1252" s="7" t="e">
        <f ca="1"/>
        <v>#REF!</v>
      </c>
      <c r="AR1252" s="7" t="e">
        <f ca="1"/>
        <v>#REF!</v>
      </c>
      <c r="AS1252" s="7">
        <f ca="1"/>
        <v>0.67020216077934069</v>
      </c>
      <c r="AT1252" s="7" t="e">
        <f ca="1"/>
        <v>#REF!</v>
      </c>
      <c r="AU1252" s="7" t="e">
        <f ca="1"/>
        <v>#REF!</v>
      </c>
      <c r="AV1252" s="7" t="e">
        <f ca="1"/>
        <v>#REF!</v>
      </c>
    </row>
    <row r="1253" spans="37:48" x14ac:dyDescent="0.25">
      <c r="AK1253" t="str">
        <f ca="1"/>
        <v>Obs. 2140</v>
      </c>
      <c r="AL1253" s="7">
        <f ca="1"/>
        <v>69.400000000000006</v>
      </c>
      <c r="AN1253" s="7" t="e">
        <f ca="1"/>
        <v>#REF!</v>
      </c>
      <c r="AO1253" s="7" t="e">
        <f ca="1"/>
        <v>#REF!</v>
      </c>
      <c r="AP1253" s="7">
        <f ca="1"/>
        <v>8.193816202330069E-2</v>
      </c>
      <c r="AQ1253" s="7" t="e">
        <f ca="1"/>
        <v>#REF!</v>
      </c>
      <c r="AR1253" s="7" t="e">
        <f ca="1"/>
        <v>#REF!</v>
      </c>
      <c r="AS1253" s="7">
        <f ca="1"/>
        <v>0.67020216077934069</v>
      </c>
      <c r="AT1253" s="7" t="e">
        <f ca="1"/>
        <v>#REF!</v>
      </c>
      <c r="AU1253" s="7" t="e">
        <f ca="1"/>
        <v>#REF!</v>
      </c>
      <c r="AV1253" s="7" t="e">
        <f ca="1"/>
        <v>#REF!</v>
      </c>
    </row>
    <row r="1254" spans="37:48" x14ac:dyDescent="0.25">
      <c r="AK1254" t="str">
        <f ca="1"/>
        <v>Obs. 2141</v>
      </c>
      <c r="AL1254" s="7">
        <f ca="1"/>
        <v>68.400000000000006</v>
      </c>
      <c r="AN1254" s="7" t="e">
        <f ca="1"/>
        <v>#REF!</v>
      </c>
      <c r="AO1254" s="7" t="e">
        <f ca="1"/>
        <v>#REF!</v>
      </c>
      <c r="AP1254" s="7">
        <f ca="1"/>
        <v>7.7112443872362629E-2</v>
      </c>
      <c r="AQ1254" s="7" t="e">
        <f ca="1"/>
        <v>#REF!</v>
      </c>
      <c r="AR1254" s="7" t="e">
        <f ca="1"/>
        <v>#REF!</v>
      </c>
      <c r="AS1254" s="7">
        <f ca="1"/>
        <v>0.67020216077934069</v>
      </c>
      <c r="AT1254" s="7" t="e">
        <f ca="1"/>
        <v>#REF!</v>
      </c>
      <c r="AU1254" s="7" t="e">
        <f ca="1"/>
        <v>#REF!</v>
      </c>
      <c r="AV1254" s="7" t="e">
        <f ca="1"/>
        <v>#REF!</v>
      </c>
    </row>
    <row r="1255" spans="37:48" x14ac:dyDescent="0.25">
      <c r="AK1255" t="str">
        <f ca="1"/>
        <v>Obs. 2142</v>
      </c>
      <c r="AL1255" s="7">
        <f ca="1"/>
        <v>68.2</v>
      </c>
      <c r="AN1255" s="7" t="e">
        <f ca="1"/>
        <v>#REF!</v>
      </c>
      <c r="AO1255" s="7" t="e">
        <f ca="1"/>
        <v>#REF!</v>
      </c>
      <c r="AP1255" s="7">
        <f ca="1"/>
        <v>7.6341598997321791E-2</v>
      </c>
      <c r="AQ1255" s="7" t="e">
        <f ca="1"/>
        <v>#REF!</v>
      </c>
      <c r="AR1255" s="7" t="e">
        <f ca="1"/>
        <v>#REF!</v>
      </c>
      <c r="AS1255" s="7">
        <f ca="1"/>
        <v>0.67020216077934069</v>
      </c>
      <c r="AT1255" s="7" t="e">
        <f ca="1"/>
        <v>#REF!</v>
      </c>
      <c r="AU1255" s="7" t="e">
        <f ca="1"/>
        <v>#REF!</v>
      </c>
      <c r="AV1255" s="7" t="e">
        <f ca="1"/>
        <v>#REF!</v>
      </c>
    </row>
    <row r="1256" spans="37:48" x14ac:dyDescent="0.25">
      <c r="AK1256" t="str">
        <f ca="1"/>
        <v>Obs. 2143</v>
      </c>
      <c r="AL1256" s="7">
        <f ca="1"/>
        <v>67.5</v>
      </c>
      <c r="AN1256" s="7" t="e">
        <f ca="1"/>
        <v>#REF!</v>
      </c>
      <c r="AO1256" s="7" t="e">
        <f ca="1"/>
        <v>#REF!</v>
      </c>
      <c r="AP1256" s="7">
        <f ca="1"/>
        <v>7.7790904732627411E-2</v>
      </c>
      <c r="AQ1256" s="7" t="e">
        <f ca="1"/>
        <v>#REF!</v>
      </c>
      <c r="AR1256" s="7" t="e">
        <f ca="1"/>
        <v>#REF!</v>
      </c>
      <c r="AS1256" s="7">
        <f ca="1"/>
        <v>0.67020216077934069</v>
      </c>
      <c r="AT1256" s="7" t="e">
        <f ca="1"/>
        <v>#REF!</v>
      </c>
      <c r="AU1256" s="7" t="e">
        <f ca="1"/>
        <v>#REF!</v>
      </c>
      <c r="AV1256" s="7" t="e">
        <f ca="1"/>
        <v>#REF!</v>
      </c>
    </row>
    <row r="1257" spans="37:48" x14ac:dyDescent="0.25">
      <c r="AK1257" t="str">
        <f ca="1"/>
        <v>Obs. 2144</v>
      </c>
      <c r="AL1257" s="7">
        <f ca="1"/>
        <v>67.3</v>
      </c>
      <c r="AN1257" s="7" t="e">
        <f ca="1"/>
        <v>#REF!</v>
      </c>
      <c r="AO1257" s="7" t="e">
        <f ca="1"/>
        <v>#REF!</v>
      </c>
      <c r="AP1257" s="7">
        <f ca="1"/>
        <v>7.5609014884625472E-2</v>
      </c>
      <c r="AQ1257" s="7" t="e">
        <f ca="1"/>
        <v>#REF!</v>
      </c>
      <c r="AR1257" s="7" t="e">
        <f ca="1"/>
        <v>#REF!</v>
      </c>
      <c r="AS1257" s="7">
        <f ca="1"/>
        <v>0.70876261491573156</v>
      </c>
      <c r="AT1257" s="7" t="e">
        <f ca="1"/>
        <v>#REF!</v>
      </c>
      <c r="AU1257" s="7" t="e">
        <f ca="1"/>
        <v>#REF!</v>
      </c>
      <c r="AV1257" s="7" t="e">
        <f ca="1"/>
        <v>#REF!</v>
      </c>
    </row>
    <row r="1258" spans="37:48" x14ac:dyDescent="0.25">
      <c r="AK1258" t="str">
        <f ca="1"/>
        <v>Obs. 2145</v>
      </c>
      <c r="AL1258" s="7">
        <f ca="1"/>
        <v>66.400000000000006</v>
      </c>
      <c r="AN1258" s="7" t="e">
        <f ca="1"/>
        <v>#REF!</v>
      </c>
      <c r="AO1258" s="7" t="e">
        <f ca="1"/>
        <v>#REF!</v>
      </c>
      <c r="AP1258" s="7">
        <f ca="1"/>
        <v>8.0998153879074844E-2</v>
      </c>
      <c r="AQ1258" s="7" t="e">
        <f ca="1"/>
        <v>#REF!</v>
      </c>
      <c r="AR1258" s="7" t="e">
        <f ca="1"/>
        <v>#REF!</v>
      </c>
      <c r="AS1258" s="7">
        <f ca="1"/>
        <v>0.70876261491573156</v>
      </c>
      <c r="AT1258" s="7" t="e">
        <f ca="1"/>
        <v>#REF!</v>
      </c>
      <c r="AU1258" s="7" t="e">
        <f ca="1"/>
        <v>#REF!</v>
      </c>
      <c r="AV1258" s="7" t="e">
        <f ca="1"/>
        <v>#REF!</v>
      </c>
    </row>
    <row r="1259" spans="37:48" x14ac:dyDescent="0.25">
      <c r="AK1259" t="str">
        <f ca="1"/>
        <v>Obs. 2146</v>
      </c>
      <c r="AL1259" s="7">
        <f ca="1"/>
        <v>65</v>
      </c>
      <c r="AN1259" s="7" t="e">
        <f ca="1"/>
        <v>#REF!</v>
      </c>
      <c r="AO1259" s="7" t="e">
        <f ca="1"/>
        <v>#REF!</v>
      </c>
      <c r="AP1259" s="7">
        <f ca="1"/>
        <v>7.6842641863460667E-2</v>
      </c>
      <c r="AQ1259" s="7" t="e">
        <f ca="1"/>
        <v>#REF!</v>
      </c>
      <c r="AR1259" s="7" t="e">
        <f ca="1"/>
        <v>#REF!</v>
      </c>
      <c r="AS1259" s="7">
        <f ca="1"/>
        <v>0.70876261491573156</v>
      </c>
      <c r="AT1259" s="7" t="e">
        <f ca="1"/>
        <v>#REF!</v>
      </c>
      <c r="AU1259" s="7" t="e">
        <f ca="1"/>
        <v>#REF!</v>
      </c>
      <c r="AV1259" s="7" t="e">
        <f ca="1"/>
        <v>#REF!</v>
      </c>
    </row>
    <row r="1260" spans="37:48" x14ac:dyDescent="0.25">
      <c r="AK1260" t="str">
        <f ca="1"/>
        <v>Obs. 2147</v>
      </c>
      <c r="AL1260" s="7">
        <f ca="1"/>
        <v>64.900000000000006</v>
      </c>
      <c r="AN1260" s="7" t="e">
        <f ca="1"/>
        <v>#REF!</v>
      </c>
      <c r="AO1260" s="7" t="e">
        <f ca="1"/>
        <v>#REF!</v>
      </c>
      <c r="AP1260" s="7">
        <f ca="1"/>
        <v>7.7265101507220907E-2</v>
      </c>
      <c r="AQ1260" s="7" t="e">
        <f ca="1"/>
        <v>#REF!</v>
      </c>
      <c r="AR1260" s="7" t="e">
        <f ca="1"/>
        <v>#REF!</v>
      </c>
      <c r="AS1260" s="7">
        <f ca="1"/>
        <v>0.70876261491573156</v>
      </c>
      <c r="AT1260" s="7" t="e">
        <f ca="1"/>
        <v>#REF!</v>
      </c>
      <c r="AU1260" s="7" t="e">
        <f ca="1"/>
        <v>#REF!</v>
      </c>
      <c r="AV1260" s="7" t="e">
        <f ca="1"/>
        <v>#REF!</v>
      </c>
    </row>
    <row r="1261" spans="37:48" x14ac:dyDescent="0.25">
      <c r="AK1261" t="str">
        <f ca="1"/>
        <v>Obs. 2148</v>
      </c>
      <c r="AL1261" s="7">
        <f ca="1"/>
        <v>64.599999999999994</v>
      </c>
      <c r="AN1261" s="7" t="e">
        <f ca="1"/>
        <v>#REF!</v>
      </c>
      <c r="AO1261" s="7" t="e">
        <f ca="1"/>
        <v>#REF!</v>
      </c>
      <c r="AP1261" s="7">
        <f ca="1"/>
        <v>7.7402836981355083E-2</v>
      </c>
      <c r="AQ1261" s="7" t="e">
        <f ca="1"/>
        <v>#REF!</v>
      </c>
      <c r="AR1261" s="7" t="e">
        <f ca="1"/>
        <v>#REF!</v>
      </c>
      <c r="AS1261" s="7">
        <f ca="1"/>
        <v>0.71660092108895201</v>
      </c>
      <c r="AT1261" s="7" t="e">
        <f ca="1"/>
        <v>#REF!</v>
      </c>
      <c r="AU1261" s="7" t="e">
        <f ca="1"/>
        <v>#REF!</v>
      </c>
      <c r="AV1261" s="7" t="e">
        <f ca="1"/>
        <v>#REF!</v>
      </c>
    </row>
    <row r="1262" spans="37:48" x14ac:dyDescent="0.25">
      <c r="AK1262" t="str">
        <f ca="1"/>
        <v>Obs. 2149</v>
      </c>
      <c r="AL1262" s="7">
        <f ca="1"/>
        <v>64.8</v>
      </c>
      <c r="AN1262" s="7" t="e">
        <f ca="1"/>
        <v>#REF!</v>
      </c>
      <c r="AO1262" s="7" t="e">
        <f ca="1"/>
        <v>#REF!</v>
      </c>
      <c r="AP1262" s="7">
        <f ca="1"/>
        <v>7.6447772208876649E-2</v>
      </c>
      <c r="AQ1262" s="7" t="e">
        <f ca="1"/>
        <v>#REF!</v>
      </c>
      <c r="AR1262" s="7" t="e">
        <f ca="1"/>
        <v>#REF!</v>
      </c>
      <c r="AS1262" s="7">
        <f ca="1"/>
        <v>0.71660092108895201</v>
      </c>
      <c r="AT1262" s="7" t="e">
        <f ca="1"/>
        <v>#REF!</v>
      </c>
      <c r="AU1262" s="7" t="e">
        <f ca="1"/>
        <v>#REF!</v>
      </c>
      <c r="AV1262" s="7" t="e">
        <f ca="1"/>
        <v>#REF!</v>
      </c>
    </row>
    <row r="1263" spans="37:48" x14ac:dyDescent="0.25">
      <c r="AK1263" t="str">
        <f ca="1"/>
        <v>Obs. 2150</v>
      </c>
      <c r="AL1263" s="7">
        <f ca="1"/>
        <v>65.099999999999994</v>
      </c>
      <c r="AN1263" s="7" t="e">
        <f ca="1"/>
        <v>#REF!</v>
      </c>
      <c r="AO1263" s="7" t="e">
        <f ca="1"/>
        <v>#REF!</v>
      </c>
      <c r="AP1263" s="7">
        <f ca="1"/>
        <v>8.5279052864536131E-2</v>
      </c>
      <c r="AQ1263" s="7" t="e">
        <f ca="1"/>
        <v>#REF!</v>
      </c>
      <c r="AR1263" s="7" t="e">
        <f ca="1"/>
        <v>#REF!</v>
      </c>
      <c r="AS1263" s="7">
        <f ca="1"/>
        <v>0.71660092108895201</v>
      </c>
      <c r="AT1263" s="7" t="e">
        <f ca="1"/>
        <v>#REF!</v>
      </c>
      <c r="AU1263" s="7" t="e">
        <f ca="1"/>
        <v>#REF!</v>
      </c>
      <c r="AV1263" s="7" t="e">
        <f ca="1"/>
        <v>#REF!</v>
      </c>
    </row>
    <row r="1264" spans="37:48" x14ac:dyDescent="0.25">
      <c r="AK1264" t="str">
        <f ca="1"/>
        <v>Obs. 2153</v>
      </c>
      <c r="AL1264" s="7">
        <f ca="1"/>
        <v>65.7</v>
      </c>
      <c r="AN1264" s="7" t="e">
        <f ca="1"/>
        <v>#REF!</v>
      </c>
      <c r="AO1264" s="7" t="e">
        <f ca="1"/>
        <v>#REF!</v>
      </c>
      <c r="AP1264" s="7">
        <f ca="1"/>
        <v>9.0202086422449701E-2</v>
      </c>
      <c r="AQ1264" s="7" t="e">
        <f ca="1"/>
        <v>#REF!</v>
      </c>
      <c r="AR1264" s="7" t="e">
        <f ca="1"/>
        <v>#REF!</v>
      </c>
      <c r="AS1264" s="7">
        <f ca="1"/>
        <v>0.71660092108895201</v>
      </c>
      <c r="AT1264" s="7" t="e">
        <f ca="1"/>
        <v>#REF!</v>
      </c>
      <c r="AU1264" s="7" t="e">
        <f ca="1"/>
        <v>#REF!</v>
      </c>
      <c r="AV1264" s="7" t="e">
        <f ca="1"/>
        <v>#REF!</v>
      </c>
    </row>
    <row r="1265" spans="37:48" x14ac:dyDescent="0.25">
      <c r="AK1265" t="str">
        <f ca="1"/>
        <v>Obs. 2154</v>
      </c>
      <c r="AL1265" s="7">
        <f ca="1"/>
        <v>65.2</v>
      </c>
      <c r="AN1265" s="7" t="e">
        <f ca="1"/>
        <v>#REF!</v>
      </c>
      <c r="AO1265" s="7" t="e">
        <f ca="1"/>
        <v>#REF!</v>
      </c>
      <c r="AP1265" s="7">
        <f ca="1"/>
        <v>8.785469565496401E-2</v>
      </c>
      <c r="AQ1265" s="7" t="e">
        <f ca="1"/>
        <v>#REF!</v>
      </c>
      <c r="AR1265" s="7" t="e">
        <f ca="1"/>
        <v>#REF!</v>
      </c>
      <c r="AS1265" s="7">
        <f ca="1"/>
        <v>0.71660092108895201</v>
      </c>
      <c r="AT1265" s="7" t="e">
        <f ca="1"/>
        <v>#REF!</v>
      </c>
      <c r="AU1265" s="7" t="e">
        <f ca="1"/>
        <v>#REF!</v>
      </c>
      <c r="AV1265" s="7" t="e">
        <f ca="1"/>
        <v>#REF!</v>
      </c>
    </row>
    <row r="1266" spans="37:48" x14ac:dyDescent="0.25">
      <c r="AK1266" t="str">
        <f ca="1"/>
        <v>Obs. 2155</v>
      </c>
      <c r="AL1266" s="7">
        <f ca="1"/>
        <v>64.599999999999994</v>
      </c>
      <c r="AN1266" s="7" t="e">
        <f ca="1"/>
        <v>#REF!</v>
      </c>
      <c r="AO1266" s="7" t="e">
        <f ca="1"/>
        <v>#REF!</v>
      </c>
      <c r="AP1266" s="7">
        <f ca="1"/>
        <v>8.6482658724826467E-2</v>
      </c>
      <c r="AQ1266" s="7" t="e">
        <f ca="1"/>
        <v>#REF!</v>
      </c>
      <c r="AR1266" s="7" t="e">
        <f ca="1"/>
        <v>#REF!</v>
      </c>
      <c r="AS1266" s="7">
        <f ca="1"/>
        <v>0.71660092108895201</v>
      </c>
      <c r="AT1266" s="7" t="e">
        <f ca="1"/>
        <v>#REF!</v>
      </c>
      <c r="AU1266" s="7" t="e">
        <f ca="1"/>
        <v>#REF!</v>
      </c>
      <c r="AV1266" s="7" t="e">
        <f ca="1"/>
        <v>#REF!</v>
      </c>
    </row>
    <row r="1267" spans="37:48" x14ac:dyDescent="0.25">
      <c r="AK1267" t="str">
        <f ca="1"/>
        <v>Obs. 2156</v>
      </c>
      <c r="AL1267" s="7">
        <f ca="1"/>
        <v>63.8</v>
      </c>
      <c r="AN1267" s="7" t="e">
        <f ca="1"/>
        <v>#REF!</v>
      </c>
      <c r="AO1267" s="7" t="e">
        <f ca="1"/>
        <v>#REF!</v>
      </c>
      <c r="AP1267" s="7">
        <f ca="1"/>
        <v>8.0467893401906673E-2</v>
      </c>
      <c r="AQ1267" s="7" t="e">
        <f ca="1"/>
        <v>#REF!</v>
      </c>
      <c r="AR1267" s="7" t="e">
        <f ca="1"/>
        <v>#REF!</v>
      </c>
      <c r="AS1267" s="7">
        <f ca="1"/>
        <v>0.72844171022016913</v>
      </c>
      <c r="AT1267" s="7" t="e">
        <f ca="1"/>
        <v>#REF!</v>
      </c>
      <c r="AU1267" s="7" t="e">
        <f ca="1"/>
        <v>#REF!</v>
      </c>
      <c r="AV1267" s="7" t="e">
        <f ca="1"/>
        <v>#REF!</v>
      </c>
    </row>
    <row r="1268" spans="37:48" x14ac:dyDescent="0.25">
      <c r="AK1268" t="str">
        <f ca="1"/>
        <v>Obs. 2157</v>
      </c>
      <c r="AL1268" s="7">
        <f ca="1"/>
        <v>62.8</v>
      </c>
      <c r="AN1268" s="7" t="e">
        <f ca="1"/>
        <v>#REF!</v>
      </c>
      <c r="AO1268" s="7" t="e">
        <f ca="1"/>
        <v>#REF!</v>
      </c>
      <c r="AP1268" s="7">
        <f ca="1"/>
        <v>8.2339295796585707E-2</v>
      </c>
      <c r="AQ1268" s="7" t="e">
        <f ca="1"/>
        <v>#REF!</v>
      </c>
      <c r="AR1268" s="7" t="e">
        <f ca="1"/>
        <v>#REF!</v>
      </c>
      <c r="AS1268" s="7">
        <f ca="1"/>
        <v>0.72844171022016913</v>
      </c>
      <c r="AT1268" s="7" t="e">
        <f ca="1"/>
        <v>#REF!</v>
      </c>
      <c r="AU1268" s="7" t="e">
        <f ca="1"/>
        <v>#REF!</v>
      </c>
      <c r="AV1268" s="7" t="e">
        <f ca="1"/>
        <v>#REF!</v>
      </c>
    </row>
    <row r="1269" spans="37:48" x14ac:dyDescent="0.25">
      <c r="AK1269" t="str">
        <f ca="1"/>
        <v>Obs. 2158</v>
      </c>
      <c r="AL1269" s="7">
        <f ca="1"/>
        <v>61</v>
      </c>
      <c r="AN1269" s="7" t="e">
        <f ca="1"/>
        <v>#REF!</v>
      </c>
      <c r="AO1269" s="7" t="e">
        <f ca="1"/>
        <v>#REF!</v>
      </c>
      <c r="AP1269" s="7">
        <f ca="1"/>
        <v>7.8183618246354281E-2</v>
      </c>
      <c r="AQ1269" s="7" t="e">
        <f ca="1"/>
        <v>#REF!</v>
      </c>
      <c r="AR1269" s="7" t="e">
        <f ca="1"/>
        <v>#REF!</v>
      </c>
      <c r="AS1269" s="7">
        <f ca="1"/>
        <v>0.72844171022016913</v>
      </c>
      <c r="AT1269" s="7" t="e">
        <f ca="1"/>
        <v>#REF!</v>
      </c>
      <c r="AU1269" s="7" t="e">
        <f ca="1"/>
        <v>#REF!</v>
      </c>
      <c r="AV1269" s="7" t="e">
        <f ca="1"/>
        <v>#REF!</v>
      </c>
    </row>
    <row r="1270" spans="37:48" x14ac:dyDescent="0.25">
      <c r="AK1270" t="str">
        <f ca="1"/>
        <v>Obs. 2159</v>
      </c>
      <c r="AL1270" s="7">
        <f ca="1"/>
        <v>68</v>
      </c>
      <c r="AN1270" s="7" t="e">
        <f ca="1"/>
        <v>#REF!</v>
      </c>
      <c r="AO1270" s="7" t="e">
        <f ca="1"/>
        <v>#REF!</v>
      </c>
      <c r="AP1270" s="7">
        <f ca="1"/>
        <v>7.7992136417985913E-2</v>
      </c>
      <c r="AQ1270" s="7" t="e">
        <f ca="1"/>
        <v>#REF!</v>
      </c>
      <c r="AR1270" s="7" t="e">
        <f ca="1"/>
        <v>#REF!</v>
      </c>
      <c r="AS1270" s="7">
        <f ca="1"/>
        <v>0.72844171022016913</v>
      </c>
      <c r="AT1270" s="7" t="e">
        <f ca="1"/>
        <v>#REF!</v>
      </c>
      <c r="AU1270" s="7" t="e">
        <f ca="1"/>
        <v>#REF!</v>
      </c>
      <c r="AV1270" s="7" t="e">
        <f ca="1"/>
        <v>#REF!</v>
      </c>
    </row>
    <row r="1271" spans="37:48" x14ac:dyDescent="0.25">
      <c r="AK1271" t="str">
        <f ca="1"/>
        <v>Obs. 2160</v>
      </c>
      <c r="AL1271" s="7">
        <f ca="1"/>
        <v>59.6</v>
      </c>
      <c r="AN1271" s="7" t="e">
        <f ca="1"/>
        <v>#REF!</v>
      </c>
      <c r="AO1271" s="7" t="e">
        <f ca="1"/>
        <v>#REF!</v>
      </c>
      <c r="AP1271" s="7">
        <f ca="1"/>
        <v>7.8654576513426944E-2</v>
      </c>
      <c r="AQ1271" s="7" t="e">
        <f ca="1"/>
        <v>#REF!</v>
      </c>
      <c r="AR1271" s="7" t="e">
        <f ca="1"/>
        <v>#REF!</v>
      </c>
      <c r="AS1271" s="7">
        <f ca="1"/>
        <v>0.72844171022016913</v>
      </c>
      <c r="AT1271" s="7" t="e">
        <f ca="1"/>
        <v>#REF!</v>
      </c>
      <c r="AU1271" s="7" t="e">
        <f ca="1"/>
        <v>#REF!</v>
      </c>
      <c r="AV1271" s="7" t="e">
        <f ca="1"/>
        <v>#REF!</v>
      </c>
    </row>
    <row r="1272" spans="37:48" x14ac:dyDescent="0.25">
      <c r="AK1272" t="str">
        <f ca="1"/>
        <v>Obs. 2161</v>
      </c>
      <c r="AL1272" s="7">
        <f ca="1"/>
        <v>57.6</v>
      </c>
      <c r="AN1272" s="7" t="e">
        <f ca="1"/>
        <v>#REF!</v>
      </c>
      <c r="AO1272" s="7" t="e">
        <f ca="1"/>
        <v>#REF!</v>
      </c>
      <c r="AP1272" s="7">
        <f ca="1"/>
        <v>8.4723258971602128E-2</v>
      </c>
      <c r="AQ1272" s="7" t="e">
        <f ca="1"/>
        <v>#REF!</v>
      </c>
      <c r="AR1272" s="7" t="e">
        <f ca="1"/>
        <v>#REF!</v>
      </c>
      <c r="AS1272" s="7">
        <f ca="1"/>
        <v>0.72844171022016913</v>
      </c>
      <c r="AT1272" s="7" t="e">
        <f ca="1"/>
        <v>#REF!</v>
      </c>
      <c r="AU1272" s="7" t="e">
        <f ca="1"/>
        <v>#REF!</v>
      </c>
      <c r="AV1272" s="7" t="e">
        <f ca="1"/>
        <v>#REF!</v>
      </c>
    </row>
    <row r="1273" spans="37:48" x14ac:dyDescent="0.25">
      <c r="AK1273" t="str">
        <f ca="1"/>
        <v>Obs. 2162</v>
      </c>
      <c r="AL1273" s="7">
        <f ca="1"/>
        <v>55.3</v>
      </c>
      <c r="AN1273" s="7" t="e">
        <f ca="1"/>
        <v>#REF!</v>
      </c>
      <c r="AO1273" s="7" t="e">
        <f ca="1"/>
        <v>#REF!</v>
      </c>
      <c r="AP1273" s="7">
        <f ca="1"/>
        <v>8.1819116395877314E-2</v>
      </c>
      <c r="AQ1273" s="7" t="e">
        <f ca="1"/>
        <v>#REF!</v>
      </c>
      <c r="AR1273" s="7" t="e">
        <f ca="1"/>
        <v>#REF!</v>
      </c>
      <c r="AS1273" s="7">
        <f ca="1"/>
        <v>0.72844171022016913</v>
      </c>
      <c r="AT1273" s="7" t="e">
        <f ca="1"/>
        <v>#REF!</v>
      </c>
      <c r="AU1273" s="7" t="e">
        <f ca="1"/>
        <v>#REF!</v>
      </c>
      <c r="AV1273" s="7" t="e">
        <f ca="1"/>
        <v>#REF!</v>
      </c>
    </row>
    <row r="1274" spans="37:48" x14ac:dyDescent="0.25">
      <c r="AK1274" t="str">
        <f ca="1"/>
        <v>Obs. 2163</v>
      </c>
      <c r="AL1274" s="7">
        <f ca="1"/>
        <v>53.4</v>
      </c>
      <c r="AN1274" s="7" t="e">
        <f ca="1"/>
        <v>#REF!</v>
      </c>
      <c r="AO1274" s="7" t="e">
        <f ca="1"/>
        <v>#REF!</v>
      </c>
      <c r="AP1274" s="7">
        <f ca="1"/>
        <v>8.130490982546798E-2</v>
      </c>
      <c r="AQ1274" s="7" t="e">
        <f ca="1"/>
        <v>#REF!</v>
      </c>
      <c r="AR1274" s="7" t="e">
        <f ca="1"/>
        <v>#REF!</v>
      </c>
      <c r="AS1274" s="7">
        <f ca="1"/>
        <v>0.72844171022016913</v>
      </c>
      <c r="AT1274" s="7" t="e">
        <f ca="1"/>
        <v>#REF!</v>
      </c>
      <c r="AU1274" s="7" t="e">
        <f ca="1"/>
        <v>#REF!</v>
      </c>
      <c r="AV1274" s="7" t="e">
        <f ca="1"/>
        <v>#REF!</v>
      </c>
    </row>
    <row r="1275" spans="37:48" x14ac:dyDescent="0.25">
      <c r="AK1275" t="str">
        <f ca="1"/>
        <v>Obs. 2164</v>
      </c>
      <c r="AL1275" s="7">
        <f ca="1"/>
        <v>52</v>
      </c>
      <c r="AN1275" s="7" t="e">
        <f ca="1"/>
        <v>#REF!</v>
      </c>
      <c r="AO1275" s="7" t="e">
        <f ca="1"/>
        <v>#REF!</v>
      </c>
      <c r="AP1275" s="7">
        <f ca="1"/>
        <v>8.6005557171936711E-2</v>
      </c>
      <c r="AQ1275" s="7" t="e">
        <f ca="1"/>
        <v>#REF!</v>
      </c>
      <c r="AR1275" s="7" t="e">
        <f ca="1"/>
        <v>#REF!</v>
      </c>
      <c r="AS1275" s="7">
        <f ca="1"/>
        <v>0.72844171022016913</v>
      </c>
      <c r="AT1275" s="7" t="e">
        <f ca="1"/>
        <v>#REF!</v>
      </c>
      <c r="AU1275" s="7" t="e">
        <f ca="1"/>
        <v>#REF!</v>
      </c>
      <c r="AV1275" s="7" t="e">
        <f ca="1"/>
        <v>#REF!</v>
      </c>
    </row>
    <row r="1276" spans="37:48" x14ac:dyDescent="0.25">
      <c r="AK1276" t="str">
        <f ca="1"/>
        <v>Obs. 2165</v>
      </c>
      <c r="AL1276" s="7">
        <f ca="1"/>
        <v>57</v>
      </c>
      <c r="AN1276" s="7" t="e">
        <f ca="1"/>
        <v>#REF!</v>
      </c>
      <c r="AO1276" s="7" t="e">
        <f ca="1"/>
        <v>#REF!</v>
      </c>
      <c r="AP1276" s="7">
        <f ca="1"/>
        <v>8.8973362449158822E-2</v>
      </c>
      <c r="AQ1276" s="7" t="e">
        <f ca="1"/>
        <v>#REF!</v>
      </c>
      <c r="AR1276" s="7" t="e">
        <f ca="1"/>
        <v>#REF!</v>
      </c>
      <c r="AS1276" s="7">
        <f ca="1"/>
        <v>0.72844171022016913</v>
      </c>
      <c r="AT1276" s="7" t="e">
        <f ca="1"/>
        <v>#REF!</v>
      </c>
      <c r="AU1276" s="7" t="e">
        <f ca="1"/>
        <v>#REF!</v>
      </c>
      <c r="AV1276" s="7" t="e">
        <f ca="1"/>
        <v>#REF!</v>
      </c>
    </row>
    <row r="1277" spans="37:48" x14ac:dyDescent="0.25">
      <c r="AK1277" t="str">
        <f ca="1"/>
        <v>Obs. 2202</v>
      </c>
      <c r="AL1277" s="7">
        <f ca="1"/>
        <v>73.8</v>
      </c>
      <c r="AN1277" s="7" t="e">
        <f ca="1"/>
        <v>#REF!</v>
      </c>
      <c r="AO1277" s="7" t="e">
        <f ca="1"/>
        <v>#REF!</v>
      </c>
      <c r="AP1277" s="7">
        <f ca="1"/>
        <v>7.2189964801070497E-2</v>
      </c>
      <c r="AQ1277" s="7" t="e">
        <f ca="1"/>
        <v>#REF!</v>
      </c>
      <c r="AR1277" s="7" t="e">
        <f ca="1"/>
        <v>#REF!</v>
      </c>
      <c r="AS1277" s="7">
        <f ca="1"/>
        <v>0.74840704313415274</v>
      </c>
      <c r="AT1277" s="7" t="e">
        <f ca="1"/>
        <v>#REF!</v>
      </c>
      <c r="AU1277" s="7" t="e">
        <f ca="1"/>
        <v>#REF!</v>
      </c>
      <c r="AV1277" s="7" t="e">
        <f ca="1"/>
        <v>#REF!</v>
      </c>
    </row>
    <row r="1278" spans="37:48" x14ac:dyDescent="0.25">
      <c r="AK1278" t="str">
        <f ca="1"/>
        <v>Obs. 2203</v>
      </c>
      <c r="AL1278" s="7">
        <f ca="1"/>
        <v>73.599999999999994</v>
      </c>
      <c r="AN1278" s="7" t="e">
        <f ca="1"/>
        <v>#REF!</v>
      </c>
      <c r="AO1278" s="7" t="e">
        <f ca="1"/>
        <v>#REF!</v>
      </c>
      <c r="AP1278" s="7">
        <f ca="1"/>
        <v>7.8041801430762892E-2</v>
      </c>
      <c r="AQ1278" s="7" t="e">
        <f ca="1"/>
        <v>#REF!</v>
      </c>
      <c r="AR1278" s="7" t="e">
        <f ca="1"/>
        <v>#REF!</v>
      </c>
      <c r="AS1278" s="7">
        <f ca="1"/>
        <v>0.74840704313415274</v>
      </c>
      <c r="AT1278" s="7" t="e">
        <f ca="1"/>
        <v>#REF!</v>
      </c>
      <c r="AU1278" s="7" t="e">
        <f ca="1"/>
        <v>#REF!</v>
      </c>
      <c r="AV1278" s="7" t="e">
        <f ca="1"/>
        <v>#REF!</v>
      </c>
    </row>
    <row r="1279" spans="37:48" x14ac:dyDescent="0.25">
      <c r="AK1279" t="str">
        <f ca="1"/>
        <v>Obs. 2204</v>
      </c>
      <c r="AL1279" s="7">
        <f ca="1"/>
        <v>73.2</v>
      </c>
      <c r="AN1279" s="7" t="e">
        <f ca="1"/>
        <v>#REF!</v>
      </c>
      <c r="AO1279" s="7" t="e">
        <f ca="1"/>
        <v>#REF!</v>
      </c>
      <c r="AP1279" s="7">
        <f ca="1"/>
        <v>6.9681129669644432E-2</v>
      </c>
      <c r="AQ1279" s="7" t="e">
        <f ca="1"/>
        <v>#REF!</v>
      </c>
      <c r="AR1279" s="7" t="e">
        <f ca="1"/>
        <v>#REF!</v>
      </c>
      <c r="AS1279" s="7">
        <f ca="1"/>
        <v>0.74840704313415274</v>
      </c>
      <c r="AT1279" s="7" t="e">
        <f ca="1"/>
        <v>#REF!</v>
      </c>
      <c r="AU1279" s="7" t="e">
        <f ca="1"/>
        <v>#REF!</v>
      </c>
      <c r="AV1279" s="7" t="e">
        <f ca="1"/>
        <v>#REF!</v>
      </c>
    </row>
    <row r="1280" spans="37:48" x14ac:dyDescent="0.25">
      <c r="AK1280" t="str">
        <f ca="1"/>
        <v>Obs. 2205</v>
      </c>
      <c r="AL1280" s="7">
        <f ca="1"/>
        <v>73</v>
      </c>
      <c r="AN1280" s="7" t="e">
        <f ca="1"/>
        <v>#REF!</v>
      </c>
      <c r="AO1280" s="7" t="e">
        <f ca="1"/>
        <v>#REF!</v>
      </c>
      <c r="AP1280" s="7">
        <f ca="1"/>
        <v>7.3853111301331778E-2</v>
      </c>
      <c r="AQ1280" s="7" t="e">
        <f ca="1"/>
        <v>#REF!</v>
      </c>
      <c r="AR1280" s="7" t="e">
        <f ca="1"/>
        <v>#REF!</v>
      </c>
      <c r="AS1280" s="7">
        <f ca="1"/>
        <v>0.74840704313415274</v>
      </c>
      <c r="AT1280" s="7" t="e">
        <f ca="1"/>
        <v>#REF!</v>
      </c>
      <c r="AU1280" s="7" t="e">
        <f ca="1"/>
        <v>#REF!</v>
      </c>
      <c r="AV1280" s="7" t="e">
        <f ca="1"/>
        <v>#REF!</v>
      </c>
    </row>
    <row r="1281" spans="37:48" x14ac:dyDescent="0.25">
      <c r="AK1281" t="str">
        <f ca="1"/>
        <v>Obs. 2206</v>
      </c>
      <c r="AL1281" s="7">
        <f ca="1"/>
        <v>72.599999999999994</v>
      </c>
      <c r="AN1281" s="7" t="e">
        <f ca="1"/>
        <v>#REF!</v>
      </c>
      <c r="AO1281" s="7" t="e">
        <f ca="1"/>
        <v>#REF!</v>
      </c>
      <c r="AP1281" s="7">
        <f ca="1"/>
        <v>6.6732818809863509E-2</v>
      </c>
      <c r="AQ1281" s="7" t="e">
        <f ca="1"/>
        <v>#REF!</v>
      </c>
      <c r="AR1281" s="7" t="e">
        <f ca="1"/>
        <v>#REF!</v>
      </c>
      <c r="AS1281" s="7">
        <f ca="1"/>
        <v>0.74840704313415274</v>
      </c>
      <c r="AT1281" s="7" t="e">
        <f ca="1"/>
        <v>#REF!</v>
      </c>
      <c r="AU1281" s="7" t="e">
        <f ca="1"/>
        <v>#REF!</v>
      </c>
      <c r="AV1281" s="7" t="e">
        <f ca="1"/>
        <v>#REF!</v>
      </c>
    </row>
    <row r="1282" spans="37:48" x14ac:dyDescent="0.25">
      <c r="AK1282" t="str">
        <f ca="1"/>
        <v>Obs. 2207</v>
      </c>
      <c r="AL1282" s="7">
        <f ca="1"/>
        <v>76</v>
      </c>
      <c r="AN1282" s="7" t="e">
        <f ca="1"/>
        <v>#REF!</v>
      </c>
      <c r="AO1282" s="7" t="e">
        <f ca="1"/>
        <v>#REF!</v>
      </c>
      <c r="AP1282" s="7">
        <f ca="1"/>
        <v>6.7315918355523391E-2</v>
      </c>
      <c r="AQ1282" s="7" t="e">
        <f ca="1"/>
        <v>#REF!</v>
      </c>
      <c r="AR1282" s="7" t="e">
        <f ca="1"/>
        <v>#REF!</v>
      </c>
      <c r="AS1282" s="7">
        <f ca="1"/>
        <v>0.74840704313415274</v>
      </c>
      <c r="AT1282" s="7" t="e">
        <f ca="1"/>
        <v>#REF!</v>
      </c>
      <c r="AU1282" s="7" t="e">
        <f ca="1"/>
        <v>#REF!</v>
      </c>
      <c r="AV1282" s="7" t="e">
        <f ca="1"/>
        <v>#REF!</v>
      </c>
    </row>
    <row r="1283" spans="37:48" x14ac:dyDescent="0.25">
      <c r="AK1283" t="str">
        <f ca="1"/>
        <v>Obs. 2208</v>
      </c>
      <c r="AL1283" s="7">
        <f ca="1"/>
        <v>72.5</v>
      </c>
      <c r="AN1283" s="7" t="e">
        <f ca="1"/>
        <v>#REF!</v>
      </c>
      <c r="AO1283" s="7" t="e">
        <f ca="1"/>
        <v>#REF!</v>
      </c>
      <c r="AP1283" s="7">
        <f ca="1"/>
        <v>7.1759952219418249E-2</v>
      </c>
      <c r="AQ1283" s="7" t="e">
        <f ca="1"/>
        <v>#REF!</v>
      </c>
      <c r="AR1283" s="7" t="e">
        <f ca="1"/>
        <v>#REF!</v>
      </c>
      <c r="AS1283" s="7">
        <f ca="1"/>
        <v>0.74840704313415274</v>
      </c>
      <c r="AT1283" s="7" t="e">
        <f ca="1"/>
        <v>#REF!</v>
      </c>
      <c r="AU1283" s="7" t="e">
        <f ca="1"/>
        <v>#REF!</v>
      </c>
      <c r="AV1283" s="7" t="e">
        <f ca="1"/>
        <v>#REF!</v>
      </c>
    </row>
    <row r="1284" spans="37:48" x14ac:dyDescent="0.25">
      <c r="AK1284" t="str">
        <f ca="1"/>
        <v>Obs. 2209</v>
      </c>
      <c r="AL1284" s="7">
        <f ca="1"/>
        <v>72.2</v>
      </c>
      <c r="AN1284" s="7" t="e">
        <f ca="1"/>
        <v>#REF!</v>
      </c>
      <c r="AO1284" s="7" t="e">
        <f ca="1"/>
        <v>#REF!</v>
      </c>
      <c r="AP1284" s="7">
        <f ca="1"/>
        <v>7.9074462426031333E-2</v>
      </c>
      <c r="AQ1284" s="7" t="e">
        <f ca="1"/>
        <v>#REF!</v>
      </c>
      <c r="AR1284" s="7" t="e">
        <f ca="1"/>
        <v>#REF!</v>
      </c>
      <c r="AS1284" s="7">
        <f ca="1"/>
        <v>0.74840704313415274</v>
      </c>
      <c r="AT1284" s="7" t="e">
        <f ca="1"/>
        <v>#REF!</v>
      </c>
      <c r="AU1284" s="7" t="e">
        <f ca="1"/>
        <v>#REF!</v>
      </c>
      <c r="AV1284" s="7" t="e">
        <f ca="1"/>
        <v>#REF!</v>
      </c>
    </row>
    <row r="1285" spans="37:48" x14ac:dyDescent="0.25">
      <c r="AK1285" t="str">
        <f ca="1"/>
        <v>Obs. 2210</v>
      </c>
      <c r="AL1285" s="7">
        <f ca="1"/>
        <v>72</v>
      </c>
      <c r="AN1285" s="7" t="e">
        <f ca="1"/>
        <v>#REF!</v>
      </c>
      <c r="AO1285" s="7" t="e">
        <f ca="1"/>
        <v>#REF!</v>
      </c>
      <c r="AP1285" s="7">
        <f ca="1"/>
        <v>8.0283284196190643E-2</v>
      </c>
      <c r="AQ1285" s="7" t="e">
        <f ca="1"/>
        <v>#REF!</v>
      </c>
      <c r="AR1285" s="7" t="e">
        <f ca="1"/>
        <v>#REF!</v>
      </c>
      <c r="AS1285" s="7">
        <f ca="1"/>
        <v>0.74840704313415274</v>
      </c>
      <c r="AT1285" s="7" t="e">
        <f ca="1"/>
        <v>#REF!</v>
      </c>
      <c r="AU1285" s="7" t="e">
        <f ca="1"/>
        <v>#REF!</v>
      </c>
      <c r="AV1285" s="7" t="e">
        <f ca="1"/>
        <v>#REF!</v>
      </c>
    </row>
    <row r="1286" spans="37:48" x14ac:dyDescent="0.25">
      <c r="AK1286" t="str">
        <f ca="1"/>
        <v>Obs. 2211</v>
      </c>
      <c r="AL1286" s="7">
        <f ca="1"/>
        <v>71.599999999999994</v>
      </c>
      <c r="AN1286" s="7" t="e">
        <f ca="1"/>
        <v>#REF!</v>
      </c>
      <c r="AO1286" s="7" t="e">
        <f ca="1"/>
        <v>#REF!</v>
      </c>
      <c r="AP1286" s="7">
        <f ca="1"/>
        <v>6.8950953257646191E-2</v>
      </c>
      <c r="AQ1286" s="7" t="e">
        <f ca="1"/>
        <v>#REF!</v>
      </c>
      <c r="AR1286" s="7" t="e">
        <f ca="1"/>
        <v>#REF!</v>
      </c>
      <c r="AS1286" s="7">
        <f ca="1"/>
        <v>0.74840704313415274</v>
      </c>
      <c r="AT1286" s="7" t="e">
        <f ca="1"/>
        <v>#REF!</v>
      </c>
      <c r="AU1286" s="7" t="e">
        <f ca="1"/>
        <v>#REF!</v>
      </c>
      <c r="AV1286" s="7" t="e">
        <f ca="1"/>
        <v>#REF!</v>
      </c>
    </row>
    <row r="1287" spans="37:48" x14ac:dyDescent="0.25">
      <c r="AK1287" t="str">
        <f ca="1"/>
        <v>Obs. 2212</v>
      </c>
      <c r="AL1287" s="7">
        <f ca="1"/>
        <v>71.400000000000006</v>
      </c>
      <c r="AN1287" s="7" t="e">
        <f ca="1"/>
        <v>#REF!</v>
      </c>
      <c r="AO1287" s="7" t="e">
        <f ca="1"/>
        <v>#REF!</v>
      </c>
      <c r="AP1287" s="7">
        <f ca="1"/>
        <v>6.9099179339485409E-2</v>
      </c>
      <c r="AQ1287" s="7" t="e">
        <f ca="1"/>
        <v>#REF!</v>
      </c>
      <c r="AR1287" s="7" t="e">
        <f ca="1"/>
        <v>#REF!</v>
      </c>
      <c r="AS1287" s="7">
        <f ca="1"/>
        <v>0.74840704313415274</v>
      </c>
      <c r="AT1287" s="7" t="e">
        <f ca="1"/>
        <v>#REF!</v>
      </c>
      <c r="AU1287" s="7" t="e">
        <f ca="1"/>
        <v>#REF!</v>
      </c>
      <c r="AV1287" s="7" t="e">
        <f ca="1"/>
        <v>#REF!</v>
      </c>
    </row>
    <row r="1288" spans="37:48" x14ac:dyDescent="0.25">
      <c r="AK1288" t="str">
        <f ca="1"/>
        <v>Obs. 2213</v>
      </c>
      <c r="AL1288" s="7">
        <f ca="1"/>
        <v>79</v>
      </c>
      <c r="AN1288" s="7" t="e">
        <f ca="1"/>
        <v>#REF!</v>
      </c>
      <c r="AO1288" s="7" t="e">
        <f ca="1"/>
        <v>#REF!</v>
      </c>
      <c r="AP1288" s="7">
        <f ca="1"/>
        <v>7.0142988273088153E-2</v>
      </c>
      <c r="AQ1288" s="7" t="e">
        <f ca="1"/>
        <v>#REF!</v>
      </c>
      <c r="AR1288" s="7" t="e">
        <f ca="1"/>
        <v>#REF!</v>
      </c>
      <c r="AS1288" s="7">
        <f ca="1"/>
        <v>0.74840704313415274</v>
      </c>
      <c r="AT1288" s="7" t="e">
        <f ca="1"/>
        <v>#REF!</v>
      </c>
      <c r="AU1288" s="7" t="e">
        <f ca="1"/>
        <v>#REF!</v>
      </c>
      <c r="AV1288" s="7" t="e">
        <f ca="1"/>
        <v>#REF!</v>
      </c>
    </row>
    <row r="1289" spans="37:48" x14ac:dyDescent="0.25">
      <c r="AK1289" t="str">
        <f ca="1"/>
        <v>Obs. 2214</v>
      </c>
      <c r="AL1289" s="7">
        <f ca="1"/>
        <v>76</v>
      </c>
      <c r="AN1289" s="7" t="e">
        <f ca="1"/>
        <v>#REF!</v>
      </c>
      <c r="AO1289" s="7" t="e">
        <f ca="1"/>
        <v>#REF!</v>
      </c>
      <c r="AP1289" s="7">
        <f ca="1"/>
        <v>7.056174439121729E-2</v>
      </c>
      <c r="AQ1289" s="7" t="e">
        <f ca="1"/>
        <v>#REF!</v>
      </c>
      <c r="AR1289" s="7" t="e">
        <f ca="1"/>
        <v>#REF!</v>
      </c>
      <c r="AS1289" s="7">
        <f ca="1"/>
        <v>0.77276680816182786</v>
      </c>
      <c r="AT1289" s="7" t="e">
        <f ca="1"/>
        <v>#REF!</v>
      </c>
      <c r="AU1289" s="7" t="e">
        <f ca="1"/>
        <v>#REF!</v>
      </c>
      <c r="AV1289" s="7" t="e">
        <f ca="1"/>
        <v>#REF!</v>
      </c>
    </row>
    <row r="1290" spans="37:48" x14ac:dyDescent="0.25">
      <c r="AK1290" t="str">
        <f ca="1"/>
        <v>Obs. 2215</v>
      </c>
      <c r="AL1290" s="7">
        <f ca="1"/>
        <v>75</v>
      </c>
      <c r="AN1290" s="7" t="e">
        <f ca="1"/>
        <v>#REF!</v>
      </c>
      <c r="AO1290" s="7" t="e">
        <f ca="1"/>
        <v>#REF!</v>
      </c>
      <c r="AP1290" s="7">
        <f ca="1"/>
        <v>7.1360456065702654E-2</v>
      </c>
      <c r="AQ1290" s="7" t="e">
        <f ca="1"/>
        <v>#REF!</v>
      </c>
      <c r="AR1290" s="7" t="e">
        <f ca="1"/>
        <v>#REF!</v>
      </c>
      <c r="AS1290" s="7">
        <f ca="1"/>
        <v>0.77276680816182786</v>
      </c>
      <c r="AT1290" s="7" t="e">
        <f ca="1"/>
        <v>#REF!</v>
      </c>
      <c r="AU1290" s="7" t="e">
        <f ca="1"/>
        <v>#REF!</v>
      </c>
      <c r="AV1290" s="7" t="e">
        <f ca="1"/>
        <v>#REF!</v>
      </c>
    </row>
    <row r="1291" spans="37:48" x14ac:dyDescent="0.25">
      <c r="AK1291" t="str">
        <f ca="1"/>
        <v>Obs. 2216</v>
      </c>
      <c r="AL1291" s="7">
        <f ca="1"/>
        <v>72</v>
      </c>
      <c r="AN1291" s="7" t="e">
        <f ca="1"/>
        <v>#REF!</v>
      </c>
      <c r="AO1291" s="7" t="e">
        <f ca="1"/>
        <v>#REF!</v>
      </c>
      <c r="AP1291" s="7">
        <f ca="1"/>
        <v>7.5369047122516644E-2</v>
      </c>
      <c r="AQ1291" s="7" t="e">
        <f ca="1"/>
        <v>#REF!</v>
      </c>
      <c r="AR1291" s="7" t="e">
        <f ca="1"/>
        <v>#REF!</v>
      </c>
      <c r="AS1291" s="7">
        <f ca="1"/>
        <v>0.77276680816182786</v>
      </c>
      <c r="AT1291" s="7" t="e">
        <f ca="1"/>
        <v>#REF!</v>
      </c>
      <c r="AU1291" s="7" t="e">
        <f ca="1"/>
        <v>#REF!</v>
      </c>
      <c r="AV1291" s="7" t="e">
        <f ca="1"/>
        <v>#REF!</v>
      </c>
    </row>
    <row r="1292" spans="37:48" x14ac:dyDescent="0.25">
      <c r="AK1292" t="str">
        <f ca="1"/>
        <v>Obs. 2219</v>
      </c>
      <c r="AL1292" s="7">
        <f ca="1"/>
        <v>67.3</v>
      </c>
      <c r="AN1292" s="7" t="e">
        <f ca="1"/>
        <v>#REF!</v>
      </c>
      <c r="AO1292" s="7" t="e">
        <f ca="1"/>
        <v>#REF!</v>
      </c>
      <c r="AP1292" s="7">
        <f ca="1"/>
        <v>9.0531169593541974E-2</v>
      </c>
      <c r="AQ1292" s="7" t="e">
        <f ca="1"/>
        <v>#REF!</v>
      </c>
      <c r="AR1292" s="7" t="e">
        <f ca="1"/>
        <v>#REF!</v>
      </c>
      <c r="AS1292" s="7">
        <f ca="1"/>
        <v>0.77276680816182786</v>
      </c>
      <c r="AT1292" s="7" t="e">
        <f ca="1"/>
        <v>#REF!</v>
      </c>
      <c r="AU1292" s="7" t="e">
        <f ca="1"/>
        <v>#REF!</v>
      </c>
      <c r="AV1292" s="7" t="e">
        <f ca="1"/>
        <v>#REF!</v>
      </c>
    </row>
    <row r="1293" spans="37:48" x14ac:dyDescent="0.25">
      <c r="AK1293" t="str">
        <f ca="1"/>
        <v>Obs. 2220</v>
      </c>
      <c r="AL1293" s="7">
        <f ca="1"/>
        <v>67.099999999999994</v>
      </c>
      <c r="AN1293" s="7" t="e">
        <f ca="1"/>
        <v>#REF!</v>
      </c>
      <c r="AO1293" s="7" t="e">
        <f ca="1"/>
        <v>#REF!</v>
      </c>
      <c r="AP1293" s="7">
        <f ca="1"/>
        <v>8.9154905053849487E-2</v>
      </c>
      <c r="AQ1293" s="7" t="e">
        <f ca="1"/>
        <v>#REF!</v>
      </c>
      <c r="AR1293" s="7" t="e">
        <f ca="1"/>
        <v>#REF!</v>
      </c>
      <c r="AS1293" s="7">
        <f ca="1"/>
        <v>0.77276680816182786</v>
      </c>
      <c r="AT1293" s="7" t="e">
        <f ca="1"/>
        <v>#REF!</v>
      </c>
      <c r="AU1293" s="7" t="e">
        <f ca="1"/>
        <v>#REF!</v>
      </c>
      <c r="AV1293" s="7" t="e">
        <f ca="1"/>
        <v>#REF!</v>
      </c>
    </row>
    <row r="1294" spans="37:48" x14ac:dyDescent="0.25">
      <c r="AK1294" t="str">
        <f ca="1"/>
        <v>Obs. 2221</v>
      </c>
      <c r="AL1294" s="7">
        <f ca="1"/>
        <v>66.900000000000006</v>
      </c>
      <c r="AN1294" s="7" t="e">
        <f ca="1"/>
        <v>#REF!</v>
      </c>
      <c r="AO1294" s="7" t="e">
        <f ca="1"/>
        <v>#REF!</v>
      </c>
      <c r="AP1294" s="7">
        <f ca="1"/>
        <v>8.7994388744745217E-2</v>
      </c>
      <c r="AQ1294" s="7" t="e">
        <f ca="1"/>
        <v>#REF!</v>
      </c>
      <c r="AR1294" s="7" t="e">
        <f ca="1"/>
        <v>#REF!</v>
      </c>
      <c r="AS1294" s="7">
        <f ca="1"/>
        <v>0.77276680816182786</v>
      </c>
      <c r="AT1294" s="7" t="e">
        <f ca="1"/>
        <v>#REF!</v>
      </c>
      <c r="AU1294" s="7" t="e">
        <f ca="1"/>
        <v>#REF!</v>
      </c>
      <c r="AV1294" s="7" t="e">
        <f ca="1"/>
        <v>#REF!</v>
      </c>
    </row>
    <row r="1295" spans="37:48" x14ac:dyDescent="0.25">
      <c r="AK1295" t="str">
        <f ca="1"/>
        <v>Obs. 2222</v>
      </c>
      <c r="AL1295" s="7">
        <f ca="1"/>
        <v>66.599999999999994</v>
      </c>
      <c r="AN1295" s="7" t="e">
        <f ca="1"/>
        <v>#REF!</v>
      </c>
      <c r="AO1295" s="7" t="e">
        <f ca="1"/>
        <v>#REF!</v>
      </c>
      <c r="AP1295" s="7">
        <f ca="1"/>
        <v>8.5093683543368825E-2</v>
      </c>
      <c r="AQ1295" s="7" t="e">
        <f ca="1"/>
        <v>#REF!</v>
      </c>
      <c r="AR1295" s="7" t="e">
        <f ca="1"/>
        <v>#REF!</v>
      </c>
      <c r="AS1295" s="7">
        <f ca="1"/>
        <v>0.77276680816182786</v>
      </c>
      <c r="AT1295" s="7" t="e">
        <f ca="1"/>
        <v>#REF!</v>
      </c>
      <c r="AU1295" s="7" t="e">
        <f ca="1"/>
        <v>#REF!</v>
      </c>
      <c r="AV1295" s="7" t="e">
        <f ca="1"/>
        <v>#REF!</v>
      </c>
    </row>
    <row r="1296" spans="37:48" x14ac:dyDescent="0.25">
      <c r="AK1296" t="str">
        <f ca="1"/>
        <v>Obs. 2223</v>
      </c>
      <c r="AL1296" s="7">
        <f ca="1"/>
        <v>66.2</v>
      </c>
      <c r="AN1296" s="7" t="e">
        <f ca="1"/>
        <v>#REF!</v>
      </c>
      <c r="AO1296" s="7" t="e">
        <f ca="1"/>
        <v>#REF!</v>
      </c>
      <c r="AP1296" s="7">
        <f ca="1"/>
        <v>8.6732900786663458E-2</v>
      </c>
      <c r="AQ1296" s="7" t="e">
        <f ca="1"/>
        <v>#REF!</v>
      </c>
      <c r="AR1296" s="7" t="e">
        <f ca="1"/>
        <v>#REF!</v>
      </c>
      <c r="AS1296" s="7">
        <f ca="1"/>
        <v>0.78719041678006285</v>
      </c>
      <c r="AT1296" s="7" t="e">
        <f ca="1"/>
        <v>#REF!</v>
      </c>
      <c r="AU1296" s="7" t="e">
        <f ca="1"/>
        <v>#REF!</v>
      </c>
      <c r="AV1296" s="7" t="e">
        <f ca="1"/>
        <v>#REF!</v>
      </c>
    </row>
    <row r="1297" spans="37:48" x14ac:dyDescent="0.25">
      <c r="AK1297" t="str">
        <f ca="1"/>
        <v>Obs. 2224</v>
      </c>
      <c r="AL1297" s="7">
        <f ca="1"/>
        <v>65.8</v>
      </c>
      <c r="AN1297" s="7" t="e">
        <f ca="1"/>
        <v>#REF!</v>
      </c>
      <c r="AO1297" s="7" t="e">
        <f ca="1"/>
        <v>#REF!</v>
      </c>
      <c r="AP1297" s="7">
        <f ca="1"/>
        <v>8.5195892538929285E-2</v>
      </c>
      <c r="AQ1297" s="7" t="e">
        <f ca="1"/>
        <v>#REF!</v>
      </c>
      <c r="AR1297" s="7" t="e">
        <f ca="1"/>
        <v>#REF!</v>
      </c>
      <c r="AS1297" s="7">
        <f ca="1"/>
        <v>0.78719041678006285</v>
      </c>
      <c r="AT1297" s="7" t="e">
        <f ca="1"/>
        <v>#REF!</v>
      </c>
      <c r="AU1297" s="7" t="e">
        <f ca="1"/>
        <v>#REF!</v>
      </c>
      <c r="AV1297" s="7" t="e">
        <f ca="1"/>
        <v>#REF!</v>
      </c>
    </row>
    <row r="1298" spans="37:48" x14ac:dyDescent="0.25">
      <c r="AK1298" t="str">
        <f ca="1"/>
        <v>Obs. 2225</v>
      </c>
      <c r="AL1298" s="7">
        <f ca="1"/>
        <v>65.400000000000006</v>
      </c>
      <c r="AN1298" s="7" t="e">
        <f ca="1"/>
        <v>#REF!</v>
      </c>
      <c r="AO1298" s="7" t="e">
        <f ca="1"/>
        <v>#REF!</v>
      </c>
      <c r="AP1298" s="7">
        <f ca="1"/>
        <v>8.3723594100609977E-2</v>
      </c>
      <c r="AQ1298" s="7" t="e">
        <f ca="1"/>
        <v>#REF!</v>
      </c>
      <c r="AR1298" s="7" t="e">
        <f ca="1"/>
        <v>#REF!</v>
      </c>
      <c r="AS1298" s="7">
        <f ca="1"/>
        <v>0.78719041678006285</v>
      </c>
      <c r="AT1298" s="7" t="e">
        <f ca="1"/>
        <v>#REF!</v>
      </c>
      <c r="AU1298" s="7" t="e">
        <f ca="1"/>
        <v>#REF!</v>
      </c>
      <c r="AV1298" s="7" t="e">
        <f ca="1"/>
        <v>#REF!</v>
      </c>
    </row>
    <row r="1299" spans="37:48" x14ac:dyDescent="0.25">
      <c r="AK1299" t="str">
        <f ca="1"/>
        <v>Obs. 2226</v>
      </c>
      <c r="AL1299" s="7">
        <f ca="1"/>
        <v>65.099999999999994</v>
      </c>
      <c r="AN1299" s="7" t="e">
        <f ca="1"/>
        <v>#REF!</v>
      </c>
      <c r="AO1299" s="7" t="e">
        <f ca="1"/>
        <v>#REF!</v>
      </c>
      <c r="AP1299" s="7">
        <f ca="1"/>
        <v>8.2564492201956996E-2</v>
      </c>
      <c r="AQ1299" s="7" t="e">
        <f ca="1"/>
        <v>#REF!</v>
      </c>
      <c r="AR1299" s="7" t="e">
        <f ca="1"/>
        <v>#REF!</v>
      </c>
      <c r="AS1299" s="7">
        <f ca="1"/>
        <v>0.78719041678006285</v>
      </c>
      <c r="AT1299" s="7" t="e">
        <f ca="1"/>
        <v>#REF!</v>
      </c>
      <c r="AU1299" s="7" t="e">
        <f ca="1"/>
        <v>#REF!</v>
      </c>
      <c r="AV1299" s="7" t="e">
        <f ca="1"/>
        <v>#REF!</v>
      </c>
    </row>
    <row r="1300" spans="37:48" x14ac:dyDescent="0.25">
      <c r="AK1300" t="str">
        <f ca="1"/>
        <v>Obs. 2227</v>
      </c>
      <c r="AL1300" s="7">
        <f ca="1"/>
        <v>64.7</v>
      </c>
      <c r="AN1300" s="7" t="e">
        <f ca="1"/>
        <v>#REF!</v>
      </c>
      <c r="AO1300" s="7" t="e">
        <f ca="1"/>
        <v>#REF!</v>
      </c>
      <c r="AP1300" s="7">
        <f ca="1"/>
        <v>8.576054347419293E-2</v>
      </c>
      <c r="AQ1300" s="7" t="e">
        <f ca="1"/>
        <v>#REF!</v>
      </c>
      <c r="AR1300" s="7" t="e">
        <f ca="1"/>
        <v>#REF!</v>
      </c>
      <c r="AS1300" s="7">
        <f ca="1"/>
        <v>0.78719041678006285</v>
      </c>
      <c r="AT1300" s="7" t="e">
        <f ca="1"/>
        <v>#REF!</v>
      </c>
      <c r="AU1300" s="7" t="e">
        <f ca="1"/>
        <v>#REF!</v>
      </c>
      <c r="AV1300" s="7" t="e">
        <f ca="1"/>
        <v>#REF!</v>
      </c>
    </row>
    <row r="1301" spans="37:48" x14ac:dyDescent="0.25">
      <c r="AK1301" t="str">
        <f ca="1"/>
        <v>Obs. 2228</v>
      </c>
      <c r="AL1301" s="7">
        <f ca="1"/>
        <v>64.3</v>
      </c>
      <c r="AN1301" s="7" t="e">
        <f ca="1"/>
        <v>#REF!</v>
      </c>
      <c r="AO1301" s="7" t="e">
        <f ca="1"/>
        <v>#REF!</v>
      </c>
      <c r="AP1301" s="7">
        <f ca="1"/>
        <v>9.2223349875656072E-2</v>
      </c>
      <c r="AQ1301" s="7" t="e">
        <f ca="1"/>
        <v>#REF!</v>
      </c>
      <c r="AR1301" s="7" t="e">
        <f ca="1"/>
        <v>#REF!</v>
      </c>
      <c r="AS1301" s="7">
        <f ca="1"/>
        <v>0.78719041678006285</v>
      </c>
      <c r="AT1301" s="7" t="e">
        <f ca="1"/>
        <v>#REF!</v>
      </c>
      <c r="AU1301" s="7" t="e">
        <f ca="1"/>
        <v>#REF!</v>
      </c>
      <c r="AV1301" s="7" t="e">
        <f ca="1"/>
        <v>#REF!</v>
      </c>
    </row>
    <row r="1302" spans="37:48" x14ac:dyDescent="0.25">
      <c r="AK1302" t="str">
        <f ca="1"/>
        <v>Obs. 2229</v>
      </c>
      <c r="AL1302" s="7">
        <f ca="1"/>
        <v>63.8</v>
      </c>
      <c r="AN1302" s="7" t="e">
        <f ca="1"/>
        <v>#REF!</v>
      </c>
      <c r="AO1302" s="7" t="e">
        <f ca="1"/>
        <v>#REF!</v>
      </c>
      <c r="AP1302" s="7">
        <f ca="1"/>
        <v>9.7355694764154788E-2</v>
      </c>
      <c r="AQ1302" s="7" t="e">
        <f ca="1"/>
        <v>#REF!</v>
      </c>
      <c r="AR1302" s="7" t="e">
        <f ca="1"/>
        <v>#REF!</v>
      </c>
      <c r="AS1302" s="7">
        <f ca="1"/>
        <v>0.78719041678006285</v>
      </c>
      <c r="AT1302" s="7" t="e">
        <f ca="1"/>
        <v>#REF!</v>
      </c>
      <c r="AU1302" s="7" t="e">
        <f ca="1"/>
        <v>#REF!</v>
      </c>
      <c r="AV1302" s="7" t="e">
        <f ca="1"/>
        <v>#REF!</v>
      </c>
    </row>
    <row r="1303" spans="37:48" x14ac:dyDescent="0.25">
      <c r="AK1303" t="str">
        <f ca="1"/>
        <v>Obs. 2230</v>
      </c>
      <c r="AL1303" s="7">
        <f ca="1"/>
        <v>63.4</v>
      </c>
      <c r="AN1303" s="7" t="e">
        <f ca="1"/>
        <v>#REF!</v>
      </c>
      <c r="AO1303" s="7" t="e">
        <f ca="1"/>
        <v>#REF!</v>
      </c>
      <c r="AP1303" s="7">
        <f ca="1"/>
        <v>9.2312324821192879E-2</v>
      </c>
      <c r="AQ1303" s="7" t="e">
        <f ca="1"/>
        <v>#REF!</v>
      </c>
      <c r="AR1303" s="7" t="e">
        <f ca="1"/>
        <v>#REF!</v>
      </c>
      <c r="AS1303" s="7">
        <f ca="1"/>
        <v>0.80177968430189828</v>
      </c>
      <c r="AT1303" s="7" t="e">
        <f ca="1"/>
        <v>#REF!</v>
      </c>
      <c r="AU1303" s="7" t="e">
        <f ca="1"/>
        <v>#REF!</v>
      </c>
      <c r="AV1303" s="7" t="e">
        <f ca="1"/>
        <v>#REF!</v>
      </c>
    </row>
    <row r="1304" spans="37:48" x14ac:dyDescent="0.25">
      <c r="AK1304" t="str">
        <f ca="1"/>
        <v>Obs. 2251</v>
      </c>
      <c r="AL1304" s="7">
        <f ca="1"/>
        <v>66.400000000000006</v>
      </c>
      <c r="AN1304" s="7" t="e">
        <f ca="1"/>
        <v>#REF!</v>
      </c>
      <c r="AO1304" s="7" t="e">
        <f ca="1"/>
        <v>#REF!</v>
      </c>
      <c r="AP1304" s="7">
        <f ca="1"/>
        <v>9.756083965355257E-2</v>
      </c>
      <c r="AQ1304" s="7" t="e">
        <f ca="1"/>
        <v>#REF!</v>
      </c>
      <c r="AR1304" s="7" t="e">
        <f ca="1"/>
        <v>#REF!</v>
      </c>
      <c r="AS1304" s="7">
        <f ca="1"/>
        <v>0.80177968430189828</v>
      </c>
      <c r="AT1304" s="7" t="e">
        <f ca="1"/>
        <v>#REF!</v>
      </c>
      <c r="AU1304" s="7" t="e">
        <f ca="1"/>
        <v>#REF!</v>
      </c>
      <c r="AV1304" s="7" t="e">
        <f ca="1"/>
        <v>#REF!</v>
      </c>
    </row>
    <row r="1305" spans="37:48" x14ac:dyDescent="0.25">
      <c r="AK1305" t="str">
        <f ca="1"/>
        <v>Obs. 2252</v>
      </c>
      <c r="AL1305" s="7">
        <f ca="1"/>
        <v>66</v>
      </c>
      <c r="AN1305" s="7" t="e">
        <f ca="1"/>
        <v>#REF!</v>
      </c>
      <c r="AO1305" s="7" t="e">
        <f ca="1"/>
        <v>#REF!</v>
      </c>
      <c r="AP1305" s="7">
        <f ca="1"/>
        <v>9.6713669345402736E-2</v>
      </c>
      <c r="AQ1305" s="7" t="e">
        <f ca="1"/>
        <v>#REF!</v>
      </c>
      <c r="AR1305" s="7" t="e">
        <f ca="1"/>
        <v>#REF!</v>
      </c>
      <c r="AS1305" s="7">
        <f ca="1"/>
        <v>0.80177968430189828</v>
      </c>
      <c r="AT1305" s="7" t="e">
        <f ca="1"/>
        <v>#REF!</v>
      </c>
      <c r="AU1305" s="7" t="e">
        <f ca="1"/>
        <v>#REF!</v>
      </c>
      <c r="AV1305" s="7" t="e">
        <f ca="1"/>
        <v>#REF!</v>
      </c>
    </row>
    <row r="1306" spans="37:48" x14ac:dyDescent="0.25">
      <c r="AK1306" t="str">
        <f ca="1"/>
        <v>Obs. 2253</v>
      </c>
      <c r="AL1306" s="7">
        <f ca="1"/>
        <v>65.599999999999994</v>
      </c>
      <c r="AN1306" s="7" t="e">
        <f ca="1"/>
        <v>#REF!</v>
      </c>
      <c r="AO1306" s="7" t="e">
        <f ca="1"/>
        <v>#REF!</v>
      </c>
      <c r="AP1306" s="7">
        <f ca="1"/>
        <v>0.11750539292477033</v>
      </c>
      <c r="AQ1306" s="7" t="e">
        <f ca="1"/>
        <v>#REF!</v>
      </c>
      <c r="AR1306" s="7" t="e">
        <f ca="1"/>
        <v>#REF!</v>
      </c>
      <c r="AS1306" s="7">
        <f ca="1"/>
        <v>0.80177968430189828</v>
      </c>
      <c r="AT1306" s="7" t="e">
        <f ca="1"/>
        <v>#REF!</v>
      </c>
      <c r="AU1306" s="7" t="e">
        <f ca="1"/>
        <v>#REF!</v>
      </c>
      <c r="AV1306" s="7" t="e">
        <f ca="1"/>
        <v>#REF!</v>
      </c>
    </row>
    <row r="1307" spans="37:48" x14ac:dyDescent="0.25">
      <c r="AK1307" t="str">
        <f ca="1"/>
        <v>Obs. 2254</v>
      </c>
      <c r="AL1307" s="7">
        <f ca="1"/>
        <v>64.900000000000006</v>
      </c>
      <c r="AN1307" s="7" t="e">
        <f ca="1"/>
        <v>#REF!</v>
      </c>
      <c r="AO1307" s="7" t="e">
        <f ca="1"/>
        <v>#REF!</v>
      </c>
      <c r="AP1307" s="7">
        <f ca="1"/>
        <v>0.1009513045295192</v>
      </c>
      <c r="AQ1307" s="7" t="e">
        <f ca="1"/>
        <v>#REF!</v>
      </c>
      <c r="AR1307" s="7" t="e">
        <f ca="1"/>
        <v>#REF!</v>
      </c>
      <c r="AS1307" s="7">
        <f ca="1"/>
        <v>0.80177968430189828</v>
      </c>
      <c r="AT1307" s="7" t="e">
        <f ca="1"/>
        <v>#REF!</v>
      </c>
      <c r="AU1307" s="7" t="e">
        <f ca="1"/>
        <v>#REF!</v>
      </c>
      <c r="AV1307" s="7" t="e">
        <f ca="1"/>
        <v>#REF!</v>
      </c>
    </row>
    <row r="1308" spans="37:48" x14ac:dyDescent="0.25">
      <c r="AK1308" t="str">
        <f ca="1"/>
        <v>Obs. 2255</v>
      </c>
      <c r="AL1308" s="7">
        <f ca="1"/>
        <v>64.3</v>
      </c>
      <c r="AN1308" s="7" t="e">
        <f ca="1"/>
        <v>#REF!</v>
      </c>
      <c r="AO1308" s="7" t="e">
        <f ca="1"/>
        <v>#REF!</v>
      </c>
      <c r="AP1308" s="7">
        <f ca="1"/>
        <v>9.8431467495960379E-2</v>
      </c>
      <c r="AQ1308" s="7" t="e">
        <f ca="1"/>
        <v>#REF!</v>
      </c>
      <c r="AR1308" s="7" t="e">
        <f ca="1"/>
        <v>#REF!</v>
      </c>
      <c r="AS1308" s="7">
        <f ca="1"/>
        <v>0.80177968430189828</v>
      </c>
      <c r="AT1308" s="7" t="e">
        <f ca="1"/>
        <v>#REF!</v>
      </c>
      <c r="AU1308" s="7" t="e">
        <f ca="1"/>
        <v>#REF!</v>
      </c>
      <c r="AV1308" s="7" t="e">
        <f ca="1"/>
        <v>#REF!</v>
      </c>
    </row>
    <row r="1309" spans="37:48" x14ac:dyDescent="0.25">
      <c r="AK1309" t="str">
        <f ca="1"/>
        <v>Obs. 2256</v>
      </c>
      <c r="AL1309" s="7">
        <f ca="1"/>
        <v>63.5</v>
      </c>
      <c r="AN1309" s="7" t="e">
        <f ca="1"/>
        <v>#REF!</v>
      </c>
      <c r="AO1309" s="7" t="e">
        <f ca="1"/>
        <v>#REF!</v>
      </c>
      <c r="AP1309" s="7">
        <f ca="1"/>
        <v>9.7869042599807443E-2</v>
      </c>
      <c r="AQ1309" s="7" t="e">
        <f ca="1"/>
        <v>#REF!</v>
      </c>
      <c r="AR1309" s="7" t="e">
        <f ca="1"/>
        <v>#REF!</v>
      </c>
      <c r="AS1309" s="7">
        <f ca="1"/>
        <v>0.81442193874053515</v>
      </c>
      <c r="AT1309" s="7" t="e">
        <f ca="1"/>
        <v>#REF!</v>
      </c>
      <c r="AU1309" s="7" t="e">
        <f ca="1"/>
        <v>#REF!</v>
      </c>
      <c r="AV1309" s="7" t="e">
        <f ca="1"/>
        <v>#REF!</v>
      </c>
    </row>
    <row r="1310" spans="37:48" x14ac:dyDescent="0.25">
      <c r="AK1310" t="str">
        <f ca="1"/>
        <v>Obs. 2257</v>
      </c>
      <c r="AL1310" s="7">
        <f ca="1"/>
        <v>62.8</v>
      </c>
      <c r="AN1310" s="7" t="e">
        <f ca="1"/>
        <v>#REF!</v>
      </c>
      <c r="AO1310" s="7" t="e">
        <f ca="1"/>
        <v>#REF!</v>
      </c>
      <c r="AP1310" s="7">
        <f ca="1"/>
        <v>9.8699469269451084E-2</v>
      </c>
      <c r="AQ1310" s="7" t="e">
        <f ca="1"/>
        <v>#REF!</v>
      </c>
      <c r="AR1310" s="7" t="e">
        <f ca="1"/>
        <v>#REF!</v>
      </c>
      <c r="AS1310" s="7">
        <f ca="1"/>
        <v>0.81442193874053515</v>
      </c>
      <c r="AT1310" s="7" t="e">
        <f ca="1"/>
        <v>#REF!</v>
      </c>
      <c r="AU1310" s="7" t="e">
        <f ca="1"/>
        <v>#REF!</v>
      </c>
      <c r="AV1310" s="7" t="e">
        <f ca="1"/>
        <v>#REF!</v>
      </c>
    </row>
    <row r="1311" spans="37:48" x14ac:dyDescent="0.25">
      <c r="AK1311" t="str">
        <f ca="1"/>
        <v>Obs. 2258</v>
      </c>
      <c r="AL1311" s="7">
        <f ca="1"/>
        <v>62.1</v>
      </c>
      <c r="AN1311" s="7" t="e">
        <f ca="1"/>
        <v>#REF!</v>
      </c>
      <c r="AO1311" s="7" t="e">
        <f ca="1"/>
        <v>#REF!</v>
      </c>
      <c r="AP1311" s="7">
        <f ca="1"/>
        <v>0.11694122242722342</v>
      </c>
      <c r="AQ1311" s="7" t="e">
        <f ca="1"/>
        <v>#REF!</v>
      </c>
      <c r="AR1311" s="7" t="e">
        <f ca="1"/>
        <v>#REF!</v>
      </c>
      <c r="AS1311" s="7">
        <f ca="1"/>
        <v>0.81442193874053515</v>
      </c>
      <c r="AT1311" s="7" t="e">
        <f ca="1"/>
        <v>#REF!</v>
      </c>
      <c r="AU1311" s="7" t="e">
        <f ca="1"/>
        <v>#REF!</v>
      </c>
      <c r="AV1311" s="7" t="e">
        <f ca="1"/>
        <v>#REF!</v>
      </c>
    </row>
    <row r="1312" spans="37:48" x14ac:dyDescent="0.25">
      <c r="AK1312" t="str">
        <f ca="1"/>
        <v>Obs. 2259</v>
      </c>
      <c r="AL1312" s="7">
        <f ca="1"/>
        <v>61.3</v>
      </c>
      <c r="AN1312" s="7" t="e">
        <f ca="1"/>
        <v>#REF!</v>
      </c>
      <c r="AO1312" s="7" t="e">
        <f ca="1"/>
        <v>#REF!</v>
      </c>
      <c r="AP1312" s="7">
        <f ca="1"/>
        <v>9.7950164388034319E-2</v>
      </c>
      <c r="AQ1312" s="7" t="e">
        <f ca="1"/>
        <v>#REF!</v>
      </c>
      <c r="AR1312" s="7" t="e">
        <f ca="1"/>
        <v>#REF!</v>
      </c>
      <c r="AS1312" s="7">
        <f ca="1"/>
        <v>0.81442193874053515</v>
      </c>
      <c r="AT1312" s="7" t="e">
        <f ca="1"/>
        <v>#REF!</v>
      </c>
      <c r="AU1312" s="7" t="e">
        <f ca="1"/>
        <v>#REF!</v>
      </c>
      <c r="AV1312" s="7" t="e">
        <f ca="1"/>
        <v>#REF!</v>
      </c>
    </row>
    <row r="1313" spans="37:48" x14ac:dyDescent="0.25">
      <c r="AK1313" t="str">
        <f ca="1"/>
        <v>Obs. 2260</v>
      </c>
      <c r="AL1313" s="7">
        <f ca="1"/>
        <v>65</v>
      </c>
      <c r="AN1313" s="7" t="e">
        <f ca="1"/>
        <v>#REF!</v>
      </c>
      <c r="AO1313" s="7" t="e">
        <f ca="1"/>
        <v>#REF!</v>
      </c>
      <c r="AP1313" s="7">
        <f ca="1"/>
        <v>9.929775150801913E-2</v>
      </c>
      <c r="AQ1313" s="7" t="e">
        <f ca="1"/>
        <v>#REF!</v>
      </c>
      <c r="AR1313" s="7" t="e">
        <f ca="1"/>
        <v>#REF!</v>
      </c>
      <c r="AS1313" s="7">
        <f ca="1"/>
        <v>0.81442193874053515</v>
      </c>
      <c r="AT1313" s="7" t="e">
        <f ca="1"/>
        <v>#REF!</v>
      </c>
      <c r="AU1313" s="7" t="e">
        <f ca="1"/>
        <v>#REF!</v>
      </c>
      <c r="AV1313" s="7" t="e">
        <f ca="1"/>
        <v>#REF!</v>
      </c>
    </row>
    <row r="1314" spans="37:48" x14ac:dyDescent="0.25">
      <c r="AK1314" t="str">
        <f ca="1"/>
        <v>Obs. 2261</v>
      </c>
      <c r="AL1314" s="7">
        <f ca="1"/>
        <v>59.7</v>
      </c>
      <c r="AN1314" s="7" t="e">
        <f ca="1"/>
        <v>#REF!</v>
      </c>
      <c r="AO1314" s="7" t="e">
        <f ca="1"/>
        <v>#REF!</v>
      </c>
      <c r="AP1314" s="7">
        <f ca="1"/>
        <v>0.10247534212250764</v>
      </c>
      <c r="AQ1314" s="7" t="e">
        <f ca="1"/>
        <v>#REF!</v>
      </c>
      <c r="AR1314" s="7" t="e">
        <f ca="1"/>
        <v>#REF!</v>
      </c>
      <c r="AS1314" s="7">
        <f ca="1"/>
        <v>0.81442193874053515</v>
      </c>
      <c r="AT1314" s="7" t="e">
        <f ca="1"/>
        <v>#REF!</v>
      </c>
      <c r="AU1314" s="7" t="e">
        <f ca="1"/>
        <v>#REF!</v>
      </c>
      <c r="AV1314" s="7" t="e">
        <f ca="1"/>
        <v>#REF!</v>
      </c>
    </row>
    <row r="1315" spans="37:48" x14ac:dyDescent="0.25">
      <c r="AK1315" t="str">
        <f ca="1"/>
        <v>Obs. 2267</v>
      </c>
      <c r="AL1315" s="7">
        <f ca="1"/>
        <v>75.400000000000006</v>
      </c>
      <c r="AN1315" s="7" t="e">
        <f ca="1"/>
        <v>#REF!</v>
      </c>
      <c r="AO1315" s="7" t="e">
        <f ca="1"/>
        <v>#REF!</v>
      </c>
      <c r="AP1315" s="7">
        <f ca="1"/>
        <v>9.4838923221259308E-2</v>
      </c>
      <c r="AQ1315" s="7" t="e">
        <f ca="1"/>
        <v>#REF!</v>
      </c>
      <c r="AR1315" s="7" t="e">
        <f ca="1"/>
        <v>#REF!</v>
      </c>
      <c r="AS1315" s="7">
        <f ca="1"/>
        <v>0.81442193874053515</v>
      </c>
      <c r="AT1315" s="7" t="e">
        <f ca="1"/>
        <v>#REF!</v>
      </c>
      <c r="AU1315" s="7" t="e">
        <f ca="1"/>
        <v>#REF!</v>
      </c>
      <c r="AV1315" s="7" t="e">
        <f ca="1"/>
        <v>#REF!</v>
      </c>
    </row>
    <row r="1316" spans="37:48" x14ac:dyDescent="0.25">
      <c r="AK1316" t="str">
        <f ca="1"/>
        <v>Obs. 2268</v>
      </c>
      <c r="AL1316" s="7">
        <f ca="1"/>
        <v>75.3</v>
      </c>
      <c r="AN1316" s="7" t="e">
        <f ca="1"/>
        <v>#REF!</v>
      </c>
      <c r="AO1316" s="7" t="e">
        <f ca="1"/>
        <v>#REF!</v>
      </c>
      <c r="AP1316" s="7">
        <f ca="1"/>
        <v>9.4331688569928268E-2</v>
      </c>
      <c r="AQ1316" s="7" t="e">
        <f ca="1"/>
        <v>#REF!</v>
      </c>
      <c r="AR1316" s="7" t="e">
        <f ca="1"/>
        <v>#REF!</v>
      </c>
      <c r="AS1316" s="7">
        <f ca="1"/>
        <v>0.82933781119598415</v>
      </c>
      <c r="AT1316" s="7" t="e">
        <f ca="1"/>
        <v>#REF!</v>
      </c>
      <c r="AU1316" s="7" t="e">
        <f ca="1"/>
        <v>#REF!</v>
      </c>
      <c r="AV1316" s="7" t="e">
        <f ca="1"/>
        <v>#REF!</v>
      </c>
    </row>
    <row r="1317" spans="37:48" x14ac:dyDescent="0.25">
      <c r="AK1317" t="str">
        <f ca="1"/>
        <v>Obs. 2269</v>
      </c>
      <c r="AL1317" s="7">
        <f ca="1"/>
        <v>74.900000000000006</v>
      </c>
      <c r="AN1317" s="7" t="e">
        <f ca="1"/>
        <v>#REF!</v>
      </c>
      <c r="AO1317" s="7" t="e">
        <f ca="1"/>
        <v>#REF!</v>
      </c>
      <c r="AP1317" s="7">
        <f ca="1"/>
        <v>9.2508568789943638E-2</v>
      </c>
      <c r="AQ1317" s="7" t="e">
        <f ca="1"/>
        <v>#REF!</v>
      </c>
      <c r="AR1317" s="7" t="e">
        <f ca="1"/>
        <v>#REF!</v>
      </c>
      <c r="AS1317" s="7">
        <f ca="1"/>
        <v>0.82933781119598415</v>
      </c>
      <c r="AT1317" s="7" t="e">
        <f ca="1"/>
        <v>#REF!</v>
      </c>
      <c r="AU1317" s="7" t="e">
        <f ca="1"/>
        <v>#REF!</v>
      </c>
      <c r="AV1317" s="7" t="e">
        <f ca="1"/>
        <v>#REF!</v>
      </c>
    </row>
    <row r="1318" spans="37:48" x14ac:dyDescent="0.25">
      <c r="AK1318" t="str">
        <f ca="1"/>
        <v>Obs. 2270</v>
      </c>
      <c r="AL1318" s="7">
        <f ca="1"/>
        <v>74.599999999999994</v>
      </c>
      <c r="AN1318" s="7" t="e">
        <f ca="1"/>
        <v>#REF!</v>
      </c>
      <c r="AO1318" s="7" t="e">
        <f ca="1"/>
        <v>#REF!</v>
      </c>
      <c r="AP1318" s="7">
        <f ca="1"/>
        <v>9.2162380394566784E-2</v>
      </c>
      <c r="AQ1318" s="7" t="e">
        <f ca="1"/>
        <v>#REF!</v>
      </c>
      <c r="AR1318" s="7" t="e">
        <f ca="1"/>
        <v>#REF!</v>
      </c>
      <c r="AS1318" s="7">
        <f ca="1"/>
        <v>0.82933781119598415</v>
      </c>
      <c r="AT1318" s="7" t="e">
        <f ca="1"/>
        <v>#REF!</v>
      </c>
      <c r="AU1318" s="7" t="e">
        <f ca="1"/>
        <v>#REF!</v>
      </c>
      <c r="AV1318" s="7" t="e">
        <f ca="1"/>
        <v>#REF!</v>
      </c>
    </row>
    <row r="1319" spans="37:48" x14ac:dyDescent="0.25">
      <c r="AK1319" t="str">
        <f ca="1"/>
        <v>Obs. 2271</v>
      </c>
      <c r="AL1319" s="7">
        <f ca="1"/>
        <v>74.400000000000006</v>
      </c>
      <c r="AN1319" s="7" t="e">
        <f ca="1"/>
        <v>#REF!</v>
      </c>
      <c r="AO1319" s="7" t="e">
        <f ca="1"/>
        <v>#REF!</v>
      </c>
      <c r="AP1319" s="7">
        <f ca="1"/>
        <v>9.1687403906482889E-2</v>
      </c>
      <c r="AQ1319" s="7" t="e">
        <f ca="1"/>
        <v>#REF!</v>
      </c>
      <c r="AR1319" s="7" t="e">
        <f ca="1"/>
        <v>#REF!</v>
      </c>
      <c r="AS1319" s="7">
        <f ca="1"/>
        <v>0.82933781119598415</v>
      </c>
      <c r="AT1319" s="7" t="e">
        <f ca="1"/>
        <v>#REF!</v>
      </c>
      <c r="AU1319" s="7" t="e">
        <f ca="1"/>
        <v>#REF!</v>
      </c>
      <c r="AV1319" s="7" t="e">
        <f ca="1"/>
        <v>#REF!</v>
      </c>
    </row>
    <row r="1320" spans="37:48" x14ac:dyDescent="0.25">
      <c r="AK1320" t="str">
        <f ca="1"/>
        <v>Obs. 2272</v>
      </c>
      <c r="AL1320" s="7">
        <f ca="1"/>
        <v>74.099999999999994</v>
      </c>
      <c r="AN1320" s="7" t="e">
        <f ca="1"/>
        <v>#REF!</v>
      </c>
      <c r="AO1320" s="7" t="e">
        <f ca="1"/>
        <v>#REF!</v>
      </c>
      <c r="AP1320" s="7">
        <f ca="1"/>
        <v>9.2351810388802219E-2</v>
      </c>
      <c r="AQ1320" s="7" t="e">
        <f ca="1"/>
        <v>#REF!</v>
      </c>
      <c r="AR1320" s="7" t="e">
        <f ca="1"/>
        <v>#REF!</v>
      </c>
      <c r="AS1320" s="7">
        <f ca="1"/>
        <v>0.83794453378675593</v>
      </c>
      <c r="AT1320" s="7" t="e">
        <f ca="1"/>
        <v>#REF!</v>
      </c>
      <c r="AU1320" s="7" t="e">
        <f ca="1"/>
        <v>#REF!</v>
      </c>
      <c r="AV1320" s="7" t="e">
        <f ca="1"/>
        <v>#REF!</v>
      </c>
    </row>
    <row r="1321" spans="37:48" x14ac:dyDescent="0.25">
      <c r="AK1321" t="str">
        <f ca="1"/>
        <v>Obs. 2273</v>
      </c>
      <c r="AL1321" s="7">
        <f ca="1"/>
        <v>74</v>
      </c>
      <c r="AN1321" s="7" t="e">
        <f ca="1"/>
        <v>#REF!</v>
      </c>
      <c r="AO1321" s="7" t="e">
        <f ca="1"/>
        <v>#REF!</v>
      </c>
      <c r="AP1321" s="7">
        <f ca="1"/>
        <v>9.2253361273572629E-2</v>
      </c>
      <c r="AQ1321" s="7" t="e">
        <f ca="1"/>
        <v>#REF!</v>
      </c>
      <c r="AR1321" s="7" t="e">
        <f ca="1"/>
        <v>#REF!</v>
      </c>
      <c r="AS1321" s="7">
        <f ca="1"/>
        <v>0.83794453378675593</v>
      </c>
      <c r="AT1321" s="7" t="e">
        <f ca="1"/>
        <v>#REF!</v>
      </c>
      <c r="AU1321" s="7" t="e">
        <f ca="1"/>
        <v>#REF!</v>
      </c>
      <c r="AV1321" s="7" t="e">
        <f ca="1"/>
        <v>#REF!</v>
      </c>
    </row>
    <row r="1322" spans="37:48" x14ac:dyDescent="0.25">
      <c r="AK1322" t="str">
        <f ca="1"/>
        <v>Obs. 2274</v>
      </c>
      <c r="AL1322" s="7">
        <f ca="1"/>
        <v>73.8</v>
      </c>
      <c r="AN1322" s="7" t="e">
        <f ca="1"/>
        <v>#REF!</v>
      </c>
      <c r="AO1322" s="7" t="e">
        <f ca="1"/>
        <v>#REF!</v>
      </c>
      <c r="AP1322" s="7">
        <f ca="1"/>
        <v>9.3164828786773443E-2</v>
      </c>
      <c r="AQ1322" s="7" t="e">
        <f ca="1"/>
        <v>#REF!</v>
      </c>
      <c r="AR1322" s="7" t="e">
        <f ca="1"/>
        <v>#REF!</v>
      </c>
      <c r="AS1322" s="7">
        <f ca="1"/>
        <v>0.83794453378675593</v>
      </c>
      <c r="AT1322" s="7" t="e">
        <f ca="1"/>
        <v>#REF!</v>
      </c>
      <c r="AU1322" s="7" t="e">
        <f ca="1"/>
        <v>#REF!</v>
      </c>
      <c r="AV1322" s="7" t="e">
        <f ca="1"/>
        <v>#REF!</v>
      </c>
    </row>
    <row r="1323" spans="37:48" x14ac:dyDescent="0.25">
      <c r="AK1323" t="str">
        <f ca="1"/>
        <v>Obs. 2275</v>
      </c>
      <c r="AL1323" s="7">
        <f ca="1"/>
        <v>73.599999999999994</v>
      </c>
      <c r="AN1323" s="7" t="e">
        <f ca="1"/>
        <v>#REF!</v>
      </c>
      <c r="AO1323" s="7" t="e">
        <f ca="1"/>
        <v>#REF!</v>
      </c>
      <c r="AP1323" s="7">
        <f ca="1"/>
        <v>9.1512483983363341E-2</v>
      </c>
      <c r="AQ1323" s="7" t="e">
        <f ca="1"/>
        <v>#REF!</v>
      </c>
      <c r="AR1323" s="7" t="e">
        <f ca="1"/>
        <v>#REF!</v>
      </c>
      <c r="AS1323" s="7">
        <f ca="1"/>
        <v>0.83794453378675593</v>
      </c>
      <c r="AT1323" s="7" t="e">
        <f ca="1"/>
        <v>#REF!</v>
      </c>
      <c r="AU1323" s="7" t="e">
        <f ca="1"/>
        <v>#REF!</v>
      </c>
      <c r="AV1323" s="7" t="e">
        <f ca="1"/>
        <v>#REF!</v>
      </c>
    </row>
    <row r="1324" spans="37:48" x14ac:dyDescent="0.25">
      <c r="AK1324" t="str">
        <f ca="1"/>
        <v>Obs. 2276</v>
      </c>
      <c r="AL1324" s="7">
        <f ca="1"/>
        <v>73</v>
      </c>
      <c r="AN1324" s="7" t="e">
        <f ca="1"/>
        <v>#REF!</v>
      </c>
      <c r="AO1324" s="7" t="e">
        <f ca="1"/>
        <v>#REF!</v>
      </c>
      <c r="AP1324" s="7">
        <f ca="1"/>
        <v>9.2622059865044029E-2</v>
      </c>
      <c r="AQ1324" s="7" t="e">
        <f ca="1"/>
        <v>#REF!</v>
      </c>
      <c r="AR1324" s="7" t="e">
        <f ca="1"/>
        <v>#REF!</v>
      </c>
      <c r="AS1324" s="7">
        <f ca="1"/>
        <v>0.83794453378675593</v>
      </c>
      <c r="AT1324" s="7" t="e">
        <f ca="1"/>
        <v>#REF!</v>
      </c>
      <c r="AU1324" s="7" t="e">
        <f ca="1"/>
        <v>#REF!</v>
      </c>
      <c r="AV1324" s="7" t="e">
        <f ca="1"/>
        <v>#REF!</v>
      </c>
    </row>
    <row r="1325" spans="37:48" x14ac:dyDescent="0.25">
      <c r="AK1325" t="str">
        <f ca="1"/>
        <v>Obs. 2277</v>
      </c>
      <c r="AL1325" s="7">
        <f ca="1"/>
        <v>73</v>
      </c>
      <c r="AN1325" s="7" t="e">
        <f ca="1"/>
        <v>#REF!</v>
      </c>
      <c r="AO1325" s="7" t="e">
        <f ca="1"/>
        <v>#REF!</v>
      </c>
      <c r="AP1325" s="7">
        <f ca="1"/>
        <v>9.2670347880571435E-2</v>
      </c>
      <c r="AQ1325" s="7" t="e">
        <f ca="1"/>
        <v>#REF!</v>
      </c>
      <c r="AR1325" s="7" t="e">
        <f ca="1"/>
        <v>#REF!</v>
      </c>
      <c r="AS1325" s="7">
        <f ca="1"/>
        <v>0.83794453378675593</v>
      </c>
      <c r="AT1325" s="7" t="e">
        <f ca="1"/>
        <v>#REF!</v>
      </c>
      <c r="AU1325" s="7" t="e">
        <f ca="1"/>
        <v>#REF!</v>
      </c>
      <c r="AV1325" s="7" t="e">
        <f ca="1"/>
        <v>#REF!</v>
      </c>
    </row>
    <row r="1326" spans="37:48" x14ac:dyDescent="0.25">
      <c r="AK1326" t="str">
        <f ca="1"/>
        <v>Obs. 2283</v>
      </c>
      <c r="AL1326" s="7">
        <f ca="1"/>
        <v>73</v>
      </c>
      <c r="AN1326" s="7" t="e">
        <f ca="1"/>
        <v>#REF!</v>
      </c>
      <c r="AO1326" s="7" t="e">
        <f ca="1"/>
        <v>#REF!</v>
      </c>
      <c r="AP1326" s="7">
        <f ca="1"/>
        <v>8.1030862878862422E-2</v>
      </c>
      <c r="AQ1326" s="7" t="e">
        <f ca="1"/>
        <v>#REF!</v>
      </c>
      <c r="AR1326" s="7" t="e">
        <f ca="1"/>
        <v>#REF!</v>
      </c>
      <c r="AS1326" s="7">
        <f ca="1"/>
        <v>0.83794453378675593</v>
      </c>
      <c r="AT1326" s="7" t="e">
        <f ca="1"/>
        <v>#REF!</v>
      </c>
      <c r="AU1326" s="7" t="e">
        <f ca="1"/>
        <v>#REF!</v>
      </c>
      <c r="AV1326" s="7" t="e">
        <f ca="1"/>
        <v>#REF!</v>
      </c>
    </row>
    <row r="1327" spans="37:48" x14ac:dyDescent="0.25">
      <c r="AK1327" t="str">
        <f ca="1"/>
        <v>Obs. 2284</v>
      </c>
      <c r="AL1327" s="7">
        <f ca="1"/>
        <v>72.900000000000006</v>
      </c>
      <c r="AN1327" s="7" t="e">
        <f ca="1"/>
        <v>#REF!</v>
      </c>
      <c r="AO1327" s="7" t="e">
        <f ca="1"/>
        <v>#REF!</v>
      </c>
      <c r="AP1327" s="7">
        <f ca="1"/>
        <v>7.8347278253621644E-2</v>
      </c>
      <c r="AQ1327" s="7" t="e">
        <f ca="1"/>
        <v>#REF!</v>
      </c>
      <c r="AR1327" s="7" t="e">
        <f ca="1"/>
        <v>#REF!</v>
      </c>
      <c r="AS1327" s="7">
        <f ca="1"/>
        <v>0.83794453378675593</v>
      </c>
      <c r="AT1327" s="7" t="e">
        <f ca="1"/>
        <v>#REF!</v>
      </c>
      <c r="AU1327" s="7" t="e">
        <f ca="1"/>
        <v>#REF!</v>
      </c>
      <c r="AV1327" s="7" t="e">
        <f ca="1"/>
        <v>#REF!</v>
      </c>
    </row>
    <row r="1328" spans="37:48" x14ac:dyDescent="0.25">
      <c r="AK1328" t="str">
        <f ca="1"/>
        <v>Obs. 2285</v>
      </c>
      <c r="AL1328" s="7">
        <f ca="1"/>
        <v>72.7</v>
      </c>
      <c r="AN1328" s="7" t="e">
        <f ca="1"/>
        <v>#REF!</v>
      </c>
      <c r="AO1328" s="7" t="e">
        <f ca="1"/>
        <v>#REF!</v>
      </c>
      <c r="AP1328" s="7">
        <f ca="1"/>
        <v>8.5367738112236913E-2</v>
      </c>
      <c r="AQ1328" s="7" t="e">
        <f ca="1"/>
        <v>#REF!</v>
      </c>
      <c r="AR1328" s="7" t="e">
        <f ca="1"/>
        <v>#REF!</v>
      </c>
      <c r="AS1328" s="7">
        <f ca="1"/>
        <v>0.83794453378675593</v>
      </c>
      <c r="AT1328" s="7" t="e">
        <f ca="1"/>
        <v>#REF!</v>
      </c>
      <c r="AU1328" s="7" t="e">
        <f ca="1"/>
        <v>#REF!</v>
      </c>
      <c r="AV1328" s="7" t="e">
        <f ca="1"/>
        <v>#REF!</v>
      </c>
    </row>
    <row r="1329" spans="37:48" x14ac:dyDescent="0.25">
      <c r="AK1329" t="str">
        <f ca="1"/>
        <v>Obs. 2286</v>
      </c>
      <c r="AL1329" s="7">
        <f ca="1"/>
        <v>72.599999999999994</v>
      </c>
      <c r="AN1329" s="7" t="e">
        <f ca="1"/>
        <v>#REF!</v>
      </c>
      <c r="AO1329" s="7" t="e">
        <f ca="1"/>
        <v>#REF!</v>
      </c>
      <c r="AP1329" s="7">
        <f ca="1"/>
        <v>7.0128865611463004E-2</v>
      </c>
      <c r="AQ1329" s="7" t="e">
        <f ca="1"/>
        <v>#REF!</v>
      </c>
      <c r="AR1329" s="7" t="e">
        <f ca="1"/>
        <v>#REF!</v>
      </c>
      <c r="AS1329" s="7">
        <f ca="1"/>
        <v>0.83794453378675593</v>
      </c>
      <c r="AT1329" s="7" t="e">
        <f ca="1"/>
        <v>#REF!</v>
      </c>
      <c r="AU1329" s="7" t="e">
        <f ca="1"/>
        <v>#REF!</v>
      </c>
      <c r="AV1329" s="7" t="e">
        <f ca="1"/>
        <v>#REF!</v>
      </c>
    </row>
    <row r="1330" spans="37:48" x14ac:dyDescent="0.25">
      <c r="AK1330" t="str">
        <f ca="1"/>
        <v>Obs. 2287</v>
      </c>
      <c r="AL1330" s="7">
        <f ca="1"/>
        <v>72.400000000000006</v>
      </c>
      <c r="AN1330" s="7" t="e">
        <f ca="1"/>
        <v>#REF!</v>
      </c>
      <c r="AO1330" s="7" t="e">
        <f ca="1"/>
        <v>#REF!</v>
      </c>
      <c r="AP1330" s="7">
        <f ca="1"/>
        <v>6.8948692829425978E-2</v>
      </c>
      <c r="AQ1330" s="7" t="e">
        <f ca="1"/>
        <v>#REF!</v>
      </c>
      <c r="AR1330" s="7" t="e">
        <f ca="1"/>
        <v>#REF!</v>
      </c>
      <c r="AS1330" s="7">
        <f ca="1"/>
        <v>0.83794453378675593</v>
      </c>
      <c r="AT1330" s="7" t="e">
        <f ca="1"/>
        <v>#REF!</v>
      </c>
      <c r="AU1330" s="7" t="e">
        <f ca="1"/>
        <v>#REF!</v>
      </c>
      <c r="AV1330" s="7" t="e">
        <f ca="1"/>
        <v>#REF!</v>
      </c>
    </row>
    <row r="1331" spans="37:48" x14ac:dyDescent="0.25">
      <c r="AK1331" t="str">
        <f ca="1"/>
        <v>Obs. 2288</v>
      </c>
      <c r="AL1331" s="7">
        <f ca="1"/>
        <v>72.3</v>
      </c>
      <c r="AN1331" s="7" t="e">
        <f ca="1"/>
        <v>#REF!</v>
      </c>
      <c r="AO1331" s="7" t="e">
        <f ca="1"/>
        <v>#REF!</v>
      </c>
      <c r="AP1331" s="7">
        <f ca="1"/>
        <v>6.6929089572673253E-2</v>
      </c>
      <c r="AQ1331" s="7" t="e">
        <f ca="1"/>
        <v>#REF!</v>
      </c>
      <c r="AR1331" s="7" t="e">
        <f ca="1"/>
        <v>#REF!</v>
      </c>
      <c r="AS1331" s="7">
        <f ca="1"/>
        <v>0.83794453378675593</v>
      </c>
      <c r="AT1331" s="7" t="e">
        <f ca="1"/>
        <v>#REF!</v>
      </c>
      <c r="AU1331" s="7" t="e">
        <f ca="1"/>
        <v>#REF!</v>
      </c>
      <c r="AV1331" s="7" t="e">
        <f ca="1"/>
        <v>#REF!</v>
      </c>
    </row>
    <row r="1332" spans="37:48" x14ac:dyDescent="0.25">
      <c r="AK1332" t="str">
        <f ca="1"/>
        <v>Obs. 2289</v>
      </c>
      <c r="AL1332" s="7">
        <f ca="1"/>
        <v>72.2</v>
      </c>
      <c r="AN1332" s="7" t="e">
        <f ca="1"/>
        <v>#REF!</v>
      </c>
      <c r="AO1332" s="7" t="e">
        <f ca="1"/>
        <v>#REF!</v>
      </c>
      <c r="AP1332" s="7">
        <f ca="1"/>
        <v>6.6010295729382759E-2</v>
      </c>
      <c r="AQ1332" s="7" t="e">
        <f ca="1"/>
        <v>#REF!</v>
      </c>
      <c r="AR1332" s="7" t="e">
        <f ca="1"/>
        <v>#REF!</v>
      </c>
      <c r="AS1332" s="7">
        <f ca="1"/>
        <v>0.83794453378675593</v>
      </c>
      <c r="AT1332" s="7" t="e">
        <f ca="1"/>
        <v>#REF!</v>
      </c>
      <c r="AU1332" s="7" t="e">
        <f ca="1"/>
        <v>#REF!</v>
      </c>
      <c r="AV1332" s="7" t="e">
        <f ca="1"/>
        <v>#REF!</v>
      </c>
    </row>
    <row r="1333" spans="37:48" x14ac:dyDescent="0.25">
      <c r="AK1333" t="str">
        <f ca="1"/>
        <v>Obs. 2290</v>
      </c>
      <c r="AL1333" s="7">
        <f ca="1"/>
        <v>72.2</v>
      </c>
      <c r="AN1333" s="7" t="e">
        <f ca="1"/>
        <v>#REF!</v>
      </c>
      <c r="AO1333" s="7" t="e">
        <f ca="1"/>
        <v>#REF!</v>
      </c>
      <c r="AP1333" s="7">
        <f ca="1"/>
        <v>6.6856559145381758E-2</v>
      </c>
      <c r="AQ1333" s="7" t="e">
        <f ca="1"/>
        <v>#REF!</v>
      </c>
      <c r="AR1333" s="7" t="e">
        <f ca="1"/>
        <v>#REF!</v>
      </c>
      <c r="AS1333" s="7">
        <f ca="1"/>
        <v>0.83794453378675593</v>
      </c>
      <c r="AT1333" s="7" t="e">
        <f ca="1"/>
        <v>#REF!</v>
      </c>
      <c r="AU1333" s="7" t="e">
        <f ca="1"/>
        <v>#REF!</v>
      </c>
      <c r="AV1333" s="7" t="e">
        <f ca="1"/>
        <v>#REF!</v>
      </c>
    </row>
    <row r="1334" spans="37:48" x14ac:dyDescent="0.25">
      <c r="AK1334" t="str">
        <f ca="1"/>
        <v>Obs. 2291</v>
      </c>
      <c r="AL1334" s="7">
        <f ca="1"/>
        <v>72.2</v>
      </c>
      <c r="AN1334" s="7" t="e">
        <f ca="1"/>
        <v>#REF!</v>
      </c>
      <c r="AO1334" s="7" t="e">
        <f ca="1"/>
        <v>#REF!</v>
      </c>
      <c r="AP1334" s="7">
        <f ca="1"/>
        <v>6.9999573754613201E-2</v>
      </c>
      <c r="AQ1334" s="7" t="e">
        <f ca="1"/>
        <v>#REF!</v>
      </c>
      <c r="AR1334" s="7" t="e">
        <f ca="1"/>
        <v>#REF!</v>
      </c>
      <c r="AS1334" s="7">
        <f ca="1"/>
        <v>0.83794453378675593</v>
      </c>
      <c r="AT1334" s="7" t="e">
        <f ca="1"/>
        <v>#REF!</v>
      </c>
      <c r="AU1334" s="7" t="e">
        <f ca="1"/>
        <v>#REF!</v>
      </c>
      <c r="AV1334" s="7" t="e">
        <f ca="1"/>
        <v>#REF!</v>
      </c>
    </row>
    <row r="1335" spans="37:48" x14ac:dyDescent="0.25">
      <c r="AK1335" t="str">
        <f ca="1"/>
        <v>Obs. 2292</v>
      </c>
      <c r="AL1335" s="7">
        <f ca="1"/>
        <v>72.2</v>
      </c>
      <c r="AN1335" s="7" t="e">
        <f ca="1"/>
        <v>#REF!</v>
      </c>
      <c r="AO1335" s="7" t="e">
        <f ca="1"/>
        <v>#REF!</v>
      </c>
      <c r="AP1335" s="7">
        <f ca="1"/>
        <v>6.9404258064782204E-2</v>
      </c>
      <c r="AQ1335" s="7" t="e">
        <f ca="1"/>
        <v>#REF!</v>
      </c>
      <c r="AR1335" s="7" t="e">
        <f ca="1"/>
        <v>#REF!</v>
      </c>
      <c r="AS1335" s="7">
        <f ca="1"/>
        <v>0.83794453378675593</v>
      </c>
      <c r="AT1335" s="7" t="e">
        <f ca="1"/>
        <v>#REF!</v>
      </c>
      <c r="AU1335" s="7" t="e">
        <f ca="1"/>
        <v>#REF!</v>
      </c>
      <c r="AV1335" s="7" t="e">
        <f ca="1"/>
        <v>#REF!</v>
      </c>
    </row>
    <row r="1336" spans="37:48" x14ac:dyDescent="0.25">
      <c r="AK1336" t="str">
        <f ca="1"/>
        <v>Obs. 2293</v>
      </c>
      <c r="AL1336" s="7">
        <f ca="1"/>
        <v>72.099999999999994</v>
      </c>
      <c r="AN1336" s="7" t="e">
        <f ca="1"/>
        <v>#REF!</v>
      </c>
      <c r="AO1336" s="7" t="e">
        <f ca="1"/>
        <v>#REF!</v>
      </c>
      <c r="AP1336" s="7">
        <f ca="1"/>
        <v>6.6696684179909718E-2</v>
      </c>
      <c r="AQ1336" s="7" t="e">
        <f ca="1"/>
        <v>#REF!</v>
      </c>
      <c r="AR1336" s="7" t="e">
        <f ca="1"/>
        <v>#REF!</v>
      </c>
      <c r="AS1336" s="7">
        <f ca="1"/>
        <v>0.873012700415573</v>
      </c>
      <c r="AT1336" s="7" t="e">
        <f ca="1"/>
        <v>#REF!</v>
      </c>
      <c r="AU1336" s="7" t="e">
        <f ca="1"/>
        <v>#REF!</v>
      </c>
      <c r="AV1336" s="7" t="e">
        <f ca="1"/>
        <v>#REF!</v>
      </c>
    </row>
    <row r="1337" spans="37:48" x14ac:dyDescent="0.25">
      <c r="AK1337" t="str">
        <f ca="1"/>
        <v>Obs. 2294</v>
      </c>
      <c r="AL1337" s="7">
        <f ca="1"/>
        <v>72.099999999999994</v>
      </c>
      <c r="AN1337" s="7" t="e">
        <f ca="1"/>
        <v>#REF!</v>
      </c>
      <c r="AO1337" s="7" t="e">
        <f ca="1"/>
        <v>#REF!</v>
      </c>
      <c r="AP1337" s="7">
        <f ca="1"/>
        <v>6.6267761804984934E-2</v>
      </c>
      <c r="AQ1337" s="7" t="e">
        <f ca="1"/>
        <v>#REF!</v>
      </c>
      <c r="AR1337" s="7" t="e">
        <f ca="1"/>
        <v>#REF!</v>
      </c>
      <c r="AS1337" s="7">
        <f ca="1"/>
        <v>0.873012700415573</v>
      </c>
      <c r="AT1337" s="7" t="e">
        <f ca="1"/>
        <v>#REF!</v>
      </c>
      <c r="AU1337" s="7" t="e">
        <f ca="1"/>
        <v>#REF!</v>
      </c>
      <c r="AV1337" s="7" t="e">
        <f ca="1"/>
        <v>#REF!</v>
      </c>
    </row>
    <row r="1338" spans="37:48" x14ac:dyDescent="0.25">
      <c r="AK1338" t="str">
        <f ca="1"/>
        <v>Obs. 2295</v>
      </c>
      <c r="AL1338" s="7">
        <f ca="1"/>
        <v>72.099999999999994</v>
      </c>
      <c r="AN1338" s="7" t="e">
        <f ca="1"/>
        <v>#REF!</v>
      </c>
      <c r="AO1338" s="7" t="e">
        <f ca="1"/>
        <v>#REF!</v>
      </c>
      <c r="AP1338" s="7">
        <f ca="1"/>
        <v>7.3475220637740785E-2</v>
      </c>
      <c r="AQ1338" s="7" t="e">
        <f ca="1"/>
        <v>#REF!</v>
      </c>
      <c r="AR1338" s="7" t="e">
        <f ca="1"/>
        <v>#REF!</v>
      </c>
      <c r="AS1338" s="7">
        <f ca="1"/>
        <v>0.873012700415573</v>
      </c>
      <c r="AT1338" s="7" t="e">
        <f ca="1"/>
        <v>#REF!</v>
      </c>
      <c r="AU1338" s="7" t="e">
        <f ca="1"/>
        <v>#REF!</v>
      </c>
      <c r="AV1338" s="7" t="e">
        <f ca="1"/>
        <v>#REF!</v>
      </c>
    </row>
    <row r="1339" spans="37:48" x14ac:dyDescent="0.25">
      <c r="AK1339" t="str">
        <f ca="1"/>
        <v>Obs. 2296</v>
      </c>
      <c r="AL1339" s="7">
        <f ca="1"/>
        <v>72</v>
      </c>
      <c r="AN1339" s="7" t="e">
        <f ca="1"/>
        <v>#REF!</v>
      </c>
      <c r="AO1339" s="7" t="e">
        <f ca="1"/>
        <v>#REF!</v>
      </c>
      <c r="AP1339" s="7">
        <f ca="1"/>
        <v>6.7723792636117996E-2</v>
      </c>
      <c r="AQ1339" s="7" t="e">
        <f ca="1"/>
        <v>#REF!</v>
      </c>
      <c r="AR1339" s="7" t="e">
        <f ca="1"/>
        <v>#REF!</v>
      </c>
      <c r="AS1339" s="7">
        <f ca="1"/>
        <v>0.873012700415573</v>
      </c>
      <c r="AT1339" s="7" t="e">
        <f ca="1"/>
        <v>#REF!</v>
      </c>
      <c r="AU1339" s="7" t="e">
        <f ca="1"/>
        <v>#REF!</v>
      </c>
      <c r="AV1339" s="7" t="e">
        <f ca="1"/>
        <v>#REF!</v>
      </c>
    </row>
    <row r="1340" spans="37:48" x14ac:dyDescent="0.25">
      <c r="AK1340" t="str">
        <f ca="1"/>
        <v>Obs. 2297</v>
      </c>
      <c r="AL1340" s="7">
        <f ca="1"/>
        <v>71.8</v>
      </c>
      <c r="AN1340" s="7" t="e">
        <f ca="1"/>
        <v>#REF!</v>
      </c>
      <c r="AO1340" s="7" t="e">
        <f ca="1"/>
        <v>#REF!</v>
      </c>
      <c r="AP1340" s="7">
        <f ca="1"/>
        <v>0.11649801278894824</v>
      </c>
      <c r="AQ1340" s="7" t="e">
        <f ca="1"/>
        <v>#REF!</v>
      </c>
      <c r="AR1340" s="7" t="e">
        <f ca="1"/>
        <v>#REF!</v>
      </c>
      <c r="AS1340" s="7">
        <f ca="1"/>
        <v>0.88194836619248052</v>
      </c>
      <c r="AT1340" s="7" t="e">
        <f ca="1"/>
        <v>#REF!</v>
      </c>
      <c r="AU1340" s="7" t="e">
        <f ca="1"/>
        <v>#REF!</v>
      </c>
      <c r="AV1340" s="7" t="e">
        <f ca="1"/>
        <v>#REF!</v>
      </c>
    </row>
    <row r="1341" spans="37:48" x14ac:dyDescent="0.25">
      <c r="AK1341" t="str">
        <f ca="1"/>
        <v>Obs. 2299</v>
      </c>
      <c r="AL1341" s="7">
        <f ca="1"/>
        <v>48.1</v>
      </c>
      <c r="AN1341" s="7" t="e">
        <f ca="1"/>
        <v>#REF!</v>
      </c>
      <c r="AO1341" s="7" t="e">
        <f ca="1"/>
        <v>#REF!</v>
      </c>
      <c r="AP1341" s="7">
        <f ca="1"/>
        <v>0.13076506646136243</v>
      </c>
      <c r="AQ1341" s="7" t="e">
        <f ca="1"/>
        <v>#REF!</v>
      </c>
      <c r="AR1341" s="7" t="e">
        <f ca="1"/>
        <v>#REF!</v>
      </c>
      <c r="AS1341" s="7">
        <f ca="1"/>
        <v>0.88194836619248052</v>
      </c>
      <c r="AT1341" s="7" t="e">
        <f ca="1"/>
        <v>#REF!</v>
      </c>
      <c r="AU1341" s="7" t="e">
        <f ca="1"/>
        <v>#REF!</v>
      </c>
      <c r="AV1341" s="7" t="e">
        <f ca="1"/>
        <v>#REF!</v>
      </c>
    </row>
    <row r="1342" spans="37:48" x14ac:dyDescent="0.25">
      <c r="AK1342" t="str">
        <f ca="1"/>
        <v>Obs. 2300</v>
      </c>
      <c r="AL1342" s="7">
        <f ca="1"/>
        <v>54</v>
      </c>
      <c r="AN1342" s="7" t="e">
        <f ca="1"/>
        <v>#REF!</v>
      </c>
      <c r="AO1342" s="7" t="e">
        <f ca="1"/>
        <v>#REF!</v>
      </c>
      <c r="AP1342" s="7">
        <f ca="1"/>
        <v>0.13621422199897243</v>
      </c>
      <c r="AQ1342" s="7" t="e">
        <f ca="1"/>
        <v>#REF!</v>
      </c>
      <c r="AR1342" s="7" t="e">
        <f ca="1"/>
        <v>#REF!</v>
      </c>
      <c r="AS1342" s="7">
        <f ca="1"/>
        <v>0.88194836619248052</v>
      </c>
      <c r="AT1342" s="7" t="e">
        <f ca="1"/>
        <v>#REF!</v>
      </c>
      <c r="AU1342" s="7" t="e">
        <f ca="1"/>
        <v>#REF!</v>
      </c>
      <c r="AV1342" s="7" t="e">
        <f ca="1"/>
        <v>#REF!</v>
      </c>
    </row>
    <row r="1343" spans="37:48" x14ac:dyDescent="0.25">
      <c r="AK1343" t="str">
        <f ca="1"/>
        <v>Obs. 2301</v>
      </c>
      <c r="AL1343" s="7">
        <f ca="1"/>
        <v>49.7</v>
      </c>
      <c r="AN1343" s="7" t="e">
        <f ca="1"/>
        <v>#REF!</v>
      </c>
      <c r="AO1343" s="7" t="e">
        <f ca="1"/>
        <v>#REF!</v>
      </c>
      <c r="AP1343" s="7">
        <f ca="1"/>
        <v>0.1280339865202629</v>
      </c>
      <c r="AQ1343" s="7" t="e">
        <f ca="1"/>
        <v>#REF!</v>
      </c>
      <c r="AR1343" s="7" t="e">
        <f ca="1"/>
        <v>#REF!</v>
      </c>
      <c r="AS1343" s="7">
        <f ca="1"/>
        <v>0.88194836619248052</v>
      </c>
      <c r="AT1343" s="7" t="e">
        <f ca="1"/>
        <v>#REF!</v>
      </c>
      <c r="AU1343" s="7" t="e">
        <f ca="1"/>
        <v>#REF!</v>
      </c>
      <c r="AV1343" s="7" t="e">
        <f ca="1"/>
        <v>#REF!</v>
      </c>
    </row>
    <row r="1344" spans="37:48" x14ac:dyDescent="0.25">
      <c r="AK1344" t="str">
        <f ca="1"/>
        <v>Obs. 2302</v>
      </c>
      <c r="AL1344" s="7">
        <f ca="1"/>
        <v>48.9</v>
      </c>
      <c r="AN1344" s="7" t="e">
        <f ca="1"/>
        <v>#REF!</v>
      </c>
      <c r="AO1344" s="7" t="e">
        <f ca="1"/>
        <v>#REF!</v>
      </c>
      <c r="AP1344" s="7">
        <f ca="1"/>
        <v>0.12822914428019963</v>
      </c>
      <c r="AQ1344" s="7" t="e">
        <f ca="1"/>
        <v>#REF!</v>
      </c>
      <c r="AR1344" s="7" t="e">
        <f ca="1"/>
        <v>#REF!</v>
      </c>
      <c r="AS1344" s="7">
        <f ca="1"/>
        <v>0.89095501331493132</v>
      </c>
      <c r="AT1344" s="7" t="e">
        <f ca="1"/>
        <v>#REF!</v>
      </c>
      <c r="AU1344" s="7" t="e">
        <f ca="1"/>
        <v>#REF!</v>
      </c>
      <c r="AV1344" s="7" t="e">
        <f ca="1"/>
        <v>#REF!</v>
      </c>
    </row>
    <row r="1345" spans="37:48" x14ac:dyDescent="0.25">
      <c r="AK1345" t="str">
        <f ca="1"/>
        <v>Obs. 2303</v>
      </c>
      <c r="AL1345" s="7">
        <f ca="1"/>
        <v>48.1</v>
      </c>
      <c r="AN1345" s="7" t="e">
        <f ca="1"/>
        <v>#REF!</v>
      </c>
      <c r="AO1345" s="7" t="e">
        <f ca="1"/>
        <v>#REF!</v>
      </c>
      <c r="AP1345" s="7">
        <f ca="1"/>
        <v>0.1348367174671643</v>
      </c>
      <c r="AQ1345" s="7" t="e">
        <f ca="1"/>
        <v>#REF!</v>
      </c>
      <c r="AR1345" s="7" t="e">
        <f ca="1"/>
        <v>#REF!</v>
      </c>
      <c r="AS1345" s="7">
        <f ca="1"/>
        <v>0.89095501331493132</v>
      </c>
      <c r="AT1345" s="7" t="e">
        <f ca="1"/>
        <v>#REF!</v>
      </c>
      <c r="AU1345" s="7" t="e">
        <f ca="1"/>
        <v>#REF!</v>
      </c>
      <c r="AV1345" s="7" t="e">
        <f ca="1"/>
        <v>#REF!</v>
      </c>
    </row>
    <row r="1346" spans="37:48" x14ac:dyDescent="0.25">
      <c r="AK1346" t="str">
        <f ca="1"/>
        <v>Obs. 2304</v>
      </c>
      <c r="AL1346" s="7">
        <f ca="1"/>
        <v>47.1</v>
      </c>
      <c r="AN1346" s="7" t="e">
        <f ca="1"/>
        <v>#REF!</v>
      </c>
      <c r="AO1346" s="7" t="e">
        <f ca="1"/>
        <v>#REF!</v>
      </c>
      <c r="AP1346" s="7">
        <f ca="1"/>
        <v>0.13136971809864476</v>
      </c>
      <c r="AQ1346" s="7" t="e">
        <f ca="1"/>
        <v>#REF!</v>
      </c>
      <c r="AR1346" s="7" t="e">
        <f ca="1"/>
        <v>#REF!</v>
      </c>
      <c r="AS1346" s="7">
        <f ca="1"/>
        <v>0.89095501331493132</v>
      </c>
      <c r="AT1346" s="7" t="e">
        <f ca="1"/>
        <v>#REF!</v>
      </c>
      <c r="AU1346" s="7" t="e">
        <f ca="1"/>
        <v>#REF!</v>
      </c>
      <c r="AV1346" s="7" t="e">
        <f ca="1"/>
        <v>#REF!</v>
      </c>
    </row>
    <row r="1347" spans="37:48" x14ac:dyDescent="0.25">
      <c r="AK1347" t="str">
        <f ca="1"/>
        <v>Obs. 2305</v>
      </c>
      <c r="AL1347" s="7">
        <f ca="1"/>
        <v>46.2</v>
      </c>
      <c r="AN1347" s="7" t="e">
        <f ca="1"/>
        <v>#REF!</v>
      </c>
      <c r="AO1347" s="7" t="e">
        <f ca="1"/>
        <v>#REF!</v>
      </c>
      <c r="AP1347" s="7">
        <f ca="1"/>
        <v>0.13653776572938242</v>
      </c>
      <c r="AQ1347" s="7" t="e">
        <f ca="1"/>
        <v>#REF!</v>
      </c>
      <c r="AR1347" s="7" t="e">
        <f ca="1"/>
        <v>#REF!</v>
      </c>
      <c r="AS1347" s="7">
        <f ca="1"/>
        <v>0.89095501331493132</v>
      </c>
      <c r="AT1347" s="7" t="e">
        <f ca="1"/>
        <v>#REF!</v>
      </c>
      <c r="AU1347" s="7" t="e">
        <f ca="1"/>
        <v>#REF!</v>
      </c>
      <c r="AV1347" s="7" t="e">
        <f ca="1"/>
        <v>#REF!</v>
      </c>
    </row>
    <row r="1348" spans="37:48" x14ac:dyDescent="0.25">
      <c r="AK1348" t="str">
        <f ca="1"/>
        <v>Obs. 2306</v>
      </c>
      <c r="AL1348" s="7">
        <f ca="1"/>
        <v>45.3</v>
      </c>
      <c r="AN1348" s="7" t="e">
        <f ca="1"/>
        <v>#REF!</v>
      </c>
      <c r="AO1348" s="7" t="e">
        <f ca="1"/>
        <v>#REF!</v>
      </c>
      <c r="AP1348" s="7">
        <f ca="1"/>
        <v>0.14618231990282704</v>
      </c>
      <c r="AQ1348" s="7" t="e">
        <f ca="1"/>
        <v>#REF!</v>
      </c>
      <c r="AR1348" s="7" t="e">
        <f ca="1"/>
        <v>#REF!</v>
      </c>
      <c r="AS1348" s="7">
        <f ca="1"/>
        <v>0.89095501331493132</v>
      </c>
      <c r="AT1348" s="7" t="e">
        <f ca="1"/>
        <v>#REF!</v>
      </c>
      <c r="AU1348" s="7" t="e">
        <f ca="1"/>
        <v>#REF!</v>
      </c>
      <c r="AV1348" s="7" t="e">
        <f ca="1"/>
        <v>#REF!</v>
      </c>
    </row>
    <row r="1349" spans="37:48" x14ac:dyDescent="0.25">
      <c r="AK1349" t="str">
        <f ca="1"/>
        <v>Obs. 2363</v>
      </c>
      <c r="AL1349" s="7">
        <f ca="1"/>
        <v>68.8</v>
      </c>
      <c r="AN1349" s="7" t="e">
        <f ca="1"/>
        <v>#REF!</v>
      </c>
      <c r="AO1349" s="7" t="e">
        <f ca="1"/>
        <v>#REF!</v>
      </c>
      <c r="AP1349" s="7">
        <f ca="1"/>
        <v>6.7112711037230641E-2</v>
      </c>
      <c r="AQ1349" s="7" t="e">
        <f ca="1"/>
        <v>#REF!</v>
      </c>
      <c r="AR1349" s="7" t="e">
        <f ca="1"/>
        <v>#REF!</v>
      </c>
      <c r="AS1349" s="7">
        <f ca="1"/>
        <v>0.89095501331493132</v>
      </c>
      <c r="AT1349" s="7" t="e">
        <f ca="1"/>
        <v>#REF!</v>
      </c>
      <c r="AU1349" s="7" t="e">
        <f ca="1"/>
        <v>#REF!</v>
      </c>
      <c r="AV1349" s="7" t="e">
        <f ca="1"/>
        <v>#REF!</v>
      </c>
    </row>
    <row r="1350" spans="37:48" x14ac:dyDescent="0.25">
      <c r="AK1350" t="str">
        <f ca="1"/>
        <v>Obs. 2364</v>
      </c>
      <c r="AL1350" s="7">
        <f ca="1"/>
        <v>68.8</v>
      </c>
      <c r="AN1350" s="7" t="e">
        <f ca="1"/>
        <v>#REF!</v>
      </c>
      <c r="AO1350" s="7" t="e">
        <f ca="1"/>
        <v>#REF!</v>
      </c>
      <c r="AP1350" s="7">
        <f ca="1"/>
        <v>6.6638521561621533E-2</v>
      </c>
      <c r="AQ1350" s="7" t="e">
        <f ca="1"/>
        <v>#REF!</v>
      </c>
      <c r="AR1350" s="7" t="e">
        <f ca="1"/>
        <v>#REF!</v>
      </c>
      <c r="AS1350" s="7">
        <f ca="1"/>
        <v>0.90460220385671419</v>
      </c>
      <c r="AT1350" s="7" t="e">
        <f ca="1"/>
        <v>#REF!</v>
      </c>
      <c r="AU1350" s="7" t="e">
        <f ca="1"/>
        <v>#REF!</v>
      </c>
      <c r="AV1350" s="7" t="e">
        <f ca="1"/>
        <v>#REF!</v>
      </c>
    </row>
    <row r="1351" spans="37:48" x14ac:dyDescent="0.25">
      <c r="AK1351" t="str">
        <f ca="1"/>
        <v>Obs. 2365</v>
      </c>
      <c r="AL1351" s="7">
        <f ca="1"/>
        <v>68.7</v>
      </c>
      <c r="AN1351" s="7" t="e">
        <f ca="1"/>
        <v>#REF!</v>
      </c>
      <c r="AO1351" s="7" t="e">
        <f ca="1"/>
        <v>#REF!</v>
      </c>
      <c r="AP1351" s="7">
        <f ca="1"/>
        <v>6.63788327015635E-2</v>
      </c>
      <c r="AQ1351" s="7" t="e">
        <f ca="1"/>
        <v>#REF!</v>
      </c>
      <c r="AR1351" s="7" t="e">
        <f ca="1"/>
        <v>#REF!</v>
      </c>
      <c r="AS1351" s="7">
        <f ca="1"/>
        <v>0.90460220385671419</v>
      </c>
      <c r="AT1351" s="7" t="e">
        <f ca="1"/>
        <v>#REF!</v>
      </c>
      <c r="AU1351" s="7" t="e">
        <f ca="1"/>
        <v>#REF!</v>
      </c>
      <c r="AV1351" s="7" t="e">
        <f ca="1"/>
        <v>#REF!</v>
      </c>
    </row>
    <row r="1352" spans="37:48" x14ac:dyDescent="0.25">
      <c r="AK1352" t="str">
        <f ca="1"/>
        <v>Obs. 2366</v>
      </c>
      <c r="AL1352" s="7">
        <f ca="1"/>
        <v>68.5</v>
      </c>
      <c r="AN1352" s="7" t="e">
        <f ca="1"/>
        <v>#REF!</v>
      </c>
      <c r="AO1352" s="7" t="e">
        <f ca="1"/>
        <v>#REF!</v>
      </c>
      <c r="AP1352" s="7">
        <f ca="1"/>
        <v>6.6210308898718262E-2</v>
      </c>
      <c r="AQ1352" s="7" t="e">
        <f ca="1"/>
        <v>#REF!</v>
      </c>
      <c r="AR1352" s="7" t="e">
        <f ca="1"/>
        <v>#REF!</v>
      </c>
      <c r="AS1352" s="7">
        <f ca="1"/>
        <v>0.90460220385671419</v>
      </c>
      <c r="AT1352" s="7" t="e">
        <f ca="1"/>
        <v>#REF!</v>
      </c>
      <c r="AU1352" s="7" t="e">
        <f ca="1"/>
        <v>#REF!</v>
      </c>
      <c r="AV1352" s="7" t="e">
        <f ca="1"/>
        <v>#REF!</v>
      </c>
    </row>
    <row r="1353" spans="37:48" x14ac:dyDescent="0.25">
      <c r="AK1353" t="str">
        <f ca="1"/>
        <v>Obs. 2367</v>
      </c>
      <c r="AL1353" s="7">
        <f ca="1"/>
        <v>68.3</v>
      </c>
      <c r="AN1353" s="7" t="e">
        <f ca="1"/>
        <v>#REF!</v>
      </c>
      <c r="AO1353" s="7" t="e">
        <f ca="1"/>
        <v>#REF!</v>
      </c>
      <c r="AP1353" s="7">
        <f ca="1"/>
        <v>8.1030848623951421E-2</v>
      </c>
      <c r="AQ1353" s="7" t="e">
        <f ca="1"/>
        <v>#REF!</v>
      </c>
      <c r="AR1353" s="7" t="e">
        <f ca="1"/>
        <v>#REF!</v>
      </c>
      <c r="AS1353" s="7">
        <f ca="1"/>
        <v>0.91148934236618206</v>
      </c>
      <c r="AT1353" s="7" t="e">
        <f ca="1"/>
        <v>#REF!</v>
      </c>
      <c r="AU1353" s="7" t="e">
        <f ca="1"/>
        <v>#REF!</v>
      </c>
      <c r="AV1353" s="7" t="e">
        <f ca="1"/>
        <v>#REF!</v>
      </c>
    </row>
    <row r="1354" spans="37:48" x14ac:dyDescent="0.25">
      <c r="AK1354" t="str">
        <f ca="1"/>
        <v>Obs. 2368</v>
      </c>
      <c r="AL1354" s="7">
        <f ca="1"/>
        <v>68.099999999999994</v>
      </c>
      <c r="AN1354" s="7" t="e">
        <f ca="1"/>
        <v>#REF!</v>
      </c>
      <c r="AO1354" s="7" t="e">
        <f ca="1"/>
        <v>#REF!</v>
      </c>
      <c r="AP1354" s="7">
        <f ca="1"/>
        <v>6.5724400388588899E-2</v>
      </c>
      <c r="AQ1354" s="7" t="e">
        <f ca="1"/>
        <v>#REF!</v>
      </c>
      <c r="AR1354" s="7" t="e">
        <f ca="1"/>
        <v>#REF!</v>
      </c>
      <c r="AS1354" s="7">
        <f ca="1"/>
        <v>0.91148934236618206</v>
      </c>
      <c r="AT1354" s="7" t="e">
        <f ca="1"/>
        <v>#REF!</v>
      </c>
      <c r="AU1354" s="7" t="e">
        <f ca="1"/>
        <v>#REF!</v>
      </c>
      <c r="AV1354" s="7" t="e">
        <f ca="1"/>
        <v>#REF!</v>
      </c>
    </row>
    <row r="1355" spans="37:48" x14ac:dyDescent="0.25">
      <c r="AK1355" t="str">
        <f ca="1"/>
        <v>Obs. 2369</v>
      </c>
      <c r="AL1355" s="7">
        <f ca="1"/>
        <v>68</v>
      </c>
      <c r="AN1355" s="7" t="e">
        <f ca="1"/>
        <v>#REF!</v>
      </c>
      <c r="AO1355" s="7" t="e">
        <f ca="1"/>
        <v>#REF!</v>
      </c>
      <c r="AP1355" s="7">
        <f ca="1"/>
        <v>6.4780066524638913E-2</v>
      </c>
      <c r="AQ1355" s="7" t="e">
        <f ca="1"/>
        <v>#REF!</v>
      </c>
      <c r="AR1355" s="7" t="e">
        <f ca="1"/>
        <v>#REF!</v>
      </c>
      <c r="AS1355" s="7">
        <f ca="1"/>
        <v>0.91148934236618206</v>
      </c>
      <c r="AT1355" s="7" t="e">
        <f ca="1"/>
        <v>#REF!</v>
      </c>
      <c r="AU1355" s="7" t="e">
        <f ca="1"/>
        <v>#REF!</v>
      </c>
      <c r="AV1355" s="7" t="e">
        <f ca="1"/>
        <v>#REF!</v>
      </c>
    </row>
    <row r="1356" spans="37:48" x14ac:dyDescent="0.25">
      <c r="AK1356" t="str">
        <f ca="1"/>
        <v>Obs. 2370</v>
      </c>
      <c r="AL1356" s="7">
        <f ca="1"/>
        <v>67.599999999999994</v>
      </c>
      <c r="AN1356" s="7" t="e">
        <f ca="1"/>
        <v>#REF!</v>
      </c>
      <c r="AO1356" s="7" t="e">
        <f ca="1"/>
        <v>#REF!</v>
      </c>
      <c r="AP1356" s="7">
        <f ca="1"/>
        <v>8.0317474485045712E-2</v>
      </c>
      <c r="AQ1356" s="7" t="e">
        <f ca="1"/>
        <v>#REF!</v>
      </c>
      <c r="AR1356" s="7" t="e">
        <f ca="1"/>
        <v>#REF!</v>
      </c>
      <c r="AS1356" s="7">
        <f ca="1"/>
        <v>0.91841998904288702</v>
      </c>
      <c r="AT1356" s="7" t="e">
        <f ca="1"/>
        <v>#REF!</v>
      </c>
      <c r="AU1356" s="7" t="e">
        <f ca="1"/>
        <v>#REF!</v>
      </c>
      <c r="AV1356" s="7" t="e">
        <f ca="1"/>
        <v>#REF!</v>
      </c>
    </row>
    <row r="1357" spans="37:48" x14ac:dyDescent="0.25">
      <c r="AK1357" t="str">
        <f ca="1"/>
        <v>Obs. 2371</v>
      </c>
      <c r="AL1357" s="7">
        <f ca="1"/>
        <v>67.599999999999994</v>
      </c>
      <c r="AN1357" s="7" t="e">
        <f ca="1"/>
        <v>#REF!</v>
      </c>
      <c r="AO1357" s="7" t="e">
        <f ca="1"/>
        <v>#REF!</v>
      </c>
      <c r="AP1357" s="7">
        <f ca="1"/>
        <v>6.7128608851546825E-2</v>
      </c>
      <c r="AQ1357" s="7" t="e">
        <f ca="1"/>
        <v>#REF!</v>
      </c>
      <c r="AR1357" s="7" t="e">
        <f ca="1"/>
        <v>#REF!</v>
      </c>
      <c r="AS1357" s="7">
        <f ca="1"/>
        <v>0.91841998904288702</v>
      </c>
      <c r="AT1357" s="7" t="e">
        <f ca="1"/>
        <v>#REF!</v>
      </c>
      <c r="AU1357" s="7" t="e">
        <f ca="1"/>
        <v>#REF!</v>
      </c>
      <c r="AV1357" s="7" t="e">
        <f ca="1"/>
        <v>#REF!</v>
      </c>
    </row>
    <row r="1358" spans="37:48" x14ac:dyDescent="0.25">
      <c r="AK1358" t="str">
        <f ca="1"/>
        <v>Obs. 2372</v>
      </c>
      <c r="AL1358" s="7">
        <f ca="1"/>
        <v>67.400000000000006</v>
      </c>
      <c r="AN1358" s="7" t="e">
        <f ca="1"/>
        <v>#REF!</v>
      </c>
      <c r="AO1358" s="7" t="e">
        <f ca="1"/>
        <v>#REF!</v>
      </c>
      <c r="AP1358" s="7">
        <f ca="1"/>
        <v>8.3610205073616398E-2</v>
      </c>
      <c r="AQ1358" s="7" t="e">
        <f ca="1"/>
        <v>#REF!</v>
      </c>
      <c r="AR1358" s="7" t="e">
        <f ca="1"/>
        <v>#REF!</v>
      </c>
      <c r="AS1358" s="7">
        <f ca="1"/>
        <v>0.91841998904288702</v>
      </c>
      <c r="AT1358" s="7" t="e">
        <f ca="1"/>
        <v>#REF!</v>
      </c>
      <c r="AU1358" s="7" t="e">
        <f ca="1"/>
        <v>#REF!</v>
      </c>
      <c r="AV1358" s="7" t="e">
        <f ca="1"/>
        <v>#REF!</v>
      </c>
    </row>
    <row r="1359" spans="37:48" x14ac:dyDescent="0.25">
      <c r="AK1359" t="str">
        <f ca="1"/>
        <v>Obs. 2373</v>
      </c>
      <c r="AL1359" s="7">
        <f ca="1"/>
        <v>67.099999999999994</v>
      </c>
      <c r="AN1359" s="7" t="e">
        <f ca="1"/>
        <v>#REF!</v>
      </c>
      <c r="AO1359" s="7" t="e">
        <f ca="1"/>
        <v>#REF!</v>
      </c>
      <c r="AP1359" s="7">
        <f ca="1"/>
        <v>7.9569839489212604E-2</v>
      </c>
      <c r="AQ1359" s="7" t="e">
        <f ca="1"/>
        <v>#REF!</v>
      </c>
      <c r="AR1359" s="7" t="e">
        <f ca="1"/>
        <v>#REF!</v>
      </c>
      <c r="AS1359" s="7">
        <f ca="1"/>
        <v>0.91841998904288702</v>
      </c>
      <c r="AT1359" s="7" t="e">
        <f ca="1"/>
        <v>#REF!</v>
      </c>
      <c r="AU1359" s="7" t="e">
        <f ca="1"/>
        <v>#REF!</v>
      </c>
      <c r="AV1359" s="7" t="e">
        <f ca="1"/>
        <v>#REF!</v>
      </c>
    </row>
    <row r="1360" spans="37:48" x14ac:dyDescent="0.25">
      <c r="AK1360" t="str">
        <f ca="1"/>
        <v>Obs. 2374</v>
      </c>
      <c r="AL1360" s="7">
        <f ca="1"/>
        <v>66.8</v>
      </c>
      <c r="AN1360" s="7" t="e">
        <f ca="1"/>
        <v>#REF!</v>
      </c>
      <c r="AO1360" s="7" t="e">
        <f ca="1"/>
        <v>#REF!</v>
      </c>
      <c r="AP1360" s="7">
        <f ca="1"/>
        <v>7.0293311941052927E-2</v>
      </c>
      <c r="AQ1360" s="7" t="e">
        <f ca="1"/>
        <v>#REF!</v>
      </c>
      <c r="AR1360" s="7" t="e">
        <f ca="1"/>
        <v>#REF!</v>
      </c>
      <c r="AS1360" s="7">
        <f ca="1"/>
        <v>0.91841998904288702</v>
      </c>
      <c r="AT1360" s="7" t="e">
        <f ca="1"/>
        <v>#REF!</v>
      </c>
      <c r="AU1360" s="7" t="e">
        <f ca="1"/>
        <v>#REF!</v>
      </c>
      <c r="AV1360" s="7" t="e">
        <f ca="1"/>
        <v>#REF!</v>
      </c>
    </row>
    <row r="1361" spans="37:48" x14ac:dyDescent="0.25">
      <c r="AK1361" t="str">
        <f ca="1"/>
        <v>Obs. 2375</v>
      </c>
      <c r="AL1361" s="7">
        <f ca="1"/>
        <v>66.5</v>
      </c>
      <c r="AN1361" s="7" t="e">
        <f ca="1"/>
        <v>#REF!</v>
      </c>
      <c r="AO1361" s="7" t="e">
        <f ca="1"/>
        <v>#REF!</v>
      </c>
      <c r="AP1361" s="7">
        <f ca="1"/>
        <v>6.7530732857106437E-2</v>
      </c>
      <c r="AQ1361" s="7" t="e">
        <f ca="1"/>
        <v>#REF!</v>
      </c>
      <c r="AR1361" s="7" t="e">
        <f ca="1"/>
        <v>#REF!</v>
      </c>
      <c r="AS1361" s="7">
        <f ca="1"/>
        <v>0.91841998904288702</v>
      </c>
      <c r="AT1361" s="7" t="e">
        <f ca="1"/>
        <v>#REF!</v>
      </c>
      <c r="AU1361" s="7" t="e">
        <f ca="1"/>
        <v>#REF!</v>
      </c>
      <c r="AV1361" s="7" t="e">
        <f ca="1"/>
        <v>#REF!</v>
      </c>
    </row>
    <row r="1362" spans="37:48" x14ac:dyDescent="0.25">
      <c r="AK1362" t="str">
        <f ca="1"/>
        <v>Obs. 2376</v>
      </c>
      <c r="AL1362" s="7">
        <f ca="1"/>
        <v>66.2</v>
      </c>
      <c r="AN1362" s="7" t="e">
        <f ca="1"/>
        <v>#REF!</v>
      </c>
      <c r="AO1362" s="7" t="e">
        <f ca="1"/>
        <v>#REF!</v>
      </c>
      <c r="AP1362" s="7">
        <f ca="1"/>
        <v>6.9153010970628814E-2</v>
      </c>
      <c r="AQ1362" s="7" t="e">
        <f ca="1"/>
        <v>#REF!</v>
      </c>
      <c r="AR1362" s="7" t="e">
        <f ca="1"/>
        <v>#REF!</v>
      </c>
      <c r="AS1362" s="7">
        <f ca="1"/>
        <v>0.93241539434320941</v>
      </c>
      <c r="AT1362" s="7" t="e">
        <f ca="1"/>
        <v>#REF!</v>
      </c>
      <c r="AU1362" s="7" t="e">
        <f ca="1"/>
        <v>#REF!</v>
      </c>
      <c r="AV1362" s="7" t="e">
        <f ca="1"/>
        <v>#REF!</v>
      </c>
    </row>
    <row r="1363" spans="37:48" x14ac:dyDescent="0.25">
      <c r="AK1363" t="str">
        <f ca="1"/>
        <v>Obs. 2377</v>
      </c>
      <c r="AL1363" s="7">
        <f ca="1"/>
        <v>65.8</v>
      </c>
      <c r="AN1363" s="7" t="e">
        <f ca="1"/>
        <v>#REF!</v>
      </c>
      <c r="AO1363" s="7" t="e">
        <f ca="1"/>
        <v>#REF!</v>
      </c>
      <c r="AP1363" s="7">
        <f ca="1"/>
        <v>6.8128046747352455E-2</v>
      </c>
      <c r="AQ1363" s="7" t="e">
        <f ca="1"/>
        <v>#REF!</v>
      </c>
      <c r="AR1363" s="7" t="e">
        <f ca="1"/>
        <v>#REF!</v>
      </c>
      <c r="AS1363" s="7">
        <f ca="1"/>
        <v>0.93241539434320941</v>
      </c>
      <c r="AT1363" s="7" t="e">
        <f ca="1"/>
        <v>#REF!</v>
      </c>
      <c r="AU1363" s="7" t="e">
        <f ca="1"/>
        <v>#REF!</v>
      </c>
      <c r="AV1363" s="7" t="e">
        <f ca="1"/>
        <v>#REF!</v>
      </c>
    </row>
    <row r="1364" spans="37:48" x14ac:dyDescent="0.25">
      <c r="AK1364" t="str">
        <f ca="1"/>
        <v>Obs. 2395</v>
      </c>
      <c r="AL1364" s="7">
        <f ca="1"/>
        <v>62</v>
      </c>
      <c r="AN1364" s="7" t="e">
        <f ca="1"/>
        <v>#REF!</v>
      </c>
      <c r="AO1364" s="7" t="e">
        <f ca="1"/>
        <v>#REF!</v>
      </c>
      <c r="AP1364" s="7">
        <f ca="1"/>
        <v>0.10655661559292948</v>
      </c>
      <c r="AQ1364" s="7" t="e">
        <f ca="1"/>
        <v>#REF!</v>
      </c>
      <c r="AR1364" s="7" t="e">
        <f ca="1"/>
        <v>#REF!</v>
      </c>
      <c r="AS1364" s="7">
        <f ca="1"/>
        <v>0.93712127394454448</v>
      </c>
      <c r="AT1364" s="7" t="e">
        <f ca="1"/>
        <v>#REF!</v>
      </c>
      <c r="AU1364" s="7" t="e">
        <f ca="1"/>
        <v>#REF!</v>
      </c>
      <c r="AV1364" s="7" t="e">
        <f ca="1"/>
        <v>#REF!</v>
      </c>
    </row>
    <row r="1365" spans="37:48" x14ac:dyDescent="0.25">
      <c r="AK1365" t="str">
        <f ca="1"/>
        <v>Obs. 2396</v>
      </c>
      <c r="AL1365" s="7">
        <f ca="1"/>
        <v>69</v>
      </c>
      <c r="AN1365" s="7" t="e">
        <f ca="1"/>
        <v>#REF!</v>
      </c>
      <c r="AO1365" s="7" t="e">
        <f ca="1"/>
        <v>#REF!</v>
      </c>
      <c r="AP1365" s="7">
        <f ca="1"/>
        <v>9.9951150543692829E-2</v>
      </c>
      <c r="AQ1365" s="7" t="e">
        <f ca="1"/>
        <v>#REF!</v>
      </c>
      <c r="AR1365" s="7" t="e">
        <f ca="1"/>
        <v>#REF!</v>
      </c>
      <c r="AS1365" s="7">
        <f ca="1"/>
        <v>0.93712127394454448</v>
      </c>
      <c r="AT1365" s="7" t="e">
        <f ca="1"/>
        <v>#REF!</v>
      </c>
      <c r="AU1365" s="7" t="e">
        <f ca="1"/>
        <v>#REF!</v>
      </c>
      <c r="AV1365" s="7" t="e">
        <f ca="1"/>
        <v>#REF!</v>
      </c>
    </row>
    <row r="1366" spans="37:48" x14ac:dyDescent="0.25">
      <c r="AK1366" t="str">
        <f ca="1"/>
        <v>Obs. 2397</v>
      </c>
      <c r="AL1366" s="7">
        <f ca="1"/>
        <v>59.2</v>
      </c>
      <c r="AN1366" s="7" t="e">
        <f ca="1"/>
        <v>#REF!</v>
      </c>
      <c r="AO1366" s="7" t="e">
        <f ca="1"/>
        <v>#REF!</v>
      </c>
      <c r="AP1366" s="7">
        <f ca="1"/>
        <v>9.2648810351822944E-2</v>
      </c>
      <c r="AQ1366" s="7" t="e">
        <f ca="1"/>
        <v>#REF!</v>
      </c>
      <c r="AR1366" s="7" t="e">
        <f ca="1"/>
        <v>#REF!</v>
      </c>
      <c r="AS1366" s="7">
        <f ca="1"/>
        <v>0.93712127394454448</v>
      </c>
      <c r="AT1366" s="7" t="e">
        <f ca="1"/>
        <v>#REF!</v>
      </c>
      <c r="AU1366" s="7" t="e">
        <f ca="1"/>
        <v>#REF!</v>
      </c>
      <c r="AV1366" s="7" t="e">
        <f ca="1"/>
        <v>#REF!</v>
      </c>
    </row>
    <row r="1367" spans="37:48" x14ac:dyDescent="0.25">
      <c r="AK1367" t="str">
        <f ca="1"/>
        <v>Obs. 2398</v>
      </c>
      <c r="AL1367" s="7">
        <f ca="1"/>
        <v>58.9</v>
      </c>
      <c r="AN1367" s="7" t="e">
        <f ca="1"/>
        <v>#REF!</v>
      </c>
      <c r="AO1367" s="7" t="e">
        <f ca="1"/>
        <v>#REF!</v>
      </c>
      <c r="AP1367" s="7">
        <f ca="1"/>
        <v>7.9322798029475367E-2</v>
      </c>
      <c r="AQ1367" s="7" t="e">
        <f ca="1"/>
        <v>#REF!</v>
      </c>
      <c r="AR1367" s="7" t="e">
        <f ca="1"/>
        <v>#REF!</v>
      </c>
      <c r="AS1367" s="7">
        <f ca="1"/>
        <v>0.93712127394454448</v>
      </c>
      <c r="AT1367" s="7" t="e">
        <f ca="1"/>
        <v>#REF!</v>
      </c>
      <c r="AU1367" s="7" t="e">
        <f ca="1"/>
        <v>#REF!</v>
      </c>
      <c r="AV1367" s="7" t="e">
        <f ca="1"/>
        <v>#REF!</v>
      </c>
    </row>
    <row r="1368" spans="37:48" x14ac:dyDescent="0.25">
      <c r="AK1368" t="str">
        <f ca="1"/>
        <v>Obs. 2399</v>
      </c>
      <c r="AL1368" s="7">
        <f ca="1"/>
        <v>58</v>
      </c>
      <c r="AN1368" s="7" t="e">
        <f ca="1"/>
        <v>#REF!</v>
      </c>
      <c r="AO1368" s="7" t="e">
        <f ca="1"/>
        <v>#REF!</v>
      </c>
      <c r="AP1368" s="7">
        <f ca="1"/>
        <v>7.5763046030939238E-2</v>
      </c>
      <c r="AQ1368" s="7" t="e">
        <f ca="1"/>
        <v>#REF!</v>
      </c>
      <c r="AR1368" s="7" t="e">
        <f ca="1"/>
        <v>#REF!</v>
      </c>
      <c r="AS1368" s="7">
        <f ca="1"/>
        <v>0.93712127394454448</v>
      </c>
      <c r="AT1368" s="7" t="e">
        <f ca="1"/>
        <v>#REF!</v>
      </c>
      <c r="AU1368" s="7" t="e">
        <f ca="1"/>
        <v>#REF!</v>
      </c>
      <c r="AV1368" s="7" t="e">
        <f ca="1"/>
        <v>#REF!</v>
      </c>
    </row>
    <row r="1369" spans="37:48" x14ac:dyDescent="0.25">
      <c r="AK1369" t="str">
        <f ca="1"/>
        <v>Obs. 2400</v>
      </c>
      <c r="AL1369" s="7">
        <f ca="1"/>
        <v>56.5</v>
      </c>
      <c r="AN1369" s="7" t="e">
        <f ca="1"/>
        <v>#REF!</v>
      </c>
      <c r="AO1369" s="7" t="e">
        <f ca="1"/>
        <v>#REF!</v>
      </c>
      <c r="AP1369" s="7">
        <f ca="1"/>
        <v>6.8602112933222853E-2</v>
      </c>
      <c r="AQ1369" s="7" t="e">
        <f ca="1"/>
        <v>#REF!</v>
      </c>
      <c r="AR1369" s="7" t="e">
        <f ca="1"/>
        <v>#REF!</v>
      </c>
      <c r="AS1369" s="7">
        <f ca="1"/>
        <v>0.94897780985887181</v>
      </c>
      <c r="AT1369" s="7" t="e">
        <f ca="1"/>
        <v>#REF!</v>
      </c>
      <c r="AU1369" s="7" t="e">
        <f ca="1"/>
        <v>#REF!</v>
      </c>
      <c r="AV1369" s="7" t="e">
        <f ca="1"/>
        <v>#REF!</v>
      </c>
    </row>
    <row r="1370" spans="37:48" x14ac:dyDescent="0.25">
      <c r="AK1370" t="str">
        <f ca="1"/>
        <v>Obs. 2401</v>
      </c>
      <c r="AL1370" s="7">
        <f ca="1"/>
        <v>55.3</v>
      </c>
      <c r="AN1370" s="7" t="e">
        <f ca="1"/>
        <v>#REF!</v>
      </c>
      <c r="AO1370" s="7" t="e">
        <f ca="1"/>
        <v>#REF!</v>
      </c>
      <c r="AP1370" s="7">
        <f ca="1"/>
        <v>0.1008620554347234</v>
      </c>
      <c r="AQ1370" s="7" t="e">
        <f ca="1"/>
        <v>#REF!</v>
      </c>
      <c r="AR1370" s="7" t="e">
        <f ca="1"/>
        <v>#REF!</v>
      </c>
      <c r="AS1370" s="7">
        <f ca="1"/>
        <v>0.94897780985887181</v>
      </c>
      <c r="AT1370" s="7" t="e">
        <f ca="1"/>
        <v>#REF!</v>
      </c>
      <c r="AU1370" s="7" t="e">
        <f ca="1"/>
        <v>#REF!</v>
      </c>
      <c r="AV1370" s="7" t="e">
        <f ca="1"/>
        <v>#REF!</v>
      </c>
    </row>
    <row r="1371" spans="37:48" x14ac:dyDescent="0.25">
      <c r="AK1371" t="str">
        <f ca="1"/>
        <v>Obs. 2402</v>
      </c>
      <c r="AL1371" s="7">
        <f ca="1"/>
        <v>54.5</v>
      </c>
      <c r="AN1371" s="7" t="e">
        <f ca="1"/>
        <v>#REF!</v>
      </c>
      <c r="AO1371" s="7" t="e">
        <f ca="1"/>
        <v>#REF!</v>
      </c>
      <c r="AP1371" s="7">
        <f ca="1"/>
        <v>7.2566745531381427E-2</v>
      </c>
      <c r="AQ1371" s="7" t="e">
        <f ca="1"/>
        <v>#REF!</v>
      </c>
      <c r="AR1371" s="7" t="e">
        <f ca="1"/>
        <v>#REF!</v>
      </c>
      <c r="AS1371" s="7">
        <f ca="1"/>
        <v>0.94897780985887181</v>
      </c>
      <c r="AT1371" s="7" t="e">
        <f ca="1"/>
        <v>#REF!</v>
      </c>
      <c r="AU1371" s="7" t="e">
        <f ca="1"/>
        <v>#REF!</v>
      </c>
      <c r="AV1371" s="7" t="e">
        <f ca="1"/>
        <v>#REF!</v>
      </c>
    </row>
    <row r="1372" spans="37:48" x14ac:dyDescent="0.25">
      <c r="AK1372" t="str">
        <f ca="1"/>
        <v>Obs. 2403</v>
      </c>
      <c r="AL1372" s="7">
        <f ca="1"/>
        <v>54</v>
      </c>
      <c r="AN1372" s="7" t="e">
        <f ca="1"/>
        <v>#REF!</v>
      </c>
      <c r="AO1372" s="7" t="e">
        <f ca="1"/>
        <v>#REF!</v>
      </c>
      <c r="AP1372" s="7">
        <f ca="1"/>
        <v>0.10451864364634135</v>
      </c>
      <c r="AQ1372" s="7" t="e">
        <f ca="1"/>
        <v>#REF!</v>
      </c>
      <c r="AR1372" s="7" t="e">
        <f ca="1"/>
        <v>#REF!</v>
      </c>
      <c r="AS1372" s="7">
        <f ca="1"/>
        <v>0.94897780985887181</v>
      </c>
      <c r="AT1372" s="7" t="e">
        <f ca="1"/>
        <v>#REF!</v>
      </c>
      <c r="AU1372" s="7" t="e">
        <f ca="1"/>
        <v>#REF!</v>
      </c>
      <c r="AV1372" s="7" t="e">
        <f ca="1"/>
        <v>#REF!</v>
      </c>
    </row>
    <row r="1373" spans="37:48" x14ac:dyDescent="0.25">
      <c r="AK1373" t="str">
        <f ca="1"/>
        <v>Obs. 2404</v>
      </c>
      <c r="AL1373" s="7">
        <f ca="1"/>
        <v>53.8</v>
      </c>
      <c r="AN1373" s="7" t="e">
        <f ca="1"/>
        <v>#REF!</v>
      </c>
      <c r="AO1373" s="7" t="e">
        <f ca="1"/>
        <v>#REF!</v>
      </c>
      <c r="AP1373" s="7">
        <f ca="1"/>
        <v>7.6226643655203888E-2</v>
      </c>
      <c r="AQ1373" s="7" t="e">
        <f ca="1"/>
        <v>#REF!</v>
      </c>
      <c r="AR1373" s="7" t="e">
        <f ca="1"/>
        <v>#REF!</v>
      </c>
      <c r="AS1373" s="7">
        <f ca="1"/>
        <v>0.95855995741850497</v>
      </c>
      <c r="AT1373" s="7" t="e">
        <f ca="1"/>
        <v>#REF!</v>
      </c>
      <c r="AU1373" s="7" t="e">
        <f ca="1"/>
        <v>#REF!</v>
      </c>
      <c r="AV1373" s="7" t="e">
        <f ca="1"/>
        <v>#REF!</v>
      </c>
    </row>
    <row r="1374" spans="37:48" x14ac:dyDescent="0.25">
      <c r="AK1374" t="str">
        <f ca="1"/>
        <v>Obs. 2405</v>
      </c>
      <c r="AL1374" s="7">
        <f ca="1"/>
        <v>53.7</v>
      </c>
      <c r="AN1374" s="7" t="e">
        <f ca="1"/>
        <v>#REF!</v>
      </c>
      <c r="AO1374" s="7" t="e">
        <f ca="1"/>
        <v>#REF!</v>
      </c>
      <c r="AP1374" s="7">
        <f ca="1"/>
        <v>7.7864262656423086E-2</v>
      </c>
      <c r="AQ1374" s="7" t="e">
        <f ca="1"/>
        <v>#REF!</v>
      </c>
      <c r="AR1374" s="7" t="e">
        <f ca="1"/>
        <v>#REF!</v>
      </c>
      <c r="AS1374" s="7">
        <f ca="1"/>
        <v>0.95855995741850497</v>
      </c>
      <c r="AT1374" s="7" t="e">
        <f ca="1"/>
        <v>#REF!</v>
      </c>
      <c r="AU1374" s="7" t="e">
        <f ca="1"/>
        <v>#REF!</v>
      </c>
      <c r="AV1374" s="7" t="e">
        <f ca="1"/>
        <v>#REF!</v>
      </c>
    </row>
    <row r="1375" spans="37:48" x14ac:dyDescent="0.25">
      <c r="AK1375" t="str">
        <f ca="1"/>
        <v>Obs. 2406</v>
      </c>
      <c r="AL1375" s="7">
        <f ca="1"/>
        <v>54</v>
      </c>
      <c r="AN1375" s="7" t="e">
        <f ca="1"/>
        <v>#REF!</v>
      </c>
      <c r="AO1375" s="7" t="e">
        <f ca="1"/>
        <v>#REF!</v>
      </c>
      <c r="AP1375" s="7">
        <f ca="1"/>
        <v>8.7397894586026662E-2</v>
      </c>
      <c r="AQ1375" s="7" t="e">
        <f ca="1"/>
        <v>#REF!</v>
      </c>
      <c r="AR1375" s="7" t="e">
        <f ca="1"/>
        <v>#REF!</v>
      </c>
      <c r="AS1375" s="7">
        <f ca="1"/>
        <v>0.95855995741850497</v>
      </c>
      <c r="AT1375" s="7" t="e">
        <f ca="1"/>
        <v>#REF!</v>
      </c>
      <c r="AU1375" s="7" t="e">
        <f ca="1"/>
        <v>#REF!</v>
      </c>
      <c r="AV1375" s="7" t="e">
        <f ca="1"/>
        <v>#REF!</v>
      </c>
    </row>
    <row r="1376" spans="37:48" x14ac:dyDescent="0.25">
      <c r="AK1376" t="str">
        <f ca="1"/>
        <v>Obs. 2407</v>
      </c>
      <c r="AL1376" s="7">
        <f ca="1"/>
        <v>54.9</v>
      </c>
      <c r="AN1376" s="7" t="e">
        <f ca="1"/>
        <v>#REF!</v>
      </c>
      <c r="AO1376" s="7" t="e">
        <f ca="1"/>
        <v>#REF!</v>
      </c>
      <c r="AP1376" s="7">
        <f ca="1"/>
        <v>9.4274626073092074E-2</v>
      </c>
      <c r="AQ1376" s="7" t="e">
        <f ca="1"/>
        <v>#REF!</v>
      </c>
      <c r="AR1376" s="7" t="e">
        <f ca="1"/>
        <v>#REF!</v>
      </c>
      <c r="AS1376" s="7">
        <f ca="1"/>
        <v>0.95855995741850497</v>
      </c>
      <c r="AT1376" s="7" t="e">
        <f ca="1"/>
        <v>#REF!</v>
      </c>
      <c r="AU1376" s="7" t="e">
        <f ca="1"/>
        <v>#REF!</v>
      </c>
      <c r="AV1376" s="7" t="e">
        <f ca="1"/>
        <v>#REF!</v>
      </c>
    </row>
    <row r="1377" spans="37:48" x14ac:dyDescent="0.25">
      <c r="AK1377" t="str">
        <f ca="1"/>
        <v>Obs. 2408</v>
      </c>
      <c r="AL1377" s="7">
        <f ca="1"/>
        <v>56</v>
      </c>
      <c r="AN1377" s="7" t="e">
        <f ca="1"/>
        <v>#REF!</v>
      </c>
      <c r="AO1377" s="7" t="e">
        <f ca="1"/>
        <v>#REF!</v>
      </c>
      <c r="AP1377" s="7">
        <f ca="1"/>
        <v>8.5156513796867589E-2</v>
      </c>
      <c r="AQ1377" s="7" t="e">
        <f ca="1"/>
        <v>#REF!</v>
      </c>
      <c r="AR1377" s="7" t="e">
        <f ca="1"/>
        <v>#REF!</v>
      </c>
      <c r="AS1377" s="7">
        <f ca="1"/>
        <v>0.95855995741850497</v>
      </c>
      <c r="AT1377" s="7" t="e">
        <f ca="1"/>
        <v>#REF!</v>
      </c>
      <c r="AU1377" s="7" t="e">
        <f ca="1"/>
        <v>#REF!</v>
      </c>
      <c r="AV1377" s="7" t="e">
        <f ca="1"/>
        <v>#REF!</v>
      </c>
    </row>
    <row r="1378" spans="37:48" x14ac:dyDescent="0.25">
      <c r="AK1378" t="str">
        <f ca="1"/>
        <v>Obs. 2409</v>
      </c>
      <c r="AL1378" s="7">
        <f ca="1"/>
        <v>57.3</v>
      </c>
      <c r="AN1378" s="7" t="e">
        <f ca="1"/>
        <v>#REF!</v>
      </c>
      <c r="AO1378" s="7" t="e">
        <f ca="1"/>
        <v>#REF!</v>
      </c>
      <c r="AP1378" s="7">
        <f ca="1"/>
        <v>9.0082324754121618E-2</v>
      </c>
      <c r="AQ1378" s="7" t="e">
        <f ca="1"/>
        <v>#REF!</v>
      </c>
      <c r="AR1378" s="7" t="e">
        <f ca="1"/>
        <v>#REF!</v>
      </c>
      <c r="AS1378" s="7">
        <f ca="1"/>
        <v>0.95855995741850497</v>
      </c>
      <c r="AT1378" s="7" t="e">
        <f ca="1"/>
        <v>#REF!</v>
      </c>
      <c r="AU1378" s="7" t="e">
        <f ca="1"/>
        <v>#REF!</v>
      </c>
      <c r="AV1378" s="7" t="e">
        <f ca="1"/>
        <v>#REF!</v>
      </c>
    </row>
    <row r="1379" spans="37:48" x14ac:dyDescent="0.25">
      <c r="AK1379" t="str">
        <f ca="1"/>
        <v>Obs. 2427</v>
      </c>
      <c r="AL1379" s="7">
        <f ca="1"/>
        <v>82.6</v>
      </c>
      <c r="AN1379" s="7" t="e">
        <f ca="1"/>
        <v>#REF!</v>
      </c>
      <c r="AO1379" s="7" t="e">
        <f ca="1"/>
        <v>#REF!</v>
      </c>
      <c r="AP1379" s="7">
        <f ca="1"/>
        <v>0.10921326637561279</v>
      </c>
      <c r="AQ1379" s="7" t="e">
        <f ca="1"/>
        <v>#REF!</v>
      </c>
      <c r="AR1379" s="7" t="e">
        <f ca="1"/>
        <v>#REF!</v>
      </c>
      <c r="AS1379" s="7">
        <f ca="1"/>
        <v>0.95855995741850497</v>
      </c>
      <c r="AT1379" s="7" t="e">
        <f ca="1"/>
        <v>#REF!</v>
      </c>
      <c r="AU1379" s="7" t="e">
        <f ca="1"/>
        <v>#REF!</v>
      </c>
      <c r="AV1379" s="7" t="e">
        <f ca="1"/>
        <v>#REF!</v>
      </c>
    </row>
    <row r="1380" spans="37:48" x14ac:dyDescent="0.25">
      <c r="AK1380" t="str">
        <f ca="1"/>
        <v>Obs. 2428</v>
      </c>
      <c r="AL1380" s="7">
        <f ca="1"/>
        <v>82.4</v>
      </c>
      <c r="AN1380" s="7" t="e">
        <f ca="1"/>
        <v>#REF!</v>
      </c>
      <c r="AO1380" s="7" t="e">
        <f ca="1"/>
        <v>#REF!</v>
      </c>
      <c r="AP1380" s="7">
        <f ca="1"/>
        <v>7.7946891774112126E-2</v>
      </c>
      <c r="AQ1380" s="7" t="e">
        <f ca="1"/>
        <v>#REF!</v>
      </c>
      <c r="AR1380" s="7" t="e">
        <f ca="1"/>
        <v>#REF!</v>
      </c>
      <c r="AS1380" s="7">
        <f ca="1"/>
        <v>0.95855995741850497</v>
      </c>
      <c r="AT1380" s="7" t="e">
        <f ca="1"/>
        <v>#REF!</v>
      </c>
      <c r="AU1380" s="7" t="e">
        <f ca="1"/>
        <v>#REF!</v>
      </c>
      <c r="AV1380" s="7" t="e">
        <f ca="1"/>
        <v>#REF!</v>
      </c>
    </row>
    <row r="1381" spans="37:48" x14ac:dyDescent="0.25">
      <c r="AK1381" t="str">
        <f ca="1"/>
        <v>Obs. 2429</v>
      </c>
      <c r="AL1381" s="7">
        <f ca="1"/>
        <v>82</v>
      </c>
      <c r="AN1381" s="7" t="e">
        <f ca="1"/>
        <v>#REF!</v>
      </c>
      <c r="AO1381" s="7" t="e">
        <f ca="1"/>
        <v>#REF!</v>
      </c>
      <c r="AP1381" s="7">
        <f ca="1"/>
        <v>7.5160198483944077E-2</v>
      </c>
      <c r="AQ1381" s="7" t="e">
        <f ca="1"/>
        <v>#REF!</v>
      </c>
      <c r="AR1381" s="7" t="e">
        <f ca="1"/>
        <v>#REF!</v>
      </c>
      <c r="AS1381" s="7">
        <f ca="1"/>
        <v>0.95855995741850497</v>
      </c>
      <c r="AT1381" s="7" t="e">
        <f ca="1"/>
        <v>#REF!</v>
      </c>
      <c r="AU1381" s="7" t="e">
        <f ca="1"/>
        <v>#REF!</v>
      </c>
      <c r="AV1381" s="7" t="e">
        <f ca="1"/>
        <v>#REF!</v>
      </c>
    </row>
    <row r="1382" spans="37:48" x14ac:dyDescent="0.25">
      <c r="AK1382" t="str">
        <f ca="1"/>
        <v>Obs. 2430</v>
      </c>
      <c r="AL1382" s="7">
        <f ca="1"/>
        <v>82.1</v>
      </c>
      <c r="AN1382" s="7" t="e">
        <f ca="1"/>
        <v>#REF!</v>
      </c>
      <c r="AO1382" s="7" t="e">
        <f ca="1"/>
        <v>#REF!</v>
      </c>
      <c r="AP1382" s="7">
        <f ca="1"/>
        <v>7.5880343616215137E-2</v>
      </c>
      <c r="AQ1382" s="7" t="e">
        <f ca="1"/>
        <v>#REF!</v>
      </c>
      <c r="AR1382" s="7" t="e">
        <f ca="1"/>
        <v>#REF!</v>
      </c>
      <c r="AS1382" s="7">
        <f ca="1"/>
        <v>0.95855995741850497</v>
      </c>
      <c r="AT1382" s="7" t="e">
        <f ca="1"/>
        <v>#REF!</v>
      </c>
      <c r="AU1382" s="7" t="e">
        <f ca="1"/>
        <v>#REF!</v>
      </c>
      <c r="AV1382" s="7" t="e">
        <f ca="1"/>
        <v>#REF!</v>
      </c>
    </row>
    <row r="1383" spans="37:48" x14ac:dyDescent="0.25">
      <c r="AK1383" t="str">
        <f ca="1"/>
        <v>Obs. 2431</v>
      </c>
      <c r="AL1383" s="7">
        <f ca="1"/>
        <v>81.900000000000006</v>
      </c>
      <c r="AN1383" s="7" t="e">
        <f ca="1"/>
        <v>#REF!</v>
      </c>
      <c r="AO1383" s="7" t="e">
        <f ca="1"/>
        <v>#REF!</v>
      </c>
      <c r="AP1383" s="7">
        <f ca="1"/>
        <v>7.537295366680255E-2</v>
      </c>
      <c r="AQ1383" s="7" t="e">
        <f ca="1"/>
        <v>#REF!</v>
      </c>
      <c r="AR1383" s="7" t="e">
        <f ca="1"/>
        <v>#REF!</v>
      </c>
      <c r="AS1383" s="7">
        <f ca="1"/>
        <v>0.95855995741850497</v>
      </c>
      <c r="AT1383" s="7" t="e">
        <f ca="1"/>
        <v>#REF!</v>
      </c>
      <c r="AU1383" s="7" t="e">
        <f ca="1"/>
        <v>#REF!</v>
      </c>
      <c r="AV1383" s="7" t="e">
        <f ca="1"/>
        <v>#REF!</v>
      </c>
    </row>
    <row r="1384" spans="37:48" x14ac:dyDescent="0.25">
      <c r="AK1384" t="str">
        <f ca="1"/>
        <v>Obs. 2432</v>
      </c>
      <c r="AL1384" s="7">
        <f ca="1"/>
        <v>81.599999999999994</v>
      </c>
      <c r="AN1384" s="7" t="e">
        <f ca="1"/>
        <v>#REF!</v>
      </c>
      <c r="AO1384" s="7" t="e">
        <f ca="1"/>
        <v>#REF!</v>
      </c>
      <c r="AP1384" s="7">
        <f ca="1"/>
        <v>7.5774611455370941E-2</v>
      </c>
      <c r="AQ1384" s="7" t="e">
        <f ca="1"/>
        <v>#REF!</v>
      </c>
      <c r="AR1384" s="7" t="e">
        <f ca="1"/>
        <v>#REF!</v>
      </c>
      <c r="AS1384" s="7">
        <f ca="1"/>
        <v>0.98537673313779217</v>
      </c>
      <c r="AT1384" s="7" t="e">
        <f ca="1"/>
        <v>#REF!</v>
      </c>
      <c r="AU1384" s="7" t="e">
        <f ca="1"/>
        <v>#REF!</v>
      </c>
      <c r="AV1384" s="7" t="e">
        <f ca="1"/>
        <v>#REF!</v>
      </c>
    </row>
    <row r="1385" spans="37:48" x14ac:dyDescent="0.25">
      <c r="AK1385" t="str">
        <f ca="1"/>
        <v>Obs. 2433</v>
      </c>
      <c r="AL1385" s="7">
        <f ca="1"/>
        <v>81.3</v>
      </c>
      <c r="AN1385" s="7" t="e">
        <f ca="1"/>
        <v>#REF!</v>
      </c>
      <c r="AO1385" s="7" t="e">
        <f ca="1"/>
        <v>#REF!</v>
      </c>
      <c r="AP1385" s="7">
        <f ca="1"/>
        <v>7.7529423536211201E-2</v>
      </c>
      <c r="AQ1385" s="7" t="e">
        <f ca="1"/>
        <v>#REF!</v>
      </c>
      <c r="AR1385" s="7" t="e">
        <f ca="1"/>
        <v>#REF!</v>
      </c>
      <c r="AS1385" s="7">
        <f ca="1"/>
        <v>0.98537673313779217</v>
      </c>
      <c r="AT1385" s="7" t="e">
        <f ca="1"/>
        <v>#REF!</v>
      </c>
      <c r="AU1385" s="7" t="e">
        <f ca="1"/>
        <v>#REF!</v>
      </c>
      <c r="AV1385" s="7" t="e">
        <f ca="1"/>
        <v>#REF!</v>
      </c>
    </row>
    <row r="1386" spans="37:48" x14ac:dyDescent="0.25">
      <c r="AK1386" t="str">
        <f ca="1"/>
        <v>Obs. 2434</v>
      </c>
      <c r="AL1386" s="7">
        <f ca="1"/>
        <v>89</v>
      </c>
      <c r="AN1386" s="7" t="e">
        <f ca="1"/>
        <v>#REF!</v>
      </c>
      <c r="AO1386" s="7" t="e">
        <f ca="1"/>
        <v>#REF!</v>
      </c>
      <c r="AP1386" s="7">
        <f ca="1"/>
        <v>7.4965884998309612E-2</v>
      </c>
      <c r="AQ1386" s="7" t="e">
        <f ca="1"/>
        <v>#REF!</v>
      </c>
      <c r="AR1386" s="7" t="e">
        <f ca="1"/>
        <v>#REF!</v>
      </c>
      <c r="AS1386" s="7">
        <f ca="1"/>
        <v>0.99032898964496086</v>
      </c>
      <c r="AT1386" s="7" t="e">
        <f ca="1"/>
        <v>#REF!</v>
      </c>
      <c r="AU1386" s="7" t="e">
        <f ca="1"/>
        <v>#REF!</v>
      </c>
      <c r="AV1386" s="7" t="e">
        <f ca="1"/>
        <v>#REF!</v>
      </c>
    </row>
    <row r="1387" spans="37:48" x14ac:dyDescent="0.25">
      <c r="AK1387" t="str">
        <f ca="1"/>
        <v>Obs. 2435</v>
      </c>
      <c r="AL1387" s="7">
        <f ca="1"/>
        <v>88</v>
      </c>
      <c r="AN1387" s="7" t="e">
        <f ca="1"/>
        <v>#REF!</v>
      </c>
      <c r="AO1387" s="7" t="e">
        <f ca="1"/>
        <v>#REF!</v>
      </c>
      <c r="AP1387" s="7">
        <f ca="1"/>
        <v>7.5515094564761201E-2</v>
      </c>
      <c r="AQ1387" s="7" t="e">
        <f ca="1"/>
        <v>#REF!</v>
      </c>
      <c r="AR1387" s="7" t="e">
        <f ca="1"/>
        <v>#REF!</v>
      </c>
      <c r="AS1387" s="7">
        <f ca="1"/>
        <v>0.99032898964496086</v>
      </c>
      <c r="AT1387" s="7" t="e">
        <f ca="1"/>
        <v>#REF!</v>
      </c>
      <c r="AU1387" s="7" t="e">
        <f ca="1"/>
        <v>#REF!</v>
      </c>
      <c r="AV1387" s="7" t="e">
        <f ca="1"/>
        <v>#REF!</v>
      </c>
    </row>
    <row r="1388" spans="37:48" x14ac:dyDescent="0.25">
      <c r="AK1388" t="str">
        <f ca="1"/>
        <v>Obs. 2436</v>
      </c>
      <c r="AL1388" s="7">
        <f ca="1"/>
        <v>81</v>
      </c>
      <c r="AN1388" s="7" t="e">
        <f ca="1"/>
        <v>#REF!</v>
      </c>
      <c r="AO1388" s="7" t="e">
        <f ca="1"/>
        <v>#REF!</v>
      </c>
      <c r="AP1388" s="7">
        <f ca="1"/>
        <v>8.6525208321336727E-2</v>
      </c>
      <c r="AQ1388" s="7" t="e">
        <f ca="1"/>
        <v>#REF!</v>
      </c>
      <c r="AR1388" s="7" t="e">
        <f ca="1"/>
        <v>#REF!</v>
      </c>
      <c r="AS1388" s="7">
        <f ca="1"/>
        <v>0.99032898964496086</v>
      </c>
      <c r="AT1388" s="7" t="e">
        <f ca="1"/>
        <v>#REF!</v>
      </c>
      <c r="AU1388" s="7" t="e">
        <f ca="1"/>
        <v>#REF!</v>
      </c>
      <c r="AV1388" s="7" t="e">
        <f ca="1"/>
        <v>#REF!</v>
      </c>
    </row>
    <row r="1389" spans="37:48" x14ac:dyDescent="0.25">
      <c r="AK1389" t="str">
        <f ca="1"/>
        <v>Obs. 2437</v>
      </c>
      <c r="AL1389" s="7">
        <f ca="1"/>
        <v>81</v>
      </c>
      <c r="AN1389" s="7" t="e">
        <f ca="1"/>
        <v>#REF!</v>
      </c>
      <c r="AO1389" s="7" t="e">
        <f ca="1"/>
        <v>#REF!</v>
      </c>
      <c r="AP1389" s="7">
        <f ca="1"/>
        <v>7.4916715480020157E-2</v>
      </c>
      <c r="AQ1389" s="7" t="e">
        <f ca="1"/>
        <v>#REF!</v>
      </c>
      <c r="AR1389" s="7" t="e">
        <f ca="1"/>
        <v>#REF!</v>
      </c>
      <c r="AS1389" s="7">
        <f ca="1"/>
        <v>0.99032898964496086</v>
      </c>
      <c r="AT1389" s="7" t="e">
        <f ca="1"/>
        <v>#REF!</v>
      </c>
      <c r="AU1389" s="7" t="e">
        <f ca="1"/>
        <v>#REF!</v>
      </c>
      <c r="AV1389" s="7" t="e">
        <f ca="1"/>
        <v>#REF!</v>
      </c>
    </row>
    <row r="1390" spans="37:48" x14ac:dyDescent="0.25">
      <c r="AK1390" t="str">
        <f ca="1"/>
        <v>Obs. 2438</v>
      </c>
      <c r="AL1390" s="7">
        <f ca="1"/>
        <v>79.400000000000006</v>
      </c>
      <c r="AN1390" s="7" t="e">
        <f ca="1"/>
        <v>#REF!</v>
      </c>
      <c r="AO1390" s="7" t="e">
        <f ca="1"/>
        <v>#REF!</v>
      </c>
      <c r="AP1390" s="7">
        <f ca="1"/>
        <v>7.4773637829139844E-2</v>
      </c>
      <c r="AQ1390" s="7" t="e">
        <f ca="1"/>
        <v>#REF!</v>
      </c>
      <c r="AR1390" s="7" t="e">
        <f ca="1"/>
        <v>#REF!</v>
      </c>
      <c r="AS1390" s="7">
        <f ca="1"/>
        <v>1.0003070916314494</v>
      </c>
      <c r="AT1390" s="7" t="e">
        <f ca="1"/>
        <v>#REF!</v>
      </c>
      <c r="AU1390" s="7" t="e">
        <f ca="1"/>
        <v>#REF!</v>
      </c>
      <c r="AV1390" s="7" t="e">
        <f ca="1"/>
        <v>#REF!</v>
      </c>
    </row>
    <row r="1391" spans="37:48" x14ac:dyDescent="0.25">
      <c r="AK1391" t="str">
        <f ca="1"/>
        <v>Obs. 2439</v>
      </c>
      <c r="AL1391" s="7">
        <f ca="1"/>
        <v>79.5</v>
      </c>
      <c r="AN1391" s="7" t="e">
        <f ca="1"/>
        <v>#REF!</v>
      </c>
      <c r="AO1391" s="7" t="e">
        <f ca="1"/>
        <v>#REF!</v>
      </c>
      <c r="AP1391" s="7">
        <f ca="1"/>
        <v>7.7180369411708694E-2</v>
      </c>
      <c r="AQ1391" s="7" t="e">
        <f ca="1"/>
        <v>#REF!</v>
      </c>
      <c r="AR1391" s="7" t="e">
        <f ca="1"/>
        <v>#REF!</v>
      </c>
      <c r="AS1391" s="7">
        <f ca="1"/>
        <v>1.0003070916314494</v>
      </c>
      <c r="AT1391" s="7" t="e">
        <f ca="1"/>
        <v>#REF!</v>
      </c>
      <c r="AU1391" s="7" t="e">
        <f ca="1"/>
        <v>#REF!</v>
      </c>
      <c r="AV1391" s="7" t="e">
        <f ca="1"/>
        <v>#REF!</v>
      </c>
    </row>
    <row r="1392" spans="37:48" x14ac:dyDescent="0.25">
      <c r="AK1392" t="str">
        <f ca="1"/>
        <v>Obs. 2440</v>
      </c>
      <c r="AL1392" s="7">
        <f ca="1"/>
        <v>79.400000000000006</v>
      </c>
      <c r="AN1392" s="7" t="e">
        <f ca="1"/>
        <v>#REF!</v>
      </c>
      <c r="AO1392" s="7" t="e">
        <f ca="1"/>
        <v>#REF!</v>
      </c>
      <c r="AP1392" s="7">
        <f ca="1"/>
        <v>7.4868433462274092E-2</v>
      </c>
      <c r="AQ1392" s="7" t="e">
        <f ca="1"/>
        <v>#REF!</v>
      </c>
      <c r="AR1392" s="7" t="e">
        <f ca="1"/>
        <v>#REF!</v>
      </c>
      <c r="AS1392" s="7">
        <f ca="1"/>
        <v>1.0003070916314494</v>
      </c>
      <c r="AT1392" s="7" t="e">
        <f ca="1"/>
        <v>#REF!</v>
      </c>
      <c r="AU1392" s="7" t="e">
        <f ca="1"/>
        <v>#REF!</v>
      </c>
      <c r="AV1392" s="7" t="e">
        <f ca="1"/>
        <v>#REF!</v>
      </c>
    </row>
    <row r="1393" spans="37:48" x14ac:dyDescent="0.25">
      <c r="AK1393" t="str">
        <f ca="1"/>
        <v>Obs. 2441</v>
      </c>
      <c r="AL1393" s="7">
        <f ca="1"/>
        <v>79.099999999999994</v>
      </c>
      <c r="AN1393" s="7" t="e">
        <f ca="1"/>
        <v>#REF!</v>
      </c>
      <c r="AO1393" s="7" t="e">
        <f ca="1"/>
        <v>#REF!</v>
      </c>
      <c r="AP1393" s="7">
        <f ca="1"/>
        <v>7.6493234294440771E-2</v>
      </c>
      <c r="AQ1393" s="7" t="e">
        <f ca="1"/>
        <v>#REF!</v>
      </c>
      <c r="AR1393" s="7" t="e">
        <f ca="1"/>
        <v>#REF!</v>
      </c>
      <c r="AS1393" s="7">
        <f ca="1"/>
        <v>1.0003070916314494</v>
      </c>
      <c r="AT1393" s="7" t="e">
        <f ca="1"/>
        <v>#REF!</v>
      </c>
      <c r="AU1393" s="7" t="e">
        <f ca="1"/>
        <v>#REF!</v>
      </c>
      <c r="AV1393" s="7" t="e">
        <f ca="1"/>
        <v>#REF!</v>
      </c>
    </row>
    <row r="1394" spans="37:48" x14ac:dyDescent="0.25">
      <c r="AK1394" t="str">
        <f ca="1"/>
        <v>Obs. 2443</v>
      </c>
      <c r="AL1394" s="7">
        <f ca="1"/>
        <v>74.7</v>
      </c>
      <c r="AN1394" s="7" t="e">
        <f ca="1"/>
        <v>#REF!</v>
      </c>
      <c r="AO1394" s="7" t="e">
        <f ca="1"/>
        <v>#REF!</v>
      </c>
      <c r="AP1394" s="7">
        <f ca="1"/>
        <v>8.4053592462600801E-2</v>
      </c>
      <c r="AQ1394" s="7" t="e">
        <f ca="1"/>
        <v>#REF!</v>
      </c>
      <c r="AR1394" s="7" t="e">
        <f ca="1"/>
        <v>#REF!</v>
      </c>
      <c r="AS1394" s="7">
        <f ca="1"/>
        <v>1.0003070916314494</v>
      </c>
      <c r="AT1394" s="7" t="e">
        <f ca="1"/>
        <v>#REF!</v>
      </c>
      <c r="AU1394" s="7" t="e">
        <f ca="1"/>
        <v>#REF!</v>
      </c>
      <c r="AV1394" s="7" t="e">
        <f ca="1"/>
        <v>#REF!</v>
      </c>
    </row>
    <row r="1395" spans="37:48" x14ac:dyDescent="0.25">
      <c r="AK1395" t="str">
        <f ca="1"/>
        <v>Obs. 2444</v>
      </c>
      <c r="AL1395" s="7">
        <f ca="1"/>
        <v>74.599999999999994</v>
      </c>
      <c r="AN1395" s="7" t="e">
        <f ca="1"/>
        <v>#REF!</v>
      </c>
      <c r="AO1395" s="7" t="e">
        <f ca="1"/>
        <v>#REF!</v>
      </c>
      <c r="AP1395" s="7">
        <f ca="1"/>
        <v>8.3569987412617341E-2</v>
      </c>
      <c r="AQ1395" s="7" t="e">
        <f ca="1"/>
        <v>#REF!</v>
      </c>
      <c r="AR1395" s="7" t="e">
        <f ca="1"/>
        <v>#REF!</v>
      </c>
      <c r="AS1395" s="7">
        <f ca="1"/>
        <v>1.0129215482717411</v>
      </c>
      <c r="AT1395" s="7" t="e">
        <f ca="1"/>
        <v>#REF!</v>
      </c>
      <c r="AU1395" s="7" t="e">
        <f ca="1"/>
        <v>#REF!</v>
      </c>
      <c r="AV1395" s="7" t="e">
        <f ca="1"/>
        <v>#REF!</v>
      </c>
    </row>
    <row r="1396" spans="37:48" x14ac:dyDescent="0.25">
      <c r="AK1396" t="str">
        <f ca="1"/>
        <v>Obs. 2445</v>
      </c>
      <c r="AL1396" s="7">
        <f ca="1"/>
        <v>74.5</v>
      </c>
      <c r="AN1396" s="7" t="e">
        <f ca="1"/>
        <v>#REF!</v>
      </c>
      <c r="AO1396" s="7" t="e">
        <f ca="1"/>
        <v>#REF!</v>
      </c>
      <c r="AP1396" s="7">
        <f ca="1"/>
        <v>8.3138599571536881E-2</v>
      </c>
      <c r="AQ1396" s="7" t="e">
        <f ca="1"/>
        <v>#REF!</v>
      </c>
      <c r="AR1396" s="7" t="e">
        <f ca="1"/>
        <v>#REF!</v>
      </c>
      <c r="AS1396" s="7">
        <f ca="1"/>
        <v>1.0129215482717411</v>
      </c>
      <c r="AT1396" s="7" t="e">
        <f ca="1"/>
        <v>#REF!</v>
      </c>
      <c r="AU1396" s="7" t="e">
        <f ca="1"/>
        <v>#REF!</v>
      </c>
      <c r="AV1396" s="7" t="e">
        <f ca="1"/>
        <v>#REF!</v>
      </c>
    </row>
    <row r="1397" spans="37:48" x14ac:dyDescent="0.25">
      <c r="AK1397" t="str">
        <f ca="1"/>
        <v>Obs. 2446</v>
      </c>
      <c r="AL1397" s="7">
        <f ca="1"/>
        <v>74.5</v>
      </c>
      <c r="AN1397" s="7" t="e">
        <f ca="1"/>
        <v>#REF!</v>
      </c>
      <c r="AO1397" s="7" t="e">
        <f ca="1"/>
        <v>#REF!</v>
      </c>
      <c r="AP1397" s="7">
        <f ca="1"/>
        <v>8.3920888105764785E-2</v>
      </c>
      <c r="AQ1397" s="7" t="e">
        <f ca="1"/>
        <v>#REF!</v>
      </c>
      <c r="AR1397" s="7" t="e">
        <f ca="1"/>
        <v>#REF!</v>
      </c>
      <c r="AS1397" s="7">
        <f ca="1"/>
        <v>1.0129215482717411</v>
      </c>
      <c r="AT1397" s="7" t="e">
        <f ca="1"/>
        <v>#REF!</v>
      </c>
      <c r="AU1397" s="7" t="e">
        <f ca="1"/>
        <v>#REF!</v>
      </c>
      <c r="AV1397" s="7" t="e">
        <f ca="1"/>
        <v>#REF!</v>
      </c>
    </row>
    <row r="1398" spans="37:48" x14ac:dyDescent="0.25">
      <c r="AK1398" t="str">
        <f ca="1"/>
        <v>Obs. 2447</v>
      </c>
      <c r="AL1398" s="7">
        <f ca="1"/>
        <v>74.5</v>
      </c>
      <c r="AN1398" s="7" t="e">
        <f ca="1"/>
        <v>#REF!</v>
      </c>
      <c r="AO1398" s="7" t="e">
        <f ca="1"/>
        <v>#REF!</v>
      </c>
      <c r="AP1398" s="7">
        <f ca="1"/>
        <v>8.2469132210441595E-2</v>
      </c>
      <c r="AQ1398" s="7" t="e">
        <f ca="1"/>
        <v>#REF!</v>
      </c>
      <c r="AR1398" s="7" t="e">
        <f ca="1"/>
        <v>#REF!</v>
      </c>
      <c r="AS1398" s="7">
        <f ca="1"/>
        <v>1.0205681915260707</v>
      </c>
      <c r="AT1398" s="7" t="e">
        <f ca="1"/>
        <v>#REF!</v>
      </c>
      <c r="AU1398" s="7" t="e">
        <f ca="1"/>
        <v>#REF!</v>
      </c>
      <c r="AV1398" s="7" t="e">
        <f ca="1"/>
        <v>#REF!</v>
      </c>
    </row>
    <row r="1399" spans="37:48" x14ac:dyDescent="0.25">
      <c r="AK1399" t="str">
        <f ca="1"/>
        <v>Obs. 2448</v>
      </c>
      <c r="AL1399" s="7">
        <f ca="1"/>
        <v>71.8</v>
      </c>
      <c r="AN1399" s="7" t="e">
        <f ca="1"/>
        <v>#REF!</v>
      </c>
      <c r="AO1399" s="7" t="e">
        <f ca="1"/>
        <v>#REF!</v>
      </c>
      <c r="AP1399" s="7">
        <f ca="1"/>
        <v>8.2379994985721364E-2</v>
      </c>
      <c r="AQ1399" s="7" t="e">
        <f ca="1"/>
        <v>#REF!</v>
      </c>
      <c r="AR1399" s="7" t="e">
        <f ca="1"/>
        <v>#REF!</v>
      </c>
      <c r="AS1399" s="7">
        <f ca="1"/>
        <v>1.0205681915260707</v>
      </c>
      <c r="AT1399" s="7" t="e">
        <f ca="1"/>
        <v>#REF!</v>
      </c>
      <c r="AU1399" s="7" t="e">
        <f ca="1"/>
        <v>#REF!</v>
      </c>
      <c r="AV1399" s="7" t="e">
        <f ca="1"/>
        <v>#REF!</v>
      </c>
    </row>
    <row r="1400" spans="37:48" x14ac:dyDescent="0.25">
      <c r="AK1400" t="str">
        <f ca="1"/>
        <v>Obs. 2449</v>
      </c>
      <c r="AL1400" s="7">
        <f ca="1"/>
        <v>72.3</v>
      </c>
      <c r="AN1400" s="7" t="e">
        <f ca="1"/>
        <v>#REF!</v>
      </c>
      <c r="AO1400" s="7" t="e">
        <f ca="1"/>
        <v>#REF!</v>
      </c>
      <c r="AP1400" s="7">
        <f ca="1"/>
        <v>8.237573641481899E-2</v>
      </c>
      <c r="AQ1400" s="7" t="e">
        <f ca="1"/>
        <v>#REF!</v>
      </c>
      <c r="AR1400" s="7" t="e">
        <f ca="1"/>
        <v>#REF!</v>
      </c>
      <c r="AS1400" s="7">
        <f ca="1"/>
        <v>1.0205681915260707</v>
      </c>
      <c r="AT1400" s="7" t="e">
        <f ca="1"/>
        <v>#REF!</v>
      </c>
      <c r="AU1400" s="7" t="e">
        <f ca="1"/>
        <v>#REF!</v>
      </c>
      <c r="AV1400" s="7" t="e">
        <f ca="1"/>
        <v>#REF!</v>
      </c>
    </row>
    <row r="1401" spans="37:48" x14ac:dyDescent="0.25">
      <c r="AK1401" t="str">
        <f ca="1"/>
        <v>Obs. 2450</v>
      </c>
      <c r="AL1401" s="7">
        <f ca="1"/>
        <v>73.7</v>
      </c>
      <c r="AN1401" s="7" t="e">
        <f ca="1"/>
        <v>#REF!</v>
      </c>
      <c r="AO1401" s="7" t="e">
        <f ca="1"/>
        <v>#REF!</v>
      </c>
      <c r="AP1401" s="7">
        <f ca="1"/>
        <v>8.2310636716692295E-2</v>
      </c>
      <c r="AQ1401" s="7" t="e">
        <f ca="1"/>
        <v>#REF!</v>
      </c>
      <c r="AR1401" s="7" t="e">
        <f ca="1"/>
        <v>#REF!</v>
      </c>
      <c r="AS1401" s="7">
        <f ca="1"/>
        <v>1.0205681915260707</v>
      </c>
      <c r="AT1401" s="7" t="e">
        <f ca="1"/>
        <v>#REF!</v>
      </c>
      <c r="AU1401" s="7" t="e">
        <f ca="1"/>
        <v>#REF!</v>
      </c>
      <c r="AV1401" s="7" t="e">
        <f ca="1"/>
        <v>#REF!</v>
      </c>
    </row>
    <row r="1402" spans="37:48" x14ac:dyDescent="0.25">
      <c r="AK1402" t="str">
        <f ca="1"/>
        <v>Obs. 2451</v>
      </c>
      <c r="AL1402" s="7">
        <f ca="1"/>
        <v>73.8</v>
      </c>
      <c r="AN1402" s="7" t="e">
        <f ca="1"/>
        <v>#REF!</v>
      </c>
      <c r="AO1402" s="7" t="e">
        <f ca="1"/>
        <v>#REF!</v>
      </c>
      <c r="AP1402" s="7">
        <f ca="1"/>
        <v>8.3166626299607749E-2</v>
      </c>
      <c r="AQ1402" s="7" t="e">
        <f ca="1"/>
        <v>#REF!</v>
      </c>
      <c r="AR1402" s="7" t="e">
        <f ca="1"/>
        <v>#REF!</v>
      </c>
      <c r="AS1402" s="7">
        <f ca="1"/>
        <v>1.0308575175648222</v>
      </c>
      <c r="AT1402" s="7" t="e">
        <f ca="1"/>
        <v>#REF!</v>
      </c>
      <c r="AU1402" s="7" t="e">
        <f ca="1"/>
        <v>#REF!</v>
      </c>
      <c r="AV1402" s="7" t="e">
        <f ca="1"/>
        <v>#REF!</v>
      </c>
    </row>
    <row r="1403" spans="37:48" x14ac:dyDescent="0.25">
      <c r="AK1403" t="str">
        <f ca="1"/>
        <v>Obs. 2452</v>
      </c>
      <c r="AL1403" s="7">
        <f ca="1"/>
        <v>74.2</v>
      </c>
      <c r="AN1403" s="7" t="e">
        <f ca="1"/>
        <v>#REF!</v>
      </c>
      <c r="AO1403" s="7" t="e">
        <f ca="1"/>
        <v>#REF!</v>
      </c>
      <c r="AP1403" s="7">
        <f ca="1"/>
        <v>8.3147416788207668E-2</v>
      </c>
      <c r="AQ1403" s="7" t="e">
        <f ca="1"/>
        <v>#REF!</v>
      </c>
      <c r="AR1403" s="7" t="e">
        <f ca="1"/>
        <v>#REF!</v>
      </c>
      <c r="AS1403" s="7">
        <f ca="1"/>
        <v>1.0308575175648222</v>
      </c>
      <c r="AT1403" s="7" t="e">
        <f ca="1"/>
        <v>#REF!</v>
      </c>
      <c r="AU1403" s="7" t="e">
        <f ca="1"/>
        <v>#REF!</v>
      </c>
      <c r="AV1403" s="7" t="e">
        <f ca="1"/>
        <v>#REF!</v>
      </c>
    </row>
    <row r="1404" spans="37:48" x14ac:dyDescent="0.25">
      <c r="AK1404" t="str">
        <f ca="1"/>
        <v>Obs. 2453</v>
      </c>
      <c r="AL1404" s="7">
        <f ca="1"/>
        <v>69.099999999999994</v>
      </c>
      <c r="AN1404" s="7" t="e">
        <f ca="1"/>
        <v>#REF!</v>
      </c>
      <c r="AO1404" s="7" t="e">
        <f ca="1"/>
        <v>#REF!</v>
      </c>
      <c r="AP1404" s="7">
        <f ca="1"/>
        <v>8.5152894147070765E-2</v>
      </c>
      <c r="AQ1404" s="7" t="e">
        <f ca="1"/>
        <v>#REF!</v>
      </c>
      <c r="AR1404" s="7" t="e">
        <f ca="1"/>
        <v>#REF!</v>
      </c>
      <c r="AS1404" s="7">
        <f ca="1"/>
        <v>1.0308575175648222</v>
      </c>
      <c r="AT1404" s="7" t="e">
        <f ca="1"/>
        <v>#REF!</v>
      </c>
      <c r="AU1404" s="7" t="e">
        <f ca="1"/>
        <v>#REF!</v>
      </c>
      <c r="AV1404" s="7" t="e">
        <f ca="1"/>
        <v>#REF!</v>
      </c>
    </row>
    <row r="1405" spans="37:48" x14ac:dyDescent="0.25">
      <c r="AK1405" t="str">
        <f ca="1"/>
        <v>Obs. 2454</v>
      </c>
      <c r="AL1405" s="7">
        <f ca="1"/>
        <v>73.900000000000006</v>
      </c>
      <c r="AN1405" s="7" t="e">
        <f ca="1"/>
        <v>#REF!</v>
      </c>
      <c r="AO1405" s="7" t="e">
        <f ca="1"/>
        <v>#REF!</v>
      </c>
      <c r="AP1405" s="7">
        <f ca="1"/>
        <v>8.9716585634975768E-2</v>
      </c>
      <c r="AQ1405" s="7" t="e">
        <f ca="1"/>
        <v>#REF!</v>
      </c>
      <c r="AR1405" s="7" t="e">
        <f ca="1"/>
        <v>#REF!</v>
      </c>
      <c r="AS1405" s="7">
        <f ca="1"/>
        <v>1.0386467129748296</v>
      </c>
      <c r="AT1405" s="7" t="e">
        <f ca="1"/>
        <v>#REF!</v>
      </c>
      <c r="AU1405" s="7" t="e">
        <f ca="1"/>
        <v>#REF!</v>
      </c>
      <c r="AV1405" s="7" t="e">
        <f ca="1"/>
        <v>#REF!</v>
      </c>
    </row>
    <row r="1406" spans="37:48" x14ac:dyDescent="0.25">
      <c r="AK1406" t="str">
        <f ca="1"/>
        <v>Obs. 2475</v>
      </c>
      <c r="AL1406" s="7">
        <f ca="1"/>
        <v>71.400000000000006</v>
      </c>
      <c r="AN1406" s="7" t="e">
        <f ca="1"/>
        <v>#REF!</v>
      </c>
      <c r="AO1406" s="7" t="e">
        <f ca="1"/>
        <v>#REF!</v>
      </c>
      <c r="AP1406" s="7">
        <f ca="1"/>
        <v>0.10034706375174482</v>
      </c>
      <c r="AQ1406" s="7" t="e">
        <f ca="1"/>
        <v>#REF!</v>
      </c>
      <c r="AR1406" s="7" t="e">
        <f ca="1"/>
        <v>#REF!</v>
      </c>
      <c r="AS1406" s="7">
        <f ca="1"/>
        <v>1.0386467129748296</v>
      </c>
      <c r="AT1406" s="7" t="e">
        <f ca="1"/>
        <v>#REF!</v>
      </c>
      <c r="AU1406" s="7" t="e">
        <f ca="1"/>
        <v>#REF!</v>
      </c>
      <c r="AV1406" s="7" t="e">
        <f ca="1"/>
        <v>#REF!</v>
      </c>
    </row>
    <row r="1407" spans="37:48" x14ac:dyDescent="0.25">
      <c r="AK1407" t="str">
        <f ca="1"/>
        <v>Obs. 2476</v>
      </c>
      <c r="AL1407" s="7">
        <f ca="1"/>
        <v>71.2</v>
      </c>
      <c r="AN1407" s="7" t="e">
        <f ca="1"/>
        <v>#REF!</v>
      </c>
      <c r="AO1407" s="7" t="e">
        <f ca="1"/>
        <v>#REF!</v>
      </c>
      <c r="AP1407" s="7">
        <f ca="1"/>
        <v>9.9892879058356421E-2</v>
      </c>
      <c r="AQ1407" s="7" t="e">
        <f ca="1"/>
        <v>#REF!</v>
      </c>
      <c r="AR1407" s="7" t="e">
        <f ca="1"/>
        <v>#REF!</v>
      </c>
      <c r="AS1407" s="7">
        <f ca="1"/>
        <v>1.0386467129748296</v>
      </c>
      <c r="AT1407" s="7" t="e">
        <f ca="1"/>
        <v>#REF!</v>
      </c>
      <c r="AU1407" s="7" t="e">
        <f ca="1"/>
        <v>#REF!</v>
      </c>
      <c r="AV1407" s="7" t="e">
        <f ca="1"/>
        <v>#REF!</v>
      </c>
    </row>
    <row r="1408" spans="37:48" x14ac:dyDescent="0.25">
      <c r="AK1408" t="str">
        <f ca="1"/>
        <v>Obs. 2477</v>
      </c>
      <c r="AL1408" s="7">
        <f ca="1"/>
        <v>71.3</v>
      </c>
      <c r="AN1408" s="7" t="e">
        <f ca="1"/>
        <v>#REF!</v>
      </c>
      <c r="AO1408" s="7" t="e">
        <f ca="1"/>
        <v>#REF!</v>
      </c>
      <c r="AP1408" s="7">
        <f ca="1"/>
        <v>9.9530079035522009E-2</v>
      </c>
      <c r="AQ1408" s="7" t="e">
        <f ca="1"/>
        <v>#REF!</v>
      </c>
      <c r="AR1408" s="7" t="e">
        <f ca="1"/>
        <v>#REF!</v>
      </c>
      <c r="AS1408" s="7">
        <f ca="1"/>
        <v>1.0464994400123697</v>
      </c>
      <c r="AT1408" s="7" t="e">
        <f ca="1"/>
        <v>#REF!</v>
      </c>
      <c r="AU1408" s="7" t="e">
        <f ca="1"/>
        <v>#REF!</v>
      </c>
      <c r="AV1408" s="7" t="e">
        <f ca="1"/>
        <v>#REF!</v>
      </c>
    </row>
    <row r="1409" spans="37:48" x14ac:dyDescent="0.25">
      <c r="AK1409" t="str">
        <f ca="1"/>
        <v>Obs. 2478</v>
      </c>
      <c r="AL1409" s="7">
        <f ca="1"/>
        <v>76</v>
      </c>
      <c r="AN1409" s="7" t="e">
        <f ca="1"/>
        <v>#REF!</v>
      </c>
      <c r="AO1409" s="7" t="e">
        <f ca="1"/>
        <v>#REF!</v>
      </c>
      <c r="AP1409" s="7">
        <f ca="1"/>
        <v>9.9034771306985528E-2</v>
      </c>
      <c r="AQ1409" s="7" t="e">
        <f ca="1"/>
        <v>#REF!</v>
      </c>
      <c r="AR1409" s="7" t="e">
        <f ca="1"/>
        <v>#REF!</v>
      </c>
      <c r="AS1409" s="7">
        <f ca="1"/>
        <v>1.0491313979639725</v>
      </c>
      <c r="AT1409" s="7" t="e">
        <f ca="1"/>
        <v>#REF!</v>
      </c>
      <c r="AU1409" s="7" t="e">
        <f ca="1"/>
        <v>#REF!</v>
      </c>
      <c r="AV1409" s="7" t="e">
        <f ca="1"/>
        <v>#REF!</v>
      </c>
    </row>
    <row r="1410" spans="37:48" x14ac:dyDescent="0.25">
      <c r="AK1410" t="str">
        <f ca="1"/>
        <v>Obs. 2479</v>
      </c>
      <c r="AL1410" s="7">
        <f ca="1"/>
        <v>73</v>
      </c>
      <c r="AN1410" s="7" t="e">
        <f ca="1"/>
        <v>#REF!</v>
      </c>
      <c r="AO1410" s="7" t="e">
        <f ca="1"/>
        <v>#REF!</v>
      </c>
      <c r="AP1410" s="7">
        <f ca="1"/>
        <v>0.10072812685526072</v>
      </c>
      <c r="AQ1410" s="7" t="e">
        <f ca="1"/>
        <v>#REF!</v>
      </c>
      <c r="AR1410" s="7" t="e">
        <f ca="1"/>
        <v>#REF!</v>
      </c>
      <c r="AS1410" s="7">
        <f ca="1"/>
        <v>1.0491313979639725</v>
      </c>
      <c r="AT1410" s="7" t="e">
        <f ca="1"/>
        <v>#REF!</v>
      </c>
      <c r="AU1410" s="7" t="e">
        <f ca="1"/>
        <v>#REF!</v>
      </c>
      <c r="AV1410" s="7" t="e">
        <f ca="1"/>
        <v>#REF!</v>
      </c>
    </row>
    <row r="1411" spans="37:48" x14ac:dyDescent="0.25">
      <c r="AK1411" t="str">
        <f ca="1"/>
        <v>Obs. 2480</v>
      </c>
      <c r="AL1411" s="7">
        <f ca="1"/>
        <v>70</v>
      </c>
      <c r="AN1411" s="7" t="e">
        <f ca="1"/>
        <v>#REF!</v>
      </c>
      <c r="AO1411" s="7" t="e">
        <f ca="1"/>
        <v>#REF!</v>
      </c>
      <c r="AP1411" s="7">
        <f ca="1"/>
        <v>9.8906816065499725E-2</v>
      </c>
      <c r="AQ1411" s="7" t="e">
        <f ca="1"/>
        <v>#REF!</v>
      </c>
      <c r="AR1411" s="7" t="e">
        <f ca="1"/>
        <v>#REF!</v>
      </c>
      <c r="AS1411" s="7">
        <f ca="1"/>
        <v>1.0491313979639725</v>
      </c>
      <c r="AT1411" s="7" t="e">
        <f ca="1"/>
        <v>#REF!</v>
      </c>
      <c r="AU1411" s="7" t="e">
        <f ca="1"/>
        <v>#REF!</v>
      </c>
      <c r="AV1411" s="7" t="e">
        <f ca="1"/>
        <v>#REF!</v>
      </c>
    </row>
    <row r="1412" spans="37:48" x14ac:dyDescent="0.25">
      <c r="AK1412" t="str">
        <f ca="1"/>
        <v>Obs. 2481</v>
      </c>
      <c r="AL1412" s="7">
        <f ca="1"/>
        <v>69.8</v>
      </c>
      <c r="AN1412" s="7" t="e">
        <f ca="1"/>
        <v>#REF!</v>
      </c>
      <c r="AO1412" s="7" t="e">
        <f ca="1"/>
        <v>#REF!</v>
      </c>
      <c r="AP1412" s="7">
        <f ca="1"/>
        <v>9.892020476583685E-2</v>
      </c>
      <c r="AQ1412" s="7" t="e">
        <f ca="1"/>
        <v>#REF!</v>
      </c>
      <c r="AR1412" s="7" t="e">
        <f ca="1"/>
        <v>#REF!</v>
      </c>
      <c r="AS1412" s="7">
        <f ca="1"/>
        <v>1.0491313979639725</v>
      </c>
      <c r="AT1412" s="7" t="e">
        <f ca="1"/>
        <v>#REF!</v>
      </c>
      <c r="AU1412" s="7" t="e">
        <f ca="1"/>
        <v>#REF!</v>
      </c>
      <c r="AV1412" s="7" t="e">
        <f ca="1"/>
        <v>#REF!</v>
      </c>
    </row>
    <row r="1413" spans="37:48" x14ac:dyDescent="0.25">
      <c r="AK1413" t="str">
        <f ca="1"/>
        <v>Obs. 2482</v>
      </c>
      <c r="AL1413" s="7">
        <f ca="1"/>
        <v>69.5</v>
      </c>
      <c r="AN1413" s="7" t="e">
        <f ca="1"/>
        <v>#REF!</v>
      </c>
      <c r="AO1413" s="7" t="e">
        <f ca="1"/>
        <v>#REF!</v>
      </c>
      <c r="AP1413" s="7">
        <f ca="1"/>
        <v>0.10059761811336689</v>
      </c>
      <c r="AQ1413" s="7" t="e">
        <f ca="1"/>
        <v>#REF!</v>
      </c>
      <c r="AR1413" s="7" t="e">
        <f ca="1"/>
        <v>#REF!</v>
      </c>
      <c r="AS1413" s="7">
        <f ca="1"/>
        <v>1.0491313979639725</v>
      </c>
      <c r="AT1413" s="7" t="e">
        <f ca="1"/>
        <v>#REF!</v>
      </c>
      <c r="AU1413" s="7" t="e">
        <f ca="1"/>
        <v>#REF!</v>
      </c>
      <c r="AV1413" s="7" t="e">
        <f ca="1"/>
        <v>#REF!</v>
      </c>
    </row>
    <row r="1414" spans="37:48" x14ac:dyDescent="0.25">
      <c r="AK1414" t="str">
        <f ca="1"/>
        <v>Obs. 2483</v>
      </c>
      <c r="AL1414" s="7">
        <f ca="1"/>
        <v>69.3</v>
      </c>
      <c r="AN1414" s="7" t="e">
        <f ca="1"/>
        <v>#REF!</v>
      </c>
      <c r="AO1414" s="7" t="e">
        <f ca="1"/>
        <v>#REF!</v>
      </c>
      <c r="AP1414" s="7">
        <f ca="1"/>
        <v>0.1000636360695184</v>
      </c>
      <c r="AQ1414" s="7" t="e">
        <f ca="1"/>
        <v>#REF!</v>
      </c>
      <c r="AR1414" s="7" t="e">
        <f ca="1"/>
        <v>#REF!</v>
      </c>
      <c r="AS1414" s="7">
        <f ca="1"/>
        <v>1.0491313979639725</v>
      </c>
      <c r="AT1414" s="7" t="e">
        <f ca="1"/>
        <v>#REF!</v>
      </c>
      <c r="AU1414" s="7" t="e">
        <f ca="1"/>
        <v>#REF!</v>
      </c>
      <c r="AV1414" s="7" t="e">
        <f ca="1"/>
        <v>#REF!</v>
      </c>
    </row>
    <row r="1415" spans="37:48" x14ac:dyDescent="0.25">
      <c r="AK1415" t="str">
        <f ca="1"/>
        <v>Obs. 2484</v>
      </c>
      <c r="AL1415" s="7">
        <f ca="1"/>
        <v>68.900000000000006</v>
      </c>
      <c r="AN1415" s="7" t="e">
        <f ca="1"/>
        <v>#REF!</v>
      </c>
      <c r="AO1415" s="7" t="e">
        <f ca="1"/>
        <v>#REF!</v>
      </c>
      <c r="AP1415" s="7">
        <f ca="1"/>
        <v>0.10161633615946611</v>
      </c>
      <c r="AQ1415" s="7" t="e">
        <f ca="1"/>
        <v>#REF!</v>
      </c>
      <c r="AR1415" s="7" t="e">
        <f ca="1"/>
        <v>#REF!</v>
      </c>
      <c r="AS1415" s="7">
        <f ca="1"/>
        <v>1.0491313979639725</v>
      </c>
      <c r="AT1415" s="7" t="e">
        <f ca="1"/>
        <v>#REF!</v>
      </c>
      <c r="AU1415" s="7" t="e">
        <f ca="1"/>
        <v>#REF!</v>
      </c>
      <c r="AV1415" s="7" t="e">
        <f ca="1"/>
        <v>#REF!</v>
      </c>
    </row>
    <row r="1416" spans="37:48" x14ac:dyDescent="0.25">
      <c r="AK1416" t="str">
        <f ca="1"/>
        <v>Obs. 2491</v>
      </c>
      <c r="AL1416" s="7">
        <f ca="1"/>
        <v>58.4</v>
      </c>
      <c r="AN1416" s="7" t="e">
        <f ca="1"/>
        <v>#REF!</v>
      </c>
      <c r="AO1416" s="7" t="e">
        <f ca="1"/>
        <v>#REF!</v>
      </c>
      <c r="AP1416" s="7">
        <f ca="1"/>
        <v>0.13212006355339367</v>
      </c>
      <c r="AQ1416" s="7" t="e">
        <f ca="1"/>
        <v>#REF!</v>
      </c>
      <c r="AR1416" s="7" t="e">
        <f ca="1"/>
        <v>#REF!</v>
      </c>
      <c r="AS1416" s="7">
        <f ca="1"/>
        <v>1.0491313979639725</v>
      </c>
      <c r="AT1416" s="7" t="e">
        <f ca="1"/>
        <v>#REF!</v>
      </c>
      <c r="AU1416" s="7" t="e">
        <f ca="1"/>
        <v>#REF!</v>
      </c>
      <c r="AV1416" s="7" t="e">
        <f ca="1"/>
        <v>#REF!</v>
      </c>
    </row>
    <row r="1417" spans="37:48" x14ac:dyDescent="0.25">
      <c r="AK1417" t="str">
        <f ca="1"/>
        <v>Obs. 2492</v>
      </c>
      <c r="AL1417" s="7">
        <f ca="1"/>
        <v>57.6</v>
      </c>
      <c r="AN1417" s="7" t="e">
        <f ca="1"/>
        <v>#REF!</v>
      </c>
      <c r="AO1417" s="7" t="e">
        <f ca="1"/>
        <v>#REF!</v>
      </c>
      <c r="AP1417" s="7">
        <f ca="1"/>
        <v>0.12235635148864804</v>
      </c>
      <c r="AQ1417" s="7" t="e">
        <f ca="1"/>
        <v>#REF!</v>
      </c>
      <c r="AR1417" s="7" t="e">
        <f ca="1"/>
        <v>#REF!</v>
      </c>
      <c r="AS1417" s="7">
        <f ca="1"/>
        <v>1.0491313979639725</v>
      </c>
      <c r="AT1417" s="7" t="e">
        <f ca="1"/>
        <v>#REF!</v>
      </c>
      <c r="AU1417" s="7" t="e">
        <f ca="1"/>
        <v>#REF!</v>
      </c>
      <c r="AV1417" s="7" t="e">
        <f ca="1"/>
        <v>#REF!</v>
      </c>
    </row>
    <row r="1418" spans="37:48" x14ac:dyDescent="0.25">
      <c r="AK1418" t="str">
        <f ca="1"/>
        <v>Obs. 2493</v>
      </c>
      <c r="AL1418" s="7">
        <f ca="1"/>
        <v>56.5</v>
      </c>
      <c r="AN1418" s="7" t="e">
        <f ca="1"/>
        <v>#REF!</v>
      </c>
      <c r="AO1418" s="7" t="e">
        <f ca="1"/>
        <v>#REF!</v>
      </c>
      <c r="AP1418" s="7">
        <f ca="1"/>
        <v>0.11522684342055312</v>
      </c>
      <c r="AQ1418" s="7" t="e">
        <f ca="1"/>
        <v>#REF!</v>
      </c>
      <c r="AR1418" s="7" t="e">
        <f ca="1"/>
        <v>#REF!</v>
      </c>
      <c r="AS1418" s="7">
        <f ca="1"/>
        <v>1.0491313979639725</v>
      </c>
      <c r="AT1418" s="7" t="e">
        <f ca="1"/>
        <v>#REF!</v>
      </c>
      <c r="AU1418" s="7" t="e">
        <f ca="1"/>
        <v>#REF!</v>
      </c>
      <c r="AV1418" s="7" t="e">
        <f ca="1"/>
        <v>#REF!</v>
      </c>
    </row>
    <row r="1419" spans="37:48" x14ac:dyDescent="0.25">
      <c r="AK1419" t="str">
        <f ca="1"/>
        <v>Obs. 2494</v>
      </c>
      <c r="AL1419" s="7">
        <f ca="1"/>
        <v>55</v>
      </c>
      <c r="AN1419" s="7" t="e">
        <f ca="1"/>
        <v>#REF!</v>
      </c>
      <c r="AO1419" s="7" t="e">
        <f ca="1"/>
        <v>#REF!</v>
      </c>
      <c r="AP1419" s="7">
        <f ca="1"/>
        <v>0.10197571491198243</v>
      </c>
      <c r="AQ1419" s="7" t="e">
        <f ca="1"/>
        <v>#REF!</v>
      </c>
      <c r="AR1419" s="7" t="e">
        <f ca="1"/>
        <v>#REF!</v>
      </c>
      <c r="AS1419" s="7">
        <f ca="1"/>
        <v>1.0491313979639725</v>
      </c>
      <c r="AT1419" s="7" t="e">
        <f ca="1"/>
        <v>#REF!</v>
      </c>
      <c r="AU1419" s="7" t="e">
        <f ca="1"/>
        <v>#REF!</v>
      </c>
      <c r="AV1419" s="7" t="e">
        <f ca="1"/>
        <v>#REF!</v>
      </c>
    </row>
    <row r="1420" spans="37:48" x14ac:dyDescent="0.25">
      <c r="AK1420" t="str">
        <f ca="1"/>
        <v>Obs. 2495</v>
      </c>
      <c r="AL1420" s="7">
        <f ca="1"/>
        <v>53.6</v>
      </c>
      <c r="AN1420" s="7" t="e">
        <f ca="1"/>
        <v>#REF!</v>
      </c>
      <c r="AO1420" s="7" t="e">
        <f ca="1"/>
        <v>#REF!</v>
      </c>
      <c r="AP1420" s="7">
        <f ca="1"/>
        <v>8.4269072565142378E-2</v>
      </c>
      <c r="AQ1420" s="7" t="e">
        <f ca="1"/>
        <v>#REF!</v>
      </c>
      <c r="AR1420" s="7" t="e">
        <f ca="1"/>
        <v>#REF!</v>
      </c>
      <c r="AS1420" s="7">
        <f ca="1"/>
        <v>1.0491313979639725</v>
      </c>
      <c r="AT1420" s="7" t="e">
        <f ca="1"/>
        <v>#REF!</v>
      </c>
      <c r="AU1420" s="7" t="e">
        <f ca="1"/>
        <v>#REF!</v>
      </c>
      <c r="AV1420" s="7" t="e">
        <f ca="1"/>
        <v>#REF!</v>
      </c>
    </row>
    <row r="1421" spans="37:48" x14ac:dyDescent="0.25">
      <c r="AK1421" t="str">
        <f ca="1"/>
        <v>Obs. 2496</v>
      </c>
      <c r="AL1421" s="7">
        <f ca="1"/>
        <v>52.6</v>
      </c>
      <c r="AN1421" s="7" t="e">
        <f ca="1"/>
        <v>#REF!</v>
      </c>
      <c r="AO1421" s="7" t="e">
        <f ca="1"/>
        <v>#REF!</v>
      </c>
      <c r="AP1421" s="7">
        <f ca="1"/>
        <v>7.4878137786292723E-2</v>
      </c>
      <c r="AQ1421" s="7" t="e">
        <f ca="1"/>
        <v>#REF!</v>
      </c>
      <c r="AR1421" s="7" t="e">
        <f ca="1"/>
        <v>#REF!</v>
      </c>
      <c r="AS1421" s="7">
        <f ca="1"/>
        <v>1.0491313979639725</v>
      </c>
      <c r="AT1421" s="7" t="e">
        <f ca="1"/>
        <v>#REF!</v>
      </c>
      <c r="AU1421" s="7" t="e">
        <f ca="1"/>
        <v>#REF!</v>
      </c>
      <c r="AV1421" s="7" t="e">
        <f ca="1"/>
        <v>#REF!</v>
      </c>
    </row>
    <row r="1422" spans="37:48" x14ac:dyDescent="0.25">
      <c r="AK1422" t="str">
        <f ca="1"/>
        <v>Obs. 2497</v>
      </c>
      <c r="AL1422" s="7">
        <f ca="1"/>
        <v>51.4</v>
      </c>
      <c r="AN1422" s="7" t="e">
        <f ca="1"/>
        <v>#REF!</v>
      </c>
      <c r="AO1422" s="7" t="e">
        <f ca="1"/>
        <v>#REF!</v>
      </c>
      <c r="AP1422" s="7">
        <f ca="1"/>
        <v>8.1061604155888534E-2</v>
      </c>
      <c r="AQ1422" s="7" t="e">
        <f ca="1"/>
        <v>#REF!</v>
      </c>
      <c r="AR1422" s="7" t="e">
        <f ca="1"/>
        <v>#REF!</v>
      </c>
      <c r="AS1422" s="7">
        <f ca="1"/>
        <v>1.0491313979639725</v>
      </c>
      <c r="AT1422" s="7" t="e">
        <f ca="1"/>
        <v>#REF!</v>
      </c>
      <c r="AU1422" s="7" t="e">
        <f ca="1"/>
        <v>#REF!</v>
      </c>
      <c r="AV1422" s="7" t="e">
        <f ca="1"/>
        <v>#REF!</v>
      </c>
    </row>
    <row r="1423" spans="37:48" x14ac:dyDescent="0.25">
      <c r="AK1423" t="str">
        <f ca="1"/>
        <v>Obs. 2498</v>
      </c>
      <c r="AL1423" s="7">
        <f ca="1"/>
        <v>50</v>
      </c>
      <c r="AN1423" s="7" t="e">
        <f ca="1"/>
        <v>#REF!</v>
      </c>
      <c r="AO1423" s="7" t="e">
        <f ca="1"/>
        <v>#REF!</v>
      </c>
      <c r="AP1423" s="7">
        <f ca="1"/>
        <v>7.9648682085049508E-2</v>
      </c>
      <c r="AQ1423" s="7" t="e">
        <f ca="1"/>
        <v>#REF!</v>
      </c>
      <c r="AR1423" s="7" t="e">
        <f ca="1"/>
        <v>#REF!</v>
      </c>
      <c r="AS1423" s="7">
        <f ca="1"/>
        <v>1.0491313979639725</v>
      </c>
      <c r="AT1423" s="7" t="e">
        <f ca="1"/>
        <v>#REF!</v>
      </c>
      <c r="AU1423" s="7" t="e">
        <f ca="1"/>
        <v>#REF!</v>
      </c>
      <c r="AV1423" s="7" t="e">
        <f ca="1"/>
        <v>#REF!</v>
      </c>
    </row>
    <row r="1424" spans="37:48" x14ac:dyDescent="0.25">
      <c r="AK1424" t="str">
        <f ca="1"/>
        <v>Obs. 2499</v>
      </c>
      <c r="AL1424" s="7">
        <f ca="1"/>
        <v>47.8</v>
      </c>
      <c r="AN1424" s="7" t="e">
        <f ca="1"/>
        <v>#REF!</v>
      </c>
      <c r="AO1424" s="7" t="e">
        <f ca="1"/>
        <v>#REF!</v>
      </c>
      <c r="AP1424" s="7">
        <f ca="1"/>
        <v>7.6477892572347661E-2</v>
      </c>
      <c r="AQ1424" s="7" t="e">
        <f ca="1"/>
        <v>#REF!</v>
      </c>
      <c r="AR1424" s="7" t="e">
        <f ca="1"/>
        <v>#REF!</v>
      </c>
      <c r="AS1424" s="7">
        <f ca="1"/>
        <v>1.0491313979639725</v>
      </c>
      <c r="AT1424" s="7" t="e">
        <f ca="1"/>
        <v>#REF!</v>
      </c>
      <c r="AU1424" s="7" t="e">
        <f ca="1"/>
        <v>#REF!</v>
      </c>
      <c r="AV1424" s="7" t="e">
        <f ca="1"/>
        <v>#REF!</v>
      </c>
    </row>
    <row r="1425" spans="37:48" x14ac:dyDescent="0.25">
      <c r="AK1425" t="str">
        <f ca="1"/>
        <v>Obs. 2500</v>
      </c>
      <c r="AL1425" s="7">
        <f ca="1"/>
        <v>46</v>
      </c>
      <c r="AN1425" s="7" t="e">
        <f ca="1"/>
        <v>#REF!</v>
      </c>
      <c r="AO1425" s="7" t="e">
        <f ca="1"/>
        <v>#REF!</v>
      </c>
      <c r="AP1425" s="7">
        <f ca="1"/>
        <v>9.5977366545625484E-2</v>
      </c>
      <c r="AQ1425" s="7" t="e">
        <f ca="1"/>
        <v>#REF!</v>
      </c>
      <c r="AR1425" s="7" t="e">
        <f ca="1"/>
        <v>#REF!</v>
      </c>
      <c r="AS1425" s="7">
        <f ca="1"/>
        <v>1.0491313979639725</v>
      </c>
      <c r="AT1425" s="7" t="e">
        <f ca="1"/>
        <v>#REF!</v>
      </c>
      <c r="AU1425" s="7" t="e">
        <f ca="1"/>
        <v>#REF!</v>
      </c>
      <c r="AV1425" s="7" t="e">
        <f ca="1"/>
        <v>#REF!</v>
      </c>
    </row>
    <row r="1426" spans="37:48" x14ac:dyDescent="0.25">
      <c r="AK1426" t="str">
        <f ca="1"/>
        <v>Obs. 2501</v>
      </c>
      <c r="AL1426" s="7">
        <f ca="1"/>
        <v>45.6</v>
      </c>
      <c r="AN1426" s="7" t="e">
        <f ca="1"/>
        <v>#REF!</v>
      </c>
      <c r="AO1426" s="7" t="e">
        <f ca="1"/>
        <v>#REF!</v>
      </c>
      <c r="AP1426" s="7">
        <f ca="1"/>
        <v>0.10014710478021262</v>
      </c>
      <c r="AQ1426" s="7" t="e">
        <f ca="1"/>
        <v>#REF!</v>
      </c>
      <c r="AR1426" s="7" t="e">
        <f ca="1"/>
        <v>#REF!</v>
      </c>
      <c r="AS1426" s="7">
        <f ca="1"/>
        <v>1.0950400512086551</v>
      </c>
      <c r="AT1426" s="7" t="e">
        <f ca="1"/>
        <v>#REF!</v>
      </c>
      <c r="AU1426" s="7" t="e">
        <f ca="1"/>
        <v>#REF!</v>
      </c>
      <c r="AV1426" s="7" t="e">
        <f ca="1"/>
        <v>#REF!</v>
      </c>
    </row>
    <row r="1427" spans="37:48" x14ac:dyDescent="0.25">
      <c r="AK1427" t="str">
        <f ca="1"/>
        <v>Obs. 2502</v>
      </c>
      <c r="AL1427" s="7">
        <f ca="1"/>
        <v>45.9</v>
      </c>
      <c r="AN1427" s="7" t="e">
        <f ca="1"/>
        <v>#REF!</v>
      </c>
      <c r="AO1427" s="7" t="e">
        <f ca="1"/>
        <v>#REF!</v>
      </c>
      <c r="AP1427" s="7">
        <f ca="1"/>
        <v>0.11459816090347044</v>
      </c>
      <c r="AQ1427" s="7" t="e">
        <f ca="1"/>
        <v>#REF!</v>
      </c>
      <c r="AR1427" s="7" t="e">
        <f ca="1"/>
        <v>#REF!</v>
      </c>
      <c r="AS1427" s="7">
        <f ca="1"/>
        <v>1.0950400512086551</v>
      </c>
      <c r="AT1427" s="7" t="e">
        <f ca="1"/>
        <v>#REF!</v>
      </c>
      <c r="AU1427" s="7" t="e">
        <f ca="1"/>
        <v>#REF!</v>
      </c>
      <c r="AV1427" s="7" t="e">
        <f ca="1"/>
        <v>#REF!</v>
      </c>
    </row>
    <row r="1428" spans="37:48" x14ac:dyDescent="0.25">
      <c r="AK1428" t="str">
        <f ca="1"/>
        <v>Obs. 2503</v>
      </c>
      <c r="AL1428" s="7">
        <f ca="1"/>
        <v>46.4</v>
      </c>
      <c r="AN1428" s="7" t="e">
        <f ca="1"/>
        <v>#REF!</v>
      </c>
      <c r="AO1428" s="7" t="e">
        <f ca="1"/>
        <v>#REF!</v>
      </c>
      <c r="AP1428" s="7">
        <f ca="1"/>
        <v>8.8340626386990209E-2</v>
      </c>
      <c r="AQ1428" s="7" t="e">
        <f ca="1"/>
        <v>#REF!</v>
      </c>
      <c r="AR1428" s="7" t="e">
        <f ca="1"/>
        <v>#REF!</v>
      </c>
      <c r="AS1428" s="7">
        <f ca="1"/>
        <v>1.0950400512086551</v>
      </c>
      <c r="AT1428" s="7" t="e">
        <f ca="1"/>
        <v>#REF!</v>
      </c>
      <c r="AU1428" s="7" t="e">
        <f ca="1"/>
        <v>#REF!</v>
      </c>
      <c r="AV1428" s="7" t="e">
        <f ca="1"/>
        <v>#REF!</v>
      </c>
    </row>
    <row r="1429" spans="37:48" x14ac:dyDescent="0.25">
      <c r="AK1429" t="str">
        <f ca="1"/>
        <v>Obs. 2504</v>
      </c>
      <c r="AL1429" s="7">
        <f ca="1"/>
        <v>47.1</v>
      </c>
      <c r="AN1429" s="7" t="e">
        <f ca="1"/>
        <v>#REF!</v>
      </c>
      <c r="AO1429" s="7" t="e">
        <f ca="1"/>
        <v>#REF!</v>
      </c>
      <c r="AP1429" s="7">
        <f ca="1"/>
        <v>8.5649158945160966E-2</v>
      </c>
      <c r="AQ1429" s="7" t="e">
        <f ca="1"/>
        <v>#REF!</v>
      </c>
      <c r="AR1429" s="7" t="e">
        <f ca="1"/>
        <v>#REF!</v>
      </c>
      <c r="AS1429" s="7">
        <f ca="1"/>
        <v>1.1033838166983498</v>
      </c>
      <c r="AT1429" s="7" t="e">
        <f ca="1"/>
        <v>#REF!</v>
      </c>
      <c r="AU1429" s="7" t="e">
        <f ca="1"/>
        <v>#REF!</v>
      </c>
      <c r="AV1429" s="7" t="e">
        <f ca="1"/>
        <v>#REF!</v>
      </c>
    </row>
    <row r="1430" spans="37:48" x14ac:dyDescent="0.25">
      <c r="AK1430" t="str">
        <f ca="1"/>
        <v>Obs. 2505</v>
      </c>
      <c r="AL1430" s="7">
        <f ca="1"/>
        <v>48.4</v>
      </c>
      <c r="AN1430" s="7" t="e">
        <f ca="1"/>
        <v>#REF!</v>
      </c>
      <c r="AO1430" s="7" t="e">
        <f ca="1"/>
        <v>#REF!</v>
      </c>
      <c r="AP1430" s="7">
        <f ca="1"/>
        <v>8.1465944435176643E-2</v>
      </c>
      <c r="AQ1430" s="7" t="e">
        <f ca="1"/>
        <v>#REF!</v>
      </c>
      <c r="AR1430" s="7" t="e">
        <f ca="1"/>
        <v>#REF!</v>
      </c>
      <c r="AS1430" s="7">
        <f ca="1"/>
        <v>1.1033838166983498</v>
      </c>
      <c r="AT1430" s="7" t="e">
        <f ca="1"/>
        <v>#REF!</v>
      </c>
      <c r="AU1430" s="7" t="e">
        <f ca="1"/>
        <v>#REF!</v>
      </c>
      <c r="AV1430" s="7" t="e">
        <f ca="1"/>
        <v>#REF!</v>
      </c>
    </row>
    <row r="1431" spans="37:48" x14ac:dyDescent="0.25">
      <c r="AK1431" t="str">
        <f ca="1"/>
        <v>Obs. 2507</v>
      </c>
      <c r="AL1431" s="7">
        <f ca="1"/>
        <v>82.3</v>
      </c>
      <c r="AN1431" s="7" t="e">
        <f ca="1"/>
        <v>#REF!</v>
      </c>
      <c r="AO1431" s="7" t="e">
        <f ca="1"/>
        <v>#REF!</v>
      </c>
      <c r="AP1431" s="7">
        <f ca="1"/>
        <v>0.27707578402238986</v>
      </c>
      <c r="AQ1431" s="7" t="e">
        <f ca="1"/>
        <v>#REF!</v>
      </c>
      <c r="AR1431" s="7" t="e">
        <f ca="1"/>
        <v>#REF!</v>
      </c>
      <c r="AS1431" s="7">
        <f ca="1"/>
        <v>1.1033838166983498</v>
      </c>
      <c r="AT1431" s="7" t="e">
        <f ca="1"/>
        <v>#REF!</v>
      </c>
      <c r="AU1431" s="7" t="e">
        <f ca="1"/>
        <v>#REF!</v>
      </c>
      <c r="AV1431" s="7" t="e">
        <f ca="1"/>
        <v>#REF!</v>
      </c>
    </row>
    <row r="1432" spans="37:48" x14ac:dyDescent="0.25">
      <c r="AK1432" t="str">
        <f ca="1"/>
        <v>Obs. 2508</v>
      </c>
      <c r="AL1432" s="7">
        <f ca="1"/>
        <v>81.900000000000006</v>
      </c>
      <c r="AN1432" s="7" t="e">
        <f ca="1"/>
        <v>#REF!</v>
      </c>
      <c r="AO1432" s="7" t="e">
        <f ca="1"/>
        <v>#REF!</v>
      </c>
      <c r="AP1432" s="7">
        <f ca="1"/>
        <v>0.27634676603614805</v>
      </c>
      <c r="AQ1432" s="7" t="e">
        <f ca="1"/>
        <v>#REF!</v>
      </c>
      <c r="AR1432" s="7" t="e">
        <f ca="1"/>
        <v>#REF!</v>
      </c>
      <c r="AS1432" s="7">
        <f ca="1"/>
        <v>1.1118051137279645</v>
      </c>
      <c r="AT1432" s="7" t="e">
        <f ca="1"/>
        <v>#REF!</v>
      </c>
      <c r="AU1432" s="7" t="e">
        <f ca="1"/>
        <v>#REF!</v>
      </c>
      <c r="AV1432" s="7" t="e">
        <f ca="1"/>
        <v>#REF!</v>
      </c>
    </row>
    <row r="1433" spans="37:48" x14ac:dyDescent="0.25">
      <c r="AK1433" t="str">
        <f ca="1"/>
        <v>Obs. 2509</v>
      </c>
      <c r="AL1433" s="7">
        <f ca="1"/>
        <v>81.7</v>
      </c>
      <c r="AN1433" s="7" t="e">
        <f ca="1"/>
        <v>#REF!</v>
      </c>
      <c r="AO1433" s="7" t="e">
        <f ca="1"/>
        <v>#REF!</v>
      </c>
      <c r="AP1433" s="7">
        <f ca="1"/>
        <v>0.2744090163296522</v>
      </c>
      <c r="AQ1433" s="7" t="e">
        <f ca="1"/>
        <v>#REF!</v>
      </c>
      <c r="AR1433" s="7" t="e">
        <f ca="1"/>
        <v>#REF!</v>
      </c>
      <c r="AS1433" s="7">
        <f ca="1"/>
        <v>1.1118051137279645</v>
      </c>
      <c r="AT1433" s="7" t="e">
        <f ca="1"/>
        <v>#REF!</v>
      </c>
      <c r="AU1433" s="7" t="e">
        <f ca="1"/>
        <v>#REF!</v>
      </c>
      <c r="AV1433" s="7" t="e">
        <f ca="1"/>
        <v>#REF!</v>
      </c>
    </row>
    <row r="1434" spans="37:48" x14ac:dyDescent="0.25">
      <c r="AK1434" t="str">
        <f ca="1"/>
        <v>Obs. 2510</v>
      </c>
      <c r="AL1434" s="7">
        <f ca="1"/>
        <v>81.7</v>
      </c>
      <c r="AN1434" s="7" t="e">
        <f ca="1"/>
        <v>#REF!</v>
      </c>
      <c r="AO1434" s="7" t="e">
        <f ca="1"/>
        <v>#REF!</v>
      </c>
      <c r="AP1434" s="7">
        <f ca="1"/>
        <v>0.27937413137575606</v>
      </c>
      <c r="AQ1434" s="7" t="e">
        <f ca="1"/>
        <v>#REF!</v>
      </c>
      <c r="AR1434" s="7" t="e">
        <f ca="1"/>
        <v>#REF!</v>
      </c>
      <c r="AS1434" s="7">
        <f ca="1"/>
        <v>1.1118051137279645</v>
      </c>
      <c r="AT1434" s="7" t="e">
        <f ca="1"/>
        <v>#REF!</v>
      </c>
      <c r="AU1434" s="7" t="e">
        <f ca="1"/>
        <v>#REF!</v>
      </c>
      <c r="AV1434" s="7" t="e">
        <f ca="1"/>
        <v>#REF!</v>
      </c>
    </row>
    <row r="1435" spans="37:48" x14ac:dyDescent="0.25">
      <c r="AK1435" t="str">
        <f ca="1"/>
        <v>Obs. 2546</v>
      </c>
      <c r="AL1435" s="7">
        <f ca="1"/>
        <v>73.8</v>
      </c>
      <c r="AN1435" s="7" t="e">
        <f ca="1"/>
        <v>#REF!</v>
      </c>
      <c r="AO1435" s="7" t="e">
        <f ca="1"/>
        <v>#REF!</v>
      </c>
      <c r="AP1435" s="7">
        <f ca="1"/>
        <v>0.13229486424509562</v>
      </c>
      <c r="AQ1435" s="7" t="e">
        <f ca="1"/>
        <v>#REF!</v>
      </c>
      <c r="AR1435" s="7" t="e">
        <f ca="1"/>
        <v>#REF!</v>
      </c>
      <c r="AS1435" s="7">
        <f ca="1"/>
        <v>1.1118051137279645</v>
      </c>
      <c r="AT1435" s="7" t="e">
        <f ca="1"/>
        <v>#REF!</v>
      </c>
      <c r="AU1435" s="7" t="e">
        <f ca="1"/>
        <v>#REF!</v>
      </c>
      <c r="AV1435" s="7" t="e">
        <f ca="1"/>
        <v>#REF!</v>
      </c>
    </row>
    <row r="1436" spans="37:48" x14ac:dyDescent="0.25">
      <c r="AK1436" t="str">
        <f ca="1"/>
        <v>Obs. 2547</v>
      </c>
      <c r="AL1436" s="7">
        <f ca="1"/>
        <v>73.7</v>
      </c>
      <c r="AN1436" s="7" t="e">
        <f ca="1"/>
        <v>#REF!</v>
      </c>
      <c r="AO1436" s="7" t="e">
        <f ca="1"/>
        <v>#REF!</v>
      </c>
      <c r="AP1436" s="7">
        <f ca="1"/>
        <v>0.13204118912090959</v>
      </c>
      <c r="AQ1436" s="7" t="e">
        <f ca="1"/>
        <v>#REF!</v>
      </c>
      <c r="AR1436" s="7" t="e">
        <f ca="1"/>
        <v>#REF!</v>
      </c>
      <c r="AS1436" s="7">
        <f ca="1"/>
        <v>1.1231576917613038</v>
      </c>
      <c r="AT1436" s="7" t="e">
        <f ca="1"/>
        <v>#REF!</v>
      </c>
      <c r="AU1436" s="7" t="e">
        <f ca="1"/>
        <v>#REF!</v>
      </c>
      <c r="AV1436" s="7" t="e">
        <f ca="1"/>
        <v>#REF!</v>
      </c>
    </row>
    <row r="1437" spans="37:48" x14ac:dyDescent="0.25">
      <c r="AK1437" t="str">
        <f ca="1"/>
        <v>Obs. 2548</v>
      </c>
      <c r="AL1437" s="7">
        <f ca="1"/>
        <v>73.5</v>
      </c>
      <c r="AN1437" s="7" t="e">
        <f ca="1"/>
        <v>#REF!</v>
      </c>
      <c r="AO1437" s="7" t="e">
        <f ca="1"/>
        <v>#REF!</v>
      </c>
      <c r="AP1437" s="7">
        <f ca="1"/>
        <v>0.13140306463839108</v>
      </c>
      <c r="AQ1437" s="7" t="e">
        <f ca="1"/>
        <v>#REF!</v>
      </c>
      <c r="AR1437" s="7" t="e">
        <f ca="1"/>
        <v>#REF!</v>
      </c>
      <c r="AS1437" s="7">
        <f ca="1"/>
        <v>1.1231576917613038</v>
      </c>
      <c r="AT1437" s="7" t="e">
        <f ca="1"/>
        <v>#REF!</v>
      </c>
      <c r="AU1437" s="7" t="e">
        <f ca="1"/>
        <v>#REF!</v>
      </c>
      <c r="AV1437" s="7" t="e">
        <f ca="1"/>
        <v>#REF!</v>
      </c>
    </row>
    <row r="1438" spans="37:48" x14ac:dyDescent="0.25">
      <c r="AK1438" t="str">
        <f ca="1"/>
        <v>Obs. 2549</v>
      </c>
      <c r="AL1438" s="7">
        <f ca="1"/>
        <v>73.2</v>
      </c>
      <c r="AN1438" s="7" t="e">
        <f ca="1"/>
        <v>#REF!</v>
      </c>
      <c r="AO1438" s="7" t="e">
        <f ca="1"/>
        <v>#REF!</v>
      </c>
      <c r="AP1438" s="7">
        <f ca="1"/>
        <v>0.12349307622853216</v>
      </c>
      <c r="AQ1438" s="7" t="e">
        <f ca="1"/>
        <v>#REF!</v>
      </c>
      <c r="AR1438" s="7" t="e">
        <f ca="1"/>
        <v>#REF!</v>
      </c>
      <c r="AS1438" s="7">
        <f ca="1"/>
        <v>1.128888636463274</v>
      </c>
      <c r="AT1438" s="7" t="e">
        <f ca="1"/>
        <v>#REF!</v>
      </c>
      <c r="AU1438" s="7" t="e">
        <f ca="1"/>
        <v>#REF!</v>
      </c>
      <c r="AV1438" s="7" t="e">
        <f ca="1"/>
        <v>#REF!</v>
      </c>
    </row>
    <row r="1439" spans="37:48" x14ac:dyDescent="0.25">
      <c r="AK1439" t="str">
        <f ca="1"/>
        <v>Obs. 2550</v>
      </c>
      <c r="AL1439" s="7">
        <f ca="1"/>
        <v>73</v>
      </c>
      <c r="AN1439" s="7" t="e">
        <f ca="1"/>
        <v>#REF!</v>
      </c>
      <c r="AO1439" s="7" t="e">
        <f ca="1"/>
        <v>#REF!</v>
      </c>
      <c r="AP1439" s="7">
        <f ca="1"/>
        <v>0.12399919143344204</v>
      </c>
      <c r="AQ1439" s="7" t="e">
        <f ca="1"/>
        <v>#REF!</v>
      </c>
      <c r="AR1439" s="7" t="e">
        <f ca="1"/>
        <v>#REF!</v>
      </c>
      <c r="AS1439" s="7">
        <f ca="1"/>
        <v>1.128888636463274</v>
      </c>
      <c r="AT1439" s="7" t="e">
        <f ca="1"/>
        <v>#REF!</v>
      </c>
      <c r="AU1439" s="7" t="e">
        <f ca="1"/>
        <v>#REF!</v>
      </c>
      <c r="AV1439" s="7" t="e">
        <f ca="1"/>
        <v>#REF!</v>
      </c>
    </row>
    <row r="1440" spans="37:48" x14ac:dyDescent="0.25">
      <c r="AK1440" t="str">
        <f ca="1"/>
        <v>Obs. 2551</v>
      </c>
      <c r="AL1440" s="7">
        <f ca="1"/>
        <v>72.8</v>
      </c>
      <c r="AN1440" s="7" t="e">
        <f ca="1"/>
        <v>#REF!</v>
      </c>
      <c r="AO1440" s="7" t="e">
        <f ca="1"/>
        <v>#REF!</v>
      </c>
      <c r="AP1440" s="7">
        <f ca="1"/>
        <v>0.13424721439054652</v>
      </c>
      <c r="AQ1440" s="7" t="e">
        <f ca="1"/>
        <v>#REF!</v>
      </c>
      <c r="AR1440" s="7" t="e">
        <f ca="1"/>
        <v>#REF!</v>
      </c>
      <c r="AS1440" s="7">
        <f ca="1"/>
        <v>1.128888636463274</v>
      </c>
      <c r="AT1440" s="7" t="e">
        <f ca="1"/>
        <v>#REF!</v>
      </c>
      <c r="AU1440" s="7" t="e">
        <f ca="1"/>
        <v>#REF!</v>
      </c>
      <c r="AV1440" s="7" t="e">
        <f ca="1"/>
        <v>#REF!</v>
      </c>
    </row>
    <row r="1441" spans="37:48" x14ac:dyDescent="0.25">
      <c r="AK1441" t="str">
        <f ca="1"/>
        <v>Obs. 2552</v>
      </c>
      <c r="AL1441" s="7">
        <f ca="1"/>
        <v>72.7</v>
      </c>
      <c r="AN1441" s="7" t="e">
        <f ca="1"/>
        <v>#REF!</v>
      </c>
      <c r="AO1441" s="7" t="e">
        <f ca="1"/>
        <v>#REF!</v>
      </c>
      <c r="AP1441" s="7">
        <f ca="1"/>
        <v>0.13364411890684422</v>
      </c>
      <c r="AQ1441" s="7" t="e">
        <f ca="1"/>
        <v>#REF!</v>
      </c>
      <c r="AR1441" s="7" t="e">
        <f ca="1"/>
        <v>#REF!</v>
      </c>
      <c r="AS1441" s="7">
        <f ca="1"/>
        <v>1.128888636463274</v>
      </c>
      <c r="AT1441" s="7" t="e">
        <f ca="1"/>
        <v>#REF!</v>
      </c>
      <c r="AU1441" s="7" t="e">
        <f ca="1"/>
        <v>#REF!</v>
      </c>
      <c r="AV1441" s="7" t="e">
        <f ca="1"/>
        <v>#REF!</v>
      </c>
    </row>
    <row r="1442" spans="37:48" x14ac:dyDescent="0.25">
      <c r="AK1442" t="str">
        <f ca="1"/>
        <v>Obs. 2553</v>
      </c>
      <c r="AL1442" s="7">
        <f ca="1"/>
        <v>72.599999999999994</v>
      </c>
      <c r="AN1442" s="7" t="e">
        <f ca="1"/>
        <v>#REF!</v>
      </c>
      <c r="AO1442" s="7" t="e">
        <f ca="1"/>
        <v>#REF!</v>
      </c>
      <c r="AP1442" s="7">
        <f ca="1"/>
        <v>0.12460707641112639</v>
      </c>
      <c r="AQ1442" s="7" t="e">
        <f ca="1"/>
        <v>#REF!</v>
      </c>
      <c r="AR1442" s="7" t="e">
        <f ca="1"/>
        <v>#REF!</v>
      </c>
      <c r="AS1442" s="7">
        <f ca="1"/>
        <v>1.1404631659072275</v>
      </c>
      <c r="AT1442" s="7" t="e">
        <f ca="1"/>
        <v>#REF!</v>
      </c>
      <c r="AU1442" s="7" t="e">
        <f ca="1"/>
        <v>#REF!</v>
      </c>
      <c r="AV1442" s="7" t="e">
        <f ca="1"/>
        <v>#REF!</v>
      </c>
    </row>
    <row r="1443" spans="37:48" x14ac:dyDescent="0.25">
      <c r="AK1443" t="str">
        <f ca="1"/>
        <v>Obs. 2555</v>
      </c>
      <c r="AL1443" s="7">
        <f ca="1"/>
        <v>69.599999999999994</v>
      </c>
      <c r="AN1443" s="7" t="e">
        <f ca="1"/>
        <v>#REF!</v>
      </c>
      <c r="AO1443" s="7" t="e">
        <f ca="1"/>
        <v>#REF!</v>
      </c>
      <c r="AP1443" s="7">
        <f ca="1"/>
        <v>7.8373161797122323E-2</v>
      </c>
      <c r="AQ1443" s="7" t="e">
        <f ca="1"/>
        <v>#REF!</v>
      </c>
      <c r="AR1443" s="7" t="e">
        <f ca="1"/>
        <v>#REF!</v>
      </c>
      <c r="AS1443" s="7">
        <f ca="1"/>
        <v>1.1404631659072275</v>
      </c>
      <c r="AT1443" s="7" t="e">
        <f ca="1"/>
        <v>#REF!</v>
      </c>
      <c r="AU1443" s="7" t="e">
        <f ca="1"/>
        <v>#REF!</v>
      </c>
      <c r="AV1443" s="7" t="e">
        <f ca="1"/>
        <v>#REF!</v>
      </c>
    </row>
    <row r="1444" spans="37:48" x14ac:dyDescent="0.25">
      <c r="AK1444" t="str">
        <f ca="1"/>
        <v>Obs. 2556</v>
      </c>
      <c r="AL1444" s="7">
        <f ca="1"/>
        <v>69.3</v>
      </c>
      <c r="AN1444" s="7" t="e">
        <f ca="1"/>
        <v>#REF!</v>
      </c>
      <c r="AO1444" s="7" t="e">
        <f ca="1"/>
        <v>#REF!</v>
      </c>
      <c r="AP1444" s="7">
        <f ca="1"/>
        <v>7.7888807676813013E-2</v>
      </c>
      <c r="AQ1444" s="7" t="e">
        <f ca="1"/>
        <v>#REF!</v>
      </c>
      <c r="AR1444" s="7" t="e">
        <f ca="1"/>
        <v>#REF!</v>
      </c>
      <c r="AS1444" s="7">
        <f ca="1"/>
        <v>1.1404631659072275</v>
      </c>
      <c r="AT1444" s="7" t="e">
        <f ca="1"/>
        <v>#REF!</v>
      </c>
      <c r="AU1444" s="7" t="e">
        <f ca="1"/>
        <v>#REF!</v>
      </c>
      <c r="AV1444" s="7" t="e">
        <f ca="1"/>
        <v>#REF!</v>
      </c>
    </row>
    <row r="1445" spans="37:48" x14ac:dyDescent="0.25">
      <c r="AK1445" t="str">
        <f ca="1"/>
        <v>Obs. 2557</v>
      </c>
      <c r="AL1445" s="7">
        <f ca="1"/>
        <v>68.8</v>
      </c>
      <c r="AN1445" s="7" t="e">
        <f ca="1"/>
        <v>#REF!</v>
      </c>
      <c r="AO1445" s="7" t="e">
        <f ca="1"/>
        <v>#REF!</v>
      </c>
      <c r="AP1445" s="7">
        <f ca="1"/>
        <v>7.7281456923255359E-2</v>
      </c>
      <c r="AQ1445" s="7" t="e">
        <f ca="1"/>
        <v>#REF!</v>
      </c>
      <c r="AR1445" s="7" t="e">
        <f ca="1"/>
        <v>#REF!</v>
      </c>
      <c r="AS1445" s="7">
        <f ca="1"/>
        <v>1.1404631659072275</v>
      </c>
      <c r="AT1445" s="7" t="e">
        <f ca="1"/>
        <v>#REF!</v>
      </c>
      <c r="AU1445" s="7" t="e">
        <f ca="1"/>
        <v>#REF!</v>
      </c>
      <c r="AV1445" s="7" t="e">
        <f ca="1"/>
        <v>#REF!</v>
      </c>
    </row>
    <row r="1446" spans="37:48" x14ac:dyDescent="0.25">
      <c r="AK1446" t="str">
        <f ca="1"/>
        <v>Obs. 2558</v>
      </c>
      <c r="AL1446" s="7">
        <f ca="1"/>
        <v>68.099999999999994</v>
      </c>
      <c r="AN1446" s="7" t="e">
        <f ca="1"/>
        <v>#REF!</v>
      </c>
      <c r="AO1446" s="7" t="e">
        <f ca="1"/>
        <v>#REF!</v>
      </c>
      <c r="AP1446" s="7">
        <f ca="1"/>
        <v>7.6827376231863836E-2</v>
      </c>
      <c r="AQ1446" s="7" t="e">
        <f ca="1"/>
        <v>#REF!</v>
      </c>
      <c r="AR1446" s="7" t="e">
        <f ca="1"/>
        <v>#REF!</v>
      </c>
      <c r="AS1446" s="7">
        <f ca="1"/>
        <v>1.1521925343545227</v>
      </c>
      <c r="AT1446" s="7" t="e">
        <f ca="1"/>
        <v>#REF!</v>
      </c>
      <c r="AU1446" s="7" t="e">
        <f ca="1"/>
        <v>#REF!</v>
      </c>
      <c r="AV1446" s="7" t="e">
        <f ca="1"/>
        <v>#REF!</v>
      </c>
    </row>
    <row r="1447" spans="37:48" x14ac:dyDescent="0.25">
      <c r="AK1447" t="str">
        <f ca="1"/>
        <v>Obs. 2559</v>
      </c>
      <c r="AL1447" s="7">
        <f ca="1"/>
        <v>67.3</v>
      </c>
      <c r="AN1447" s="7" t="e">
        <f ca="1"/>
        <v>#REF!</v>
      </c>
      <c r="AO1447" s="7" t="e">
        <f ca="1"/>
        <v>#REF!</v>
      </c>
      <c r="AP1447" s="7">
        <f ca="1"/>
        <v>7.6588645946984252E-2</v>
      </c>
      <c r="AQ1447" s="7" t="e">
        <f ca="1"/>
        <v>#REF!</v>
      </c>
      <c r="AR1447" s="7" t="e">
        <f ca="1"/>
        <v>#REF!</v>
      </c>
      <c r="AS1447" s="7">
        <f ca="1"/>
        <v>1.1521925343545227</v>
      </c>
      <c r="AT1447" s="7" t="e">
        <f ca="1"/>
        <v>#REF!</v>
      </c>
      <c r="AU1447" s="7" t="e">
        <f ca="1"/>
        <v>#REF!</v>
      </c>
      <c r="AV1447" s="7" t="e">
        <f ca="1"/>
        <v>#REF!</v>
      </c>
    </row>
    <row r="1448" spans="37:48" x14ac:dyDescent="0.25">
      <c r="AK1448" t="str">
        <f ca="1"/>
        <v>Obs. 2560</v>
      </c>
      <c r="AL1448" s="7">
        <f ca="1"/>
        <v>66.7</v>
      </c>
      <c r="AN1448" s="7" t="e">
        <f ca="1"/>
        <v>#REF!</v>
      </c>
      <c r="AO1448" s="7" t="e">
        <f ca="1"/>
        <v>#REF!</v>
      </c>
      <c r="AP1448" s="7">
        <f ca="1"/>
        <v>7.6468075496031948E-2</v>
      </c>
      <c r="AQ1448" s="7" t="e">
        <f ca="1"/>
        <v>#REF!</v>
      </c>
      <c r="AR1448" s="7" t="e">
        <f ca="1"/>
        <v>#REF!</v>
      </c>
      <c r="AS1448" s="7">
        <f ca="1"/>
        <v>1.1521925343545227</v>
      </c>
      <c r="AT1448" s="7" t="e">
        <f ca="1"/>
        <v>#REF!</v>
      </c>
      <c r="AU1448" s="7" t="e">
        <f ca="1"/>
        <v>#REF!</v>
      </c>
      <c r="AV1448" s="7" t="e">
        <f ca="1"/>
        <v>#REF!</v>
      </c>
    </row>
    <row r="1449" spans="37:48" x14ac:dyDescent="0.25">
      <c r="AK1449" t="str">
        <f ca="1"/>
        <v>Obs. 2561</v>
      </c>
      <c r="AL1449" s="7">
        <f ca="1"/>
        <v>66.400000000000006</v>
      </c>
      <c r="AN1449" s="7" t="e">
        <f ca="1"/>
        <v>#REF!</v>
      </c>
      <c r="AO1449" s="7" t="e">
        <f ca="1"/>
        <v>#REF!</v>
      </c>
      <c r="AP1449" s="7">
        <f ca="1"/>
        <v>7.6302326965277181E-2</v>
      </c>
      <c r="AQ1449" s="7" t="e">
        <f ca="1"/>
        <v>#REF!</v>
      </c>
      <c r="AR1449" s="7" t="e">
        <f ca="1"/>
        <v>#REF!</v>
      </c>
      <c r="AS1449" s="7">
        <f ca="1"/>
        <v>1.1521925343545227</v>
      </c>
      <c r="AT1449" s="7" t="e">
        <f ca="1"/>
        <v>#REF!</v>
      </c>
      <c r="AU1449" s="7" t="e">
        <f ca="1"/>
        <v>#REF!</v>
      </c>
      <c r="AV1449" s="7" t="e">
        <f ca="1"/>
        <v>#REF!</v>
      </c>
    </row>
    <row r="1450" spans="37:48" x14ac:dyDescent="0.25">
      <c r="AK1450" t="str">
        <f ca="1"/>
        <v>Obs. 2562</v>
      </c>
      <c r="AL1450" s="7">
        <f ca="1"/>
        <v>66.099999999999994</v>
      </c>
      <c r="AN1450" s="7" t="e">
        <f ca="1"/>
        <v>#REF!</v>
      </c>
      <c r="AO1450" s="7" t="e">
        <f ca="1"/>
        <v>#REF!</v>
      </c>
      <c r="AP1450" s="7">
        <f ca="1"/>
        <v>7.6519136399936183E-2</v>
      </c>
      <c r="AQ1450" s="7" t="e">
        <f ca="1"/>
        <v>#REF!</v>
      </c>
      <c r="AR1450" s="7" t="e">
        <f ca="1"/>
        <v>#REF!</v>
      </c>
      <c r="AS1450" s="7">
        <f ca="1"/>
        <v>1.1521925343545227</v>
      </c>
      <c r="AT1450" s="7" t="e">
        <f ca="1"/>
        <v>#REF!</v>
      </c>
      <c r="AU1450" s="7" t="e">
        <f ca="1"/>
        <v>#REF!</v>
      </c>
      <c r="AV1450" s="7" t="e">
        <f ca="1"/>
        <v>#REF!</v>
      </c>
    </row>
    <row r="1451" spans="37:48" x14ac:dyDescent="0.25">
      <c r="AK1451" t="str">
        <f ca="1"/>
        <v>Obs. 2563</v>
      </c>
      <c r="AL1451" s="7">
        <f ca="1"/>
        <v>65.900000000000006</v>
      </c>
      <c r="AN1451" s="7" t="e">
        <f ca="1"/>
        <v>#REF!</v>
      </c>
      <c r="AO1451" s="7" t="e">
        <f ca="1"/>
        <v>#REF!</v>
      </c>
      <c r="AP1451" s="7">
        <f ca="1"/>
        <v>7.6949490671816223E-2</v>
      </c>
      <c r="AQ1451" s="7" t="e">
        <f ca="1"/>
        <v>#REF!</v>
      </c>
      <c r="AR1451" s="7" t="e">
        <f ca="1"/>
        <v>#REF!</v>
      </c>
      <c r="AS1451" s="7">
        <f ca="1"/>
        <v>1.1521925343545227</v>
      </c>
      <c r="AT1451" s="7" t="e">
        <f ca="1"/>
        <v>#REF!</v>
      </c>
      <c r="AU1451" s="7" t="e">
        <f ca="1"/>
        <v>#REF!</v>
      </c>
      <c r="AV1451" s="7" t="e">
        <f ca="1"/>
        <v>#REF!</v>
      </c>
    </row>
    <row r="1452" spans="37:48" x14ac:dyDescent="0.25">
      <c r="AK1452" t="str">
        <f ca="1"/>
        <v>Obs. 2564</v>
      </c>
      <c r="AL1452" s="7">
        <f ca="1"/>
        <v>65.5</v>
      </c>
      <c r="AN1452" s="7" t="e">
        <f ca="1"/>
        <v>#REF!</v>
      </c>
      <c r="AO1452" s="7" t="e">
        <f ca="1"/>
        <v>#REF!</v>
      </c>
      <c r="AP1452" s="7">
        <f ca="1"/>
        <v>7.6887084647787846E-2</v>
      </c>
      <c r="AQ1452" s="7" t="e">
        <f ca="1"/>
        <v>#REF!</v>
      </c>
      <c r="AR1452" s="7" t="e">
        <f ca="1"/>
        <v>#REF!</v>
      </c>
      <c r="AS1452" s="7">
        <f ca="1"/>
        <v>1.1700898139672218</v>
      </c>
      <c r="AT1452" s="7" t="e">
        <f ca="1"/>
        <v>#REF!</v>
      </c>
      <c r="AU1452" s="7" t="e">
        <f ca="1"/>
        <v>#REF!</v>
      </c>
      <c r="AV1452" s="7" t="e">
        <f ca="1"/>
        <v>#REF!</v>
      </c>
    </row>
    <row r="1453" spans="37:48" x14ac:dyDescent="0.25">
      <c r="AK1453" t="str">
        <f ca="1"/>
        <v>Obs. 2565</v>
      </c>
      <c r="AL1453" s="7">
        <f ca="1"/>
        <v>65.900000000000006</v>
      </c>
      <c r="AN1453" s="7" t="e">
        <f ca="1"/>
        <v>#REF!</v>
      </c>
      <c r="AO1453" s="7" t="e">
        <f ca="1"/>
        <v>#REF!</v>
      </c>
      <c r="AP1453" s="7">
        <f ca="1"/>
        <v>7.7338217229071041E-2</v>
      </c>
      <c r="AQ1453" s="7" t="e">
        <f ca="1"/>
        <v>#REF!</v>
      </c>
      <c r="AR1453" s="7" t="e">
        <f ca="1"/>
        <v>#REF!</v>
      </c>
      <c r="AS1453" s="7">
        <f ca="1"/>
        <v>1.1700898139672218</v>
      </c>
      <c r="AT1453" s="7" t="e">
        <f ca="1"/>
        <v>#REF!</v>
      </c>
      <c r="AU1453" s="7" t="e">
        <f ca="1"/>
        <v>#REF!</v>
      </c>
      <c r="AV1453" s="7" t="e">
        <f ca="1"/>
        <v>#REF!</v>
      </c>
    </row>
    <row r="1454" spans="37:48" x14ac:dyDescent="0.25">
      <c r="AK1454" t="str">
        <f ca="1"/>
        <v>Obs. 2566</v>
      </c>
      <c r="AL1454" s="7">
        <f ca="1"/>
        <v>65.2</v>
      </c>
      <c r="AN1454" s="7" t="e">
        <f ca="1"/>
        <v>#REF!</v>
      </c>
      <c r="AO1454" s="7" t="e">
        <f ca="1"/>
        <v>#REF!</v>
      </c>
      <c r="AP1454" s="7">
        <f ca="1"/>
        <v>7.8545936780641118E-2</v>
      </c>
      <c r="AQ1454" s="7" t="e">
        <f ca="1"/>
        <v>#REF!</v>
      </c>
      <c r="AR1454" s="7" t="e">
        <f ca="1"/>
        <v>#REF!</v>
      </c>
      <c r="AS1454" s="7">
        <f ca="1"/>
        <v>1.1700898139672218</v>
      </c>
      <c r="AT1454" s="7" t="e">
        <f ca="1"/>
        <v>#REF!</v>
      </c>
      <c r="AU1454" s="7" t="e">
        <f ca="1"/>
        <v>#REF!</v>
      </c>
      <c r="AV1454" s="7" t="e">
        <f ca="1"/>
        <v>#REF!</v>
      </c>
    </row>
    <row r="1455" spans="37:48" x14ac:dyDescent="0.25">
      <c r="AK1455" t="str">
        <f ca="1"/>
        <v>Obs. 2567</v>
      </c>
      <c r="AL1455" s="7">
        <f ca="1"/>
        <v>64.3</v>
      </c>
      <c r="AN1455" s="7" t="e">
        <f ca="1"/>
        <v>#REF!</v>
      </c>
      <c r="AO1455" s="7" t="e">
        <f ca="1"/>
        <v>#REF!</v>
      </c>
      <c r="AP1455" s="7">
        <f ca="1"/>
        <v>8.0941746595517838E-2</v>
      </c>
      <c r="AQ1455" s="7" t="e">
        <f ca="1"/>
        <v>#REF!</v>
      </c>
      <c r="AR1455" s="7" t="e">
        <f ca="1"/>
        <v>#REF!</v>
      </c>
      <c r="AS1455" s="7">
        <f ca="1"/>
        <v>1.1700898139672218</v>
      </c>
      <c r="AT1455" s="7" t="e">
        <f ca="1"/>
        <v>#REF!</v>
      </c>
      <c r="AU1455" s="7" t="e">
        <f ca="1"/>
        <v>#REF!</v>
      </c>
      <c r="AV1455" s="7" t="e">
        <f ca="1"/>
        <v>#REF!</v>
      </c>
    </row>
    <row r="1456" spans="37:48" x14ac:dyDescent="0.25">
      <c r="AK1456" t="str">
        <f ca="1"/>
        <v>Obs. 2571</v>
      </c>
      <c r="AL1456" s="7">
        <f ca="1"/>
        <v>74.599999999999994</v>
      </c>
      <c r="AN1456" s="7" t="e">
        <f ca="1"/>
        <v>#REF!</v>
      </c>
      <c r="AO1456" s="7" t="e">
        <f ca="1"/>
        <v>#REF!</v>
      </c>
      <c r="AP1456" s="7">
        <f ca="1"/>
        <v>6.7327524551828874E-2</v>
      </c>
      <c r="AQ1456" s="7" t="e">
        <f ca="1"/>
        <v>#REF!</v>
      </c>
      <c r="AR1456" s="7" t="e">
        <f ca="1"/>
        <v>#REF!</v>
      </c>
      <c r="AS1456" s="7">
        <f ca="1"/>
        <v>1.1700898139672218</v>
      </c>
      <c r="AT1456" s="7" t="e">
        <f ca="1"/>
        <v>#REF!</v>
      </c>
      <c r="AU1456" s="7" t="e">
        <f ca="1"/>
        <v>#REF!</v>
      </c>
      <c r="AV1456" s="7" t="e">
        <f ca="1"/>
        <v>#REF!</v>
      </c>
    </row>
    <row r="1457" spans="37:48" x14ac:dyDescent="0.25">
      <c r="AK1457" t="str">
        <f ca="1"/>
        <v>Obs. 2572</v>
      </c>
      <c r="AL1457" s="7">
        <f ca="1"/>
        <v>74.5</v>
      </c>
      <c r="AN1457" s="7" t="e">
        <f ca="1"/>
        <v>#REF!</v>
      </c>
      <c r="AO1457" s="7" t="e">
        <f ca="1"/>
        <v>#REF!</v>
      </c>
      <c r="AP1457" s="7">
        <f ca="1"/>
        <v>6.6366359046675899E-2</v>
      </c>
      <c r="AQ1457" s="7" t="e">
        <f ca="1"/>
        <v>#REF!</v>
      </c>
      <c r="AR1457" s="7" t="e">
        <f ca="1"/>
        <v>#REF!</v>
      </c>
      <c r="AS1457" s="7">
        <f ca="1"/>
        <v>1.1852957183684145</v>
      </c>
      <c r="AT1457" s="7" t="e">
        <f ca="1"/>
        <v>#REF!</v>
      </c>
      <c r="AU1457" s="7" t="e">
        <f ca="1"/>
        <v>#REF!</v>
      </c>
      <c r="AV1457" s="7" t="e">
        <f ca="1"/>
        <v>#REF!</v>
      </c>
    </row>
    <row r="1458" spans="37:48" x14ac:dyDescent="0.25">
      <c r="AK1458" t="str">
        <f ca="1"/>
        <v>Obs. 2573</v>
      </c>
      <c r="AL1458" s="7">
        <f ca="1"/>
        <v>74.3</v>
      </c>
      <c r="AN1458" s="7" t="e">
        <f ca="1"/>
        <v>#REF!</v>
      </c>
      <c r="AO1458" s="7" t="e">
        <f ca="1"/>
        <v>#REF!</v>
      </c>
      <c r="AP1458" s="7">
        <f ca="1"/>
        <v>6.8167654400905525E-2</v>
      </c>
      <c r="AQ1458" s="7" t="e">
        <f ca="1"/>
        <v>#REF!</v>
      </c>
      <c r="AR1458" s="7" t="e">
        <f ca="1"/>
        <v>#REF!</v>
      </c>
      <c r="AS1458" s="7">
        <f ca="1"/>
        <v>1.1852957183684145</v>
      </c>
      <c r="AT1458" s="7" t="e">
        <f ca="1"/>
        <v>#REF!</v>
      </c>
      <c r="AU1458" s="7" t="e">
        <f ca="1"/>
        <v>#REF!</v>
      </c>
      <c r="AV1458" s="7" t="e">
        <f ca="1"/>
        <v>#REF!</v>
      </c>
    </row>
    <row r="1459" spans="37:48" x14ac:dyDescent="0.25">
      <c r="AK1459" t="str">
        <f ca="1"/>
        <v>Obs. 2574</v>
      </c>
      <c r="AL1459" s="7">
        <f ca="1"/>
        <v>74.099999999999994</v>
      </c>
      <c r="AN1459" s="7" t="e">
        <f ca="1"/>
        <v>#REF!</v>
      </c>
      <c r="AO1459" s="7" t="e">
        <f ca="1"/>
        <v>#REF!</v>
      </c>
      <c r="AP1459" s="7">
        <f ca="1"/>
        <v>6.5297029421875846E-2</v>
      </c>
      <c r="AQ1459" s="7" t="e">
        <f ca="1"/>
        <v>#REF!</v>
      </c>
      <c r="AR1459" s="7" t="e">
        <f ca="1"/>
        <v>#REF!</v>
      </c>
      <c r="AS1459" s="7">
        <f ca="1"/>
        <v>1.1852957183684145</v>
      </c>
      <c r="AT1459" s="7" t="e">
        <f ca="1"/>
        <v>#REF!</v>
      </c>
      <c r="AU1459" s="7" t="e">
        <f ca="1"/>
        <v>#REF!</v>
      </c>
      <c r="AV1459" s="7" t="e">
        <f ca="1"/>
        <v>#REF!</v>
      </c>
    </row>
    <row r="1460" spans="37:48" x14ac:dyDescent="0.25">
      <c r="AK1460" t="str">
        <f ca="1"/>
        <v>Obs. 2575</v>
      </c>
      <c r="AL1460" s="7">
        <f ca="1"/>
        <v>73.900000000000006</v>
      </c>
      <c r="AN1460" s="7" t="e">
        <f ca="1"/>
        <v>#REF!</v>
      </c>
      <c r="AO1460" s="7" t="e">
        <f ca="1"/>
        <v>#REF!</v>
      </c>
      <c r="AP1460" s="7">
        <f ca="1"/>
        <v>6.5018582014863949E-2</v>
      </c>
      <c r="AQ1460" s="7" t="e">
        <f ca="1"/>
        <v>#REF!</v>
      </c>
      <c r="AR1460" s="7" t="e">
        <f ca="1"/>
        <v>#REF!</v>
      </c>
      <c r="AS1460" s="7">
        <f ca="1"/>
        <v>1.1852957183684145</v>
      </c>
      <c r="AT1460" s="7" t="e">
        <f ca="1"/>
        <v>#REF!</v>
      </c>
      <c r="AU1460" s="7" t="e">
        <f ca="1"/>
        <v>#REF!</v>
      </c>
      <c r="AV1460" s="7" t="e">
        <f ca="1"/>
        <v>#REF!</v>
      </c>
    </row>
    <row r="1461" spans="37:48" x14ac:dyDescent="0.25">
      <c r="AK1461" t="str">
        <f ca="1"/>
        <v>Obs. 2576</v>
      </c>
      <c r="AL1461" s="7">
        <f ca="1"/>
        <v>73.7</v>
      </c>
      <c r="AN1461" s="7" t="e">
        <f ca="1"/>
        <v>#REF!</v>
      </c>
      <c r="AO1461" s="7" t="e">
        <f ca="1"/>
        <v>#REF!</v>
      </c>
      <c r="AP1461" s="7">
        <f ca="1"/>
        <v>6.6766749531574465E-2</v>
      </c>
      <c r="AQ1461" s="7" t="e">
        <f ca="1"/>
        <v>#REF!</v>
      </c>
      <c r="AR1461" s="7" t="e">
        <f ca="1"/>
        <v>#REF!</v>
      </c>
      <c r="AS1461" s="7">
        <f ca="1"/>
        <v>1.1852957183684145</v>
      </c>
      <c r="AT1461" s="7" t="e">
        <f ca="1"/>
        <v>#REF!</v>
      </c>
      <c r="AU1461" s="7" t="e">
        <f ca="1"/>
        <v>#REF!</v>
      </c>
      <c r="AV1461" s="7" t="e">
        <f ca="1"/>
        <v>#REF!</v>
      </c>
    </row>
    <row r="1462" spans="37:48" x14ac:dyDescent="0.25">
      <c r="AK1462" t="str">
        <f ca="1"/>
        <v>Obs. 2577</v>
      </c>
      <c r="AL1462" s="7">
        <f ca="1"/>
        <v>73.5</v>
      </c>
      <c r="AN1462" s="7" t="e">
        <f ca="1"/>
        <v>#REF!</v>
      </c>
      <c r="AO1462" s="7" t="e">
        <f ca="1"/>
        <v>#REF!</v>
      </c>
      <c r="AP1462" s="7">
        <f ca="1"/>
        <v>6.4586066298458783E-2</v>
      </c>
      <c r="AQ1462" s="7" t="e">
        <f ca="1"/>
        <v>#REF!</v>
      </c>
      <c r="AR1462" s="7" t="e">
        <f ca="1"/>
        <v>#REF!</v>
      </c>
      <c r="AS1462" s="7">
        <f ca="1"/>
        <v>1.1852957183684145</v>
      </c>
      <c r="AT1462" s="7" t="e">
        <f ca="1"/>
        <v>#REF!</v>
      </c>
      <c r="AU1462" s="7" t="e">
        <f ca="1"/>
        <v>#REF!</v>
      </c>
      <c r="AV1462" s="7" t="e">
        <f ca="1"/>
        <v>#REF!</v>
      </c>
    </row>
    <row r="1463" spans="37:48" x14ac:dyDescent="0.25">
      <c r="AK1463" t="str">
        <f ca="1"/>
        <v>Obs. 2578</v>
      </c>
      <c r="AL1463" s="7">
        <f ca="1"/>
        <v>73.3</v>
      </c>
      <c r="AN1463" s="7" t="e">
        <f ca="1"/>
        <v>#REF!</v>
      </c>
      <c r="AO1463" s="7" t="e">
        <f ca="1"/>
        <v>#REF!</v>
      </c>
      <c r="AP1463" s="7">
        <f ca="1"/>
        <v>6.4420388138107118E-2</v>
      </c>
      <c r="AQ1463" s="7" t="e">
        <f ca="1"/>
        <v>#REF!</v>
      </c>
      <c r="AR1463" s="7" t="e">
        <f ca="1"/>
        <v>#REF!</v>
      </c>
      <c r="AS1463" s="7">
        <f ca="1"/>
        <v>1.1852957183684145</v>
      </c>
      <c r="AT1463" s="7" t="e">
        <f ca="1"/>
        <v>#REF!</v>
      </c>
      <c r="AU1463" s="7" t="e">
        <f ca="1"/>
        <v>#REF!</v>
      </c>
      <c r="AV1463" s="7" t="e">
        <f ca="1"/>
        <v>#REF!</v>
      </c>
    </row>
    <row r="1464" spans="37:48" x14ac:dyDescent="0.25">
      <c r="AK1464" t="str">
        <f ca="1"/>
        <v>Obs. 2579</v>
      </c>
      <c r="AL1464" s="7">
        <f ca="1"/>
        <v>73</v>
      </c>
      <c r="AN1464" s="7" t="e">
        <f ca="1"/>
        <v>#REF!</v>
      </c>
      <c r="AO1464" s="7" t="e">
        <f ca="1"/>
        <v>#REF!</v>
      </c>
      <c r="AP1464" s="7">
        <f ca="1"/>
        <v>6.4356419375052668E-2</v>
      </c>
      <c r="AQ1464" s="7" t="e">
        <f ca="1"/>
        <v>#REF!</v>
      </c>
      <c r="AR1464" s="7" t="e">
        <f ca="1"/>
        <v>#REF!</v>
      </c>
      <c r="AS1464" s="7">
        <f ca="1"/>
        <v>1.2070560687293583</v>
      </c>
      <c r="AT1464" s="7" t="e">
        <f ca="1"/>
        <v>#REF!</v>
      </c>
      <c r="AU1464" s="7" t="e">
        <f ca="1"/>
        <v>#REF!</v>
      </c>
      <c r="AV1464" s="7" t="e">
        <f ca="1"/>
        <v>#REF!</v>
      </c>
    </row>
    <row r="1465" spans="37:48" x14ac:dyDescent="0.25">
      <c r="AK1465" t="str">
        <f ca="1"/>
        <v>Obs. 2580</v>
      </c>
      <c r="AL1465" s="7">
        <f ca="1"/>
        <v>72.5</v>
      </c>
      <c r="AN1465" s="7" t="e">
        <f ca="1"/>
        <v>#REF!</v>
      </c>
      <c r="AO1465" s="7" t="e">
        <f ca="1"/>
        <v>#REF!</v>
      </c>
      <c r="AP1465" s="7">
        <f ca="1"/>
        <v>6.4429978128399817E-2</v>
      </c>
      <c r="AQ1465" s="7" t="e">
        <f ca="1"/>
        <v>#REF!</v>
      </c>
      <c r="AR1465" s="7" t="e">
        <f ca="1"/>
        <v>#REF!</v>
      </c>
      <c r="AS1465" s="7">
        <f ca="1"/>
        <v>1.2070560687293583</v>
      </c>
      <c r="AT1465" s="7" t="e">
        <f ca="1"/>
        <v>#REF!</v>
      </c>
      <c r="AU1465" s="7" t="e">
        <f ca="1"/>
        <v>#REF!</v>
      </c>
      <c r="AV1465" s="7" t="e">
        <f ca="1"/>
        <v>#REF!</v>
      </c>
    </row>
    <row r="1466" spans="37:48" x14ac:dyDescent="0.25">
      <c r="AK1466" t="str">
        <f ca="1"/>
        <v>Obs. 2581</v>
      </c>
      <c r="AL1466" s="7">
        <f ca="1"/>
        <v>71.599999999999994</v>
      </c>
      <c r="AN1466" s="7" t="e">
        <f ca="1"/>
        <v>#REF!</v>
      </c>
      <c r="AO1466" s="7" t="e">
        <f ca="1"/>
        <v>#REF!</v>
      </c>
      <c r="AP1466" s="7">
        <f ca="1"/>
        <v>6.4751615239031945E-2</v>
      </c>
      <c r="AQ1466" s="7" t="e">
        <f ca="1"/>
        <v>#REF!</v>
      </c>
      <c r="AR1466" s="7" t="e">
        <f ca="1"/>
        <v>#REF!</v>
      </c>
      <c r="AS1466" s="7">
        <f ca="1"/>
        <v>1.2070560687293583</v>
      </c>
      <c r="AT1466" s="7" t="e">
        <f ca="1"/>
        <v>#REF!</v>
      </c>
      <c r="AU1466" s="7" t="e">
        <f ca="1"/>
        <v>#REF!</v>
      </c>
      <c r="AV1466" s="7" t="e">
        <f ca="1"/>
        <v>#REF!</v>
      </c>
    </row>
    <row r="1467" spans="37:48" x14ac:dyDescent="0.25">
      <c r="AK1467" t="str">
        <f ca="1"/>
        <v>Obs. 2582</v>
      </c>
      <c r="AL1467" s="7">
        <f ca="1"/>
        <v>71.7</v>
      </c>
      <c r="AN1467" s="7" t="e">
        <f ca="1"/>
        <v>#REF!</v>
      </c>
      <c r="AO1467" s="7" t="e">
        <f ca="1"/>
        <v>#REF!</v>
      </c>
      <c r="AP1467" s="7">
        <f ca="1"/>
        <v>6.6171122681970687E-2</v>
      </c>
      <c r="AQ1467" s="7" t="e">
        <f ca="1"/>
        <v>#REF!</v>
      </c>
      <c r="AR1467" s="7" t="e">
        <f ca="1"/>
        <v>#REF!</v>
      </c>
      <c r="AS1467" s="7">
        <f ca="1"/>
        <v>1.2070560687293583</v>
      </c>
      <c r="AT1467" s="7" t="e">
        <f ca="1"/>
        <v>#REF!</v>
      </c>
      <c r="AU1467" s="7" t="e">
        <f ca="1"/>
        <v>#REF!</v>
      </c>
      <c r="AV1467" s="7" t="e">
        <f ca="1"/>
        <v>#REF!</v>
      </c>
    </row>
    <row r="1468" spans="37:48" x14ac:dyDescent="0.25">
      <c r="AK1468" t="str">
        <f ca="1"/>
        <v>Obs. 2583</v>
      </c>
      <c r="AL1468" s="7">
        <f ca="1"/>
        <v>71.400000000000006</v>
      </c>
      <c r="AN1468" s="7" t="e">
        <f ca="1"/>
        <v>#REF!</v>
      </c>
      <c r="AO1468" s="7" t="e">
        <f ca="1"/>
        <v>#REF!</v>
      </c>
      <c r="AP1468" s="7">
        <f ca="1"/>
        <v>6.7135733308570977E-2</v>
      </c>
      <c r="AQ1468" s="7" t="e">
        <f ca="1"/>
        <v>#REF!</v>
      </c>
      <c r="AR1468" s="7" t="e">
        <f ca="1"/>
        <v>#REF!</v>
      </c>
      <c r="AS1468" s="7">
        <f ca="1"/>
        <v>1.2070560687293583</v>
      </c>
      <c r="AT1468" s="7" t="e">
        <f ca="1"/>
        <v>#REF!</v>
      </c>
      <c r="AU1468" s="7" t="e">
        <f ca="1"/>
        <v>#REF!</v>
      </c>
      <c r="AV1468" s="7" t="e">
        <f ca="1"/>
        <v>#REF!</v>
      </c>
    </row>
    <row r="1469" spans="37:48" x14ac:dyDescent="0.25">
      <c r="AK1469" t="str">
        <f ca="1"/>
        <v>Obs. 2584</v>
      </c>
      <c r="AL1469" s="7">
        <f ca="1"/>
        <v>71.2</v>
      </c>
      <c r="AN1469" s="7" t="e">
        <f ca="1"/>
        <v>#REF!</v>
      </c>
      <c r="AO1469" s="7" t="e">
        <f ca="1"/>
        <v>#REF!</v>
      </c>
      <c r="AP1469" s="7">
        <f ca="1"/>
        <v>6.6600905816010331E-2</v>
      </c>
      <c r="AQ1469" s="7" t="e">
        <f ca="1"/>
        <v>#REF!</v>
      </c>
      <c r="AR1469" s="7" t="e">
        <f ca="1"/>
        <v>#REF!</v>
      </c>
      <c r="AS1469" s="7">
        <f ca="1"/>
        <v>1.2070560687293583</v>
      </c>
      <c r="AT1469" s="7" t="e">
        <f ca="1"/>
        <v>#REF!</v>
      </c>
      <c r="AU1469" s="7" t="e">
        <f ca="1"/>
        <v>#REF!</v>
      </c>
      <c r="AV1469" s="7" t="e">
        <f ca="1"/>
        <v>#REF!</v>
      </c>
    </row>
    <row r="1470" spans="37:48" x14ac:dyDescent="0.25">
      <c r="AK1470" t="str">
        <f ca="1"/>
        <v>Obs. 2585</v>
      </c>
      <c r="AL1470" s="7">
        <f ca="1"/>
        <v>71.099999999999994</v>
      </c>
      <c r="AN1470" s="7" t="e">
        <f ca="1"/>
        <v>#REF!</v>
      </c>
      <c r="AO1470" s="7" t="e">
        <f ca="1"/>
        <v>#REF!</v>
      </c>
      <c r="AP1470" s="7">
        <f ca="1"/>
        <v>6.7547243922457978E-2</v>
      </c>
      <c r="AQ1470" s="7" t="e">
        <f ca="1"/>
        <v>#REF!</v>
      </c>
      <c r="AR1470" s="7" t="e">
        <f ca="1"/>
        <v>#REF!</v>
      </c>
      <c r="AS1470" s="7">
        <f ca="1"/>
        <v>1.2070560687293583</v>
      </c>
      <c r="AT1470" s="7" t="e">
        <f ca="1"/>
        <v>#REF!</v>
      </c>
      <c r="AU1470" s="7" t="e">
        <f ca="1"/>
        <v>#REF!</v>
      </c>
      <c r="AV1470" s="7" t="e">
        <f ca="1"/>
        <v>#REF!</v>
      </c>
    </row>
    <row r="1471" spans="37:48" x14ac:dyDescent="0.25">
      <c r="AK1471" t="str">
        <f ca="1"/>
        <v>Obs. 2603</v>
      </c>
      <c r="AL1471" s="7">
        <f ca="1"/>
        <v>68</v>
      </c>
      <c r="AN1471" s="7" t="e">
        <f ca="1"/>
        <v>#REF!</v>
      </c>
      <c r="AO1471" s="7" t="e">
        <f ca="1"/>
        <v>#REF!</v>
      </c>
      <c r="AP1471" s="7">
        <f ca="1"/>
        <v>0.16685143431746061</v>
      </c>
      <c r="AQ1471" s="7" t="e">
        <f ca="1"/>
        <v>#REF!</v>
      </c>
      <c r="AR1471" s="7" t="e">
        <f ca="1"/>
        <v>#REF!</v>
      </c>
      <c r="AS1471" s="7">
        <f ca="1"/>
        <v>1.2294035019788656</v>
      </c>
      <c r="AT1471" s="7" t="e">
        <f ca="1"/>
        <v>#REF!</v>
      </c>
      <c r="AU1471" s="7" t="e">
        <f ca="1"/>
        <v>#REF!</v>
      </c>
      <c r="AV1471" s="7" t="e">
        <f ca="1"/>
        <v>#REF!</v>
      </c>
    </row>
    <row r="1472" spans="37:48" x14ac:dyDescent="0.25">
      <c r="AK1472" t="str">
        <f ca="1"/>
        <v>Obs. 2604</v>
      </c>
      <c r="AL1472" s="7">
        <f ca="1"/>
        <v>67.7</v>
      </c>
      <c r="AN1472" s="7" t="e">
        <f ca="1"/>
        <v>#REF!</v>
      </c>
      <c r="AO1472" s="7" t="e">
        <f ca="1"/>
        <v>#REF!</v>
      </c>
      <c r="AP1472" s="7">
        <f ca="1"/>
        <v>0.14324343276262197</v>
      </c>
      <c r="AQ1472" s="7" t="e">
        <f ca="1"/>
        <v>#REF!</v>
      </c>
      <c r="AR1472" s="7" t="e">
        <f ca="1"/>
        <v>#REF!</v>
      </c>
      <c r="AS1472" s="7">
        <f ca="1"/>
        <v>1.2294035019788656</v>
      </c>
      <c r="AT1472" s="7" t="e">
        <f ca="1"/>
        <v>#REF!</v>
      </c>
      <c r="AU1472" s="7" t="e">
        <f ca="1"/>
        <v>#REF!</v>
      </c>
      <c r="AV1472" s="7" t="e">
        <f ca="1"/>
        <v>#REF!</v>
      </c>
    </row>
    <row r="1473" spans="37:48" x14ac:dyDescent="0.25">
      <c r="AK1473" t="str">
        <f ca="1"/>
        <v>Obs. 2605</v>
      </c>
      <c r="AL1473" s="7">
        <f ca="1"/>
        <v>67.400000000000006</v>
      </c>
      <c r="AN1473" s="7" t="e">
        <f ca="1"/>
        <v>#REF!</v>
      </c>
      <c r="AO1473" s="7" t="e">
        <f ca="1"/>
        <v>#REF!</v>
      </c>
      <c r="AP1473" s="7">
        <f ca="1"/>
        <v>0.1430281568268468</v>
      </c>
      <c r="AQ1473" s="7" t="e">
        <f ca="1"/>
        <v>#REF!</v>
      </c>
      <c r="AR1473" s="7" t="e">
        <f ca="1"/>
        <v>#REF!</v>
      </c>
      <c r="AS1473" s="7">
        <f ca="1"/>
        <v>1.2294035019788656</v>
      </c>
      <c r="AT1473" s="7" t="e">
        <f ca="1"/>
        <v>#REF!</v>
      </c>
      <c r="AU1473" s="7" t="e">
        <f ca="1"/>
        <v>#REF!</v>
      </c>
      <c r="AV1473" s="7" t="e">
        <f ca="1"/>
        <v>#REF!</v>
      </c>
    </row>
    <row r="1474" spans="37:48" x14ac:dyDescent="0.25">
      <c r="AK1474" t="str">
        <f ca="1"/>
        <v>Obs. 2606</v>
      </c>
      <c r="AL1474" s="7">
        <f ca="1"/>
        <v>67.2</v>
      </c>
      <c r="AN1474" s="7" t="e">
        <f ca="1"/>
        <v>#REF!</v>
      </c>
      <c r="AO1474" s="7" t="e">
        <f ca="1"/>
        <v>#REF!</v>
      </c>
      <c r="AP1474" s="7">
        <f ca="1"/>
        <v>0.14340635228813528</v>
      </c>
      <c r="AQ1474" s="7" t="e">
        <f ca="1"/>
        <v>#REF!</v>
      </c>
      <c r="AR1474" s="7" t="e">
        <f ca="1"/>
        <v>#REF!</v>
      </c>
      <c r="AS1474" s="7">
        <f ca="1"/>
        <v>1.2294035019788656</v>
      </c>
      <c r="AT1474" s="7" t="e">
        <f ca="1"/>
        <v>#REF!</v>
      </c>
      <c r="AU1474" s="7" t="e">
        <f ca="1"/>
        <v>#REF!</v>
      </c>
      <c r="AV1474" s="7" t="e">
        <f ca="1"/>
        <v>#REF!</v>
      </c>
    </row>
    <row r="1475" spans="37:48" x14ac:dyDescent="0.25">
      <c r="AK1475" t="str">
        <f ca="1"/>
        <v>Obs. 2607</v>
      </c>
      <c r="AL1475" s="7">
        <f ca="1"/>
        <v>66.900000000000006</v>
      </c>
      <c r="AN1475" s="7" t="e">
        <f ca="1"/>
        <v>#REF!</v>
      </c>
      <c r="AO1475" s="7" t="e">
        <f ca="1"/>
        <v>#REF!</v>
      </c>
      <c r="AP1475" s="7">
        <f ca="1"/>
        <v>0.14315365730789001</v>
      </c>
      <c r="AQ1475" s="7" t="e">
        <f ca="1"/>
        <v>#REF!</v>
      </c>
      <c r="AR1475" s="7" t="e">
        <f ca="1"/>
        <v>#REF!</v>
      </c>
      <c r="AS1475" s="7">
        <f ca="1"/>
        <v>1.2294035019788656</v>
      </c>
      <c r="AT1475" s="7" t="e">
        <f ca="1"/>
        <v>#REF!</v>
      </c>
      <c r="AU1475" s="7" t="e">
        <f ca="1"/>
        <v>#REF!</v>
      </c>
      <c r="AV1475" s="7" t="e">
        <f ca="1"/>
        <v>#REF!</v>
      </c>
    </row>
    <row r="1476" spans="37:48" x14ac:dyDescent="0.25">
      <c r="AK1476" t="str">
        <f ca="1"/>
        <v>Obs. 2608</v>
      </c>
      <c r="AL1476" s="7">
        <f ca="1"/>
        <v>66.599999999999994</v>
      </c>
      <c r="AN1476" s="7" t="e">
        <f ca="1"/>
        <v>#REF!</v>
      </c>
      <c r="AO1476" s="7" t="e">
        <f ca="1"/>
        <v>#REF!</v>
      </c>
      <c r="AP1476" s="7">
        <f ca="1"/>
        <v>0.14340742961348901</v>
      </c>
      <c r="AQ1476" s="7" t="e">
        <f ca="1"/>
        <v>#REF!</v>
      </c>
      <c r="AR1476" s="7" t="e">
        <f ca="1"/>
        <v>#REF!</v>
      </c>
      <c r="AS1476" s="7">
        <f ca="1"/>
        <v>1.2457497672431228</v>
      </c>
      <c r="AT1476" s="7" t="e">
        <f ca="1"/>
        <v>#REF!</v>
      </c>
      <c r="AU1476" s="7" t="e">
        <f ca="1"/>
        <v>#REF!</v>
      </c>
      <c r="AV1476" s="7" t="e">
        <f ca="1"/>
        <v>#REF!</v>
      </c>
    </row>
    <row r="1477" spans="37:48" x14ac:dyDescent="0.25">
      <c r="AK1477" t="str">
        <f ca="1"/>
        <v>Obs. 2609</v>
      </c>
      <c r="AL1477" s="7">
        <f ca="1"/>
        <v>66.2</v>
      </c>
      <c r="AN1477" s="7" t="e">
        <f ca="1"/>
        <v>#REF!</v>
      </c>
      <c r="AO1477" s="7" t="e">
        <f ca="1"/>
        <v>#REF!</v>
      </c>
      <c r="AP1477" s="7">
        <f ca="1"/>
        <v>0.14361349886800215</v>
      </c>
      <c r="AQ1477" s="7" t="e">
        <f ca="1"/>
        <v>#REF!</v>
      </c>
      <c r="AR1477" s="7" t="e">
        <f ca="1"/>
        <v>#REF!</v>
      </c>
      <c r="AS1477" s="7">
        <f ca="1"/>
        <v>1.2457497672431228</v>
      </c>
      <c r="AT1477" s="7" t="e">
        <f ca="1"/>
        <v>#REF!</v>
      </c>
      <c r="AU1477" s="7" t="e">
        <f ca="1"/>
        <v>#REF!</v>
      </c>
      <c r="AV1477" s="7" t="e">
        <f ca="1"/>
        <v>#REF!</v>
      </c>
    </row>
    <row r="1478" spans="37:48" x14ac:dyDescent="0.25">
      <c r="AK1478" t="str">
        <f ca="1"/>
        <v>Obs. 2619</v>
      </c>
      <c r="AL1478" s="7">
        <f ca="1"/>
        <v>59.7</v>
      </c>
      <c r="AN1478" s="7" t="e">
        <f ca="1"/>
        <v>#REF!</v>
      </c>
      <c r="AO1478" s="7" t="e">
        <f ca="1"/>
        <v>#REF!</v>
      </c>
      <c r="AP1478" s="7">
        <f ca="1"/>
        <v>0.14082448918388374</v>
      </c>
      <c r="AQ1478" s="7" t="e">
        <f ca="1"/>
        <v>#REF!</v>
      </c>
      <c r="AR1478" s="7" t="e">
        <f ca="1"/>
        <v>#REF!</v>
      </c>
      <c r="AS1478" s="7">
        <f ca="1"/>
        <v>1.2457497672431228</v>
      </c>
      <c r="AT1478" s="7" t="e">
        <f ca="1"/>
        <v>#REF!</v>
      </c>
      <c r="AU1478" s="7" t="e">
        <f ca="1"/>
        <v>#REF!</v>
      </c>
      <c r="AV1478" s="7" t="e">
        <f ca="1"/>
        <v>#REF!</v>
      </c>
    </row>
    <row r="1479" spans="37:48" x14ac:dyDescent="0.25">
      <c r="AK1479" t="str">
        <f ca="1"/>
        <v>Obs. 2620</v>
      </c>
      <c r="AL1479" s="7">
        <f ca="1"/>
        <v>59.4</v>
      </c>
      <c r="AN1479" s="7" t="e">
        <f ca="1"/>
        <v>#REF!</v>
      </c>
      <c r="AO1479" s="7" t="e">
        <f ca="1"/>
        <v>#REF!</v>
      </c>
      <c r="AP1479" s="7">
        <f ca="1"/>
        <v>0.1408124726200321</v>
      </c>
      <c r="AQ1479" s="7" t="e">
        <f ca="1"/>
        <v>#REF!</v>
      </c>
      <c r="AR1479" s="7" t="e">
        <f ca="1"/>
        <v>#REF!</v>
      </c>
      <c r="AS1479" s="7">
        <f ca="1"/>
        <v>1.2457497672431228</v>
      </c>
      <c r="AT1479" s="7" t="e">
        <f ca="1"/>
        <v>#REF!</v>
      </c>
      <c r="AU1479" s="7" t="e">
        <f ca="1"/>
        <v>#REF!</v>
      </c>
      <c r="AV1479" s="7" t="e">
        <f ca="1"/>
        <v>#REF!</v>
      </c>
    </row>
    <row r="1480" spans="37:48" x14ac:dyDescent="0.25">
      <c r="AK1480" t="str">
        <f ca="1"/>
        <v>Obs. 2621</v>
      </c>
      <c r="AL1480" s="7">
        <f ca="1"/>
        <v>58.9</v>
      </c>
      <c r="AN1480" s="7" t="e">
        <f ca="1"/>
        <v>#REF!</v>
      </c>
      <c r="AO1480" s="7" t="e">
        <f ca="1"/>
        <v>#REF!</v>
      </c>
      <c r="AP1480" s="7">
        <f ca="1"/>
        <v>0.14095060186942954</v>
      </c>
      <c r="AQ1480" s="7" t="e">
        <f ca="1"/>
        <v>#REF!</v>
      </c>
      <c r="AR1480" s="7" t="e">
        <f ca="1"/>
        <v>#REF!</v>
      </c>
      <c r="AS1480" s="7">
        <f ca="1"/>
        <v>1.2457497672431228</v>
      </c>
      <c r="AT1480" s="7" t="e">
        <f ca="1"/>
        <v>#REF!</v>
      </c>
      <c r="AU1480" s="7" t="e">
        <f ca="1"/>
        <v>#REF!</v>
      </c>
      <c r="AV1480" s="7" t="e">
        <f ca="1"/>
        <v>#REF!</v>
      </c>
    </row>
    <row r="1481" spans="37:48" x14ac:dyDescent="0.25">
      <c r="AK1481" t="str">
        <f ca="1"/>
        <v>Obs. 2622</v>
      </c>
      <c r="AL1481" s="7">
        <f ca="1"/>
        <v>58.3</v>
      </c>
      <c r="AN1481" s="7" t="e">
        <f ca="1"/>
        <v>#REF!</v>
      </c>
      <c r="AO1481" s="7" t="e">
        <f ca="1"/>
        <v>#REF!</v>
      </c>
      <c r="AP1481" s="7">
        <f ca="1"/>
        <v>0.14606010399094224</v>
      </c>
      <c r="AQ1481" s="7" t="e">
        <f ca="1"/>
        <v>#REF!</v>
      </c>
      <c r="AR1481" s="7" t="e">
        <f ca="1"/>
        <v>#REF!</v>
      </c>
      <c r="AS1481" s="7">
        <f ca="1"/>
        <v>1.262435852359769</v>
      </c>
      <c r="AT1481" s="7" t="e">
        <f ca="1"/>
        <v>#REF!</v>
      </c>
      <c r="AU1481" s="7" t="e">
        <f ca="1"/>
        <v>#REF!</v>
      </c>
      <c r="AV1481" s="7" t="e">
        <f ca="1"/>
        <v>#REF!</v>
      </c>
    </row>
    <row r="1482" spans="37:48" x14ac:dyDescent="0.25">
      <c r="AK1482" t="str">
        <f ca="1"/>
        <v>Obs. 2623</v>
      </c>
      <c r="AL1482" s="7">
        <f ca="1"/>
        <v>57.4</v>
      </c>
      <c r="AN1482" s="7" t="e">
        <f ca="1"/>
        <v>#REF!</v>
      </c>
      <c r="AO1482" s="7" t="e">
        <f ca="1"/>
        <v>#REF!</v>
      </c>
      <c r="AP1482" s="7">
        <f ca="1"/>
        <v>0.14029288318143221</v>
      </c>
      <c r="AQ1482" s="7" t="e">
        <f ca="1"/>
        <v>#REF!</v>
      </c>
      <c r="AR1482" s="7" t="e">
        <f ca="1"/>
        <v>#REF!</v>
      </c>
      <c r="AS1482" s="7">
        <f ca="1"/>
        <v>1.262435852359769</v>
      </c>
      <c r="AT1482" s="7" t="e">
        <f ca="1"/>
        <v>#REF!</v>
      </c>
      <c r="AU1482" s="7" t="e">
        <f ca="1"/>
        <v>#REF!</v>
      </c>
      <c r="AV1482" s="7" t="e">
        <f ca="1"/>
        <v>#REF!</v>
      </c>
    </row>
    <row r="1483" spans="37:48" x14ac:dyDescent="0.25">
      <c r="AK1483" t="str">
        <f ca="1"/>
        <v>Obs. 2624</v>
      </c>
      <c r="AL1483" s="7">
        <f ca="1"/>
        <v>56.7</v>
      </c>
      <c r="AN1483" s="7" t="e">
        <f ca="1"/>
        <v>#REF!</v>
      </c>
      <c r="AO1483" s="7" t="e">
        <f ca="1"/>
        <v>#REF!</v>
      </c>
      <c r="AP1483" s="7">
        <f ca="1"/>
        <v>0.14173677705394702</v>
      </c>
      <c r="AQ1483" s="7" t="e">
        <f ca="1"/>
        <v>#REF!</v>
      </c>
      <c r="AR1483" s="7" t="e">
        <f ca="1"/>
        <v>#REF!</v>
      </c>
      <c r="AS1483" s="7">
        <f ca="1"/>
        <v>1.262435852359769</v>
      </c>
      <c r="AT1483" s="7" t="e">
        <f ca="1"/>
        <v>#REF!</v>
      </c>
      <c r="AU1483" s="7" t="e">
        <f ca="1"/>
        <v>#REF!</v>
      </c>
      <c r="AV1483" s="7" t="e">
        <f ca="1"/>
        <v>#REF!</v>
      </c>
    </row>
    <row r="1484" spans="37:48" x14ac:dyDescent="0.25">
      <c r="AK1484" t="str">
        <f ca="1"/>
        <v>Obs. 2625</v>
      </c>
      <c r="AL1484" s="7">
        <f ca="1"/>
        <v>56.2</v>
      </c>
      <c r="AN1484" s="7" t="e">
        <f ca="1"/>
        <v>#REF!</v>
      </c>
      <c r="AO1484" s="7" t="e">
        <f ca="1"/>
        <v>#REF!</v>
      </c>
      <c r="AP1484" s="7">
        <f ca="1"/>
        <v>0.15550231508911208</v>
      </c>
      <c r="AQ1484" s="7" t="e">
        <f ca="1"/>
        <v>#REF!</v>
      </c>
      <c r="AR1484" s="7" t="e">
        <f ca="1"/>
        <v>#REF!</v>
      </c>
      <c r="AS1484" s="7">
        <f ca="1"/>
        <v>1.262435852359769</v>
      </c>
      <c r="AT1484" s="7" t="e">
        <f ca="1"/>
        <v>#REF!</v>
      </c>
      <c r="AU1484" s="7" t="e">
        <f ca="1"/>
        <v>#REF!</v>
      </c>
      <c r="AV1484" s="7" t="e">
        <f ca="1"/>
        <v>#REF!</v>
      </c>
    </row>
    <row r="1485" spans="37:48" x14ac:dyDescent="0.25">
      <c r="AK1485" t="str">
        <f ca="1"/>
        <v>Obs. 2635</v>
      </c>
      <c r="AL1485" s="7">
        <f ca="1"/>
        <v>73.3</v>
      </c>
      <c r="AN1485" s="7" t="e">
        <f ca="1"/>
        <v>#REF!</v>
      </c>
      <c r="AO1485" s="7" t="e">
        <f ca="1"/>
        <v>#REF!</v>
      </c>
      <c r="AP1485" s="7">
        <f ca="1"/>
        <v>8.3178794098586473E-2</v>
      </c>
      <c r="AQ1485" s="7" t="e">
        <f ca="1"/>
        <v>#REF!</v>
      </c>
      <c r="AR1485" s="7" t="e">
        <f ca="1"/>
        <v>#REF!</v>
      </c>
      <c r="AS1485" s="7">
        <f ca="1"/>
        <v>1.262435852359769</v>
      </c>
      <c r="AT1485" s="7" t="e">
        <f ca="1"/>
        <v>#REF!</v>
      </c>
      <c r="AU1485" s="7" t="e">
        <f ca="1"/>
        <v>#REF!</v>
      </c>
      <c r="AV1485" s="7" t="e">
        <f ca="1"/>
        <v>#REF!</v>
      </c>
    </row>
    <row r="1486" spans="37:48" x14ac:dyDescent="0.25">
      <c r="AK1486" t="str">
        <f ca="1"/>
        <v>Obs. 2636</v>
      </c>
      <c r="AL1486" s="7">
        <f ca="1"/>
        <v>73.2</v>
      </c>
      <c r="AN1486" s="7" t="e">
        <f ca="1"/>
        <v>#REF!</v>
      </c>
      <c r="AO1486" s="7" t="e">
        <f ca="1"/>
        <v>#REF!</v>
      </c>
      <c r="AP1486" s="7">
        <f ca="1"/>
        <v>6.6814488781307274E-2</v>
      </c>
      <c r="AQ1486" s="7" t="e">
        <f ca="1"/>
        <v>#REF!</v>
      </c>
      <c r="AR1486" s="7" t="e">
        <f ca="1"/>
        <v>#REF!</v>
      </c>
      <c r="AS1486" s="7">
        <f ca="1"/>
        <v>1.262435852359769</v>
      </c>
      <c r="AT1486" s="7" t="e">
        <f ca="1"/>
        <v>#REF!</v>
      </c>
      <c r="AU1486" s="7" t="e">
        <f ca="1"/>
        <v>#REF!</v>
      </c>
      <c r="AV1486" s="7" t="e">
        <f ca="1"/>
        <v>#REF!</v>
      </c>
    </row>
    <row r="1487" spans="37:48" x14ac:dyDescent="0.25">
      <c r="AK1487" t="str">
        <f ca="1"/>
        <v>Obs. 2637</v>
      </c>
      <c r="AL1487" s="7">
        <f ca="1"/>
        <v>73</v>
      </c>
      <c r="AN1487" s="7" t="e">
        <f ca="1"/>
        <v>#REF!</v>
      </c>
      <c r="AO1487" s="7" t="e">
        <f ca="1"/>
        <v>#REF!</v>
      </c>
      <c r="AP1487" s="7">
        <f ca="1"/>
        <v>6.6331535551029164E-2</v>
      </c>
      <c r="AQ1487" s="7" t="e">
        <f ca="1"/>
        <v>#REF!</v>
      </c>
      <c r="AR1487" s="7" t="e">
        <f ca="1"/>
        <v>#REF!</v>
      </c>
      <c r="AS1487" s="7">
        <f ca="1"/>
        <v>1.262435852359769</v>
      </c>
      <c r="AT1487" s="7" t="e">
        <f ca="1"/>
        <v>#REF!</v>
      </c>
      <c r="AU1487" s="7" t="e">
        <f ca="1"/>
        <v>#REF!</v>
      </c>
      <c r="AV1487" s="7" t="e">
        <f ca="1"/>
        <v>#REF!</v>
      </c>
    </row>
    <row r="1488" spans="37:48" x14ac:dyDescent="0.25">
      <c r="AK1488" t="str">
        <f ca="1"/>
        <v>Obs. 2638</v>
      </c>
      <c r="AL1488" s="7">
        <f ca="1"/>
        <v>72.900000000000006</v>
      </c>
      <c r="AN1488" s="7" t="e">
        <f ca="1"/>
        <v>#REF!</v>
      </c>
      <c r="AO1488" s="7" t="e">
        <f ca="1"/>
        <v>#REF!</v>
      </c>
      <c r="AP1488" s="7">
        <f ca="1"/>
        <v>6.6358976330399375E-2</v>
      </c>
      <c r="AQ1488" s="7" t="e">
        <f ca="1"/>
        <v>#REF!</v>
      </c>
      <c r="AR1488" s="7" t="e">
        <f ca="1"/>
        <v>#REF!</v>
      </c>
      <c r="AS1488" s="7">
        <f ca="1"/>
        <v>1.262435852359769</v>
      </c>
      <c r="AT1488" s="7" t="e">
        <f ca="1"/>
        <v>#REF!</v>
      </c>
      <c r="AU1488" s="7" t="e">
        <f ca="1"/>
        <v>#REF!</v>
      </c>
      <c r="AV1488" s="7" t="e">
        <f ca="1"/>
        <v>#REF!</v>
      </c>
    </row>
    <row r="1489" spans="37:48" x14ac:dyDescent="0.25">
      <c r="AK1489" t="str">
        <f ca="1"/>
        <v>Obs. 2639</v>
      </c>
      <c r="AL1489" s="7">
        <f ca="1"/>
        <v>72.8</v>
      </c>
      <c r="AN1489" s="7" t="e">
        <f ca="1"/>
        <v>#REF!</v>
      </c>
      <c r="AO1489" s="7" t="e">
        <f ca="1"/>
        <v>#REF!</v>
      </c>
      <c r="AP1489" s="7">
        <f ca="1"/>
        <v>6.4570913948845884E-2</v>
      </c>
      <c r="AQ1489" s="7" t="e">
        <f ca="1"/>
        <v>#REF!</v>
      </c>
      <c r="AR1489" s="7" t="e">
        <f ca="1"/>
        <v>#REF!</v>
      </c>
      <c r="AS1489" s="7">
        <f ca="1"/>
        <v>1.262435852359769</v>
      </c>
      <c r="AT1489" s="7" t="e">
        <f ca="1"/>
        <v>#REF!</v>
      </c>
      <c r="AU1489" s="7" t="e">
        <f ca="1"/>
        <v>#REF!</v>
      </c>
      <c r="AV1489" s="7" t="e">
        <f ca="1"/>
        <v>#REF!</v>
      </c>
    </row>
    <row r="1490" spans="37:48" x14ac:dyDescent="0.25">
      <c r="AK1490" t="str">
        <f ca="1"/>
        <v>Obs. 2640</v>
      </c>
      <c r="AL1490" s="7">
        <f ca="1"/>
        <v>72.5</v>
      </c>
      <c r="AN1490" s="7" t="e">
        <f ca="1"/>
        <v>#REF!</v>
      </c>
      <c r="AO1490" s="7" t="e">
        <f ca="1"/>
        <v>#REF!</v>
      </c>
      <c r="AP1490" s="7">
        <f ca="1"/>
        <v>6.4476997775112455E-2</v>
      </c>
      <c r="AQ1490" s="7" t="e">
        <f ca="1"/>
        <v>#REF!</v>
      </c>
      <c r="AR1490" s="7" t="e">
        <f ca="1"/>
        <v>#REF!</v>
      </c>
      <c r="AS1490" s="7">
        <f ca="1"/>
        <v>1.2933897637306977</v>
      </c>
      <c r="AT1490" s="7" t="e">
        <f ca="1"/>
        <v>#REF!</v>
      </c>
      <c r="AU1490" s="7" t="e">
        <f ca="1"/>
        <v>#REF!</v>
      </c>
      <c r="AV1490" s="7" t="e">
        <f ca="1"/>
        <v>#REF!</v>
      </c>
    </row>
    <row r="1491" spans="37:48" x14ac:dyDescent="0.25">
      <c r="AK1491" t="str">
        <f ca="1"/>
        <v>Obs. 2641</v>
      </c>
      <c r="AL1491" s="7">
        <f ca="1"/>
        <v>72.599999999999994</v>
      </c>
      <c r="AN1491" s="7" t="e">
        <f ca="1"/>
        <v>#REF!</v>
      </c>
      <c r="AO1491" s="7" t="e">
        <f ca="1"/>
        <v>#REF!</v>
      </c>
      <c r="AP1491" s="7">
        <f ca="1"/>
        <v>6.4311927328304624E-2</v>
      </c>
      <c r="AQ1491" s="7" t="e">
        <f ca="1"/>
        <v>#REF!</v>
      </c>
      <c r="AR1491" s="7" t="e">
        <f ca="1"/>
        <v>#REF!</v>
      </c>
      <c r="AS1491" s="7">
        <f ca="1"/>
        <v>1.2933897637306977</v>
      </c>
      <c r="AT1491" s="7" t="e">
        <f ca="1"/>
        <v>#REF!</v>
      </c>
      <c r="AU1491" s="7" t="e">
        <f ca="1"/>
        <v>#REF!</v>
      </c>
      <c r="AV1491" s="7" t="e">
        <f ca="1"/>
        <v>#REF!</v>
      </c>
    </row>
    <row r="1492" spans="37:48" x14ac:dyDescent="0.25">
      <c r="AK1492" t="str">
        <f ca="1"/>
        <v>Obs. 2642</v>
      </c>
      <c r="AL1492" s="7">
        <f ca="1"/>
        <v>72.5</v>
      </c>
      <c r="AN1492" s="7" t="e">
        <f ca="1"/>
        <v>#REF!</v>
      </c>
      <c r="AO1492" s="7" t="e">
        <f ca="1"/>
        <v>#REF!</v>
      </c>
      <c r="AP1492" s="7">
        <f ca="1"/>
        <v>7.6830283512237182E-2</v>
      </c>
      <c r="AQ1492" s="7" t="e">
        <f ca="1"/>
        <v>#REF!</v>
      </c>
      <c r="AR1492" s="7" t="e">
        <f ca="1"/>
        <v>#REF!</v>
      </c>
      <c r="AS1492" s="7">
        <f ca="1"/>
        <v>1.2933897637306977</v>
      </c>
      <c r="AT1492" s="7" t="e">
        <f ca="1"/>
        <v>#REF!</v>
      </c>
      <c r="AU1492" s="7" t="e">
        <f ca="1"/>
        <v>#REF!</v>
      </c>
      <c r="AV1492" s="7" t="e">
        <f ca="1"/>
        <v>#REF!</v>
      </c>
    </row>
    <row r="1493" spans="37:48" x14ac:dyDescent="0.25">
      <c r="AK1493" t="str">
        <f ca="1"/>
        <v>Obs. 2643</v>
      </c>
      <c r="AL1493" s="7">
        <f ca="1"/>
        <v>72.400000000000006</v>
      </c>
      <c r="AN1493" s="7" t="e">
        <f ca="1"/>
        <v>#REF!</v>
      </c>
      <c r="AO1493" s="7" t="e">
        <f ca="1"/>
        <v>#REF!</v>
      </c>
      <c r="AP1493" s="7">
        <f ca="1"/>
        <v>7.7284256629408202E-2</v>
      </c>
      <c r="AQ1493" s="7" t="e">
        <f ca="1"/>
        <v>#REF!</v>
      </c>
      <c r="AR1493" s="7" t="e">
        <f ca="1"/>
        <v>#REF!</v>
      </c>
      <c r="AS1493" s="7">
        <f ca="1"/>
        <v>1.2933897637306977</v>
      </c>
      <c r="AT1493" s="7" t="e">
        <f ca="1"/>
        <v>#REF!</v>
      </c>
      <c r="AU1493" s="7" t="e">
        <f ca="1"/>
        <v>#REF!</v>
      </c>
      <c r="AV1493" s="7" t="e">
        <f ca="1"/>
        <v>#REF!</v>
      </c>
    </row>
    <row r="1494" spans="37:48" x14ac:dyDescent="0.25">
      <c r="AK1494" t="str">
        <f ca="1"/>
        <v>Obs. 2644</v>
      </c>
      <c r="AL1494" s="7">
        <f ca="1"/>
        <v>72.3</v>
      </c>
      <c r="AN1494" s="7" t="e">
        <f ca="1"/>
        <v>#REF!</v>
      </c>
      <c r="AO1494" s="7" t="e">
        <f ca="1"/>
        <v>#REF!</v>
      </c>
      <c r="AP1494" s="7">
        <f ca="1"/>
        <v>8.4028110129990202E-2</v>
      </c>
      <c r="AQ1494" s="7" t="e">
        <f ca="1"/>
        <v>#REF!</v>
      </c>
      <c r="AR1494" s="7" t="e">
        <f ca="1"/>
        <v>#REF!</v>
      </c>
      <c r="AS1494" s="7">
        <f ca="1"/>
        <v>1.2933897637306977</v>
      </c>
      <c r="AT1494" s="7" t="e">
        <f ca="1"/>
        <v>#REF!</v>
      </c>
      <c r="AU1494" s="7" t="e">
        <f ca="1"/>
        <v>#REF!</v>
      </c>
      <c r="AV1494" s="7" t="e">
        <f ca="1"/>
        <v>#REF!</v>
      </c>
    </row>
    <row r="1495" spans="37:48" x14ac:dyDescent="0.25">
      <c r="AK1495" t="str">
        <f ca="1"/>
        <v>Obs. 2645</v>
      </c>
      <c r="AL1495" s="7">
        <f ca="1"/>
        <v>72.2</v>
      </c>
      <c r="AN1495" s="7" t="e">
        <f ca="1"/>
        <v>#REF!</v>
      </c>
      <c r="AO1495" s="7" t="e">
        <f ca="1"/>
        <v>#REF!</v>
      </c>
      <c r="AP1495" s="7">
        <f ca="1"/>
        <v>7.904076608670918E-2</v>
      </c>
      <c r="AQ1495" s="7" t="e">
        <f ca="1"/>
        <v>#REF!</v>
      </c>
      <c r="AR1495" s="7" t="e">
        <f ca="1"/>
        <v>#REF!</v>
      </c>
      <c r="AS1495" s="7">
        <f ca="1"/>
        <v>1.2933897637306977</v>
      </c>
      <c r="AT1495" s="7" t="e">
        <f ca="1"/>
        <v>#REF!</v>
      </c>
      <c r="AU1495" s="7" t="e">
        <f ca="1"/>
        <v>#REF!</v>
      </c>
      <c r="AV1495" s="7" t="e">
        <f ca="1"/>
        <v>#REF!</v>
      </c>
    </row>
    <row r="1496" spans="37:48" x14ac:dyDescent="0.25">
      <c r="AK1496" t="str">
        <f ca="1"/>
        <v>Obs. 2646</v>
      </c>
      <c r="AL1496" s="7">
        <f ca="1"/>
        <v>72</v>
      </c>
      <c r="AN1496" s="7" t="e">
        <f ca="1"/>
        <v>#REF!</v>
      </c>
      <c r="AO1496" s="7" t="e">
        <f ca="1"/>
        <v>#REF!</v>
      </c>
      <c r="AP1496" s="7">
        <f ca="1"/>
        <v>7.9482011187201967E-2</v>
      </c>
      <c r="AQ1496" s="7" t="e">
        <f ca="1"/>
        <v>#REF!</v>
      </c>
      <c r="AR1496" s="7" t="e">
        <f ca="1"/>
        <v>#REF!</v>
      </c>
      <c r="AS1496" s="7">
        <f ca="1"/>
        <v>1.2933897637306977</v>
      </c>
      <c r="AT1496" s="7" t="e">
        <f ca="1"/>
        <v>#REF!</v>
      </c>
      <c r="AU1496" s="7" t="e">
        <f ca="1"/>
        <v>#REF!</v>
      </c>
      <c r="AV1496" s="7" t="e">
        <f ca="1"/>
        <v>#REF!</v>
      </c>
    </row>
    <row r="1497" spans="37:48" x14ac:dyDescent="0.25">
      <c r="AK1497" t="str">
        <f ca="1"/>
        <v>Obs. 2647</v>
      </c>
      <c r="AL1497" s="7">
        <f ca="1"/>
        <v>71.900000000000006</v>
      </c>
      <c r="AN1497" s="7" t="e">
        <f ca="1"/>
        <v>#REF!</v>
      </c>
      <c r="AO1497" s="7" t="e">
        <f ca="1"/>
        <v>#REF!</v>
      </c>
      <c r="AP1497" s="7">
        <f ca="1"/>
        <v>6.5391810702673164E-2</v>
      </c>
      <c r="AQ1497" s="7" t="e">
        <f ca="1"/>
        <v>#REF!</v>
      </c>
      <c r="AR1497" s="7" t="e">
        <f ca="1"/>
        <v>#REF!</v>
      </c>
      <c r="AS1497" s="7">
        <f ca="1"/>
        <v>1.2933897637306977</v>
      </c>
      <c r="AT1497" s="7" t="e">
        <f ca="1"/>
        <v>#REF!</v>
      </c>
      <c r="AU1497" s="7" t="e">
        <f ca="1"/>
        <v>#REF!</v>
      </c>
      <c r="AV1497" s="7" t="e">
        <f ca="1"/>
        <v>#REF!</v>
      </c>
    </row>
    <row r="1498" spans="37:48" x14ac:dyDescent="0.25">
      <c r="AK1498" t="str">
        <f ca="1"/>
        <v>Obs. 2648</v>
      </c>
      <c r="AL1498" s="7">
        <f ca="1"/>
        <v>71.8</v>
      </c>
      <c r="AN1498" s="7" t="e">
        <f ca="1"/>
        <v>#REF!</v>
      </c>
      <c r="AO1498" s="7" t="e">
        <f ca="1"/>
        <v>#REF!</v>
      </c>
      <c r="AP1498" s="7">
        <f ca="1"/>
        <v>6.7114513276174292E-2</v>
      </c>
      <c r="AQ1498" s="7" t="e">
        <f ca="1"/>
        <v>#REF!</v>
      </c>
      <c r="AR1498" s="7" t="e">
        <f ca="1"/>
        <v>#REF!</v>
      </c>
      <c r="AS1498" s="7">
        <f ca="1"/>
        <v>1.3219841213691266</v>
      </c>
      <c r="AT1498" s="7" t="e">
        <f ca="1"/>
        <v>#REF!</v>
      </c>
      <c r="AU1498" s="7" t="e">
        <f ca="1"/>
        <v>#REF!</v>
      </c>
      <c r="AV1498" s="7" t="e">
        <f ca="1"/>
        <v>#REF!</v>
      </c>
    </row>
    <row r="1499" spans="37:48" x14ac:dyDescent="0.25">
      <c r="AK1499" t="str">
        <f ca="1"/>
        <v>Obs. 2649</v>
      </c>
      <c r="AL1499" s="7">
        <f ca="1"/>
        <v>71.599999999999994</v>
      </c>
      <c r="AN1499" s="7" t="e">
        <f ca="1"/>
        <v>#REF!</v>
      </c>
      <c r="AO1499" s="7" t="e">
        <f ca="1"/>
        <v>#REF!</v>
      </c>
      <c r="AP1499" s="7">
        <f ca="1"/>
        <v>6.7864105629870025E-2</v>
      </c>
      <c r="AQ1499" s="7" t="e">
        <f ca="1"/>
        <v>#REF!</v>
      </c>
      <c r="AR1499" s="7" t="e">
        <f ca="1"/>
        <v>#REF!</v>
      </c>
      <c r="AS1499" s="7">
        <f ca="1"/>
        <v>1.3219841213691266</v>
      </c>
      <c r="AT1499" s="7" t="e">
        <f ca="1"/>
        <v>#REF!</v>
      </c>
      <c r="AU1499" s="7" t="e">
        <f ca="1"/>
        <v>#REF!</v>
      </c>
      <c r="AV1499" s="7" t="e">
        <f ca="1"/>
        <v>#REF!</v>
      </c>
    </row>
    <row r="1500" spans="37:48" x14ac:dyDescent="0.25">
      <c r="AK1500" t="str">
        <f ca="1"/>
        <v>Obs. 2651</v>
      </c>
      <c r="AL1500" s="7">
        <f ca="1"/>
        <v>71.099999999999994</v>
      </c>
      <c r="AN1500" s="7" t="e">
        <f ca="1"/>
        <v>#REF!</v>
      </c>
      <c r="AO1500" s="7" t="e">
        <f ca="1"/>
        <v>#REF!</v>
      </c>
      <c r="AP1500" s="7">
        <f ca="1"/>
        <v>8.2038736256639766E-2</v>
      </c>
      <c r="AQ1500" s="7" t="e">
        <f ca="1"/>
        <v>#REF!</v>
      </c>
      <c r="AR1500" s="7" t="e">
        <f ca="1"/>
        <v>#REF!</v>
      </c>
      <c r="AS1500" s="7">
        <f ca="1"/>
        <v>1.3219841213691266</v>
      </c>
      <c r="AT1500" s="7" t="e">
        <f ca="1"/>
        <v>#REF!</v>
      </c>
      <c r="AU1500" s="7" t="e">
        <f ca="1"/>
        <v>#REF!</v>
      </c>
      <c r="AV1500" s="7" t="e">
        <f ca="1"/>
        <v>#REF!</v>
      </c>
    </row>
    <row r="1501" spans="37:48" x14ac:dyDescent="0.25">
      <c r="AK1501" t="str">
        <f ca="1"/>
        <v>Obs. 2652</v>
      </c>
      <c r="AL1501" s="7">
        <f ca="1"/>
        <v>71</v>
      </c>
      <c r="AN1501" s="7" t="e">
        <f ca="1"/>
        <v>#REF!</v>
      </c>
      <c r="AO1501" s="7" t="e">
        <f ca="1"/>
        <v>#REF!</v>
      </c>
      <c r="AP1501" s="7">
        <f ca="1"/>
        <v>7.9569732218631284E-2</v>
      </c>
      <c r="AQ1501" s="7" t="e">
        <f ca="1"/>
        <v>#REF!</v>
      </c>
      <c r="AR1501" s="7" t="e">
        <f ca="1"/>
        <v>#REF!</v>
      </c>
      <c r="AS1501" s="7">
        <f ca="1"/>
        <v>1.3219841213691266</v>
      </c>
      <c r="AT1501" s="7" t="e">
        <f ca="1"/>
        <v>#REF!</v>
      </c>
      <c r="AU1501" s="7" t="e">
        <f ca="1"/>
        <v>#REF!</v>
      </c>
      <c r="AV1501" s="7" t="e">
        <f ca="1"/>
        <v>#REF!</v>
      </c>
    </row>
    <row r="1502" spans="37:48" x14ac:dyDescent="0.25">
      <c r="AK1502" t="str">
        <f ca="1"/>
        <v>Obs. 2653</v>
      </c>
      <c r="AL1502" s="7">
        <f ca="1"/>
        <v>78</v>
      </c>
      <c r="AN1502" s="7" t="e">
        <f ca="1"/>
        <v>#REF!</v>
      </c>
      <c r="AO1502" s="7" t="e">
        <f ca="1"/>
        <v>#REF!</v>
      </c>
      <c r="AP1502" s="7">
        <f ca="1"/>
        <v>8.1907513998684789E-2</v>
      </c>
      <c r="AQ1502" s="7" t="e">
        <f ca="1"/>
        <v>#REF!</v>
      </c>
      <c r="AR1502" s="7" t="e">
        <f ca="1"/>
        <v>#REF!</v>
      </c>
      <c r="AS1502" s="7">
        <f ca="1"/>
        <v>1.3219841213691266</v>
      </c>
      <c r="AT1502" s="7" t="e">
        <f ca="1"/>
        <v>#REF!</v>
      </c>
      <c r="AU1502" s="7" t="e">
        <f ca="1"/>
        <v>#REF!</v>
      </c>
      <c r="AV1502" s="7" t="e">
        <f ca="1"/>
        <v>#REF!</v>
      </c>
    </row>
    <row r="1503" spans="37:48" x14ac:dyDescent="0.25">
      <c r="AK1503" t="str">
        <f ca="1"/>
        <v>Obs. 2654</v>
      </c>
      <c r="AL1503" s="7">
        <f ca="1"/>
        <v>76</v>
      </c>
      <c r="AN1503" s="7" t="e">
        <f ca="1"/>
        <v>#REF!</v>
      </c>
      <c r="AO1503" s="7" t="e">
        <f ca="1"/>
        <v>#REF!</v>
      </c>
      <c r="AP1503" s="7">
        <f ca="1"/>
        <v>8.8638911523933647E-2</v>
      </c>
      <c r="AQ1503" s="7" t="e">
        <f ca="1"/>
        <v>#REF!</v>
      </c>
      <c r="AR1503" s="7" t="e">
        <f ca="1"/>
        <v>#REF!</v>
      </c>
      <c r="AS1503" s="7">
        <f ca="1"/>
        <v>1.3404190152831756</v>
      </c>
      <c r="AT1503" s="7" t="e">
        <f ca="1"/>
        <v>#REF!</v>
      </c>
      <c r="AU1503" s="7" t="e">
        <f ca="1"/>
        <v>#REF!</v>
      </c>
      <c r="AV1503" s="7" t="e">
        <f ca="1"/>
        <v>#REF!</v>
      </c>
    </row>
    <row r="1504" spans="37:48" x14ac:dyDescent="0.25">
      <c r="AK1504" t="str">
        <f ca="1"/>
        <v>Obs. 2655</v>
      </c>
      <c r="AL1504" s="7">
        <f ca="1"/>
        <v>74</v>
      </c>
      <c r="AN1504" s="7" t="e">
        <f ca="1"/>
        <v>#REF!</v>
      </c>
      <c r="AO1504" s="7" t="e">
        <f ca="1"/>
        <v>#REF!</v>
      </c>
      <c r="AP1504" s="7">
        <f ca="1"/>
        <v>8.8892422593312703E-2</v>
      </c>
      <c r="AQ1504" s="7" t="e">
        <f ca="1"/>
        <v>#REF!</v>
      </c>
      <c r="AR1504" s="7" t="e">
        <f ca="1"/>
        <v>#REF!</v>
      </c>
      <c r="AS1504" s="7">
        <f ca="1"/>
        <v>1.3404190152831756</v>
      </c>
      <c r="AT1504" s="7" t="e">
        <f ca="1"/>
        <v>#REF!</v>
      </c>
      <c r="AU1504" s="7" t="e">
        <f ca="1"/>
        <v>#REF!</v>
      </c>
      <c r="AV1504" s="7" t="e">
        <f ca="1"/>
        <v>#REF!</v>
      </c>
    </row>
    <row r="1505" spans="37:48" x14ac:dyDescent="0.25">
      <c r="AK1505" t="str">
        <f ca="1"/>
        <v>Obs. 2656</v>
      </c>
      <c r="AL1505" s="7">
        <f ca="1"/>
        <v>71</v>
      </c>
      <c r="AN1505" s="7" t="e">
        <f ca="1"/>
        <v>#REF!</v>
      </c>
      <c r="AO1505" s="7" t="e">
        <f ca="1"/>
        <v>#REF!</v>
      </c>
      <c r="AP1505" s="7">
        <f ca="1"/>
        <v>8.9375330596931063E-2</v>
      </c>
      <c r="AQ1505" s="7" t="e">
        <f ca="1"/>
        <v>#REF!</v>
      </c>
      <c r="AR1505" s="7" t="e">
        <f ca="1"/>
        <v>#REF!</v>
      </c>
      <c r="AS1505" s="7">
        <f ca="1"/>
        <v>1.3404190152831756</v>
      </c>
      <c r="AT1505" s="7" t="e">
        <f ca="1"/>
        <v>#REF!</v>
      </c>
      <c r="AU1505" s="7" t="e">
        <f ca="1"/>
        <v>#REF!</v>
      </c>
      <c r="AV1505" s="7" t="e">
        <f ca="1"/>
        <v>#REF!</v>
      </c>
    </row>
    <row r="1506" spans="37:48" x14ac:dyDescent="0.25">
      <c r="AK1506" t="str">
        <f ca="1"/>
        <v>Obs. 2657</v>
      </c>
      <c r="AL1506" s="7">
        <f ca="1"/>
        <v>69.900000000000006</v>
      </c>
      <c r="AN1506" s="7" t="e">
        <f ca="1"/>
        <v>#REF!</v>
      </c>
      <c r="AO1506" s="7" t="e">
        <f ca="1"/>
        <v>#REF!</v>
      </c>
      <c r="AP1506" s="7">
        <f ca="1"/>
        <v>9.500235700501744E-2</v>
      </c>
      <c r="AQ1506" s="7" t="e">
        <f ca="1"/>
        <v>#REF!</v>
      </c>
      <c r="AR1506" s="7" t="e">
        <f ca="1"/>
        <v>#REF!</v>
      </c>
      <c r="AS1506" s="7">
        <f ca="1"/>
        <v>1.3404190152831756</v>
      </c>
      <c r="AT1506" s="7" t="e">
        <f ca="1"/>
        <v>#REF!</v>
      </c>
      <c r="AU1506" s="7" t="e">
        <f ca="1"/>
        <v>#REF!</v>
      </c>
      <c r="AV1506" s="7" t="e">
        <f ca="1"/>
        <v>#REF!</v>
      </c>
    </row>
    <row r="1507" spans="37:48" x14ac:dyDescent="0.25">
      <c r="AK1507" t="str">
        <f ca="1"/>
        <v>Obs. 2658</v>
      </c>
      <c r="AL1507" s="7">
        <f ca="1"/>
        <v>69.7</v>
      </c>
      <c r="AN1507" s="7" t="e">
        <f ca="1"/>
        <v>#REF!</v>
      </c>
      <c r="AO1507" s="7" t="e">
        <f ca="1"/>
        <v>#REF!</v>
      </c>
      <c r="AP1507" s="7">
        <f ca="1"/>
        <v>9.3311299955346483E-2</v>
      </c>
      <c r="AQ1507" s="7" t="e">
        <f ca="1"/>
        <v>#REF!</v>
      </c>
      <c r="AR1507" s="7" t="e">
        <f ca="1"/>
        <v>#REF!</v>
      </c>
      <c r="AS1507" s="7">
        <f ca="1"/>
        <v>1.3555018111021329</v>
      </c>
      <c r="AT1507" s="7" t="e">
        <f ca="1"/>
        <v>#REF!</v>
      </c>
      <c r="AU1507" s="7" t="e">
        <f ca="1"/>
        <v>#REF!</v>
      </c>
      <c r="AV1507" s="7" t="e">
        <f ca="1"/>
        <v>#REF!</v>
      </c>
    </row>
    <row r="1508" spans="37:48" x14ac:dyDescent="0.25">
      <c r="AK1508" t="str">
        <f ca="1"/>
        <v>Obs. 2659</v>
      </c>
      <c r="AL1508" s="7">
        <f ca="1"/>
        <v>69.599999999999994</v>
      </c>
      <c r="AN1508" s="7" t="e">
        <f ca="1"/>
        <v>#REF!</v>
      </c>
      <c r="AO1508" s="7" t="e">
        <f ca="1"/>
        <v>#REF!</v>
      </c>
      <c r="AP1508" s="7">
        <f ca="1"/>
        <v>7.7926425035700436E-2</v>
      </c>
      <c r="AQ1508" s="7" t="e">
        <f ca="1"/>
        <v>#REF!</v>
      </c>
      <c r="AR1508" s="7" t="e">
        <f ca="1"/>
        <v>#REF!</v>
      </c>
      <c r="AS1508" s="7">
        <f ca="1"/>
        <v>1.3555018111021329</v>
      </c>
      <c r="AT1508" s="7" t="e">
        <f ca="1"/>
        <v>#REF!</v>
      </c>
      <c r="AU1508" s="7" t="e">
        <f ca="1"/>
        <v>#REF!</v>
      </c>
      <c r="AV1508" s="7" t="e">
        <f ca="1"/>
        <v>#REF!</v>
      </c>
    </row>
    <row r="1509" spans="37:48" x14ac:dyDescent="0.25">
      <c r="AK1509" t="str">
        <f ca="1"/>
        <v>Obs. 2660</v>
      </c>
      <c r="AL1509" s="7">
        <f ca="1"/>
        <v>69.5</v>
      </c>
      <c r="AN1509" s="7" t="e">
        <f ca="1"/>
        <v>#REF!</v>
      </c>
      <c r="AO1509" s="7" t="e">
        <f ca="1"/>
        <v>#REF!</v>
      </c>
      <c r="AP1509" s="7">
        <f ca="1"/>
        <v>7.844096028588686E-2</v>
      </c>
      <c r="AQ1509" s="7" t="e">
        <f ca="1"/>
        <v>#REF!</v>
      </c>
      <c r="AR1509" s="7" t="e">
        <f ca="1"/>
        <v>#REF!</v>
      </c>
      <c r="AS1509" s="7">
        <f ca="1"/>
        <v>1.3555018111021329</v>
      </c>
      <c r="AT1509" s="7" t="e">
        <f ca="1"/>
        <v>#REF!</v>
      </c>
      <c r="AU1509" s="7" t="e">
        <f ca="1"/>
        <v>#REF!</v>
      </c>
      <c r="AV1509" s="7" t="e">
        <f ca="1"/>
        <v>#REF!</v>
      </c>
    </row>
    <row r="1510" spans="37:48" x14ac:dyDescent="0.25">
      <c r="AK1510" t="str">
        <f ca="1"/>
        <v>Obs. 2661</v>
      </c>
      <c r="AL1510" s="7">
        <f ca="1"/>
        <v>69.400000000000006</v>
      </c>
      <c r="AN1510" s="7" t="e">
        <f ca="1"/>
        <v>#REF!</v>
      </c>
      <c r="AO1510" s="7" t="e">
        <f ca="1"/>
        <v>#REF!</v>
      </c>
      <c r="AP1510" s="7">
        <f ca="1"/>
        <v>8.2401331194125682E-2</v>
      </c>
      <c r="AQ1510" s="7" t="e">
        <f ca="1"/>
        <v>#REF!</v>
      </c>
      <c r="AR1510" s="7" t="e">
        <f ca="1"/>
        <v>#REF!</v>
      </c>
      <c r="AS1510" s="7">
        <f ca="1"/>
        <v>1.3555018111021329</v>
      </c>
      <c r="AT1510" s="7" t="e">
        <f ca="1"/>
        <v>#REF!</v>
      </c>
      <c r="AU1510" s="7" t="e">
        <f ca="1"/>
        <v>#REF!</v>
      </c>
      <c r="AV1510" s="7" t="e">
        <f ca="1"/>
        <v>#REF!</v>
      </c>
    </row>
    <row r="1511" spans="37:48" x14ac:dyDescent="0.25">
      <c r="AK1511" t="str">
        <f ca="1"/>
        <v>Obs. 2662</v>
      </c>
      <c r="AL1511" s="7">
        <f ca="1"/>
        <v>69.3</v>
      </c>
      <c r="AN1511" s="7" t="e">
        <f ca="1"/>
        <v>#REF!</v>
      </c>
      <c r="AO1511" s="7" t="e">
        <f ca="1"/>
        <v>#REF!</v>
      </c>
      <c r="AP1511" s="7">
        <f ca="1"/>
        <v>7.8633779099941251E-2</v>
      </c>
      <c r="AQ1511" s="7" t="e">
        <f ca="1"/>
        <v>#REF!</v>
      </c>
      <c r="AR1511" s="7" t="e">
        <f ca="1"/>
        <v>#REF!</v>
      </c>
      <c r="AS1511" s="7">
        <f ca="1"/>
        <v>1.3555018111021329</v>
      </c>
      <c r="AT1511" s="7" t="e">
        <f ca="1"/>
        <v>#REF!</v>
      </c>
      <c r="AU1511" s="7" t="e">
        <f ca="1"/>
        <v>#REF!</v>
      </c>
      <c r="AV1511" s="7" t="e">
        <f ca="1"/>
        <v>#REF!</v>
      </c>
    </row>
    <row r="1512" spans="37:48" x14ac:dyDescent="0.25">
      <c r="AK1512" t="str">
        <f ca="1"/>
        <v>Obs. 2663</v>
      </c>
      <c r="AL1512" s="7">
        <f ca="1"/>
        <v>69.2</v>
      </c>
      <c r="AN1512" s="7" t="e">
        <f ca="1"/>
        <v>#REF!</v>
      </c>
      <c r="AO1512" s="7" t="e">
        <f ca="1"/>
        <v>#REF!</v>
      </c>
      <c r="AP1512" s="7">
        <f ca="1"/>
        <v>8.9007781732908339E-2</v>
      </c>
      <c r="AQ1512" s="7" t="e">
        <f ca="1"/>
        <v>#REF!</v>
      </c>
      <c r="AR1512" s="7" t="e">
        <f ca="1"/>
        <v>#REF!</v>
      </c>
      <c r="AS1512" s="7">
        <f ca="1"/>
        <v>1.3748000243745633</v>
      </c>
      <c r="AT1512" s="7" t="e">
        <f ca="1"/>
        <v>#REF!</v>
      </c>
      <c r="AU1512" s="7" t="e">
        <f ca="1"/>
        <v>#REF!</v>
      </c>
      <c r="AV1512" s="7" t="e">
        <f ca="1"/>
        <v>#REF!</v>
      </c>
    </row>
    <row r="1513" spans="37:48" x14ac:dyDescent="0.25">
      <c r="AK1513" t="str">
        <f ca="1"/>
        <v>Obs. 2667</v>
      </c>
      <c r="AL1513" s="7">
        <f ca="1"/>
        <v>75.099999999999994</v>
      </c>
      <c r="AN1513" s="7" t="e">
        <f ca="1"/>
        <v>#REF!</v>
      </c>
      <c r="AO1513" s="7" t="e">
        <f ca="1"/>
        <v>#REF!</v>
      </c>
      <c r="AP1513" s="7">
        <f ca="1"/>
        <v>7.6465190921782403E-2</v>
      </c>
      <c r="AQ1513" s="7" t="e">
        <f ca="1"/>
        <v>#REF!</v>
      </c>
      <c r="AR1513" s="7" t="e">
        <f ca="1"/>
        <v>#REF!</v>
      </c>
      <c r="AS1513" s="7">
        <f ca="1"/>
        <v>1.3748000243745633</v>
      </c>
      <c r="AT1513" s="7" t="e">
        <f ca="1"/>
        <v>#REF!</v>
      </c>
      <c r="AU1513" s="7" t="e">
        <f ca="1"/>
        <v>#REF!</v>
      </c>
      <c r="AV1513" s="7" t="e">
        <f ca="1"/>
        <v>#REF!</v>
      </c>
    </row>
    <row r="1514" spans="37:48" x14ac:dyDescent="0.25">
      <c r="AK1514" t="str">
        <f ca="1"/>
        <v>Obs. 2668</v>
      </c>
      <c r="AL1514" s="7">
        <f ca="1"/>
        <v>74.900000000000006</v>
      </c>
      <c r="AN1514" s="7" t="e">
        <f ca="1"/>
        <v>#REF!</v>
      </c>
      <c r="AO1514" s="7" t="e">
        <f ca="1"/>
        <v>#REF!</v>
      </c>
      <c r="AP1514" s="7">
        <f ca="1"/>
        <v>6.7310830811649042E-2</v>
      </c>
      <c r="AQ1514" s="7" t="e">
        <f ca="1"/>
        <v>#REF!</v>
      </c>
      <c r="AR1514" s="7" t="e">
        <f ca="1"/>
        <v>#REF!</v>
      </c>
      <c r="AS1514" s="7">
        <f ca="1"/>
        <v>1.3748000243745633</v>
      </c>
      <c r="AT1514" s="7" t="e">
        <f ca="1"/>
        <v>#REF!</v>
      </c>
      <c r="AU1514" s="7" t="e">
        <f ca="1"/>
        <v>#REF!</v>
      </c>
      <c r="AV1514" s="7" t="e">
        <f ca="1"/>
        <v>#REF!</v>
      </c>
    </row>
    <row r="1515" spans="37:48" x14ac:dyDescent="0.25">
      <c r="AK1515" t="str">
        <f ca="1"/>
        <v>Obs. 2669</v>
      </c>
      <c r="AL1515" s="7">
        <f ca="1"/>
        <v>74.900000000000006</v>
      </c>
      <c r="AN1515" s="7" t="e">
        <f ca="1"/>
        <v>#REF!</v>
      </c>
      <c r="AO1515" s="7" t="e">
        <f ca="1"/>
        <v>#REF!</v>
      </c>
      <c r="AP1515" s="7">
        <f ca="1"/>
        <v>6.6632064501742555E-2</v>
      </c>
      <c r="AQ1515" s="7" t="e">
        <f ca="1"/>
        <v>#REF!</v>
      </c>
      <c r="AR1515" s="7" t="e">
        <f ca="1"/>
        <v>#REF!</v>
      </c>
      <c r="AS1515" s="7">
        <f ca="1"/>
        <v>1.3748000243745633</v>
      </c>
      <c r="AT1515" s="7" t="e">
        <f ca="1"/>
        <v>#REF!</v>
      </c>
      <c r="AU1515" s="7" t="e">
        <f ca="1"/>
        <v>#REF!</v>
      </c>
      <c r="AV1515" s="7" t="e">
        <f ca="1"/>
        <v>#REF!</v>
      </c>
    </row>
    <row r="1516" spans="37:48" x14ac:dyDescent="0.25">
      <c r="AK1516" t="str">
        <f ca="1"/>
        <v>Obs. 2670</v>
      </c>
      <c r="AL1516" s="7">
        <f ca="1"/>
        <v>74.8</v>
      </c>
      <c r="AN1516" s="7" t="e">
        <f ca="1"/>
        <v>#REF!</v>
      </c>
      <c r="AO1516" s="7" t="e">
        <f ca="1"/>
        <v>#REF!</v>
      </c>
      <c r="AP1516" s="7">
        <f ca="1"/>
        <v>6.6140901580013636E-2</v>
      </c>
      <c r="AQ1516" s="7" t="e">
        <f ca="1"/>
        <v>#REF!</v>
      </c>
      <c r="AR1516" s="7" t="e">
        <f ca="1"/>
        <v>#REF!</v>
      </c>
      <c r="AS1516" s="7">
        <f ca="1"/>
        <v>1.3748000243745633</v>
      </c>
      <c r="AT1516" s="7" t="e">
        <f ca="1"/>
        <v>#REF!</v>
      </c>
      <c r="AU1516" s="7" t="e">
        <f ca="1"/>
        <v>#REF!</v>
      </c>
      <c r="AV1516" s="7" t="e">
        <f ca="1"/>
        <v>#REF!</v>
      </c>
    </row>
    <row r="1517" spans="37:48" x14ac:dyDescent="0.25">
      <c r="AK1517" t="str">
        <f ca="1"/>
        <v>Obs. 2671</v>
      </c>
      <c r="AL1517" s="7">
        <f ca="1"/>
        <v>74.8</v>
      </c>
      <c r="AN1517" s="7" t="e">
        <f ca="1"/>
        <v>#REF!</v>
      </c>
      <c r="AO1517" s="7" t="e">
        <f ca="1"/>
        <v>#REF!</v>
      </c>
      <c r="AP1517" s="7">
        <f ca="1"/>
        <v>6.5982712310039271E-2</v>
      </c>
      <c r="AQ1517" s="7" t="e">
        <f ca="1"/>
        <v>#REF!</v>
      </c>
      <c r="AR1517" s="7" t="e">
        <f ca="1"/>
        <v>#REF!</v>
      </c>
      <c r="AS1517" s="7">
        <f ca="1"/>
        <v>1.3946242806491955</v>
      </c>
      <c r="AT1517" s="7" t="e">
        <f ca="1"/>
        <v>#REF!</v>
      </c>
      <c r="AU1517" s="7" t="e">
        <f ca="1"/>
        <v>#REF!</v>
      </c>
      <c r="AV1517" s="7" t="e">
        <f ca="1"/>
        <v>#REF!</v>
      </c>
    </row>
    <row r="1518" spans="37:48" x14ac:dyDescent="0.25">
      <c r="AK1518" t="str">
        <f ca="1"/>
        <v>Obs. 2672</v>
      </c>
      <c r="AL1518" s="7">
        <f ca="1"/>
        <v>74.7</v>
      </c>
      <c r="AN1518" s="7" t="e">
        <f ca="1"/>
        <v>#REF!</v>
      </c>
      <c r="AO1518" s="7" t="e">
        <f ca="1"/>
        <v>#REF!</v>
      </c>
      <c r="AP1518" s="7">
        <f ca="1"/>
        <v>6.5353810568966622E-2</v>
      </c>
      <c r="AQ1518" s="7" t="e">
        <f ca="1"/>
        <v>#REF!</v>
      </c>
      <c r="AR1518" s="7" t="e">
        <f ca="1"/>
        <v>#REF!</v>
      </c>
      <c r="AS1518" s="7">
        <f ca="1"/>
        <v>1.3946242806491955</v>
      </c>
      <c r="AT1518" s="7" t="e">
        <f ca="1"/>
        <v>#REF!</v>
      </c>
      <c r="AU1518" s="7" t="e">
        <f ca="1"/>
        <v>#REF!</v>
      </c>
      <c r="AV1518" s="7" t="e">
        <f ca="1"/>
        <v>#REF!</v>
      </c>
    </row>
    <row r="1519" spans="37:48" x14ac:dyDescent="0.25">
      <c r="AK1519" t="str">
        <f ca="1"/>
        <v>Obs. 2673</v>
      </c>
      <c r="AL1519" s="7">
        <f ca="1"/>
        <v>74.7</v>
      </c>
      <c r="AN1519" s="7" t="e">
        <f ca="1"/>
        <v>#REF!</v>
      </c>
      <c r="AO1519" s="7" t="e">
        <f ca="1"/>
        <v>#REF!</v>
      </c>
      <c r="AP1519" s="7">
        <f ca="1"/>
        <v>6.5362216667617823E-2</v>
      </c>
      <c r="AQ1519" s="7" t="e">
        <f ca="1"/>
        <v>#REF!</v>
      </c>
      <c r="AR1519" s="7" t="e">
        <f ca="1"/>
        <v>#REF!</v>
      </c>
      <c r="AS1519" s="7">
        <f ca="1"/>
        <v>1.3946242806491955</v>
      </c>
      <c r="AT1519" s="7" t="e">
        <f ca="1"/>
        <v>#REF!</v>
      </c>
      <c r="AU1519" s="7" t="e">
        <f ca="1"/>
        <v>#REF!</v>
      </c>
      <c r="AV1519" s="7" t="e">
        <f ca="1"/>
        <v>#REF!</v>
      </c>
    </row>
    <row r="1520" spans="37:48" x14ac:dyDescent="0.25">
      <c r="AK1520" t="str">
        <f ca="1"/>
        <v>Obs. 2674</v>
      </c>
      <c r="AL1520" s="7">
        <f ca="1"/>
        <v>74.599999999999994</v>
      </c>
      <c r="AN1520" s="7" t="e">
        <f ca="1"/>
        <v>#REF!</v>
      </c>
      <c r="AO1520" s="7" t="e">
        <f ca="1"/>
        <v>#REF!</v>
      </c>
      <c r="AP1520" s="7">
        <f ca="1"/>
        <v>6.5361616020416374E-2</v>
      </c>
      <c r="AQ1520" s="7" t="e">
        <f ca="1"/>
        <v>#REF!</v>
      </c>
      <c r="AR1520" s="7" t="e">
        <f ca="1"/>
        <v>#REF!</v>
      </c>
      <c r="AS1520" s="7">
        <f ca="1"/>
        <v>1.3946242806491955</v>
      </c>
      <c r="AT1520" s="7" t="e">
        <f ca="1"/>
        <v>#REF!</v>
      </c>
      <c r="AU1520" s="7" t="e">
        <f ca="1"/>
        <v>#REF!</v>
      </c>
      <c r="AV1520" s="7" t="e">
        <f ca="1"/>
        <v>#REF!</v>
      </c>
    </row>
    <row r="1521" spans="37:48" x14ac:dyDescent="0.25">
      <c r="AK1521" t="str">
        <f ca="1"/>
        <v>Obs. 2675</v>
      </c>
      <c r="AL1521" s="7">
        <f ca="1"/>
        <v>74.400000000000006</v>
      </c>
      <c r="AN1521" s="7" t="e">
        <f ca="1"/>
        <v>#REF!</v>
      </c>
      <c r="AO1521" s="7" t="e">
        <f ca="1"/>
        <v>#REF!</v>
      </c>
      <c r="AP1521" s="7">
        <f ca="1"/>
        <v>6.548961598181334E-2</v>
      </c>
      <c r="AQ1521" s="7" t="e">
        <f ca="1"/>
        <v>#REF!</v>
      </c>
      <c r="AR1521" s="7" t="e">
        <f ca="1"/>
        <v>#REF!</v>
      </c>
      <c r="AS1521" s="7">
        <f ca="1"/>
        <v>1.3946242806491955</v>
      </c>
      <c r="AT1521" s="7" t="e">
        <f ca="1"/>
        <v>#REF!</v>
      </c>
      <c r="AU1521" s="7" t="e">
        <f ca="1"/>
        <v>#REF!</v>
      </c>
      <c r="AV1521" s="7" t="e">
        <f ca="1"/>
        <v>#REF!</v>
      </c>
    </row>
    <row r="1522" spans="37:48" x14ac:dyDescent="0.25">
      <c r="AK1522" t="str">
        <f ca="1"/>
        <v>Obs. 2676</v>
      </c>
      <c r="AL1522" s="7">
        <f ca="1"/>
        <v>74.2</v>
      </c>
      <c r="AN1522" s="7" t="e">
        <f ca="1"/>
        <v>#REF!</v>
      </c>
      <c r="AO1522" s="7" t="e">
        <f ca="1"/>
        <v>#REF!</v>
      </c>
      <c r="AP1522" s="7">
        <f ca="1"/>
        <v>6.5257662253325563E-2</v>
      </c>
      <c r="AQ1522" s="7" t="e">
        <f ca="1"/>
        <v>#REF!</v>
      </c>
      <c r="AR1522" s="7" t="e">
        <f ca="1"/>
        <v>#REF!</v>
      </c>
      <c r="AS1522" s="7">
        <f ca="1"/>
        <v>1.3946242806491955</v>
      </c>
      <c r="AT1522" s="7" t="e">
        <f ca="1"/>
        <v>#REF!</v>
      </c>
      <c r="AU1522" s="7" t="e">
        <f ca="1"/>
        <v>#REF!</v>
      </c>
      <c r="AV1522" s="7" t="e">
        <f ca="1"/>
        <v>#REF!</v>
      </c>
    </row>
    <row r="1523" spans="37:48" x14ac:dyDescent="0.25">
      <c r="AK1523" t="str">
        <f ca="1"/>
        <v>Obs. 2677</v>
      </c>
      <c r="AL1523" s="7">
        <f ca="1"/>
        <v>74</v>
      </c>
      <c r="AN1523" s="7" t="e">
        <f ca="1"/>
        <v>#REF!</v>
      </c>
      <c r="AO1523" s="7" t="e">
        <f ca="1"/>
        <v>#REF!</v>
      </c>
      <c r="AP1523" s="7">
        <f ca="1"/>
        <v>6.5581686768537137E-2</v>
      </c>
      <c r="AQ1523" s="7" t="e">
        <f ca="1"/>
        <v>#REF!</v>
      </c>
      <c r="AR1523" s="7" t="e">
        <f ca="1"/>
        <v>#REF!</v>
      </c>
      <c r="AS1523" s="7">
        <f ca="1"/>
        <v>1.4191611772342045</v>
      </c>
      <c r="AT1523" s="7" t="e">
        <f ca="1"/>
        <v>#REF!</v>
      </c>
      <c r="AU1523" s="7" t="e">
        <f ca="1"/>
        <v>#REF!</v>
      </c>
      <c r="AV1523" s="7" t="e">
        <f ca="1"/>
        <v>#REF!</v>
      </c>
    </row>
    <row r="1524" spans="37:48" x14ac:dyDescent="0.25">
      <c r="AK1524" t="str">
        <f ca="1"/>
        <v>Obs. 2678</v>
      </c>
      <c r="AL1524" s="7">
        <f ca="1"/>
        <v>73.7</v>
      </c>
      <c r="AN1524" s="7" t="e">
        <f ca="1"/>
        <v>#REF!</v>
      </c>
      <c r="AO1524" s="7" t="e">
        <f ca="1"/>
        <v>#REF!</v>
      </c>
      <c r="AP1524" s="7">
        <f ca="1"/>
        <v>7.2534548263076246E-2</v>
      </c>
      <c r="AQ1524" s="7" t="e">
        <f ca="1"/>
        <v>#REF!</v>
      </c>
      <c r="AR1524" s="7" t="e">
        <f ca="1"/>
        <v>#REF!</v>
      </c>
      <c r="AS1524" s="7">
        <f ca="1"/>
        <v>1.4191611772342045</v>
      </c>
      <c r="AT1524" s="7" t="e">
        <f ca="1"/>
        <v>#REF!</v>
      </c>
      <c r="AU1524" s="7" t="e">
        <f ca="1"/>
        <v>#REF!</v>
      </c>
      <c r="AV1524" s="7" t="e">
        <f ca="1"/>
        <v>#REF!</v>
      </c>
    </row>
    <row r="1525" spans="37:48" x14ac:dyDescent="0.25">
      <c r="AK1525" t="str">
        <f ca="1"/>
        <v>Obs. 2679</v>
      </c>
      <c r="AL1525" s="7">
        <f ca="1"/>
        <v>73.5</v>
      </c>
      <c r="AN1525" s="7" t="e">
        <f ca="1"/>
        <v>#REF!</v>
      </c>
      <c r="AO1525" s="7" t="e">
        <f ca="1"/>
        <v>#REF!</v>
      </c>
      <c r="AP1525" s="7">
        <f ca="1"/>
        <v>6.6262766108971E-2</v>
      </c>
      <c r="AQ1525" s="7" t="e">
        <f ca="1"/>
        <v>#REF!</v>
      </c>
      <c r="AR1525" s="7" t="e">
        <f ca="1"/>
        <v>#REF!</v>
      </c>
      <c r="AS1525" s="7">
        <f ca="1"/>
        <v>1.4191611772342045</v>
      </c>
      <c r="AT1525" s="7" t="e">
        <f ca="1"/>
        <v>#REF!</v>
      </c>
      <c r="AU1525" s="7" t="e">
        <f ca="1"/>
        <v>#REF!</v>
      </c>
      <c r="AV1525" s="7" t="e">
        <f ca="1"/>
        <v>#REF!</v>
      </c>
    </row>
    <row r="1526" spans="37:48" x14ac:dyDescent="0.25">
      <c r="AK1526" t="str">
        <f ca="1"/>
        <v>Obs. 2680</v>
      </c>
      <c r="AL1526" s="7">
        <f ca="1"/>
        <v>73.2</v>
      </c>
      <c r="AN1526" s="7" t="e">
        <f ca="1"/>
        <v>#REF!</v>
      </c>
      <c r="AO1526" s="7" t="e">
        <f ca="1"/>
        <v>#REF!</v>
      </c>
      <c r="AP1526" s="7">
        <f ca="1"/>
        <v>6.7057120798739919E-2</v>
      </c>
      <c r="AQ1526" s="7" t="e">
        <f ca="1"/>
        <v>#REF!</v>
      </c>
      <c r="AR1526" s="7" t="e">
        <f ca="1"/>
        <v>#REF!</v>
      </c>
      <c r="AS1526" s="7">
        <f ca="1"/>
        <v>1.4191611772342045</v>
      </c>
      <c r="AT1526" s="7" t="e">
        <f ca="1"/>
        <v>#REF!</v>
      </c>
      <c r="AU1526" s="7" t="e">
        <f ca="1"/>
        <v>#REF!</v>
      </c>
      <c r="AV1526" s="7" t="e">
        <f ca="1"/>
        <v>#REF!</v>
      </c>
    </row>
    <row r="1527" spans="37:48" x14ac:dyDescent="0.25">
      <c r="AK1527" t="str">
        <f ca="1"/>
        <v>Obs. 2681</v>
      </c>
      <c r="AL1527" s="7">
        <f ca="1"/>
        <v>72.900000000000006</v>
      </c>
      <c r="AN1527" s="7" t="e">
        <f ca="1"/>
        <v>#REF!</v>
      </c>
      <c r="AO1527" s="7" t="e">
        <f ca="1"/>
        <v>#REF!</v>
      </c>
      <c r="AP1527" s="7">
        <f ca="1"/>
        <v>6.8601749599490683E-2</v>
      </c>
      <c r="AQ1527" s="7" t="e">
        <f ca="1"/>
        <v>#REF!</v>
      </c>
      <c r="AR1527" s="7" t="e">
        <f ca="1"/>
        <v>#REF!</v>
      </c>
      <c r="AS1527" s="7">
        <f ca="1"/>
        <v>1.4191611772342045</v>
      </c>
      <c r="AT1527" s="7" t="e">
        <f ca="1"/>
        <v>#REF!</v>
      </c>
      <c r="AU1527" s="7" t="e">
        <f ca="1"/>
        <v>#REF!</v>
      </c>
      <c r="AV1527" s="7" t="e">
        <f ca="1"/>
        <v>#REF!</v>
      </c>
    </row>
    <row r="1528" spans="37:48" x14ac:dyDescent="0.25">
      <c r="AK1528" t="str">
        <f ca="1"/>
        <v>Obs. 2683</v>
      </c>
      <c r="AL1528" s="7">
        <f ca="1"/>
        <v>75.5</v>
      </c>
      <c r="AN1528" s="7" t="e">
        <f ca="1"/>
        <v>#REF!</v>
      </c>
      <c r="AO1528" s="7" t="e">
        <f ca="1"/>
        <v>#REF!</v>
      </c>
      <c r="AP1528" s="7">
        <f ca="1"/>
        <v>7.8471831202077957E-2</v>
      </c>
      <c r="AQ1528" s="7" t="e">
        <f ca="1"/>
        <v>#REF!</v>
      </c>
      <c r="AR1528" s="7" t="e">
        <f ca="1"/>
        <v>#REF!</v>
      </c>
      <c r="AS1528" s="7">
        <f ca="1"/>
        <v>1.4191611772342045</v>
      </c>
      <c r="AT1528" s="7" t="e">
        <f ca="1"/>
        <v>#REF!</v>
      </c>
      <c r="AU1528" s="7" t="e">
        <f ca="1"/>
        <v>#REF!</v>
      </c>
      <c r="AV1528" s="7" t="e">
        <f ca="1"/>
        <v>#REF!</v>
      </c>
    </row>
    <row r="1529" spans="37:48" x14ac:dyDescent="0.25">
      <c r="AK1529" t="str">
        <f ca="1"/>
        <v>Obs. 2684</v>
      </c>
      <c r="AL1529" s="7">
        <f ca="1"/>
        <v>75.2</v>
      </c>
      <c r="AN1529" s="7" t="e">
        <f ca="1"/>
        <v>#REF!</v>
      </c>
      <c r="AO1529" s="7" t="e">
        <f ca="1"/>
        <v>#REF!</v>
      </c>
      <c r="AP1529" s="7">
        <f ca="1"/>
        <v>7.9729672959988951E-2</v>
      </c>
      <c r="AQ1529" s="7" t="e">
        <f ca="1"/>
        <v>#REF!</v>
      </c>
      <c r="AR1529" s="7" t="e">
        <f ca="1"/>
        <v>#REF!</v>
      </c>
      <c r="AS1529" s="7">
        <f ca="1"/>
        <v>1.4191611772342045</v>
      </c>
      <c r="AT1529" s="7" t="e">
        <f ca="1"/>
        <v>#REF!</v>
      </c>
      <c r="AU1529" s="7" t="e">
        <f ca="1"/>
        <v>#REF!</v>
      </c>
      <c r="AV1529" s="7" t="e">
        <f ca="1"/>
        <v>#REF!</v>
      </c>
    </row>
    <row r="1530" spans="37:48" x14ac:dyDescent="0.25">
      <c r="AK1530" t="str">
        <f ca="1"/>
        <v>Obs. 2685</v>
      </c>
      <c r="AL1530" s="7">
        <f ca="1"/>
        <v>74.8</v>
      </c>
      <c r="AN1530" s="7" t="e">
        <f ca="1"/>
        <v>#REF!</v>
      </c>
      <c r="AO1530" s="7" t="e">
        <f ca="1"/>
        <v>#REF!</v>
      </c>
      <c r="AP1530" s="7">
        <f ca="1"/>
        <v>7.0778470692744982E-2</v>
      </c>
      <c r="AQ1530" s="7" t="e">
        <f ca="1"/>
        <v>#REF!</v>
      </c>
      <c r="AR1530" s="7" t="e">
        <f ca="1"/>
        <v>#REF!</v>
      </c>
      <c r="AS1530" s="7">
        <f ca="1"/>
        <v>1.4191611772342045</v>
      </c>
      <c r="AT1530" s="7" t="e">
        <f ca="1"/>
        <v>#REF!</v>
      </c>
      <c r="AU1530" s="7" t="e">
        <f ca="1"/>
        <v>#REF!</v>
      </c>
      <c r="AV1530" s="7" t="e">
        <f ca="1"/>
        <v>#REF!</v>
      </c>
    </row>
    <row r="1531" spans="37:48" x14ac:dyDescent="0.25">
      <c r="AK1531" t="str">
        <f ca="1"/>
        <v>Obs. 2686</v>
      </c>
      <c r="AL1531" s="7">
        <f ca="1"/>
        <v>74.5</v>
      </c>
      <c r="AN1531" s="7" t="e">
        <f ca="1"/>
        <v>#REF!</v>
      </c>
      <c r="AO1531" s="7" t="e">
        <f ca="1"/>
        <v>#REF!</v>
      </c>
      <c r="AP1531" s="7">
        <f ca="1"/>
        <v>6.8365433830370387E-2</v>
      </c>
      <c r="AQ1531" s="7" t="e">
        <f ca="1"/>
        <v>#REF!</v>
      </c>
      <c r="AR1531" s="7" t="e">
        <f ca="1"/>
        <v>#REF!</v>
      </c>
      <c r="AS1531" s="7">
        <f ca="1"/>
        <v>1.4191611772342045</v>
      </c>
      <c r="AT1531" s="7" t="e">
        <f ca="1"/>
        <v>#REF!</v>
      </c>
      <c r="AU1531" s="7" t="e">
        <f ca="1"/>
        <v>#REF!</v>
      </c>
      <c r="AV1531" s="7" t="e">
        <f ca="1"/>
        <v>#REF!</v>
      </c>
    </row>
    <row r="1532" spans="37:48" x14ac:dyDescent="0.25">
      <c r="AK1532" t="str">
        <f ca="1"/>
        <v>Obs. 2687</v>
      </c>
      <c r="AL1532" s="7">
        <f ca="1"/>
        <v>74.2</v>
      </c>
      <c r="AN1532" s="7" t="e">
        <f ca="1"/>
        <v>#REF!</v>
      </c>
      <c r="AO1532" s="7" t="e">
        <f ca="1"/>
        <v>#REF!</v>
      </c>
      <c r="AP1532" s="7">
        <f ca="1"/>
        <v>6.7702031237927091E-2</v>
      </c>
      <c r="AQ1532" s="7" t="e">
        <f ca="1"/>
        <v>#REF!</v>
      </c>
      <c r="AR1532" s="7" t="e">
        <f ca="1"/>
        <v>#REF!</v>
      </c>
      <c r="AS1532" s="7">
        <f ca="1"/>
        <v>1.4576525936309466</v>
      </c>
      <c r="AT1532" s="7" t="e">
        <f ca="1"/>
        <v>#REF!</v>
      </c>
      <c r="AU1532" s="7" t="e">
        <f ca="1"/>
        <v>#REF!</v>
      </c>
      <c r="AV1532" s="7" t="e">
        <f ca="1"/>
        <v>#REF!</v>
      </c>
    </row>
    <row r="1533" spans="37:48" x14ac:dyDescent="0.25">
      <c r="AK1533" t="str">
        <f ca="1"/>
        <v>Obs. 2688</v>
      </c>
      <c r="AL1533" s="7">
        <f ca="1"/>
        <v>73.900000000000006</v>
      </c>
      <c r="AN1533" s="7" t="e">
        <f ca="1"/>
        <v>#REF!</v>
      </c>
      <c r="AO1533" s="7" t="e">
        <f ca="1"/>
        <v>#REF!</v>
      </c>
      <c r="AP1533" s="7">
        <f ca="1"/>
        <v>6.807112916396775E-2</v>
      </c>
      <c r="AQ1533" s="7" t="e">
        <f ca="1"/>
        <v>#REF!</v>
      </c>
      <c r="AR1533" s="7" t="e">
        <f ca="1"/>
        <v>#REF!</v>
      </c>
      <c r="AS1533" s="7">
        <f ca="1"/>
        <v>1.4576525936309466</v>
      </c>
      <c r="AT1533" s="7" t="e">
        <f ca="1"/>
        <v>#REF!</v>
      </c>
      <c r="AU1533" s="7" t="e">
        <f ca="1"/>
        <v>#REF!</v>
      </c>
      <c r="AV1533" s="7" t="e">
        <f ca="1"/>
        <v>#REF!</v>
      </c>
    </row>
    <row r="1534" spans="37:48" x14ac:dyDescent="0.25">
      <c r="AK1534" t="str">
        <f ca="1"/>
        <v>Obs. 2689</v>
      </c>
      <c r="AL1534" s="7">
        <f ca="1"/>
        <v>73.5</v>
      </c>
      <c r="AN1534" s="7" t="e">
        <f ca="1"/>
        <v>#REF!</v>
      </c>
      <c r="AO1534" s="7" t="e">
        <f ca="1"/>
        <v>#REF!</v>
      </c>
      <c r="AP1534" s="7">
        <f ca="1"/>
        <v>7.7638482247893992E-2</v>
      </c>
      <c r="AQ1534" s="7" t="e">
        <f ca="1"/>
        <v>#REF!</v>
      </c>
      <c r="AR1534" s="7" t="e">
        <f ca="1"/>
        <v>#REF!</v>
      </c>
      <c r="AS1534" s="7">
        <f ca="1"/>
        <v>1.4576525936309466</v>
      </c>
      <c r="AT1534" s="7" t="e">
        <f ca="1"/>
        <v>#REF!</v>
      </c>
      <c r="AU1534" s="7" t="e">
        <f ca="1"/>
        <v>#REF!</v>
      </c>
      <c r="AV1534" s="7" t="e">
        <f ca="1"/>
        <v>#REF!</v>
      </c>
    </row>
    <row r="1535" spans="37:48" x14ac:dyDescent="0.25">
      <c r="AK1535" t="str">
        <f ca="1"/>
        <v>Obs. 2690</v>
      </c>
      <c r="AL1535" s="7">
        <f ca="1"/>
        <v>73.2</v>
      </c>
      <c r="AN1535" s="7" t="e">
        <f ca="1"/>
        <v>#REF!</v>
      </c>
      <c r="AO1535" s="7" t="e">
        <f ca="1"/>
        <v>#REF!</v>
      </c>
      <c r="AP1535" s="7">
        <f ca="1"/>
        <v>6.767289616521252E-2</v>
      </c>
      <c r="AQ1535" s="7" t="e">
        <f ca="1"/>
        <v>#REF!</v>
      </c>
      <c r="AR1535" s="7" t="e">
        <f ca="1"/>
        <v>#REF!</v>
      </c>
      <c r="AS1535" s="7">
        <f ca="1"/>
        <v>1.4576525936309466</v>
      </c>
      <c r="AT1535" s="7" t="e">
        <f ca="1"/>
        <v>#REF!</v>
      </c>
      <c r="AU1535" s="7" t="e">
        <f ca="1"/>
        <v>#REF!</v>
      </c>
      <c r="AV1535" s="7" t="e">
        <f ca="1"/>
        <v>#REF!</v>
      </c>
    </row>
    <row r="1536" spans="37:48" x14ac:dyDescent="0.25">
      <c r="AK1536" t="str">
        <f ca="1"/>
        <v>Obs. 2691</v>
      </c>
      <c r="AL1536" s="7">
        <f ca="1"/>
        <v>72.8</v>
      </c>
      <c r="AN1536" s="7" t="e">
        <f ca="1"/>
        <v>#REF!</v>
      </c>
      <c r="AO1536" s="7" t="e">
        <f ca="1"/>
        <v>#REF!</v>
      </c>
      <c r="AP1536" s="7">
        <f ca="1"/>
        <v>8.4998735995299224E-2</v>
      </c>
      <c r="AQ1536" s="7" t="e">
        <f ca="1"/>
        <v>#REF!</v>
      </c>
      <c r="AR1536" s="7" t="e">
        <f ca="1"/>
        <v>#REF!</v>
      </c>
      <c r="AS1536" s="7">
        <f ca="1"/>
        <v>1.4576525936309466</v>
      </c>
      <c r="AT1536" s="7" t="e">
        <f ca="1"/>
        <v>#REF!</v>
      </c>
      <c r="AU1536" s="7" t="e">
        <f ca="1"/>
        <v>#REF!</v>
      </c>
      <c r="AV1536" s="7" t="e">
        <f ca="1"/>
        <v>#REF!</v>
      </c>
    </row>
    <row r="1537" spans="37:48" x14ac:dyDescent="0.25">
      <c r="AK1537" t="str">
        <f ca="1"/>
        <v>Obs. 2692</v>
      </c>
      <c r="AL1537" s="7">
        <f ca="1"/>
        <v>72.400000000000006</v>
      </c>
      <c r="AN1537" s="7" t="e">
        <f ca="1"/>
        <v>#REF!</v>
      </c>
      <c r="AO1537" s="7" t="e">
        <f ca="1"/>
        <v>#REF!</v>
      </c>
      <c r="AP1537" s="7">
        <f ca="1"/>
        <v>8.4664042868803774E-2</v>
      </c>
      <c r="AQ1537" s="7" t="e">
        <f ca="1"/>
        <v>#REF!</v>
      </c>
      <c r="AR1537" s="7" t="e">
        <f ca="1"/>
        <v>#REF!</v>
      </c>
      <c r="AS1537" s="7">
        <f ca="1"/>
        <v>1.4576525936309466</v>
      </c>
      <c r="AT1537" s="7" t="e">
        <f ca="1"/>
        <v>#REF!</v>
      </c>
      <c r="AU1537" s="7" t="e">
        <f ca="1"/>
        <v>#REF!</v>
      </c>
      <c r="AV1537" s="7" t="e">
        <f ca="1"/>
        <v>#REF!</v>
      </c>
    </row>
    <row r="1538" spans="37:48" x14ac:dyDescent="0.25">
      <c r="AK1538" t="str">
        <f ca="1"/>
        <v>Obs. 2693</v>
      </c>
      <c r="AL1538" s="7">
        <f ca="1"/>
        <v>72</v>
      </c>
      <c r="AN1538" s="7" t="e">
        <f ca="1"/>
        <v>#REF!</v>
      </c>
      <c r="AO1538" s="7" t="e">
        <f ca="1"/>
        <v>#REF!</v>
      </c>
      <c r="AP1538" s="7">
        <f ca="1"/>
        <v>6.6715659336358452E-2</v>
      </c>
      <c r="AQ1538" s="7" t="e">
        <f ca="1"/>
        <v>#REF!</v>
      </c>
      <c r="AR1538" s="7" t="e">
        <f ca="1"/>
        <v>#REF!</v>
      </c>
      <c r="AS1538" s="7">
        <f ca="1"/>
        <v>1.4576525936309466</v>
      </c>
      <c r="AT1538" s="7" t="e">
        <f ca="1"/>
        <v>#REF!</v>
      </c>
      <c r="AU1538" s="7" t="e">
        <f ca="1"/>
        <v>#REF!</v>
      </c>
      <c r="AV1538" s="7" t="e">
        <f ca="1"/>
        <v>#REF!</v>
      </c>
    </row>
    <row r="1539" spans="37:48" x14ac:dyDescent="0.25">
      <c r="AK1539" t="str">
        <f ca="1"/>
        <v>Obs. 2694</v>
      </c>
      <c r="AL1539" s="7">
        <f ca="1"/>
        <v>71.599999999999994</v>
      </c>
      <c r="AN1539" s="7" t="e">
        <f ca="1"/>
        <v>#REF!</v>
      </c>
      <c r="AO1539" s="7" t="e">
        <f ca="1"/>
        <v>#REF!</v>
      </c>
      <c r="AP1539" s="7">
        <f ca="1"/>
        <v>6.6455463183745636E-2</v>
      </c>
      <c r="AQ1539" s="7" t="e">
        <f ca="1"/>
        <v>#REF!</v>
      </c>
      <c r="AR1539" s="7" t="e">
        <f ca="1"/>
        <v>#REF!</v>
      </c>
      <c r="AS1539" s="7">
        <f ca="1"/>
        <v>1.4576525936309466</v>
      </c>
      <c r="AT1539" s="7" t="e">
        <f ca="1"/>
        <v>#REF!</v>
      </c>
      <c r="AU1539" s="7" t="e">
        <f ca="1"/>
        <v>#REF!</v>
      </c>
      <c r="AV1539" s="7" t="e">
        <f ca="1"/>
        <v>#REF!</v>
      </c>
    </row>
    <row r="1540" spans="37:48" x14ac:dyDescent="0.25">
      <c r="AK1540" t="str">
        <f ca="1"/>
        <v>Obs. 2695</v>
      </c>
      <c r="AL1540" s="7">
        <f ca="1"/>
        <v>71.2</v>
      </c>
      <c r="AN1540" s="7" t="e">
        <f ca="1"/>
        <v>#REF!</v>
      </c>
      <c r="AO1540" s="7" t="e">
        <f ca="1"/>
        <v>#REF!</v>
      </c>
      <c r="AP1540" s="7">
        <f ca="1"/>
        <v>6.7147211562796072E-2</v>
      </c>
      <c r="AQ1540" s="7" t="e">
        <f ca="1"/>
        <v>#REF!</v>
      </c>
      <c r="AR1540" s="7" t="e">
        <f ca="1"/>
        <v>#REF!</v>
      </c>
      <c r="AS1540" s="7">
        <f ca="1"/>
        <v>1.4576525936309466</v>
      </c>
      <c r="AT1540" s="7" t="e">
        <f ca="1"/>
        <v>#REF!</v>
      </c>
      <c r="AU1540" s="7" t="e">
        <f ca="1"/>
        <v>#REF!</v>
      </c>
      <c r="AV1540" s="7" t="e">
        <f ca="1"/>
        <v>#REF!</v>
      </c>
    </row>
    <row r="1541" spans="37:48" x14ac:dyDescent="0.25">
      <c r="AK1541" t="str">
        <f ca="1"/>
        <v>Obs. 2696</v>
      </c>
      <c r="AL1541" s="7">
        <f ca="1"/>
        <v>78</v>
      </c>
      <c r="AN1541" s="7" t="e">
        <f ca="1"/>
        <v>#REF!</v>
      </c>
      <c r="AO1541" s="7" t="e">
        <f ca="1"/>
        <v>#REF!</v>
      </c>
      <c r="AP1541" s="7">
        <f ca="1"/>
        <v>7.6883600548976999E-2</v>
      </c>
      <c r="AQ1541" s="7" t="e">
        <f ca="1"/>
        <v>#REF!</v>
      </c>
      <c r="AR1541" s="7" t="e">
        <f ca="1"/>
        <v>#REF!</v>
      </c>
      <c r="AS1541" s="7">
        <f ca="1"/>
        <v>1.4576525936309466</v>
      </c>
      <c r="AT1541" s="7" t="e">
        <f ca="1"/>
        <v>#REF!</v>
      </c>
      <c r="AU1541" s="7" t="e">
        <f ca="1"/>
        <v>#REF!</v>
      </c>
      <c r="AV1541" s="7" t="e">
        <f ca="1"/>
        <v>#REF!</v>
      </c>
    </row>
    <row r="1542" spans="37:48" x14ac:dyDescent="0.25">
      <c r="AK1542" t="str">
        <f ca="1"/>
        <v>Obs. 2697</v>
      </c>
      <c r="AL1542" s="7">
        <f ca="1"/>
        <v>74</v>
      </c>
      <c r="AN1542" s="7" t="e">
        <f ca="1"/>
        <v>#REF!</v>
      </c>
      <c r="AO1542" s="7" t="e">
        <f ca="1"/>
        <v>#REF!</v>
      </c>
      <c r="AP1542" s="7">
        <f ca="1"/>
        <v>7.1081135477707322E-2</v>
      </c>
      <c r="AQ1542" s="7" t="e">
        <f ca="1"/>
        <v>#REF!</v>
      </c>
      <c r="AR1542" s="7" t="e">
        <f ca="1"/>
        <v>#REF!</v>
      </c>
      <c r="AS1542" s="7">
        <f ca="1"/>
        <v>1.4576525936309466</v>
      </c>
      <c r="AT1542" s="7" t="e">
        <f ca="1"/>
        <v>#REF!</v>
      </c>
      <c r="AU1542" s="7" t="e">
        <f ca="1"/>
        <v>#REF!</v>
      </c>
      <c r="AV1542" s="7" t="e">
        <f ca="1"/>
        <v>#REF!</v>
      </c>
    </row>
    <row r="1543" spans="37:48" x14ac:dyDescent="0.25">
      <c r="AK1543" t="str">
        <f ca="1"/>
        <v>Obs. 2699</v>
      </c>
      <c r="AL1543" s="7">
        <f ca="1"/>
        <v>66</v>
      </c>
      <c r="AN1543" s="7" t="e">
        <f ca="1"/>
        <v>#REF!</v>
      </c>
      <c r="AO1543" s="7" t="e">
        <f ca="1"/>
        <v>#REF!</v>
      </c>
      <c r="AP1543" s="7">
        <f ca="1"/>
        <v>0.1006555020253517</v>
      </c>
      <c r="AQ1543" s="7" t="e">
        <f ca="1"/>
        <v>#REF!</v>
      </c>
      <c r="AR1543" s="7" t="e">
        <f ca="1"/>
        <v>#REF!</v>
      </c>
      <c r="AS1543" s="7">
        <f ca="1"/>
        <v>1.4576525936309466</v>
      </c>
      <c r="AT1543" s="7" t="e">
        <f ca="1"/>
        <v>#REF!</v>
      </c>
      <c r="AU1543" s="7" t="e">
        <f ca="1"/>
        <v>#REF!</v>
      </c>
      <c r="AV1543" s="7" t="e">
        <f ca="1"/>
        <v>#REF!</v>
      </c>
    </row>
    <row r="1544" spans="37:48" x14ac:dyDescent="0.25">
      <c r="AK1544" t="str">
        <f ca="1"/>
        <v>Obs. 2700</v>
      </c>
      <c r="AL1544" s="7">
        <f ca="1"/>
        <v>65.400000000000006</v>
      </c>
      <c r="AN1544" s="7" t="e">
        <f ca="1"/>
        <v>#REF!</v>
      </c>
      <c r="AO1544" s="7" t="e">
        <f ca="1"/>
        <v>#REF!</v>
      </c>
      <c r="AP1544" s="7">
        <f ca="1"/>
        <v>0.10025486422725979</v>
      </c>
      <c r="AQ1544" s="7" t="e">
        <f ca="1"/>
        <v>#REF!</v>
      </c>
      <c r="AR1544" s="7" t="e">
        <f ca="1"/>
        <v>#REF!</v>
      </c>
      <c r="AS1544" s="7">
        <f ca="1"/>
        <v>1.4576525936309466</v>
      </c>
      <c r="AT1544" s="7" t="e">
        <f ca="1"/>
        <v>#REF!</v>
      </c>
      <c r="AU1544" s="7" t="e">
        <f ca="1"/>
        <v>#REF!</v>
      </c>
      <c r="AV1544" s="7" t="e">
        <f ca="1"/>
        <v>#REF!</v>
      </c>
    </row>
    <row r="1545" spans="37:48" x14ac:dyDescent="0.25">
      <c r="AK1545" t="str">
        <f ca="1"/>
        <v>Obs. 2701</v>
      </c>
      <c r="AL1545" s="7">
        <f ca="1"/>
        <v>65.599999999999994</v>
      </c>
      <c r="AN1545" s="7" t="e">
        <f ca="1"/>
        <v>#REF!</v>
      </c>
      <c r="AO1545" s="7" t="e">
        <f ca="1"/>
        <v>#REF!</v>
      </c>
      <c r="AP1545" s="7">
        <f ca="1"/>
        <v>0.10350714210302536</v>
      </c>
      <c r="AQ1545" s="7" t="e">
        <f ca="1"/>
        <v>#REF!</v>
      </c>
      <c r="AR1545" s="7" t="e">
        <f ca="1"/>
        <v>#REF!</v>
      </c>
      <c r="AS1545" s="7">
        <f ca="1"/>
        <v>1.4576525936309466</v>
      </c>
      <c r="AT1545" s="7" t="e">
        <f ca="1"/>
        <v>#REF!</v>
      </c>
      <c r="AU1545" s="7" t="e">
        <f ca="1"/>
        <v>#REF!</v>
      </c>
      <c r="AV1545" s="7" t="e">
        <f ca="1"/>
        <v>#REF!</v>
      </c>
    </row>
    <row r="1546" spans="37:48" x14ac:dyDescent="0.25">
      <c r="AK1546" t="str">
        <f ca="1"/>
        <v>Obs. 2702</v>
      </c>
      <c r="AL1546" s="7">
        <f ca="1"/>
        <v>65.599999999999994</v>
      </c>
      <c r="AN1546" s="7" t="e">
        <f ca="1"/>
        <v>#REF!</v>
      </c>
      <c r="AO1546" s="7" t="e">
        <f ca="1"/>
        <v>#REF!</v>
      </c>
      <c r="AP1546" s="7">
        <f ca="1"/>
        <v>0.10010779607724976</v>
      </c>
      <c r="AQ1546" s="7" t="e">
        <f ca="1"/>
        <v>#REF!</v>
      </c>
      <c r="AR1546" s="7" t="e">
        <f ca="1"/>
        <v>#REF!</v>
      </c>
      <c r="AS1546" s="7">
        <f ca="1"/>
        <v>1.5222105313262397</v>
      </c>
      <c r="AT1546" s="7" t="e">
        <f ca="1"/>
        <v>#REF!</v>
      </c>
      <c r="AU1546" s="7" t="e">
        <f ca="1"/>
        <v>#REF!</v>
      </c>
      <c r="AV1546" s="7" t="e">
        <f ca="1"/>
        <v>#REF!</v>
      </c>
    </row>
    <row r="1547" spans="37:48" x14ac:dyDescent="0.25">
      <c r="AK1547" t="str">
        <f ca="1"/>
        <v>Obs. 2703</v>
      </c>
      <c r="AL1547" s="7">
        <f ca="1"/>
        <v>65.8</v>
      </c>
      <c r="AN1547" s="7" t="e">
        <f ca="1"/>
        <v>#REF!</v>
      </c>
      <c r="AO1547" s="7" t="e">
        <f ca="1"/>
        <v>#REF!</v>
      </c>
      <c r="AP1547" s="7">
        <f ca="1"/>
        <v>8.2978205816319123E-2</v>
      </c>
      <c r="AQ1547" s="7" t="e">
        <f ca="1"/>
        <v>#REF!</v>
      </c>
      <c r="AR1547" s="7" t="e">
        <f ca="1"/>
        <v>#REF!</v>
      </c>
      <c r="AS1547" s="7">
        <f ca="1"/>
        <v>1.5222105313262397</v>
      </c>
      <c r="AT1547" s="7" t="e">
        <f ca="1"/>
        <v>#REF!</v>
      </c>
      <c r="AU1547" s="7" t="e">
        <f ca="1"/>
        <v>#REF!</v>
      </c>
      <c r="AV1547" s="7" t="e">
        <f ca="1"/>
        <v>#REF!</v>
      </c>
    </row>
    <row r="1548" spans="37:48" x14ac:dyDescent="0.25">
      <c r="AK1548" t="str">
        <f ca="1"/>
        <v>Obs. 2704</v>
      </c>
      <c r="AL1548" s="7">
        <f ca="1"/>
        <v>65.599999999999994</v>
      </c>
      <c r="AN1548" s="7" t="e">
        <f ca="1"/>
        <v>#REF!</v>
      </c>
      <c r="AO1548" s="7" t="e">
        <f ca="1"/>
        <v>#REF!</v>
      </c>
      <c r="AP1548" s="7">
        <f ca="1"/>
        <v>8.2397462214401571E-2</v>
      </c>
      <c r="AQ1548" s="7" t="e">
        <f ca="1"/>
        <v>#REF!</v>
      </c>
      <c r="AR1548" s="7" t="e">
        <f ca="1"/>
        <v>#REF!</v>
      </c>
      <c r="AS1548" s="7">
        <f ca="1"/>
        <v>1.5222105313262397</v>
      </c>
      <c r="AT1548" s="7" t="e">
        <f ca="1"/>
        <v>#REF!</v>
      </c>
      <c r="AU1548" s="7" t="e">
        <f ca="1"/>
        <v>#REF!</v>
      </c>
      <c r="AV1548" s="7" t="e">
        <f ca="1"/>
        <v>#REF!</v>
      </c>
    </row>
    <row r="1549" spans="37:48" x14ac:dyDescent="0.25">
      <c r="AK1549" t="str">
        <f ca="1"/>
        <v>Obs. 2705</v>
      </c>
      <c r="AL1549" s="7">
        <f ca="1"/>
        <v>64.5</v>
      </c>
      <c r="AN1549" s="7" t="e">
        <f ca="1"/>
        <v>#REF!</v>
      </c>
      <c r="AO1549" s="7" t="e">
        <f ca="1"/>
        <v>#REF!</v>
      </c>
      <c r="AP1549" s="7">
        <f ca="1"/>
        <v>8.2163217519695297E-2</v>
      </c>
      <c r="AQ1549" s="7" t="e">
        <f ca="1"/>
        <v>#REF!</v>
      </c>
      <c r="AR1549" s="7" t="e">
        <f ca="1"/>
        <v>#REF!</v>
      </c>
      <c r="AS1549" s="7">
        <f ca="1"/>
        <v>1.5222105313262397</v>
      </c>
      <c r="AT1549" s="7" t="e">
        <f ca="1"/>
        <v>#REF!</v>
      </c>
      <c r="AU1549" s="7" t="e">
        <f ca="1"/>
        <v>#REF!</v>
      </c>
      <c r="AV1549" s="7" t="e">
        <f ca="1"/>
        <v>#REF!</v>
      </c>
    </row>
    <row r="1550" spans="37:48" x14ac:dyDescent="0.25">
      <c r="AK1550" t="str">
        <f ca="1"/>
        <v>Obs. 2706</v>
      </c>
      <c r="AL1550" s="7">
        <f ca="1"/>
        <v>64.099999999999994</v>
      </c>
      <c r="AN1550" s="7" t="e">
        <f ca="1"/>
        <v>#REF!</v>
      </c>
      <c r="AO1550" s="7" t="e">
        <f ca="1"/>
        <v>#REF!</v>
      </c>
      <c r="AP1550" s="7">
        <f ca="1"/>
        <v>8.1648054243451257E-2</v>
      </c>
      <c r="AQ1550" s="7" t="e">
        <f ca="1"/>
        <v>#REF!</v>
      </c>
      <c r="AR1550" s="7" t="e">
        <f ca="1"/>
        <v>#REF!</v>
      </c>
      <c r="AS1550" s="7">
        <f ca="1"/>
        <v>1.5222105313262397</v>
      </c>
      <c r="AT1550" s="7" t="e">
        <f ca="1"/>
        <v>#REF!</v>
      </c>
      <c r="AU1550" s="7" t="e">
        <f ca="1"/>
        <v>#REF!</v>
      </c>
      <c r="AV1550" s="7" t="e">
        <f ca="1"/>
        <v>#REF!</v>
      </c>
    </row>
    <row r="1551" spans="37:48" x14ac:dyDescent="0.25">
      <c r="AK1551" t="str">
        <f ca="1"/>
        <v>Obs. 2707</v>
      </c>
      <c r="AL1551" s="7">
        <f ca="1"/>
        <v>63.7</v>
      </c>
      <c r="AN1551" s="7" t="e">
        <f ca="1"/>
        <v>#REF!</v>
      </c>
      <c r="AO1551" s="7" t="e">
        <f ca="1"/>
        <v>#REF!</v>
      </c>
      <c r="AP1551" s="7">
        <f ca="1"/>
        <v>8.1074363359567095E-2</v>
      </c>
      <c r="AQ1551" s="7" t="e">
        <f ca="1"/>
        <v>#REF!</v>
      </c>
      <c r="AR1551" s="7" t="e">
        <f ca="1"/>
        <v>#REF!</v>
      </c>
      <c r="AS1551" s="7">
        <f ca="1"/>
        <v>1.5222105313262397</v>
      </c>
      <c r="AT1551" s="7" t="e">
        <f ca="1"/>
        <v>#REF!</v>
      </c>
      <c r="AU1551" s="7" t="e">
        <f ca="1"/>
        <v>#REF!</v>
      </c>
      <c r="AV1551" s="7" t="e">
        <f ca="1"/>
        <v>#REF!</v>
      </c>
    </row>
    <row r="1552" spans="37:48" x14ac:dyDescent="0.25">
      <c r="AK1552" t="str">
        <f ca="1"/>
        <v>Obs. 2708</v>
      </c>
      <c r="AL1552" s="7">
        <f ca="1"/>
        <v>63.3</v>
      </c>
      <c r="AN1552" s="7" t="e">
        <f ca="1"/>
        <v>#REF!</v>
      </c>
      <c r="AO1552" s="7" t="e">
        <f ca="1"/>
        <v>#REF!</v>
      </c>
      <c r="AP1552" s="7">
        <f ca="1"/>
        <v>8.4311284456190197E-2</v>
      </c>
      <c r="AQ1552" s="7" t="e">
        <f ca="1"/>
        <v>#REF!</v>
      </c>
      <c r="AR1552" s="7" t="e">
        <f ca="1"/>
        <v>#REF!</v>
      </c>
      <c r="AS1552" s="7">
        <f ca="1"/>
        <v>1.5519290565282795</v>
      </c>
      <c r="AT1552" s="7" t="e">
        <f ca="1"/>
        <v>#REF!</v>
      </c>
      <c r="AU1552" s="7" t="e">
        <f ca="1"/>
        <v>#REF!</v>
      </c>
      <c r="AV1552" s="7" t="e">
        <f ca="1"/>
        <v>#REF!</v>
      </c>
    </row>
    <row r="1553" spans="37:48" x14ac:dyDescent="0.25">
      <c r="AK1553" t="str">
        <f ca="1"/>
        <v>Obs. 2709</v>
      </c>
      <c r="AL1553" s="7">
        <f ca="1"/>
        <v>63.5</v>
      </c>
      <c r="AN1553" s="7" t="e">
        <f ca="1"/>
        <v>#REF!</v>
      </c>
      <c r="AO1553" s="7" t="e">
        <f ca="1"/>
        <v>#REF!</v>
      </c>
      <c r="AP1553" s="7">
        <f ca="1"/>
        <v>8.4676440131770808E-2</v>
      </c>
      <c r="AQ1553" s="7" t="e">
        <f ca="1"/>
        <v>#REF!</v>
      </c>
      <c r="AR1553" s="7" t="e">
        <f ca="1"/>
        <v>#REF!</v>
      </c>
      <c r="AS1553" s="7">
        <f ca="1"/>
        <v>1.5519290565282795</v>
      </c>
      <c r="AT1553" s="7" t="e">
        <f ca="1"/>
        <v>#REF!</v>
      </c>
      <c r="AU1553" s="7" t="e">
        <f ca="1"/>
        <v>#REF!</v>
      </c>
      <c r="AV1553" s="7" t="e">
        <f ca="1"/>
        <v>#REF!</v>
      </c>
    </row>
    <row r="1554" spans="37:48" x14ac:dyDescent="0.25">
      <c r="AK1554" t="str">
        <f ca="1"/>
        <v>Obs. 2710</v>
      </c>
      <c r="AL1554" s="7">
        <f ca="1"/>
        <v>63.4</v>
      </c>
      <c r="AN1554" s="7" t="e">
        <f ca="1"/>
        <v>#REF!</v>
      </c>
      <c r="AO1554" s="7" t="e">
        <f ca="1"/>
        <v>#REF!</v>
      </c>
      <c r="AP1554" s="7">
        <f ca="1"/>
        <v>8.3358099411926734E-2</v>
      </c>
      <c r="AQ1554" s="7" t="e">
        <f ca="1"/>
        <v>#REF!</v>
      </c>
      <c r="AR1554" s="7" t="e">
        <f ca="1"/>
        <v>#REF!</v>
      </c>
      <c r="AS1554" s="7">
        <f ca="1"/>
        <v>1.5519290565282795</v>
      </c>
      <c r="AT1554" s="7" t="e">
        <f ca="1"/>
        <v>#REF!</v>
      </c>
      <c r="AU1554" s="7" t="e">
        <f ca="1"/>
        <v>#REF!</v>
      </c>
      <c r="AV1554" s="7" t="e">
        <f ca="1"/>
        <v>#REF!</v>
      </c>
    </row>
    <row r="1555" spans="37:48" x14ac:dyDescent="0.25">
      <c r="AK1555" t="str">
        <f ca="1"/>
        <v>Obs. 2711</v>
      </c>
      <c r="AL1555" s="7">
        <f ca="1"/>
        <v>63.3</v>
      </c>
      <c r="AN1555" s="7" t="e">
        <f ca="1"/>
        <v>#REF!</v>
      </c>
      <c r="AO1555" s="7" t="e">
        <f ca="1"/>
        <v>#REF!</v>
      </c>
      <c r="AP1555" s="7">
        <f ca="1"/>
        <v>8.1392041617399297E-2</v>
      </c>
      <c r="AQ1555" s="7" t="e">
        <f ca="1"/>
        <v>#REF!</v>
      </c>
      <c r="AR1555" s="7" t="e">
        <f ca="1"/>
        <v>#REF!</v>
      </c>
      <c r="AS1555" s="7">
        <f ca="1"/>
        <v>1.5519290565282795</v>
      </c>
      <c r="AT1555" s="7" t="e">
        <f ca="1"/>
        <v>#REF!</v>
      </c>
      <c r="AU1555" s="7" t="e">
        <f ca="1"/>
        <v>#REF!</v>
      </c>
      <c r="AV1555" s="7" t="e">
        <f ca="1"/>
        <v>#REF!</v>
      </c>
    </row>
    <row r="1556" spans="37:48" x14ac:dyDescent="0.25">
      <c r="AK1556" t="str">
        <f ca="1"/>
        <v>Obs. 2716</v>
      </c>
      <c r="AL1556" s="7">
        <f ca="1"/>
        <v>61.5</v>
      </c>
      <c r="AN1556" s="7" t="e">
        <f ca="1"/>
        <v>#REF!</v>
      </c>
      <c r="AO1556" s="7" t="e">
        <f ca="1"/>
        <v>#REF!</v>
      </c>
      <c r="AP1556" s="7">
        <f ca="1"/>
        <v>0.10753508189809147</v>
      </c>
      <c r="AQ1556" s="7" t="e">
        <f ca="1"/>
        <v>#REF!</v>
      </c>
      <c r="AR1556" s="7" t="e">
        <f ca="1"/>
        <v>#REF!</v>
      </c>
      <c r="AS1556" s="7">
        <f ca="1"/>
        <v>1.5725296242490356</v>
      </c>
      <c r="AT1556" s="7" t="e">
        <f ca="1"/>
        <v>#REF!</v>
      </c>
      <c r="AU1556" s="7" t="e">
        <f ca="1"/>
        <v>#REF!</v>
      </c>
      <c r="AV1556" s="7" t="e">
        <f ca="1"/>
        <v>#REF!</v>
      </c>
    </row>
    <row r="1557" spans="37:48" x14ac:dyDescent="0.25">
      <c r="AK1557" t="str">
        <f ca="1"/>
        <v>Obs. 2717</v>
      </c>
      <c r="AL1557" s="7">
        <f ca="1"/>
        <v>67</v>
      </c>
      <c r="AN1557" s="7" t="e">
        <f ca="1"/>
        <v>#REF!</v>
      </c>
      <c r="AO1557" s="7" t="e">
        <f ca="1"/>
        <v>#REF!</v>
      </c>
      <c r="AP1557" s="7">
        <f ca="1"/>
        <v>0.1002828608976499</v>
      </c>
      <c r="AQ1557" s="7" t="e">
        <f ca="1"/>
        <v>#REF!</v>
      </c>
      <c r="AR1557" s="7" t="e">
        <f ca="1"/>
        <v>#REF!</v>
      </c>
      <c r="AS1557" s="7">
        <f ca="1"/>
        <v>1.5725296242490356</v>
      </c>
      <c r="AT1557" s="7" t="e">
        <f ca="1"/>
        <v>#REF!</v>
      </c>
      <c r="AU1557" s="7" t="e">
        <f ca="1"/>
        <v>#REF!</v>
      </c>
      <c r="AV1557" s="7" t="e">
        <f ca="1"/>
        <v>#REF!</v>
      </c>
    </row>
    <row r="1558" spans="37:48" x14ac:dyDescent="0.25">
      <c r="AK1558" t="str">
        <f ca="1"/>
        <v>Obs. 2718</v>
      </c>
      <c r="AL1558" s="7">
        <f ca="1"/>
        <v>60</v>
      </c>
      <c r="AN1558" s="7" t="e">
        <f ca="1"/>
        <v>#REF!</v>
      </c>
      <c r="AO1558" s="7" t="e">
        <f ca="1"/>
        <v>#REF!</v>
      </c>
      <c r="AP1558" s="7">
        <f ca="1"/>
        <v>9.8259379411048842E-2</v>
      </c>
      <c r="AQ1558" s="7" t="e">
        <f ca="1"/>
        <v>#REF!</v>
      </c>
      <c r="AR1558" s="7" t="e">
        <f ca="1"/>
        <v>#REF!</v>
      </c>
      <c r="AS1558" s="7">
        <f ca="1"/>
        <v>1.5725296242490356</v>
      </c>
      <c r="AT1558" s="7" t="e">
        <f ca="1"/>
        <v>#REF!</v>
      </c>
      <c r="AU1558" s="7" t="e">
        <f ca="1"/>
        <v>#REF!</v>
      </c>
      <c r="AV1558" s="7" t="e">
        <f ca="1"/>
        <v>#REF!</v>
      </c>
    </row>
    <row r="1559" spans="37:48" x14ac:dyDescent="0.25">
      <c r="AK1559" t="str">
        <f ca="1"/>
        <v>Obs. 2719</v>
      </c>
      <c r="AL1559" s="7">
        <f ca="1"/>
        <v>59.3</v>
      </c>
      <c r="AN1559" s="7" t="e">
        <f ca="1"/>
        <v>#REF!</v>
      </c>
      <c r="AO1559" s="7" t="e">
        <f ca="1"/>
        <v>#REF!</v>
      </c>
      <c r="AP1559" s="7">
        <f ca="1"/>
        <v>8.0188376433925124E-2</v>
      </c>
      <c r="AQ1559" s="7" t="e">
        <f ca="1"/>
        <v>#REF!</v>
      </c>
      <c r="AR1559" s="7" t="e">
        <f ca="1"/>
        <v>#REF!</v>
      </c>
      <c r="AS1559" s="7">
        <f ca="1"/>
        <v>1.5725296242490356</v>
      </c>
      <c r="AT1559" s="7" t="e">
        <f ca="1"/>
        <v>#REF!</v>
      </c>
      <c r="AU1559" s="7" t="e">
        <f ca="1"/>
        <v>#REF!</v>
      </c>
      <c r="AV1559" s="7" t="e">
        <f ca="1"/>
        <v>#REF!</v>
      </c>
    </row>
    <row r="1560" spans="37:48" x14ac:dyDescent="0.25">
      <c r="AK1560" t="str">
        <f ca="1"/>
        <v>Obs. 2720</v>
      </c>
      <c r="AL1560" s="7">
        <f ca="1"/>
        <v>58.4</v>
      </c>
      <c r="AN1560" s="7" t="e">
        <f ca="1"/>
        <v>#REF!</v>
      </c>
      <c r="AO1560" s="7" t="e">
        <f ca="1"/>
        <v>#REF!</v>
      </c>
      <c r="AP1560" s="7">
        <f ca="1"/>
        <v>9.3746182687040283E-2</v>
      </c>
      <c r="AQ1560" s="7" t="e">
        <f ca="1"/>
        <v>#REF!</v>
      </c>
      <c r="AR1560" s="7" t="e">
        <f ca="1"/>
        <v>#REF!</v>
      </c>
      <c r="AS1560" s="7">
        <f ca="1"/>
        <v>1.5725296242490356</v>
      </c>
      <c r="AT1560" s="7" t="e">
        <f ca="1"/>
        <v>#REF!</v>
      </c>
      <c r="AU1560" s="7" t="e">
        <f ca="1"/>
        <v>#REF!</v>
      </c>
      <c r="AV1560" s="7" t="e">
        <f ca="1"/>
        <v>#REF!</v>
      </c>
    </row>
    <row r="1561" spans="37:48" x14ac:dyDescent="0.25">
      <c r="AK1561" t="str">
        <f ca="1"/>
        <v>Obs. 2721</v>
      </c>
      <c r="AL1561" s="7">
        <f ca="1"/>
        <v>57.5</v>
      </c>
      <c r="AN1561" s="7" t="e">
        <f ca="1"/>
        <v>#REF!</v>
      </c>
      <c r="AO1561" s="7" t="e">
        <f ca="1"/>
        <v>#REF!</v>
      </c>
      <c r="AP1561" s="7">
        <f ca="1"/>
        <v>7.8026636848529105E-2</v>
      </c>
      <c r="AQ1561" s="7" t="e">
        <f ca="1"/>
        <v>#REF!</v>
      </c>
      <c r="AR1561" s="7" t="e">
        <f ca="1"/>
        <v>#REF!</v>
      </c>
      <c r="AS1561" s="7">
        <f ca="1"/>
        <v>1.5992570753291051</v>
      </c>
      <c r="AT1561" s="7" t="e">
        <f ca="1"/>
        <v>#REF!</v>
      </c>
      <c r="AU1561" s="7" t="e">
        <f ca="1"/>
        <v>#REF!</v>
      </c>
      <c r="AV1561" s="7" t="e">
        <f ca="1"/>
        <v>#REF!</v>
      </c>
    </row>
    <row r="1562" spans="37:48" x14ac:dyDescent="0.25">
      <c r="AK1562" t="str">
        <f ca="1"/>
        <v>Obs. 2722</v>
      </c>
      <c r="AL1562" s="7">
        <f ca="1"/>
        <v>56.3</v>
      </c>
      <c r="AN1562" s="7" t="e">
        <f ca="1"/>
        <v>#REF!</v>
      </c>
      <c r="AO1562" s="7" t="e">
        <f ca="1"/>
        <v>#REF!</v>
      </c>
      <c r="AP1562" s="7">
        <f ca="1"/>
        <v>8.1431544145460166E-2</v>
      </c>
      <c r="AQ1562" s="7" t="e">
        <f ca="1"/>
        <v>#REF!</v>
      </c>
      <c r="AR1562" s="7" t="e">
        <f ca="1"/>
        <v>#REF!</v>
      </c>
      <c r="AS1562" s="7">
        <f ca="1"/>
        <v>1.5992570753291051</v>
      </c>
      <c r="AT1562" s="7" t="e">
        <f ca="1"/>
        <v>#REF!</v>
      </c>
      <c r="AU1562" s="7" t="e">
        <f ca="1"/>
        <v>#REF!</v>
      </c>
      <c r="AV1562" s="7" t="e">
        <f ca="1"/>
        <v>#REF!</v>
      </c>
    </row>
    <row r="1563" spans="37:48" x14ac:dyDescent="0.25">
      <c r="AK1563" t="str">
        <f ca="1"/>
        <v>Obs. 2723</v>
      </c>
      <c r="AL1563" s="7">
        <f ca="1"/>
        <v>55.5</v>
      </c>
      <c r="AN1563" s="7" t="e">
        <f ca="1"/>
        <v>#REF!</v>
      </c>
      <c r="AO1563" s="7" t="e">
        <f ca="1"/>
        <v>#REF!</v>
      </c>
      <c r="AP1563" s="7">
        <f ca="1"/>
        <v>9.0886628610391665E-2</v>
      </c>
      <c r="AQ1563" s="7" t="e">
        <f ca="1"/>
        <v>#REF!</v>
      </c>
      <c r="AR1563" s="7" t="e">
        <f ca="1"/>
        <v>#REF!</v>
      </c>
      <c r="AS1563" s="7">
        <f ca="1"/>
        <v>1.5992570753291051</v>
      </c>
      <c r="AT1563" s="7" t="e">
        <f ca="1"/>
        <v>#REF!</v>
      </c>
      <c r="AU1563" s="7" t="e">
        <f ca="1"/>
        <v>#REF!</v>
      </c>
      <c r="AV1563" s="7" t="e">
        <f ca="1"/>
        <v>#REF!</v>
      </c>
    </row>
    <row r="1564" spans="37:48" x14ac:dyDescent="0.25">
      <c r="AK1564" t="str">
        <f ca="1"/>
        <v>Obs. 2724</v>
      </c>
      <c r="AL1564" s="7">
        <f ca="1"/>
        <v>54.9</v>
      </c>
      <c r="AN1564" s="7" t="e">
        <f ca="1"/>
        <v>#REF!</v>
      </c>
      <c r="AO1564" s="7" t="e">
        <f ca="1"/>
        <v>#REF!</v>
      </c>
      <c r="AP1564" s="7">
        <f ca="1"/>
        <v>8.15453639581004E-2</v>
      </c>
      <c r="AQ1564" s="7" t="e">
        <f ca="1"/>
        <v>#REF!</v>
      </c>
      <c r="AR1564" s="7" t="e">
        <f ca="1"/>
        <v>#REF!</v>
      </c>
      <c r="AS1564" s="7">
        <f ca="1"/>
        <v>1.5992570753291051</v>
      </c>
      <c r="AT1564" s="7" t="e">
        <f ca="1"/>
        <v>#REF!</v>
      </c>
      <c r="AU1564" s="7" t="e">
        <f ca="1"/>
        <v>#REF!</v>
      </c>
      <c r="AV1564" s="7" t="e">
        <f ca="1"/>
        <v>#REF!</v>
      </c>
    </row>
    <row r="1565" spans="37:48" x14ac:dyDescent="0.25">
      <c r="AK1565" t="str">
        <f ca="1"/>
        <v>Obs. 2725</v>
      </c>
      <c r="AL1565" s="7">
        <f ca="1"/>
        <v>53.2</v>
      </c>
      <c r="AN1565" s="7" t="e">
        <f ca="1"/>
        <v>#REF!</v>
      </c>
      <c r="AO1565" s="7" t="e">
        <f ca="1"/>
        <v>#REF!</v>
      </c>
      <c r="AP1565" s="7">
        <f ca="1"/>
        <v>8.1464288530612911E-2</v>
      </c>
      <c r="AQ1565" s="7" t="e">
        <f ca="1"/>
        <v>#REF!</v>
      </c>
      <c r="AR1565" s="7" t="e">
        <f ca="1"/>
        <v>#REF!</v>
      </c>
      <c r="AS1565" s="7">
        <f ca="1"/>
        <v>1.6214924498394727</v>
      </c>
      <c r="AT1565" s="7" t="e">
        <f ca="1"/>
        <v>#REF!</v>
      </c>
      <c r="AU1565" s="7" t="e">
        <f ca="1"/>
        <v>#REF!</v>
      </c>
      <c r="AV1565" s="7" t="e">
        <f ca="1"/>
        <v>#REF!</v>
      </c>
    </row>
    <row r="1566" spans="37:48" x14ac:dyDescent="0.25">
      <c r="AK1566" t="str">
        <f ca="1"/>
        <v>Obs. 2726</v>
      </c>
      <c r="AL1566" s="7">
        <f ca="1"/>
        <v>51.3</v>
      </c>
      <c r="AN1566" s="7" t="e">
        <f ca="1"/>
        <v>#REF!</v>
      </c>
      <c r="AO1566" s="7" t="e">
        <f ca="1"/>
        <v>#REF!</v>
      </c>
      <c r="AP1566" s="7">
        <f ca="1"/>
        <v>8.7884404883373846E-2</v>
      </c>
      <c r="AQ1566" s="7" t="e">
        <f ca="1"/>
        <v>#REF!</v>
      </c>
      <c r="AR1566" s="7" t="e">
        <f ca="1"/>
        <v>#REF!</v>
      </c>
      <c r="AS1566" s="7">
        <f ca="1"/>
        <v>1.6214924498394727</v>
      </c>
      <c r="AT1566" s="7" t="e">
        <f ca="1"/>
        <v>#REF!</v>
      </c>
      <c r="AU1566" s="7" t="e">
        <f ca="1"/>
        <v>#REF!</v>
      </c>
      <c r="AV1566" s="7" t="e">
        <f ca="1"/>
        <v>#REF!</v>
      </c>
    </row>
    <row r="1567" spans="37:48" x14ac:dyDescent="0.25">
      <c r="AK1567" t="str">
        <f ca="1"/>
        <v>Obs. 2727</v>
      </c>
      <c r="AL1567" s="7">
        <f ca="1"/>
        <v>51</v>
      </c>
      <c r="AN1567" s="7" t="e">
        <f ca="1"/>
        <v>#REF!</v>
      </c>
      <c r="AO1567" s="7" t="e">
        <f ca="1"/>
        <v>#REF!</v>
      </c>
      <c r="AP1567" s="7">
        <f ca="1"/>
        <v>9.6489005235376527E-2</v>
      </c>
      <c r="AQ1567" s="7" t="e">
        <f ca="1"/>
        <v>#REF!</v>
      </c>
      <c r="AR1567" s="7" t="e">
        <f ca="1"/>
        <v>#REF!</v>
      </c>
      <c r="AS1567" s="7">
        <f ca="1"/>
        <v>1.6214924498394727</v>
      </c>
      <c r="AT1567" s="7" t="e">
        <f ca="1"/>
        <v>#REF!</v>
      </c>
      <c r="AU1567" s="7" t="e">
        <f ca="1"/>
        <v>#REF!</v>
      </c>
      <c r="AV1567" s="7" t="e">
        <f ca="1"/>
        <v>#REF!</v>
      </c>
    </row>
    <row r="1568" spans="37:48" x14ac:dyDescent="0.25">
      <c r="AK1568" t="str">
        <f ca="1"/>
        <v>Obs. 2728</v>
      </c>
      <c r="AL1568" s="7">
        <f ca="1"/>
        <v>48.8</v>
      </c>
      <c r="AN1568" s="7" t="e">
        <f ca="1"/>
        <v>#REF!</v>
      </c>
      <c r="AO1568" s="7" t="e">
        <f ca="1"/>
        <v>#REF!</v>
      </c>
      <c r="AP1568" s="7">
        <f ca="1"/>
        <v>0.12015398791885928</v>
      </c>
      <c r="AQ1568" s="7" t="e">
        <f ca="1"/>
        <v>#REF!</v>
      </c>
      <c r="AR1568" s="7" t="e">
        <f ca="1"/>
        <v>#REF!</v>
      </c>
      <c r="AS1568" s="7">
        <f ca="1"/>
        <v>1.6214924498394727</v>
      </c>
      <c r="AT1568" s="7" t="e">
        <f ca="1"/>
        <v>#REF!</v>
      </c>
      <c r="AU1568" s="7" t="e">
        <f ca="1"/>
        <v>#REF!</v>
      </c>
      <c r="AV1568" s="7" t="e">
        <f ca="1"/>
        <v>#REF!</v>
      </c>
    </row>
    <row r="1569" spans="37:48" x14ac:dyDescent="0.25">
      <c r="AK1569" t="str">
        <f ca="1"/>
        <v>Obs. 2732</v>
      </c>
      <c r="AL1569" s="7">
        <f ca="1"/>
        <v>78</v>
      </c>
      <c r="AN1569" s="7" t="e">
        <f ca="1"/>
        <v>#REF!</v>
      </c>
      <c r="AO1569" s="7" t="e">
        <f ca="1"/>
        <v>#REF!</v>
      </c>
      <c r="AP1569" s="7">
        <f ca="1"/>
        <v>8.872301777894806E-2</v>
      </c>
      <c r="AQ1569" s="7" t="e">
        <f ca="1"/>
        <v>#REF!</v>
      </c>
      <c r="AR1569" s="7" t="e">
        <f ca="1"/>
        <v>#REF!</v>
      </c>
      <c r="AS1569" s="7">
        <f ca="1"/>
        <v>1.6445597025796697</v>
      </c>
      <c r="AT1569" s="7" t="e">
        <f ca="1"/>
        <v>#REF!</v>
      </c>
      <c r="AU1569" s="7" t="e">
        <f ca="1"/>
        <v>#REF!</v>
      </c>
      <c r="AV1569" s="7" t="e">
        <f ca="1"/>
        <v>#REF!</v>
      </c>
    </row>
    <row r="1570" spans="37:48" x14ac:dyDescent="0.25">
      <c r="AK1570" t="str">
        <f ca="1"/>
        <v>Obs. 2733</v>
      </c>
      <c r="AL1570" s="7">
        <f ca="1"/>
        <v>71</v>
      </c>
      <c r="AN1570" s="7" t="e">
        <f ca="1"/>
        <v>#REF!</v>
      </c>
      <c r="AO1570" s="7" t="e">
        <f ca="1"/>
        <v>#REF!</v>
      </c>
      <c r="AP1570" s="7">
        <f ca="1"/>
        <v>7.8256498931947485E-2</v>
      </c>
      <c r="AQ1570" s="7" t="e">
        <f ca="1"/>
        <v>#REF!</v>
      </c>
      <c r="AR1570" s="7" t="e">
        <f ca="1"/>
        <v>#REF!</v>
      </c>
      <c r="AS1570" s="7">
        <f ca="1"/>
        <v>1.6445597025796697</v>
      </c>
      <c r="AT1570" s="7" t="e">
        <f ca="1"/>
        <v>#REF!</v>
      </c>
      <c r="AU1570" s="7" t="e">
        <f ca="1"/>
        <v>#REF!</v>
      </c>
      <c r="AV1570" s="7" t="e">
        <f ca="1"/>
        <v>#REF!</v>
      </c>
    </row>
    <row r="1571" spans="37:48" x14ac:dyDescent="0.25">
      <c r="AK1571" t="str">
        <f ca="1"/>
        <v>Obs. 2734</v>
      </c>
      <c r="AL1571" s="7">
        <f ca="1"/>
        <v>77</v>
      </c>
      <c r="AN1571" s="7" t="e">
        <f ca="1"/>
        <v>#REF!</v>
      </c>
      <c r="AO1571" s="7" t="e">
        <f ca="1"/>
        <v>#REF!</v>
      </c>
      <c r="AP1571" s="7">
        <f ca="1"/>
        <v>7.237513441500748E-2</v>
      </c>
      <c r="AQ1571" s="7" t="e">
        <f ca="1"/>
        <v>#REF!</v>
      </c>
      <c r="AR1571" s="7" t="e">
        <f ca="1"/>
        <v>#REF!</v>
      </c>
      <c r="AS1571" s="7">
        <f ca="1"/>
        <v>1.6445597025796697</v>
      </c>
      <c r="AT1571" s="7" t="e">
        <f ca="1"/>
        <v>#REF!</v>
      </c>
      <c r="AU1571" s="7" t="e">
        <f ca="1"/>
        <v>#REF!</v>
      </c>
      <c r="AV1571" s="7" t="e">
        <f ca="1"/>
        <v>#REF!</v>
      </c>
    </row>
    <row r="1572" spans="37:48" x14ac:dyDescent="0.25">
      <c r="AK1572" t="str">
        <f ca="1"/>
        <v>Obs. 2735</v>
      </c>
      <c r="AL1572" s="7">
        <f ca="1"/>
        <v>75</v>
      </c>
      <c r="AN1572" s="7" t="e">
        <f ca="1"/>
        <v>#REF!</v>
      </c>
      <c r="AO1572" s="7" t="e">
        <f ca="1"/>
        <v>#REF!</v>
      </c>
      <c r="AP1572" s="7">
        <f ca="1"/>
        <v>8.1168232080571126E-2</v>
      </c>
      <c r="AQ1572" s="7" t="e">
        <f ca="1"/>
        <v>#REF!</v>
      </c>
      <c r="AR1572" s="7" t="e">
        <f ca="1"/>
        <v>#REF!</v>
      </c>
      <c r="AS1572" s="7">
        <f ca="1"/>
        <v>1.6624525291871317</v>
      </c>
      <c r="AT1572" s="7" t="e">
        <f ca="1"/>
        <v>#REF!</v>
      </c>
      <c r="AU1572" s="7" t="e">
        <f ca="1"/>
        <v>#REF!</v>
      </c>
      <c r="AV1572" s="7" t="e">
        <f ca="1"/>
        <v>#REF!</v>
      </c>
    </row>
    <row r="1573" spans="37:48" x14ac:dyDescent="0.25">
      <c r="AK1573" t="str">
        <f ca="1"/>
        <v>Obs. 2736</v>
      </c>
      <c r="AL1573" s="7">
        <f ca="1"/>
        <v>69.8</v>
      </c>
      <c r="AN1573" s="7" t="e">
        <f ca="1"/>
        <v>#REF!</v>
      </c>
      <c r="AO1573" s="7" t="e">
        <f ca="1"/>
        <v>#REF!</v>
      </c>
      <c r="AP1573" s="7">
        <f ca="1"/>
        <v>6.9021007301543716E-2</v>
      </c>
      <c r="AQ1573" s="7" t="e">
        <f ca="1"/>
        <v>#REF!</v>
      </c>
      <c r="AR1573" s="7" t="e">
        <f ca="1"/>
        <v>#REF!</v>
      </c>
      <c r="AS1573" s="7">
        <f ca="1"/>
        <v>1.6624525291871317</v>
      </c>
      <c r="AT1573" s="7" t="e">
        <f ca="1"/>
        <v>#REF!</v>
      </c>
      <c r="AU1573" s="7" t="e">
        <f ca="1"/>
        <v>#REF!</v>
      </c>
      <c r="AV1573" s="7" t="e">
        <f ca="1"/>
        <v>#REF!</v>
      </c>
    </row>
    <row r="1574" spans="37:48" x14ac:dyDescent="0.25">
      <c r="AK1574" t="str">
        <f ca="1"/>
        <v>Obs. 2737</v>
      </c>
      <c r="AL1574" s="7">
        <f ca="1"/>
        <v>69.2</v>
      </c>
      <c r="AN1574" s="7" t="e">
        <f ca="1"/>
        <v>#REF!</v>
      </c>
      <c r="AO1574" s="7" t="e">
        <f ca="1"/>
        <v>#REF!</v>
      </c>
      <c r="AP1574" s="7">
        <f ca="1"/>
        <v>6.7773591599318797E-2</v>
      </c>
      <c r="AQ1574" s="7" t="e">
        <f ca="1"/>
        <v>#REF!</v>
      </c>
      <c r="AR1574" s="7" t="e">
        <f ca="1"/>
        <v>#REF!</v>
      </c>
      <c r="AS1574" s="7">
        <f ca="1"/>
        <v>1.6624525291871317</v>
      </c>
      <c r="AT1574" s="7" t="e">
        <f ca="1"/>
        <v>#REF!</v>
      </c>
      <c r="AU1574" s="7" t="e">
        <f ca="1"/>
        <v>#REF!</v>
      </c>
      <c r="AV1574" s="7" t="e">
        <f ca="1"/>
        <v>#REF!</v>
      </c>
    </row>
    <row r="1575" spans="37:48" x14ac:dyDescent="0.25">
      <c r="AK1575" t="str">
        <f ca="1"/>
        <v>Obs. 2738</v>
      </c>
      <c r="AL1575" s="7">
        <f ca="1"/>
        <v>67.7</v>
      </c>
      <c r="AN1575" s="7" t="e">
        <f ca="1"/>
        <v>#REF!</v>
      </c>
      <c r="AO1575" s="7" t="e">
        <f ca="1"/>
        <v>#REF!</v>
      </c>
      <c r="AP1575" s="7">
        <f ca="1"/>
        <v>8.7769527587631291E-2</v>
      </c>
      <c r="AQ1575" s="7" t="e">
        <f ca="1"/>
        <v>#REF!</v>
      </c>
      <c r="AR1575" s="7" t="e">
        <f ca="1"/>
        <v>#REF!</v>
      </c>
      <c r="AS1575" s="7">
        <f ca="1"/>
        <v>1.6624525291871317</v>
      </c>
      <c r="AT1575" s="7" t="e">
        <f ca="1"/>
        <v>#REF!</v>
      </c>
      <c r="AU1575" s="7" t="e">
        <f ca="1"/>
        <v>#REF!</v>
      </c>
      <c r="AV1575" s="7" t="e">
        <f ca="1"/>
        <v>#REF!</v>
      </c>
    </row>
    <row r="1576" spans="37:48" x14ac:dyDescent="0.25">
      <c r="AK1576" t="str">
        <f ca="1"/>
        <v>Obs. 2739</v>
      </c>
      <c r="AL1576" s="7">
        <f ca="1"/>
        <v>67.5</v>
      </c>
      <c r="AN1576" s="7" t="e">
        <f ca="1"/>
        <v>#REF!</v>
      </c>
      <c r="AO1576" s="7" t="e">
        <f ca="1"/>
        <v>#REF!</v>
      </c>
      <c r="AP1576" s="7">
        <f ca="1"/>
        <v>6.9626151225066157E-2</v>
      </c>
      <c r="AQ1576" s="7" t="e">
        <f ca="1"/>
        <v>#REF!</v>
      </c>
      <c r="AR1576" s="7" t="e">
        <f ca="1"/>
        <v>#REF!</v>
      </c>
      <c r="AS1576" s="7">
        <f ca="1"/>
        <v>1.6624525291871317</v>
      </c>
      <c r="AT1576" s="7" t="e">
        <f ca="1"/>
        <v>#REF!</v>
      </c>
      <c r="AU1576" s="7" t="e">
        <f ca="1"/>
        <v>#REF!</v>
      </c>
      <c r="AV1576" s="7" t="e">
        <f ca="1"/>
        <v>#REF!</v>
      </c>
    </row>
    <row r="1577" spans="37:48" x14ac:dyDescent="0.25">
      <c r="AK1577" t="str">
        <f ca="1"/>
        <v>Obs. 2740</v>
      </c>
      <c r="AL1577" s="7">
        <f ca="1"/>
        <v>67.7</v>
      </c>
      <c r="AN1577" s="7" t="e">
        <f ca="1"/>
        <v>#REF!</v>
      </c>
      <c r="AO1577" s="7" t="e">
        <f ca="1"/>
        <v>#REF!</v>
      </c>
      <c r="AP1577" s="7">
        <f ca="1"/>
        <v>8.9830389238239688E-2</v>
      </c>
      <c r="AQ1577" s="7" t="e">
        <f ca="1"/>
        <v>#REF!</v>
      </c>
      <c r="AR1577" s="7" t="e">
        <f ca="1"/>
        <v>#REF!</v>
      </c>
      <c r="AS1577" s="7">
        <f ca="1"/>
        <v>1.6624525291871317</v>
      </c>
      <c r="AT1577" s="7" t="e">
        <f ca="1"/>
        <v>#REF!</v>
      </c>
      <c r="AU1577" s="7" t="e">
        <f ca="1"/>
        <v>#REF!</v>
      </c>
      <c r="AV1577" s="7" t="e">
        <f ca="1"/>
        <v>#REF!</v>
      </c>
    </row>
    <row r="1578" spans="37:48" x14ac:dyDescent="0.25">
      <c r="AK1578" t="str">
        <f ca="1"/>
        <v>Obs. 2741</v>
      </c>
      <c r="AL1578" s="7">
        <f ca="1"/>
        <v>67</v>
      </c>
      <c r="AN1578" s="7" t="e">
        <f ca="1"/>
        <v>#REF!</v>
      </c>
      <c r="AO1578" s="7" t="e">
        <f ca="1"/>
        <v>#REF!</v>
      </c>
      <c r="AP1578" s="7">
        <f ca="1"/>
        <v>6.9674974419562705E-2</v>
      </c>
      <c r="AQ1578" s="7" t="e">
        <f ca="1"/>
        <v>#REF!</v>
      </c>
      <c r="AR1578" s="7" t="e">
        <f ca="1"/>
        <v>#REF!</v>
      </c>
      <c r="AS1578" s="7">
        <f ca="1"/>
        <v>1.6624525291871317</v>
      </c>
      <c r="AT1578" s="7" t="e">
        <f ca="1"/>
        <v>#REF!</v>
      </c>
      <c r="AU1578" s="7" t="e">
        <f ca="1"/>
        <v>#REF!</v>
      </c>
      <c r="AV1578" s="7" t="e">
        <f ca="1"/>
        <v>#REF!</v>
      </c>
    </row>
    <row r="1579" spans="37:48" x14ac:dyDescent="0.25">
      <c r="AK1579" t="str">
        <f ca="1"/>
        <v>Obs. 2742</v>
      </c>
      <c r="AL1579" s="7">
        <f ca="1"/>
        <v>67.400000000000006</v>
      </c>
      <c r="AN1579" s="7" t="e">
        <f ca="1"/>
        <v>#REF!</v>
      </c>
      <c r="AO1579" s="7" t="e">
        <f ca="1"/>
        <v>#REF!</v>
      </c>
      <c r="AP1579" s="7">
        <f ca="1"/>
        <v>7.0976132303537262E-2</v>
      </c>
      <c r="AQ1579" s="7" t="e">
        <f ca="1"/>
        <v>#REF!</v>
      </c>
      <c r="AR1579" s="7" t="e">
        <f ca="1"/>
        <v>#REF!</v>
      </c>
      <c r="AS1579" s="7">
        <f ca="1"/>
        <v>1.7064083338107217</v>
      </c>
      <c r="AT1579" s="7" t="e">
        <f ca="1"/>
        <v>#REF!</v>
      </c>
      <c r="AU1579" s="7" t="e">
        <f ca="1"/>
        <v>#REF!</v>
      </c>
      <c r="AV1579" s="7" t="e">
        <f ca="1"/>
        <v>#REF!</v>
      </c>
    </row>
    <row r="1580" spans="37:48" x14ac:dyDescent="0.25">
      <c r="AK1580" t="str">
        <f ca="1"/>
        <v>Obs. 2743</v>
      </c>
      <c r="AL1580" s="7">
        <f ca="1"/>
        <v>67.599999999999994</v>
      </c>
      <c r="AN1580" s="7" t="e">
        <f ca="1"/>
        <v>#REF!</v>
      </c>
      <c r="AO1580" s="7" t="e">
        <f ca="1"/>
        <v>#REF!</v>
      </c>
      <c r="AP1580" s="7">
        <f ca="1"/>
        <v>7.0288598352492154E-2</v>
      </c>
      <c r="AQ1580" s="7" t="e">
        <f ca="1"/>
        <v>#REF!</v>
      </c>
      <c r="AR1580" s="7" t="e">
        <f ca="1"/>
        <v>#REF!</v>
      </c>
      <c r="AS1580" s="7">
        <f ca="1"/>
        <v>1.7064083338107217</v>
      </c>
      <c r="AT1580" s="7" t="e">
        <f ca="1"/>
        <v>#REF!</v>
      </c>
      <c r="AU1580" s="7" t="e">
        <f ca="1"/>
        <v>#REF!</v>
      </c>
      <c r="AV1580" s="7" t="e">
        <f ca="1"/>
        <v>#REF!</v>
      </c>
    </row>
    <row r="1581" spans="37:48" x14ac:dyDescent="0.25">
      <c r="AK1581" t="str">
        <f ca="1"/>
        <v>Obs. 2744</v>
      </c>
      <c r="AL1581" s="7">
        <f ca="1"/>
        <v>67.599999999999994</v>
      </c>
      <c r="AN1581" s="7" t="e">
        <f ca="1"/>
        <v>#REF!</v>
      </c>
      <c r="AO1581" s="7" t="e">
        <f ca="1"/>
        <v>#REF!</v>
      </c>
      <c r="AP1581" s="7">
        <f ca="1"/>
        <v>7.2000097101079158E-2</v>
      </c>
      <c r="AQ1581" s="7" t="e">
        <f ca="1"/>
        <v>#REF!</v>
      </c>
      <c r="AR1581" s="7" t="e">
        <f ca="1"/>
        <v>#REF!</v>
      </c>
      <c r="AS1581" s="7">
        <f ca="1"/>
        <v>1.7064083338107217</v>
      </c>
      <c r="AT1581" s="7" t="e">
        <f ca="1"/>
        <v>#REF!</v>
      </c>
      <c r="AU1581" s="7" t="e">
        <f ca="1"/>
        <v>#REF!</v>
      </c>
      <c r="AV1581" s="7" t="e">
        <f ca="1"/>
        <v>#REF!</v>
      </c>
    </row>
    <row r="1582" spans="37:48" x14ac:dyDescent="0.25">
      <c r="AK1582" t="str">
        <f ca="1"/>
        <v>Obs. 2745</v>
      </c>
      <c r="AL1582" s="7">
        <f ca="1"/>
        <v>67.7</v>
      </c>
      <c r="AN1582" s="7" t="e">
        <f ca="1"/>
        <v>#REF!</v>
      </c>
      <c r="AO1582" s="7" t="e">
        <f ca="1"/>
        <v>#REF!</v>
      </c>
      <c r="AP1582" s="7">
        <f ca="1"/>
        <v>8.3379735296767954E-2</v>
      </c>
      <c r="AQ1582" s="7" t="e">
        <f ca="1"/>
        <v>#REF!</v>
      </c>
      <c r="AR1582" s="7" t="e">
        <f ca="1"/>
        <v>#REF!</v>
      </c>
      <c r="AS1582" s="7">
        <f ca="1"/>
        <v>1.7064083338107217</v>
      </c>
      <c r="AT1582" s="7" t="e">
        <f ca="1"/>
        <v>#REF!</v>
      </c>
      <c r="AU1582" s="7" t="e">
        <f ca="1"/>
        <v>#REF!</v>
      </c>
      <c r="AV1582" s="7" t="e">
        <f ca="1"/>
        <v>#REF!</v>
      </c>
    </row>
    <row r="1583" spans="37:48" x14ac:dyDescent="0.25">
      <c r="AK1583" t="str">
        <f ca="1"/>
        <v>Obs. 2746</v>
      </c>
      <c r="AL1583" s="7">
        <f ca="1"/>
        <v>67.5</v>
      </c>
      <c r="AN1583" s="7" t="e">
        <f ca="1"/>
        <v>#REF!</v>
      </c>
      <c r="AO1583" s="7" t="e">
        <f ca="1"/>
        <v>#REF!</v>
      </c>
      <c r="AP1583" s="7">
        <f ca="1"/>
        <v>8.3713179867686643E-2</v>
      </c>
      <c r="AQ1583" s="7" t="e">
        <f ca="1"/>
        <v>#REF!</v>
      </c>
      <c r="AR1583" s="7" t="e">
        <f ca="1"/>
        <v>#REF!</v>
      </c>
      <c r="AS1583" s="7">
        <f ca="1"/>
        <v>1.7330844772440364</v>
      </c>
      <c r="AT1583" s="7" t="e">
        <f ca="1"/>
        <v>#REF!</v>
      </c>
      <c r="AU1583" s="7" t="e">
        <f ca="1"/>
        <v>#REF!</v>
      </c>
      <c r="AV1583" s="7" t="e">
        <f ca="1"/>
        <v>#REF!</v>
      </c>
    </row>
    <row r="1584" spans="37:48" x14ac:dyDescent="0.25">
      <c r="AK1584" t="str">
        <f ca="1"/>
        <v>Obs. 2812</v>
      </c>
      <c r="AL1584" s="7">
        <f ca="1"/>
        <v>76.8</v>
      </c>
      <c r="AN1584" s="7" t="e">
        <f ca="1"/>
        <v>#REF!</v>
      </c>
      <c r="AO1584" s="7" t="e">
        <f ca="1"/>
        <v>#REF!</v>
      </c>
      <c r="AP1584" s="7">
        <f ca="1"/>
        <v>8.2227517874826905E-2</v>
      </c>
      <c r="AQ1584" s="7" t="e">
        <f ca="1"/>
        <v>#REF!</v>
      </c>
      <c r="AR1584" s="7" t="e">
        <f ca="1"/>
        <v>#REF!</v>
      </c>
      <c r="AS1584" s="7">
        <f ca="1"/>
        <v>1.7330844772440364</v>
      </c>
      <c r="AT1584" s="7" t="e">
        <f ca="1"/>
        <v>#REF!</v>
      </c>
      <c r="AU1584" s="7" t="e">
        <f ca="1"/>
        <v>#REF!</v>
      </c>
      <c r="AV1584" s="7" t="e">
        <f ca="1"/>
        <v>#REF!</v>
      </c>
    </row>
    <row r="1585" spans="37:48" x14ac:dyDescent="0.25">
      <c r="AK1585" t="str">
        <f ca="1"/>
        <v>Obs. 2813</v>
      </c>
      <c r="AL1585" s="7">
        <f ca="1"/>
        <v>76.8</v>
      </c>
      <c r="AN1585" s="7" t="e">
        <f ca="1"/>
        <v>#REF!</v>
      </c>
      <c r="AO1585" s="7" t="e">
        <f ca="1"/>
        <v>#REF!</v>
      </c>
      <c r="AP1585" s="7">
        <f ca="1"/>
        <v>8.1788625585421049E-2</v>
      </c>
      <c r="AQ1585" s="7" t="e">
        <f ca="1"/>
        <v>#REF!</v>
      </c>
      <c r="AR1585" s="7" t="e">
        <f ca="1"/>
        <v>#REF!</v>
      </c>
      <c r="AS1585" s="7">
        <f ca="1"/>
        <v>1.7330844772440364</v>
      </c>
      <c r="AT1585" s="7" t="e">
        <f ca="1"/>
        <v>#REF!</v>
      </c>
      <c r="AU1585" s="7" t="e">
        <f ca="1"/>
        <v>#REF!</v>
      </c>
      <c r="AV1585" s="7" t="e">
        <f ca="1"/>
        <v>#REF!</v>
      </c>
    </row>
    <row r="1586" spans="37:48" x14ac:dyDescent="0.25">
      <c r="AK1586" t="str">
        <f ca="1"/>
        <v>Obs. 2814</v>
      </c>
      <c r="AL1586" s="7">
        <f ca="1"/>
        <v>76.5</v>
      </c>
      <c r="AN1586" s="7" t="e">
        <f ca="1"/>
        <v>#REF!</v>
      </c>
      <c r="AO1586" s="7" t="e">
        <f ca="1"/>
        <v>#REF!</v>
      </c>
      <c r="AP1586" s="7">
        <f ca="1"/>
        <v>6.7274288041010474E-2</v>
      </c>
      <c r="AQ1586" s="7" t="e">
        <f ca="1"/>
        <v>#REF!</v>
      </c>
      <c r="AR1586" s="7" t="e">
        <f ca="1"/>
        <v>#REF!</v>
      </c>
      <c r="AS1586" s="7">
        <f ca="1"/>
        <v>1.7539324289023792</v>
      </c>
      <c r="AT1586" s="7" t="e">
        <f ca="1"/>
        <v>#REF!</v>
      </c>
      <c r="AU1586" s="7" t="e">
        <f ca="1"/>
        <v>#REF!</v>
      </c>
      <c r="AV1586" s="7" t="e">
        <f ca="1"/>
        <v>#REF!</v>
      </c>
    </row>
    <row r="1587" spans="37:48" x14ac:dyDescent="0.25">
      <c r="AK1587" t="str">
        <f ca="1"/>
        <v>Obs. 2815</v>
      </c>
      <c r="AL1587" s="7">
        <f ca="1"/>
        <v>77</v>
      </c>
      <c r="AN1587" s="7" t="e">
        <f ca="1"/>
        <v>#REF!</v>
      </c>
      <c r="AO1587" s="7" t="e">
        <f ca="1"/>
        <v>#REF!</v>
      </c>
      <c r="AP1587" s="7">
        <f ca="1"/>
        <v>7.4866337637489289E-2</v>
      </c>
      <c r="AQ1587" s="7" t="e">
        <f ca="1"/>
        <v>#REF!</v>
      </c>
      <c r="AR1587" s="7" t="e">
        <f ca="1"/>
        <v>#REF!</v>
      </c>
      <c r="AS1587" s="7">
        <f ca="1"/>
        <v>1.7539324289023792</v>
      </c>
      <c r="AT1587" s="7" t="e">
        <f ca="1"/>
        <v>#REF!</v>
      </c>
      <c r="AU1587" s="7" t="e">
        <f ca="1"/>
        <v>#REF!</v>
      </c>
      <c r="AV1587" s="7" t="e">
        <f ca="1"/>
        <v>#REF!</v>
      </c>
    </row>
    <row r="1588" spans="37:48" x14ac:dyDescent="0.25">
      <c r="AK1588" t="str">
        <f ca="1"/>
        <v>Obs. 2816</v>
      </c>
      <c r="AL1588" s="7">
        <f ca="1"/>
        <v>76.3</v>
      </c>
      <c r="AN1588" s="7" t="e">
        <f ca="1"/>
        <v>#REF!</v>
      </c>
      <c r="AO1588" s="7" t="e">
        <f ca="1"/>
        <v>#REF!</v>
      </c>
      <c r="AP1588" s="7">
        <f ca="1"/>
        <v>6.9760408748312311E-2</v>
      </c>
      <c r="AQ1588" s="7" t="e">
        <f ca="1"/>
        <v>#REF!</v>
      </c>
      <c r="AR1588" s="7" t="e">
        <f ca="1"/>
        <v>#REF!</v>
      </c>
      <c r="AS1588" s="7">
        <f ca="1"/>
        <v>1.7539324289023792</v>
      </c>
      <c r="AT1588" s="7" t="e">
        <f ca="1"/>
        <v>#REF!</v>
      </c>
      <c r="AU1588" s="7" t="e">
        <f ca="1"/>
        <v>#REF!</v>
      </c>
      <c r="AV1588" s="7" t="e">
        <f ca="1"/>
        <v>#REF!</v>
      </c>
    </row>
    <row r="1589" spans="37:48" x14ac:dyDescent="0.25">
      <c r="AK1589" t="str">
        <f ca="1"/>
        <v>Obs. 2817</v>
      </c>
      <c r="AL1589" s="7">
        <f ca="1"/>
        <v>76.599999999999994</v>
      </c>
      <c r="AN1589" s="7" t="e">
        <f ca="1"/>
        <v>#REF!</v>
      </c>
      <c r="AO1589" s="7" t="e">
        <f ca="1"/>
        <v>#REF!</v>
      </c>
      <c r="AP1589" s="7">
        <f ca="1"/>
        <v>7.7879031547710365E-2</v>
      </c>
      <c r="AQ1589" s="7" t="e">
        <f ca="1"/>
        <v>#REF!</v>
      </c>
      <c r="AR1589" s="7" t="e">
        <f ca="1"/>
        <v>#REF!</v>
      </c>
      <c r="AS1589" s="7">
        <f ca="1"/>
        <v>1.7539324289023792</v>
      </c>
      <c r="AT1589" s="7" t="e">
        <f ca="1"/>
        <v>#REF!</v>
      </c>
      <c r="AU1589" s="7" t="e">
        <f ca="1"/>
        <v>#REF!</v>
      </c>
      <c r="AV1589" s="7" t="e">
        <f ca="1"/>
        <v>#REF!</v>
      </c>
    </row>
    <row r="1590" spans="37:48" x14ac:dyDescent="0.25">
      <c r="AK1590" t="str">
        <f ca="1"/>
        <v>Obs. 2818</v>
      </c>
      <c r="AL1590" s="7">
        <f ca="1"/>
        <v>76.400000000000006</v>
      </c>
      <c r="AN1590" s="7" t="e">
        <f ca="1"/>
        <v>#REF!</v>
      </c>
      <c r="AO1590" s="7" t="e">
        <f ca="1"/>
        <v>#REF!</v>
      </c>
      <c r="AP1590" s="7">
        <f ca="1"/>
        <v>7.4344453002674032E-2</v>
      </c>
      <c r="AQ1590" s="7" t="e">
        <f ca="1"/>
        <v>#REF!</v>
      </c>
      <c r="AR1590" s="7" t="e">
        <f ca="1"/>
        <v>#REF!</v>
      </c>
      <c r="AS1590" s="7">
        <f ca="1"/>
        <v>1.7539324289023792</v>
      </c>
      <c r="AT1590" s="7" t="e">
        <f ca="1"/>
        <v>#REF!</v>
      </c>
      <c r="AU1590" s="7" t="e">
        <f ca="1"/>
        <v>#REF!</v>
      </c>
      <c r="AV1590" s="7" t="e">
        <f ca="1"/>
        <v>#REF!</v>
      </c>
    </row>
    <row r="1591" spans="37:48" x14ac:dyDescent="0.25">
      <c r="AK1591" t="str">
        <f ca="1"/>
        <v>Obs. 2819</v>
      </c>
      <c r="AL1591" s="7">
        <f ca="1"/>
        <v>75.400000000000006</v>
      </c>
      <c r="AN1591" s="7" t="e">
        <f ca="1"/>
        <v>#REF!</v>
      </c>
      <c r="AO1591" s="7" t="e">
        <f ca="1"/>
        <v>#REF!</v>
      </c>
      <c r="AP1591" s="7">
        <f ca="1"/>
        <v>6.5372036017356833E-2</v>
      </c>
      <c r="AQ1591" s="7" t="e">
        <f ca="1"/>
        <v>#REF!</v>
      </c>
      <c r="AR1591" s="7" t="e">
        <f ca="1"/>
        <v>#REF!</v>
      </c>
      <c r="AS1591" s="7">
        <f ca="1"/>
        <v>1.7539324289023792</v>
      </c>
      <c r="AT1591" s="7" t="e">
        <f ca="1"/>
        <v>#REF!</v>
      </c>
      <c r="AU1591" s="7" t="e">
        <f ca="1"/>
        <v>#REF!</v>
      </c>
      <c r="AV1591" s="7" t="e">
        <f ca="1"/>
        <v>#REF!</v>
      </c>
    </row>
    <row r="1592" spans="37:48" x14ac:dyDescent="0.25">
      <c r="AK1592" t="str">
        <f ca="1"/>
        <v>Obs. 2820</v>
      </c>
      <c r="AL1592" s="7">
        <f ca="1"/>
        <v>76.2</v>
      </c>
      <c r="AN1592" s="7" t="e">
        <f ca="1"/>
        <v>#REF!</v>
      </c>
      <c r="AO1592" s="7" t="e">
        <f ca="1"/>
        <v>#REF!</v>
      </c>
      <c r="AP1592" s="7">
        <f ca="1"/>
        <v>7.2805325891935432E-2</v>
      </c>
      <c r="AQ1592" s="7" t="e">
        <f ca="1"/>
        <v>#REF!</v>
      </c>
      <c r="AR1592" s="7" t="e">
        <f ca="1"/>
        <v>#REF!</v>
      </c>
      <c r="AS1592" s="7">
        <f ca="1"/>
        <v>1.7539324289023792</v>
      </c>
      <c r="AT1592" s="7" t="e">
        <f ca="1"/>
        <v>#REF!</v>
      </c>
      <c r="AU1592" s="7" t="e">
        <f ca="1"/>
        <v>#REF!</v>
      </c>
      <c r="AV1592" s="7" t="e">
        <f ca="1"/>
        <v>#REF!</v>
      </c>
    </row>
    <row r="1593" spans="37:48" x14ac:dyDescent="0.25">
      <c r="AK1593" t="str">
        <f ca="1"/>
        <v>Obs. 2821</v>
      </c>
      <c r="AL1593" s="7">
        <f ca="1"/>
        <v>75.7</v>
      </c>
      <c r="AN1593" s="7" t="e">
        <f ca="1"/>
        <v>#REF!</v>
      </c>
      <c r="AO1593" s="7" t="e">
        <f ca="1"/>
        <v>#REF!</v>
      </c>
      <c r="AP1593" s="7">
        <f ca="1"/>
        <v>6.7392796732036742E-2</v>
      </c>
      <c r="AQ1593" s="7" t="e">
        <f ca="1"/>
        <v>#REF!</v>
      </c>
      <c r="AR1593" s="7" t="e">
        <f ca="1"/>
        <v>#REF!</v>
      </c>
      <c r="AS1593" s="7">
        <f ca="1"/>
        <v>1.7539324289023792</v>
      </c>
      <c r="AT1593" s="7" t="e">
        <f ca="1"/>
        <v>#REF!</v>
      </c>
      <c r="AU1593" s="7" t="e">
        <f ca="1"/>
        <v>#REF!</v>
      </c>
      <c r="AV1593" s="7" t="e">
        <f ca="1"/>
        <v>#REF!</v>
      </c>
    </row>
    <row r="1594" spans="37:48" x14ac:dyDescent="0.25">
      <c r="AK1594" t="str">
        <f ca="1"/>
        <v>Obs. 2822</v>
      </c>
      <c r="AL1594" s="7">
        <f ca="1"/>
        <v>75.400000000000006</v>
      </c>
      <c r="AN1594" s="7" t="e">
        <f ca="1"/>
        <v>#REF!</v>
      </c>
      <c r="AO1594" s="7" t="e">
        <f ca="1"/>
        <v>#REF!</v>
      </c>
      <c r="AP1594" s="7">
        <f ca="1"/>
        <v>6.9484730850225884E-2</v>
      </c>
      <c r="AQ1594" s="7" t="e">
        <f ca="1"/>
        <v>#REF!</v>
      </c>
      <c r="AR1594" s="7" t="e">
        <f ca="1"/>
        <v>#REF!</v>
      </c>
      <c r="AS1594" s="7">
        <f ca="1"/>
        <v>1.7539324289023792</v>
      </c>
      <c r="AT1594" s="7" t="e">
        <f ca="1"/>
        <v>#REF!</v>
      </c>
      <c r="AU1594" s="7" t="e">
        <f ca="1"/>
        <v>#REF!</v>
      </c>
      <c r="AV1594" s="7" t="e">
        <f ca="1"/>
        <v>#REF!</v>
      </c>
    </row>
    <row r="1595" spans="37:48" x14ac:dyDescent="0.25">
      <c r="AK1595" t="str">
        <f ca="1"/>
        <v>Obs. 2823</v>
      </c>
      <c r="AL1595" s="7">
        <f ca="1"/>
        <v>75.400000000000006</v>
      </c>
      <c r="AN1595" s="7" t="e">
        <f ca="1"/>
        <v>#REF!</v>
      </c>
      <c r="AO1595" s="7" t="e">
        <f ca="1"/>
        <v>#REF!</v>
      </c>
      <c r="AP1595" s="7">
        <f ca="1"/>
        <v>6.7049014674338964E-2</v>
      </c>
      <c r="AQ1595" s="7" t="e">
        <f ca="1"/>
        <v>#REF!</v>
      </c>
      <c r="AR1595" s="7" t="e">
        <f ca="1"/>
        <v>#REF!</v>
      </c>
      <c r="AS1595" s="7">
        <f ca="1"/>
        <v>1.7539324289023792</v>
      </c>
      <c r="AT1595" s="7" t="e">
        <f ca="1"/>
        <v>#REF!</v>
      </c>
      <c r="AU1595" s="7" t="e">
        <f ca="1"/>
        <v>#REF!</v>
      </c>
      <c r="AV1595" s="7" t="e">
        <f ca="1"/>
        <v>#REF!</v>
      </c>
    </row>
    <row r="1596" spans="37:48" x14ac:dyDescent="0.25">
      <c r="AK1596" t="str">
        <f ca="1"/>
        <v>Obs. 2824</v>
      </c>
      <c r="AL1596" s="7">
        <f ca="1"/>
        <v>75.400000000000006</v>
      </c>
      <c r="AN1596" s="7" t="e">
        <f ca="1"/>
        <v>#REF!</v>
      </c>
      <c r="AO1596" s="7" t="e">
        <f ca="1"/>
        <v>#REF!</v>
      </c>
      <c r="AP1596" s="7">
        <f ca="1"/>
        <v>6.6272234163318511E-2</v>
      </c>
      <c r="AQ1596" s="7" t="e">
        <f ca="1"/>
        <v>#REF!</v>
      </c>
      <c r="AR1596" s="7" t="e">
        <f ca="1"/>
        <v>#REF!</v>
      </c>
      <c r="AS1596" s="7">
        <f ca="1"/>
        <v>1.8295749434197284</v>
      </c>
      <c r="AT1596" s="7" t="e">
        <f ca="1"/>
        <v>#REF!</v>
      </c>
      <c r="AU1596" s="7" t="e">
        <f ca="1"/>
        <v>#REF!</v>
      </c>
      <c r="AV1596" s="7" t="e">
        <f ca="1"/>
        <v>#REF!</v>
      </c>
    </row>
    <row r="1597" spans="37:48" x14ac:dyDescent="0.25">
      <c r="AK1597" t="str">
        <f ca="1"/>
        <v>Obs. 2825</v>
      </c>
      <c r="AL1597" s="7">
        <f ca="1"/>
        <v>75.2</v>
      </c>
      <c r="AN1597" s="7" t="e">
        <f ca="1"/>
        <v>#REF!</v>
      </c>
      <c r="AO1597" s="7" t="e">
        <f ca="1"/>
        <v>#REF!</v>
      </c>
      <c r="AP1597" s="7">
        <f ca="1"/>
        <v>6.6987552122707725E-2</v>
      </c>
      <c r="AQ1597" s="7" t="e">
        <f ca="1"/>
        <v>#REF!</v>
      </c>
      <c r="AR1597" s="7" t="e">
        <f ca="1"/>
        <v>#REF!</v>
      </c>
      <c r="AS1597" s="7">
        <f ca="1"/>
        <v>1.8295749434197284</v>
      </c>
      <c r="AT1597" s="7" t="e">
        <f ca="1"/>
        <v>#REF!</v>
      </c>
      <c r="AU1597" s="7" t="e">
        <f ca="1"/>
        <v>#REF!</v>
      </c>
      <c r="AV1597" s="7" t="e">
        <f ca="1"/>
        <v>#REF!</v>
      </c>
    </row>
    <row r="1598" spans="37:48" x14ac:dyDescent="0.25">
      <c r="AK1598" t="str">
        <f ca="1"/>
        <v>Obs. 2826</v>
      </c>
      <c r="AL1598" s="7">
        <f ca="1"/>
        <v>75.099999999999994</v>
      </c>
      <c r="AN1598" s="7" t="e">
        <f ca="1"/>
        <v>#REF!</v>
      </c>
      <c r="AO1598" s="7" t="e">
        <f ca="1"/>
        <v>#REF!</v>
      </c>
      <c r="AP1598" s="7">
        <f ca="1"/>
        <v>8.7623810169853864E-2</v>
      </c>
      <c r="AQ1598" s="7" t="e">
        <f ca="1"/>
        <v>#REF!</v>
      </c>
      <c r="AR1598" s="7" t="e">
        <f ca="1"/>
        <v>#REF!</v>
      </c>
      <c r="AS1598" s="7">
        <f ca="1"/>
        <v>1.8460302671294702</v>
      </c>
      <c r="AT1598" s="7" t="e">
        <f ca="1"/>
        <v>#REF!</v>
      </c>
      <c r="AU1598" s="7" t="e">
        <f ca="1"/>
        <v>#REF!</v>
      </c>
      <c r="AV1598" s="7" t="e">
        <f ca="1"/>
        <v>#REF!</v>
      </c>
    </row>
    <row r="1599" spans="37:48" x14ac:dyDescent="0.25">
      <c r="AK1599" t="str">
        <f ca="1"/>
        <v>Obs. 2828</v>
      </c>
      <c r="AL1599" s="7">
        <f ca="1"/>
        <v>69.2</v>
      </c>
      <c r="AN1599" s="7" t="e">
        <f ca="1"/>
        <v>#REF!</v>
      </c>
      <c r="AO1599" s="7" t="e">
        <f ca="1"/>
        <v>#REF!</v>
      </c>
      <c r="AP1599" s="7">
        <f ca="1"/>
        <v>7.6759924416043054E-2</v>
      </c>
      <c r="AQ1599" s="7" t="e">
        <f ca="1"/>
        <v>#REF!</v>
      </c>
      <c r="AR1599" s="7" t="e">
        <f ca="1"/>
        <v>#REF!</v>
      </c>
      <c r="AS1599" s="7">
        <f ca="1"/>
        <v>1.8460302671294702</v>
      </c>
      <c r="AT1599" s="7" t="e">
        <f ca="1"/>
        <v>#REF!</v>
      </c>
      <c r="AU1599" s="7" t="e">
        <f ca="1"/>
        <v>#REF!</v>
      </c>
      <c r="AV1599" s="7" t="e">
        <f ca="1"/>
        <v>#REF!</v>
      </c>
    </row>
    <row r="1600" spans="37:48" x14ac:dyDescent="0.25">
      <c r="AK1600" t="str">
        <f ca="1"/>
        <v>Obs. 2829</v>
      </c>
      <c r="AL1600" s="7">
        <f ca="1"/>
        <v>69.099999999999994</v>
      </c>
      <c r="AN1600" s="7" t="e">
        <f ca="1"/>
        <v>#REF!</v>
      </c>
      <c r="AO1600" s="7" t="e">
        <f ca="1"/>
        <v>#REF!</v>
      </c>
      <c r="AP1600" s="7">
        <f ca="1"/>
        <v>7.6031470597967055E-2</v>
      </c>
      <c r="AQ1600" s="7" t="e">
        <f ca="1"/>
        <v>#REF!</v>
      </c>
      <c r="AR1600" s="7" t="e">
        <f ca="1"/>
        <v>#REF!</v>
      </c>
      <c r="AS1600" s="7">
        <f ca="1"/>
        <v>1.8630011940066851</v>
      </c>
      <c r="AT1600" s="7" t="e">
        <f ca="1"/>
        <v>#REF!</v>
      </c>
      <c r="AU1600" s="7" t="e">
        <f ca="1"/>
        <v>#REF!</v>
      </c>
      <c r="AV1600" s="7" t="e">
        <f ca="1"/>
        <v>#REF!</v>
      </c>
    </row>
    <row r="1601" spans="37:48" x14ac:dyDescent="0.25">
      <c r="AK1601" t="str">
        <f ca="1"/>
        <v>Obs. 2830</v>
      </c>
      <c r="AL1601" s="7">
        <f ca="1"/>
        <v>68.8</v>
      </c>
      <c r="AN1601" s="7" t="e">
        <f ca="1"/>
        <v>#REF!</v>
      </c>
      <c r="AO1601" s="7" t="e">
        <f ca="1"/>
        <v>#REF!</v>
      </c>
      <c r="AP1601" s="7">
        <f ca="1"/>
        <v>7.5542366037600783E-2</v>
      </c>
      <c r="AQ1601" s="7" t="e">
        <f ca="1"/>
        <v>#REF!</v>
      </c>
      <c r="AR1601" s="7" t="e">
        <f ca="1"/>
        <v>#REF!</v>
      </c>
      <c r="AS1601" s="7">
        <f ca="1"/>
        <v>1.8630011940066851</v>
      </c>
      <c r="AT1601" s="7" t="e">
        <f ca="1"/>
        <v>#REF!</v>
      </c>
      <c r="AU1601" s="7" t="e">
        <f ca="1"/>
        <v>#REF!</v>
      </c>
      <c r="AV1601" s="7" t="e">
        <f ca="1"/>
        <v>#REF!</v>
      </c>
    </row>
    <row r="1602" spans="37:48" x14ac:dyDescent="0.25">
      <c r="AK1602" t="str">
        <f ca="1"/>
        <v>Obs. 2831</v>
      </c>
      <c r="AL1602" s="7">
        <f ca="1"/>
        <v>68.5</v>
      </c>
      <c r="AN1602" s="7" t="e">
        <f ca="1"/>
        <v>#REF!</v>
      </c>
      <c r="AO1602" s="7" t="e">
        <f ca="1"/>
        <v>#REF!</v>
      </c>
      <c r="AP1602" s="7">
        <f ca="1"/>
        <v>7.4852138421507536E-2</v>
      </c>
      <c r="AQ1602" s="7" t="e">
        <f ca="1"/>
        <v>#REF!</v>
      </c>
      <c r="AR1602" s="7" t="e">
        <f ca="1"/>
        <v>#REF!</v>
      </c>
      <c r="AS1602" s="7">
        <f ca="1"/>
        <v>1.8630011940066851</v>
      </c>
      <c r="AT1602" s="7" t="e">
        <f ca="1"/>
        <v>#REF!</v>
      </c>
      <c r="AU1602" s="7" t="e">
        <f ca="1"/>
        <v>#REF!</v>
      </c>
      <c r="AV1602" s="7" t="e">
        <f ca="1"/>
        <v>#REF!</v>
      </c>
    </row>
    <row r="1603" spans="37:48" x14ac:dyDescent="0.25">
      <c r="AK1603" t="str">
        <f ca="1"/>
        <v>Obs. 2832</v>
      </c>
      <c r="AL1603" s="7">
        <f ca="1"/>
        <v>68.3</v>
      </c>
      <c r="AN1603" s="7" t="e">
        <f ca="1"/>
        <v>#REF!</v>
      </c>
      <c r="AO1603" s="7" t="e">
        <f ca="1"/>
        <v>#REF!</v>
      </c>
      <c r="AP1603" s="7">
        <f ca="1"/>
        <v>7.8183627786172494E-2</v>
      </c>
      <c r="AQ1603" s="7" t="e">
        <f ca="1"/>
        <v>#REF!</v>
      </c>
      <c r="AR1603" s="7" t="e">
        <f ca="1"/>
        <v>#REF!</v>
      </c>
      <c r="AS1603" s="7">
        <f ca="1"/>
        <v>1.8895099603334296</v>
      </c>
      <c r="AT1603" s="7" t="e">
        <f ca="1"/>
        <v>#REF!</v>
      </c>
      <c r="AU1603" s="7" t="e">
        <f ca="1"/>
        <v>#REF!</v>
      </c>
      <c r="AV1603" s="7" t="e">
        <f ca="1"/>
        <v>#REF!</v>
      </c>
    </row>
    <row r="1604" spans="37:48" x14ac:dyDescent="0.25">
      <c r="AK1604" t="str">
        <f ca="1"/>
        <v>Obs. 2833</v>
      </c>
      <c r="AL1604" s="7">
        <f ca="1"/>
        <v>68</v>
      </c>
      <c r="AN1604" s="7" t="e">
        <f ca="1"/>
        <v>#REF!</v>
      </c>
      <c r="AO1604" s="7" t="e">
        <f ca="1"/>
        <v>#REF!</v>
      </c>
      <c r="AP1604" s="7">
        <f ca="1"/>
        <v>7.7928660736052466E-2</v>
      </c>
      <c r="AQ1604" s="7" t="e">
        <f ca="1"/>
        <v>#REF!</v>
      </c>
      <c r="AR1604" s="7" t="e">
        <f ca="1"/>
        <v>#REF!</v>
      </c>
      <c r="AS1604" s="7">
        <f ca="1"/>
        <v>1.898648757670367</v>
      </c>
      <c r="AT1604" s="7" t="e">
        <f ca="1"/>
        <v>#REF!</v>
      </c>
      <c r="AU1604" s="7" t="e">
        <f ca="1"/>
        <v>#REF!</v>
      </c>
      <c r="AV1604" s="7" t="e">
        <f ca="1"/>
        <v>#REF!</v>
      </c>
    </row>
    <row r="1605" spans="37:48" x14ac:dyDescent="0.25">
      <c r="AK1605" t="str">
        <f ca="1"/>
        <v>Obs. 2834</v>
      </c>
      <c r="AL1605" s="7">
        <f ca="1"/>
        <v>67.900000000000006</v>
      </c>
      <c r="AN1605" s="7" t="e">
        <f ca="1"/>
        <v>#REF!</v>
      </c>
      <c r="AO1605" s="7" t="e">
        <f ca="1"/>
        <v>#REF!</v>
      </c>
      <c r="AP1605" s="7">
        <f ca="1"/>
        <v>7.4053253730048438E-2</v>
      </c>
      <c r="AQ1605" s="7" t="e">
        <f ca="1"/>
        <v>#REF!</v>
      </c>
      <c r="AR1605" s="7" t="e">
        <f ca="1"/>
        <v>#REF!</v>
      </c>
      <c r="AS1605" s="7">
        <f ca="1"/>
        <v>1.898648757670367</v>
      </c>
      <c r="AT1605" s="7" t="e">
        <f ca="1"/>
        <v>#REF!</v>
      </c>
      <c r="AU1605" s="7" t="e">
        <f ca="1"/>
        <v>#REF!</v>
      </c>
      <c r="AV1605" s="7" t="e">
        <f ca="1"/>
        <v>#REF!</v>
      </c>
    </row>
    <row r="1606" spans="37:48" x14ac:dyDescent="0.25">
      <c r="AK1606" t="str">
        <f ca="1"/>
        <v>Obs. 2835</v>
      </c>
      <c r="AL1606" s="7">
        <f ca="1"/>
        <v>67.8</v>
      </c>
      <c r="AN1606" s="7" t="e">
        <f ca="1"/>
        <v>#REF!</v>
      </c>
      <c r="AO1606" s="7" t="e">
        <f ca="1"/>
        <v>#REF!</v>
      </c>
      <c r="AP1606" s="7">
        <f ca="1"/>
        <v>7.4024284271340904E-2</v>
      </c>
      <c r="AQ1606" s="7" t="e">
        <f ca="1"/>
        <v>#REF!</v>
      </c>
      <c r="AR1606" s="7" t="e">
        <f ca="1"/>
        <v>#REF!</v>
      </c>
      <c r="AS1606" s="7">
        <f ca="1"/>
        <v>1.917417123160428</v>
      </c>
      <c r="AT1606" s="7" t="e">
        <f ca="1"/>
        <v>#REF!</v>
      </c>
      <c r="AU1606" s="7" t="e">
        <f ca="1"/>
        <v>#REF!</v>
      </c>
      <c r="AV1606" s="7" t="e">
        <f ca="1"/>
        <v>#REF!</v>
      </c>
    </row>
    <row r="1607" spans="37:48" x14ac:dyDescent="0.25">
      <c r="AK1607" t="str">
        <f ca="1"/>
        <v>Obs. 2836</v>
      </c>
      <c r="AL1607" s="7">
        <f ca="1"/>
        <v>67.599999999999994</v>
      </c>
      <c r="AN1607" s="7" t="e">
        <f ca="1"/>
        <v>#REF!</v>
      </c>
      <c r="AO1607" s="7" t="e">
        <f ca="1"/>
        <v>#REF!</v>
      </c>
      <c r="AP1607" s="7">
        <f ca="1"/>
        <v>7.4249781514329635E-2</v>
      </c>
      <c r="AQ1607" s="7" t="e">
        <f ca="1"/>
        <v>#REF!</v>
      </c>
      <c r="AR1607" s="7" t="e">
        <f ca="1"/>
        <v>#REF!</v>
      </c>
      <c r="AS1607" s="7">
        <f ca="1"/>
        <v>1.9270603903023944</v>
      </c>
      <c r="AT1607" s="7" t="e">
        <f ca="1"/>
        <v>#REF!</v>
      </c>
      <c r="AU1607" s="7" t="e">
        <f ca="1"/>
        <v>#REF!</v>
      </c>
      <c r="AV1607" s="7" t="e">
        <f ca="1"/>
        <v>#REF!</v>
      </c>
    </row>
    <row r="1608" spans="37:48" x14ac:dyDescent="0.25">
      <c r="AK1608" t="str">
        <f ca="1"/>
        <v>Obs. 2837</v>
      </c>
      <c r="AL1608" s="7">
        <f ca="1"/>
        <v>67.3</v>
      </c>
      <c r="AN1608" s="7" t="e">
        <f ca="1"/>
        <v>#REF!</v>
      </c>
      <c r="AO1608" s="7" t="e">
        <f ca="1"/>
        <v>#REF!</v>
      </c>
      <c r="AP1608" s="7">
        <f ca="1"/>
        <v>7.4631851828558804E-2</v>
      </c>
      <c r="AQ1608" s="7" t="e">
        <f ca="1"/>
        <v>#REF!</v>
      </c>
      <c r="AR1608" s="7" t="e">
        <f ca="1"/>
        <v>#REF!</v>
      </c>
      <c r="AS1608" s="7">
        <f ca="1"/>
        <v>1.9368862628682144</v>
      </c>
      <c r="AT1608" s="7" t="e">
        <f ca="1"/>
        <v>#REF!</v>
      </c>
      <c r="AU1608" s="7" t="e">
        <f ca="1"/>
        <v>#REF!</v>
      </c>
      <c r="AV1608" s="7" t="e">
        <f ca="1"/>
        <v>#REF!</v>
      </c>
    </row>
    <row r="1609" spans="37:48" x14ac:dyDescent="0.25">
      <c r="AK1609" t="str">
        <f ca="1"/>
        <v>Obs. 2838</v>
      </c>
      <c r="AL1609" s="7">
        <f ca="1"/>
        <v>67.8</v>
      </c>
      <c r="AN1609" s="7" t="e">
        <f ca="1"/>
        <v>#REF!</v>
      </c>
      <c r="AO1609" s="7" t="e">
        <f ca="1"/>
        <v>#REF!</v>
      </c>
      <c r="AP1609" s="7">
        <f ca="1"/>
        <v>7.4718991397199466E-2</v>
      </c>
      <c r="AQ1609" s="7" t="e">
        <f ca="1"/>
        <v>#REF!</v>
      </c>
      <c r="AR1609" s="7" t="e">
        <f ca="1"/>
        <v>#REF!</v>
      </c>
      <c r="AS1609" s="7">
        <f ca="1"/>
        <v>1.9368862628682144</v>
      </c>
      <c r="AT1609" s="7" t="e">
        <f ca="1"/>
        <v>#REF!</v>
      </c>
      <c r="AU1609" s="7" t="e">
        <f ca="1"/>
        <v>#REF!</v>
      </c>
      <c r="AV1609" s="7" t="e">
        <f ca="1"/>
        <v>#REF!</v>
      </c>
    </row>
    <row r="1610" spans="37:48" x14ac:dyDescent="0.25">
      <c r="AK1610" t="str">
        <f ca="1"/>
        <v>Obs. 2839</v>
      </c>
      <c r="AL1610" s="7">
        <f ca="1"/>
        <v>67.2</v>
      </c>
      <c r="AN1610" s="7" t="e">
        <f ca="1"/>
        <v>#REF!</v>
      </c>
      <c r="AO1610" s="7" t="e">
        <f ca="1"/>
        <v>#REF!</v>
      </c>
      <c r="AP1610" s="7">
        <f ca="1"/>
        <v>7.5190316613547498E-2</v>
      </c>
      <c r="AQ1610" s="7" t="e">
        <f ca="1"/>
        <v>#REF!</v>
      </c>
      <c r="AR1610" s="7" t="e">
        <f ca="1"/>
        <v>#REF!</v>
      </c>
      <c r="AS1610" s="7">
        <f ca="1"/>
        <v>1.9368862628682144</v>
      </c>
      <c r="AT1610" s="7" t="e">
        <f ca="1"/>
        <v>#REF!</v>
      </c>
      <c r="AU1610" s="7" t="e">
        <f ca="1"/>
        <v>#REF!</v>
      </c>
      <c r="AV1610" s="7" t="e">
        <f ca="1"/>
        <v>#REF!</v>
      </c>
    </row>
    <row r="1611" spans="37:48" x14ac:dyDescent="0.25">
      <c r="AK1611" t="str">
        <f ca="1"/>
        <v>Obs. 2840</v>
      </c>
      <c r="AL1611" s="7">
        <f ca="1"/>
        <v>67.099999999999994</v>
      </c>
      <c r="AN1611" s="7" t="e">
        <f ca="1"/>
        <v>#REF!</v>
      </c>
      <c r="AO1611" s="7" t="e">
        <f ca="1"/>
        <v>#REF!</v>
      </c>
      <c r="AP1611" s="7">
        <f ca="1"/>
        <v>7.706909076920089E-2</v>
      </c>
      <c r="AQ1611" s="7" t="e">
        <f ca="1"/>
        <v>#REF!</v>
      </c>
      <c r="AR1611" s="7" t="e">
        <f ca="1"/>
        <v>#REF!</v>
      </c>
      <c r="AS1611" s="7">
        <f ca="1"/>
        <v>1.9368862628682144</v>
      </c>
      <c r="AT1611" s="7" t="e">
        <f ca="1"/>
        <v>#REF!</v>
      </c>
      <c r="AU1611" s="7" t="e">
        <f ca="1"/>
        <v>#REF!</v>
      </c>
      <c r="AV1611" s="7" t="e">
        <f ca="1"/>
        <v>#REF!</v>
      </c>
    </row>
    <row r="1612" spans="37:48" x14ac:dyDescent="0.25">
      <c r="AK1612" t="str">
        <f ca="1"/>
        <v>Obs. 2844</v>
      </c>
      <c r="AL1612" s="7">
        <f ca="1"/>
        <v>71.7</v>
      </c>
      <c r="AN1612" s="7" t="e">
        <f ca="1"/>
        <v>#REF!</v>
      </c>
      <c r="AO1612" s="7" t="e">
        <f ca="1"/>
        <v>#REF!</v>
      </c>
      <c r="AP1612" s="7">
        <f ca="1"/>
        <v>7.1149749196241549E-2</v>
      </c>
      <c r="AQ1612" s="7" t="e">
        <f ca="1"/>
        <v>#REF!</v>
      </c>
      <c r="AR1612" s="7" t="e">
        <f ca="1"/>
        <v>#REF!</v>
      </c>
      <c r="AS1612" s="7">
        <f ca="1"/>
        <v>1.9368862628682144</v>
      </c>
      <c r="AT1612" s="7" t="e">
        <f ca="1"/>
        <v>#REF!</v>
      </c>
      <c r="AU1612" s="7" t="e">
        <f ca="1"/>
        <v>#REF!</v>
      </c>
      <c r="AV1612" s="7" t="e">
        <f ca="1"/>
        <v>#REF!</v>
      </c>
    </row>
    <row r="1613" spans="37:48" x14ac:dyDescent="0.25">
      <c r="AK1613" t="str">
        <f ca="1"/>
        <v>Obs. 2845</v>
      </c>
      <c r="AL1613" s="7">
        <f ca="1"/>
        <v>71.599999999999994</v>
      </c>
      <c r="AN1613" s="7" t="e">
        <f ca="1"/>
        <v>#REF!</v>
      </c>
      <c r="AO1613" s="7" t="e">
        <f ca="1"/>
        <v>#REF!</v>
      </c>
      <c r="AP1613" s="7">
        <f ca="1"/>
        <v>7.026996006216793E-2</v>
      </c>
      <c r="AQ1613" s="7" t="e">
        <f ca="1"/>
        <v>#REF!</v>
      </c>
      <c r="AR1613" s="7" t="e">
        <f ca="1"/>
        <v>#REF!</v>
      </c>
      <c r="AS1613" s="7">
        <f ca="1"/>
        <v>1.9368862628682144</v>
      </c>
      <c r="AT1613" s="7" t="e">
        <f ca="1"/>
        <v>#REF!</v>
      </c>
      <c r="AU1613" s="7" t="e">
        <f ca="1"/>
        <v>#REF!</v>
      </c>
      <c r="AV1613" s="7" t="e">
        <f ca="1"/>
        <v>#REF!</v>
      </c>
    </row>
    <row r="1614" spans="37:48" x14ac:dyDescent="0.25">
      <c r="AK1614" t="str">
        <f ca="1"/>
        <v>Obs. 2846</v>
      </c>
      <c r="AL1614" s="7">
        <f ca="1"/>
        <v>71.400000000000006</v>
      </c>
      <c r="AN1614" s="7" t="e">
        <f ca="1"/>
        <v>#REF!</v>
      </c>
      <c r="AO1614" s="7" t="e">
        <f ca="1"/>
        <v>#REF!</v>
      </c>
      <c r="AP1614" s="7">
        <f ca="1"/>
        <v>7.7633562665525846E-2</v>
      </c>
      <c r="AQ1614" s="7" t="e">
        <f ca="1"/>
        <v>#REF!</v>
      </c>
      <c r="AR1614" s="7" t="e">
        <f ca="1"/>
        <v>#REF!</v>
      </c>
      <c r="AS1614" s="7">
        <f ca="1"/>
        <v>1.9368862628682144</v>
      </c>
      <c r="AT1614" s="7" t="e">
        <f ca="1"/>
        <v>#REF!</v>
      </c>
      <c r="AU1614" s="7" t="e">
        <f ca="1"/>
        <v>#REF!</v>
      </c>
      <c r="AV1614" s="7" t="e">
        <f ca="1"/>
        <v>#REF!</v>
      </c>
    </row>
    <row r="1615" spans="37:48" x14ac:dyDescent="0.25">
      <c r="AK1615" t="str">
        <f ca="1"/>
        <v>Obs. 2847</v>
      </c>
      <c r="AL1615" s="7">
        <f ca="1"/>
        <v>71.2</v>
      </c>
      <c r="AN1615" s="7" t="e">
        <f ca="1"/>
        <v>#REF!</v>
      </c>
      <c r="AO1615" s="7" t="e">
        <f ca="1"/>
        <v>#REF!</v>
      </c>
      <c r="AP1615" s="7">
        <f ca="1"/>
        <v>6.964852077513714E-2</v>
      </c>
      <c r="AQ1615" s="7" t="e">
        <f ca="1"/>
        <v>#REF!</v>
      </c>
      <c r="AR1615" s="7" t="e">
        <f ca="1"/>
        <v>#REF!</v>
      </c>
      <c r="AS1615" s="7">
        <f ca="1"/>
        <v>1.9368862628682144</v>
      </c>
      <c r="AT1615" s="7" t="e">
        <f ca="1"/>
        <v>#REF!</v>
      </c>
      <c r="AU1615" s="7" t="e">
        <f ca="1"/>
        <v>#REF!</v>
      </c>
      <c r="AV1615" s="7" t="e">
        <f ca="1"/>
        <v>#REF!</v>
      </c>
    </row>
    <row r="1616" spans="37:48" x14ac:dyDescent="0.25">
      <c r="AK1616" t="str">
        <f ca="1"/>
        <v>Obs. 2848</v>
      </c>
      <c r="AL1616" s="7">
        <f ca="1"/>
        <v>71</v>
      </c>
      <c r="AN1616" s="7" t="e">
        <f ca="1"/>
        <v>#REF!</v>
      </c>
      <c r="AO1616" s="7" t="e">
        <f ca="1"/>
        <v>#REF!</v>
      </c>
      <c r="AP1616" s="7">
        <f ca="1"/>
        <v>6.9736986920590105E-2</v>
      </c>
      <c r="AQ1616" s="7" t="e">
        <f ca="1"/>
        <v>#REF!</v>
      </c>
      <c r="AR1616" s="7" t="e">
        <f ca="1"/>
        <v>#REF!</v>
      </c>
      <c r="AS1616" s="7">
        <f ca="1"/>
        <v>1.9368862628682144</v>
      </c>
      <c r="AT1616" s="7" t="e">
        <f ca="1"/>
        <v>#REF!</v>
      </c>
      <c r="AU1616" s="7" t="e">
        <f ca="1"/>
        <v>#REF!</v>
      </c>
      <c r="AV1616" s="7" t="e">
        <f ca="1"/>
        <v>#REF!</v>
      </c>
    </row>
    <row r="1617" spans="37:48" x14ac:dyDescent="0.25">
      <c r="AK1617" t="str">
        <f ca="1"/>
        <v>Obs. 2849</v>
      </c>
      <c r="AL1617" s="7">
        <f ca="1"/>
        <v>78</v>
      </c>
      <c r="AN1617" s="7" t="e">
        <f ca="1"/>
        <v>#REF!</v>
      </c>
      <c r="AO1617" s="7" t="e">
        <f ca="1"/>
        <v>#REF!</v>
      </c>
      <c r="AP1617" s="7">
        <f ca="1"/>
        <v>6.9931038887776742E-2</v>
      </c>
      <c r="AQ1617" s="7" t="e">
        <f ca="1"/>
        <v>#REF!</v>
      </c>
      <c r="AR1617" s="7" t="e">
        <f ca="1"/>
        <v>#REF!</v>
      </c>
      <c r="AS1617" s="7">
        <f ca="1"/>
        <v>2.0350728680272758</v>
      </c>
      <c r="AT1617" s="7" t="e">
        <f ca="1"/>
        <v>#REF!</v>
      </c>
      <c r="AU1617" s="7" t="e">
        <f ca="1"/>
        <v>#REF!</v>
      </c>
      <c r="AV1617" s="7" t="e">
        <f ca="1"/>
        <v>#REF!</v>
      </c>
    </row>
    <row r="1618" spans="37:48" x14ac:dyDescent="0.25">
      <c r="AK1618" t="str">
        <f ca="1"/>
        <v>Obs. 2850</v>
      </c>
      <c r="AL1618" s="7">
        <f ca="1"/>
        <v>75</v>
      </c>
      <c r="AN1618" s="7" t="e">
        <f ca="1"/>
        <v>#REF!</v>
      </c>
      <c r="AO1618" s="7" t="e">
        <f ca="1"/>
        <v>#REF!</v>
      </c>
      <c r="AP1618" s="7">
        <f ca="1"/>
        <v>6.9962006407154803E-2</v>
      </c>
      <c r="AQ1618" s="7" t="e">
        <f ca="1"/>
        <v>#REF!</v>
      </c>
      <c r="AR1618" s="7" t="e">
        <f ca="1"/>
        <v>#REF!</v>
      </c>
      <c r="AS1618" s="7">
        <f ca="1"/>
        <v>2.0350728680272758</v>
      </c>
      <c r="AT1618" s="7" t="e">
        <f ca="1"/>
        <v>#REF!</v>
      </c>
      <c r="AU1618" s="7" t="e">
        <f ca="1"/>
        <v>#REF!</v>
      </c>
      <c r="AV1618" s="7" t="e">
        <f ca="1"/>
        <v>#REF!</v>
      </c>
    </row>
    <row r="1619" spans="37:48" x14ac:dyDescent="0.25">
      <c r="AK1619" t="str">
        <f ca="1"/>
        <v>Obs. 2851</v>
      </c>
      <c r="AL1619" s="7">
        <f ca="1"/>
        <v>73</v>
      </c>
      <c r="AN1619" s="7" t="e">
        <f ca="1"/>
        <v>#REF!</v>
      </c>
      <c r="AO1619" s="7" t="e">
        <f ca="1"/>
        <v>#REF!</v>
      </c>
      <c r="AP1619" s="7">
        <f ca="1"/>
        <v>7.5954432425692026E-2</v>
      </c>
      <c r="AQ1619" s="7" t="e">
        <f ca="1"/>
        <v>#REF!</v>
      </c>
      <c r="AR1619" s="7" t="e">
        <f ca="1"/>
        <v>#REF!</v>
      </c>
      <c r="AS1619" s="7">
        <f ca="1"/>
        <v>2.0350728680272758</v>
      </c>
      <c r="AT1619" s="7" t="e">
        <f ca="1"/>
        <v>#REF!</v>
      </c>
      <c r="AU1619" s="7" t="e">
        <f ca="1"/>
        <v>#REF!</v>
      </c>
      <c r="AV1619" s="7" t="e">
        <f ca="1"/>
        <v>#REF!</v>
      </c>
    </row>
    <row r="1620" spans="37:48" x14ac:dyDescent="0.25">
      <c r="AK1620" t="str">
        <f ca="1"/>
        <v>Obs. 2852</v>
      </c>
      <c r="AL1620" s="7">
        <f ca="1"/>
        <v>71</v>
      </c>
      <c r="AN1620" s="7" t="e">
        <f ca="1"/>
        <v>#REF!</v>
      </c>
      <c r="AO1620" s="7" t="e">
        <f ca="1"/>
        <v>#REF!</v>
      </c>
      <c r="AP1620" s="7">
        <f ca="1"/>
        <v>7.080358391415148E-2</v>
      </c>
      <c r="AQ1620" s="7" t="e">
        <f ca="1"/>
        <v>#REF!</v>
      </c>
      <c r="AR1620" s="7" t="e">
        <f ca="1"/>
        <v>#REF!</v>
      </c>
      <c r="AS1620" s="7">
        <f ca="1"/>
        <v>2.0350728680272758</v>
      </c>
      <c r="AT1620" s="7" t="e">
        <f ca="1"/>
        <v>#REF!</v>
      </c>
      <c r="AU1620" s="7" t="e">
        <f ca="1"/>
        <v>#REF!</v>
      </c>
      <c r="AV1620" s="7" t="e">
        <f ca="1"/>
        <v>#REF!</v>
      </c>
    </row>
    <row r="1621" spans="37:48" x14ac:dyDescent="0.25">
      <c r="AK1621" t="str">
        <f ca="1"/>
        <v>Obs. 2853</v>
      </c>
      <c r="AL1621" s="7">
        <f ca="1"/>
        <v>69.900000000000006</v>
      </c>
      <c r="AN1621" s="7" t="e">
        <f ca="1"/>
        <v>#REF!</v>
      </c>
      <c r="AO1621" s="7" t="e">
        <f ca="1"/>
        <v>#REF!</v>
      </c>
      <c r="AP1621" s="7">
        <f ca="1"/>
        <v>7.8808802125212449E-2</v>
      </c>
      <c r="AQ1621" s="7" t="e">
        <f ca="1"/>
        <v>#REF!</v>
      </c>
      <c r="AR1621" s="7" t="e">
        <f ca="1"/>
        <v>#REF!</v>
      </c>
      <c r="AS1621" s="7">
        <f ca="1"/>
        <v>2.0350728680272758</v>
      </c>
      <c r="AT1621" s="7" t="e">
        <f ca="1"/>
        <v>#REF!</v>
      </c>
      <c r="AU1621" s="7" t="e">
        <f ca="1"/>
        <v>#REF!</v>
      </c>
      <c r="AV1621" s="7" t="e">
        <f ca="1"/>
        <v>#REF!</v>
      </c>
    </row>
    <row r="1622" spans="37:48" x14ac:dyDescent="0.25">
      <c r="AK1622" t="str">
        <f ca="1"/>
        <v>Obs. 2854</v>
      </c>
      <c r="AL1622" s="7">
        <f ca="1"/>
        <v>69.599999999999994</v>
      </c>
      <c r="AN1622" s="7" t="e">
        <f ca="1"/>
        <v>#REF!</v>
      </c>
      <c r="AO1622" s="7" t="e">
        <f ca="1"/>
        <v>#REF!</v>
      </c>
      <c r="AP1622" s="7">
        <f ca="1"/>
        <v>7.8709093375599518E-2</v>
      </c>
      <c r="AQ1622" s="7" t="e">
        <f ca="1"/>
        <v>#REF!</v>
      </c>
      <c r="AR1622" s="7" t="e">
        <f ca="1"/>
        <v>#REF!</v>
      </c>
      <c r="AS1622" s="7">
        <f ca="1"/>
        <v>2.0350728680272758</v>
      </c>
      <c r="AT1622" s="7" t="e">
        <f ca="1"/>
        <v>#REF!</v>
      </c>
      <c r="AU1622" s="7" t="e">
        <f ca="1"/>
        <v>#REF!</v>
      </c>
      <c r="AV1622" s="7" t="e">
        <f ca="1"/>
        <v>#REF!</v>
      </c>
    </row>
    <row r="1623" spans="37:48" x14ac:dyDescent="0.25">
      <c r="AK1623" t="str">
        <f ca="1"/>
        <v>Obs. 2855</v>
      </c>
      <c r="AL1623" s="7">
        <f ca="1"/>
        <v>69.400000000000006</v>
      </c>
      <c r="AN1623" s="7" t="e">
        <f ca="1"/>
        <v>#REF!</v>
      </c>
      <c r="AO1623" s="7" t="e">
        <f ca="1"/>
        <v>#REF!</v>
      </c>
      <c r="AP1623" s="7">
        <f ca="1"/>
        <v>7.8025163829674837E-2</v>
      </c>
      <c r="AQ1623" s="7" t="e">
        <f ca="1"/>
        <v>#REF!</v>
      </c>
      <c r="AR1623" s="7" t="e">
        <f ca="1"/>
        <v>#REF!</v>
      </c>
      <c r="AS1623" s="7">
        <f ca="1"/>
        <v>2.1134016615055304</v>
      </c>
      <c r="AT1623" s="7" t="e">
        <f ca="1"/>
        <v>#REF!</v>
      </c>
      <c r="AU1623" s="7" t="e">
        <f ca="1"/>
        <v>#REF!</v>
      </c>
      <c r="AV1623" s="7" t="e">
        <f ca="1"/>
        <v>#REF!</v>
      </c>
    </row>
    <row r="1624" spans="37:48" x14ac:dyDescent="0.25">
      <c r="AK1624" t="str">
        <f ca="1"/>
        <v>Obs. 2856</v>
      </c>
      <c r="AL1624" s="7">
        <f ca="1"/>
        <v>69.3</v>
      </c>
      <c r="AN1624" s="7" t="e">
        <f ca="1"/>
        <v>#REF!</v>
      </c>
      <c r="AO1624" s="7" t="e">
        <f ca="1"/>
        <v>#REF!</v>
      </c>
      <c r="AP1624" s="7">
        <f ca="1"/>
        <v>8.5359562267007763E-2</v>
      </c>
      <c r="AQ1624" s="7" t="e">
        <f ca="1"/>
        <v>#REF!</v>
      </c>
      <c r="AR1624" s="7" t="e">
        <f ca="1"/>
        <v>#REF!</v>
      </c>
      <c r="AS1624" s="7">
        <f ca="1"/>
        <v>2.1134016615055304</v>
      </c>
      <c r="AT1624" s="7" t="e">
        <f ca="1"/>
        <v>#REF!</v>
      </c>
      <c r="AU1624" s="7" t="e">
        <f ca="1"/>
        <v>#REF!</v>
      </c>
      <c r="AV1624" s="7" t="e">
        <f ca="1"/>
        <v>#REF!</v>
      </c>
    </row>
    <row r="1625" spans="37:48" x14ac:dyDescent="0.25">
      <c r="AK1625" t="str">
        <f ca="1"/>
        <v>Obs. 2857</v>
      </c>
      <c r="AL1625" s="7">
        <f ca="1"/>
        <v>69.099999999999994</v>
      </c>
      <c r="AN1625" s="7" t="e">
        <f ca="1"/>
        <v>#REF!</v>
      </c>
      <c r="AO1625" s="7" t="e">
        <f ca="1"/>
        <v>#REF!</v>
      </c>
      <c r="AP1625" s="7">
        <f ca="1"/>
        <v>8.567037368444122E-2</v>
      </c>
      <c r="AQ1625" s="7" t="e">
        <f ca="1"/>
        <v>#REF!</v>
      </c>
      <c r="AR1625" s="7" t="e">
        <f ca="1"/>
        <v>#REF!</v>
      </c>
      <c r="AS1625" s="7">
        <f ca="1"/>
        <v>2.1134016615055304</v>
      </c>
      <c r="AT1625" s="7" t="e">
        <f ca="1"/>
        <v>#REF!</v>
      </c>
      <c r="AU1625" s="7" t="e">
        <f ca="1"/>
        <v>#REF!</v>
      </c>
      <c r="AV1625" s="7" t="e">
        <f ca="1"/>
        <v>#REF!</v>
      </c>
    </row>
    <row r="1626" spans="37:48" x14ac:dyDescent="0.25">
      <c r="AK1626" t="str">
        <f ca="1"/>
        <v>Obs. 2858</v>
      </c>
      <c r="AL1626" s="7">
        <f ca="1"/>
        <v>69</v>
      </c>
      <c r="AN1626" s="7" t="e">
        <f ca="1"/>
        <v>#REF!</v>
      </c>
      <c r="AO1626" s="7" t="e">
        <f ca="1"/>
        <v>#REF!</v>
      </c>
      <c r="AP1626" s="7">
        <f ca="1"/>
        <v>8.5424020186008295E-2</v>
      </c>
      <c r="AQ1626" s="7" t="e">
        <f ca="1"/>
        <v>#REF!</v>
      </c>
      <c r="AR1626" s="7" t="e">
        <f ca="1"/>
        <v>#REF!</v>
      </c>
      <c r="AS1626" s="7">
        <f ca="1"/>
        <v>2.1134016615055304</v>
      </c>
      <c r="AT1626" s="7" t="e">
        <f ca="1"/>
        <v>#REF!</v>
      </c>
      <c r="AU1626" s="7" t="e">
        <f ca="1"/>
        <v>#REF!</v>
      </c>
      <c r="AV1626" s="7" t="e">
        <f ca="1"/>
        <v>#REF!</v>
      </c>
    </row>
    <row r="1627" spans="37:48" x14ac:dyDescent="0.25">
      <c r="AK1627" t="str">
        <f ca="1"/>
        <v>Obs. 2908</v>
      </c>
      <c r="AL1627" s="7">
        <f ca="1"/>
        <v>61.1</v>
      </c>
      <c r="AN1627" s="7" t="e">
        <f ca="1"/>
        <v>#REF!</v>
      </c>
      <c r="AO1627" s="7" t="e">
        <f ca="1"/>
        <v>#REF!</v>
      </c>
      <c r="AP1627" s="7">
        <f ca="1"/>
        <v>0.10131060410895563</v>
      </c>
      <c r="AQ1627" s="7" t="e">
        <f ca="1"/>
        <v>#REF!</v>
      </c>
      <c r="AR1627" s="7" t="e">
        <f ca="1"/>
        <v>#REF!</v>
      </c>
      <c r="AS1627" s="7">
        <f ca="1"/>
        <v>2.1134016615055304</v>
      </c>
      <c r="AT1627" s="7" t="e">
        <f ca="1"/>
        <v>#REF!</v>
      </c>
      <c r="AU1627" s="7" t="e">
        <f ca="1"/>
        <v>#REF!</v>
      </c>
      <c r="AV1627" s="7" t="e">
        <f ca="1"/>
        <v>#REF!</v>
      </c>
    </row>
    <row r="1628" spans="37:48" x14ac:dyDescent="0.25">
      <c r="AK1628" t="str">
        <f ca="1"/>
        <v>Obs. 2909</v>
      </c>
      <c r="AL1628" s="7">
        <f ca="1"/>
        <v>63</v>
      </c>
      <c r="AN1628" s="7" t="e">
        <f ca="1"/>
        <v>#REF!</v>
      </c>
      <c r="AO1628" s="7" t="e">
        <f ca="1"/>
        <v>#REF!</v>
      </c>
      <c r="AP1628" s="7">
        <f ca="1"/>
        <v>0.10034529706597575</v>
      </c>
      <c r="AQ1628" s="7" t="e">
        <f ca="1"/>
        <v>#REF!</v>
      </c>
      <c r="AR1628" s="7" t="e">
        <f ca="1"/>
        <v>#REF!</v>
      </c>
      <c r="AS1628" s="7">
        <f ca="1"/>
        <v>2.190305027167327</v>
      </c>
      <c r="AT1628" s="7" t="e">
        <f ca="1"/>
        <v>#REF!</v>
      </c>
      <c r="AU1628" s="7" t="e">
        <f ca="1"/>
        <v>#REF!</v>
      </c>
      <c r="AV1628" s="7" t="e">
        <f ca="1"/>
        <v>#REF!</v>
      </c>
    </row>
    <row r="1629" spans="37:48" x14ac:dyDescent="0.25">
      <c r="AK1629" t="str">
        <f ca="1"/>
        <v>Obs. 2910</v>
      </c>
      <c r="AL1629" s="7">
        <f ca="1"/>
        <v>59.2</v>
      </c>
      <c r="AN1629" s="7" t="e">
        <f ca="1"/>
        <v>#REF!</v>
      </c>
      <c r="AO1629" s="7" t="e">
        <f ca="1"/>
        <v>#REF!</v>
      </c>
      <c r="AP1629" s="7">
        <f ca="1"/>
        <v>0.10590531632338585</v>
      </c>
      <c r="AQ1629" s="7" t="e">
        <f ca="1"/>
        <v>#REF!</v>
      </c>
      <c r="AR1629" s="7" t="e">
        <f ca="1"/>
        <v>#REF!</v>
      </c>
      <c r="AS1629" s="7">
        <f ca="1"/>
        <v>2.190305027167327</v>
      </c>
      <c r="AT1629" s="7" t="e">
        <f ca="1"/>
        <v>#REF!</v>
      </c>
      <c r="AU1629" s="7" t="e">
        <f ca="1"/>
        <v>#REF!</v>
      </c>
      <c r="AV1629" s="7" t="e">
        <f ca="1"/>
        <v>#REF!</v>
      </c>
    </row>
    <row r="1630" spans="37:48" x14ac:dyDescent="0.25">
      <c r="AK1630" t="str">
        <f ca="1"/>
        <v>Obs. 2911</v>
      </c>
      <c r="AL1630" s="7">
        <f ca="1"/>
        <v>58.2</v>
      </c>
      <c r="AN1630" s="7" t="e">
        <f ca="1"/>
        <v>#REF!</v>
      </c>
      <c r="AO1630" s="7" t="e">
        <f ca="1"/>
        <v>#REF!</v>
      </c>
      <c r="AP1630" s="7">
        <f ca="1"/>
        <v>0.10102213114602576</v>
      </c>
      <c r="AQ1630" s="7" t="e">
        <f ca="1"/>
        <v>#REF!</v>
      </c>
      <c r="AR1630" s="7" t="e">
        <f ca="1"/>
        <v>#REF!</v>
      </c>
      <c r="AS1630" s="7">
        <f ca="1"/>
        <v>2.190305027167327</v>
      </c>
      <c r="AT1630" s="7" t="e">
        <f ca="1"/>
        <v>#REF!</v>
      </c>
      <c r="AU1630" s="7" t="e">
        <f ca="1"/>
        <v>#REF!</v>
      </c>
      <c r="AV1630" s="7" t="e">
        <f ca="1"/>
        <v>#REF!</v>
      </c>
    </row>
    <row r="1631" spans="37:48" x14ac:dyDescent="0.25">
      <c r="AK1631" t="str">
        <f ca="1"/>
        <v>Obs. 2912</v>
      </c>
      <c r="AL1631" s="7">
        <f ca="1"/>
        <v>58</v>
      </c>
      <c r="AN1631" s="7" t="e">
        <f ca="1"/>
        <v>#REF!</v>
      </c>
      <c r="AO1631" s="7" t="e">
        <f ca="1"/>
        <v>#REF!</v>
      </c>
      <c r="AP1631" s="7">
        <f ca="1"/>
        <v>0.1087917059175333</v>
      </c>
      <c r="AQ1631" s="7" t="e">
        <f ca="1"/>
        <v>#REF!</v>
      </c>
      <c r="AR1631" s="7" t="e">
        <f ca="1"/>
        <v>#REF!</v>
      </c>
      <c r="AS1631" s="7">
        <f ca="1"/>
        <v>2.190305027167327</v>
      </c>
      <c r="AT1631" s="7" t="e">
        <f ca="1"/>
        <v>#REF!</v>
      </c>
      <c r="AU1631" s="7" t="e">
        <f ca="1"/>
        <v>#REF!</v>
      </c>
      <c r="AV1631" s="7" t="e">
        <f ca="1"/>
        <v>#REF!</v>
      </c>
    </row>
    <row r="1632" spans="37:48" x14ac:dyDescent="0.25">
      <c r="AK1632" t="str">
        <f ca="1"/>
        <v>Obs. 2913</v>
      </c>
      <c r="AL1632" s="7">
        <f ca="1"/>
        <v>57.4</v>
      </c>
      <c r="AN1632" s="7" t="e">
        <f ca="1"/>
        <v>#REF!</v>
      </c>
      <c r="AO1632" s="7" t="e">
        <f ca="1"/>
        <v>#REF!</v>
      </c>
      <c r="AP1632" s="7">
        <f ca="1"/>
        <v>0.10058515465141191</v>
      </c>
      <c r="AQ1632" s="7" t="e">
        <f ca="1"/>
        <v>#REF!</v>
      </c>
      <c r="AR1632" s="7" t="e">
        <f ca="1"/>
        <v>#REF!</v>
      </c>
      <c r="AS1632" s="7">
        <f ca="1"/>
        <v>2.190305027167327</v>
      </c>
      <c r="AT1632" s="7" t="e">
        <f ca="1"/>
        <v>#REF!</v>
      </c>
      <c r="AU1632" s="7" t="e">
        <f ca="1"/>
        <v>#REF!</v>
      </c>
      <c r="AV1632" s="7" t="e">
        <f ca="1"/>
        <v>#REF!</v>
      </c>
    </row>
    <row r="1633" spans="37:48" x14ac:dyDescent="0.25">
      <c r="AK1633" t="str">
        <f ca="1"/>
        <v>Obs. 2914</v>
      </c>
      <c r="AL1633" s="7">
        <f ca="1"/>
        <v>55.7</v>
      </c>
      <c r="AN1633" s="7" t="e">
        <f ca="1"/>
        <v>#REF!</v>
      </c>
      <c r="AO1633" s="7" t="e">
        <f ca="1"/>
        <v>#REF!</v>
      </c>
      <c r="AP1633" s="7">
        <f ca="1"/>
        <v>0.11812474577545443</v>
      </c>
      <c r="AQ1633" s="7" t="e">
        <f ca="1"/>
        <v>#REF!</v>
      </c>
      <c r="AR1633" s="7" t="e">
        <f ca="1"/>
        <v>#REF!</v>
      </c>
      <c r="AS1633" s="7">
        <f ca="1"/>
        <v>2.190305027167327</v>
      </c>
      <c r="AT1633" s="7" t="e">
        <f ca="1"/>
        <v>#REF!</v>
      </c>
      <c r="AU1633" s="7" t="e">
        <f ca="1"/>
        <v>#REF!</v>
      </c>
      <c r="AV1633" s="7" t="e">
        <f ca="1"/>
        <v>#REF!</v>
      </c>
    </row>
    <row r="1634" spans="37:48" x14ac:dyDescent="0.25">
      <c r="AK1634" t="str">
        <f ca="1"/>
        <v>Obs. 2915</v>
      </c>
      <c r="AL1634" s="7">
        <f ca="1"/>
        <v>52.6</v>
      </c>
      <c r="AN1634" s="7" t="e">
        <f ca="1"/>
        <v>#REF!</v>
      </c>
      <c r="AO1634" s="7" t="e">
        <f ca="1"/>
        <v>#REF!</v>
      </c>
      <c r="AP1634" s="7">
        <f ca="1"/>
        <v>0.11699527621794642</v>
      </c>
      <c r="AQ1634" s="7" t="e">
        <f ca="1"/>
        <v>#REF!</v>
      </c>
      <c r="AR1634" s="7" t="e">
        <f ca="1"/>
        <v>#REF!</v>
      </c>
      <c r="AS1634" s="7">
        <f ca="1"/>
        <v>2.190305027167327</v>
      </c>
      <c r="AT1634" s="7" t="e">
        <f ca="1"/>
        <v>#REF!</v>
      </c>
      <c r="AU1634" s="7" t="e">
        <f ca="1"/>
        <v>#REF!</v>
      </c>
      <c r="AV1634" s="7" t="e">
        <f ca="1"/>
        <v>#REF!</v>
      </c>
    </row>
    <row r="1635" spans="37:48" x14ac:dyDescent="0.25">
      <c r="AK1635" t="str">
        <f ca="1"/>
        <v>Obs. 2916</v>
      </c>
      <c r="AL1635" s="7">
        <f ca="1"/>
        <v>58</v>
      </c>
      <c r="AN1635" s="7" t="e">
        <f ca="1"/>
        <v>#REF!</v>
      </c>
      <c r="AO1635" s="7" t="e">
        <f ca="1"/>
        <v>#REF!</v>
      </c>
      <c r="AP1635" s="7">
        <f ca="1"/>
        <v>0.10393589813348075</v>
      </c>
      <c r="AQ1635" s="7" t="e">
        <f ca="1"/>
        <v>#REF!</v>
      </c>
      <c r="AR1635" s="7" t="e">
        <f ca="1"/>
        <v>#REF!</v>
      </c>
      <c r="AS1635" s="7">
        <f ca="1"/>
        <v>2.190305027167327</v>
      </c>
      <c r="AT1635" s="7" t="e">
        <f ca="1"/>
        <v>#REF!</v>
      </c>
      <c r="AU1635" s="7" t="e">
        <f ca="1"/>
        <v>#REF!</v>
      </c>
      <c r="AV1635" s="7" t="e">
        <f ca="1"/>
        <v>#REF!</v>
      </c>
    </row>
    <row r="1636" spans="37:48" x14ac:dyDescent="0.25">
      <c r="AK1636" t="str">
        <f ca="1"/>
        <v>Obs. 2917</v>
      </c>
      <c r="AL1636" s="7">
        <f ca="1"/>
        <v>49.3</v>
      </c>
      <c r="AN1636" s="7" t="e">
        <f ca="1"/>
        <v>#REF!</v>
      </c>
      <c r="AO1636" s="7" t="e">
        <f ca="1"/>
        <v>#REF!</v>
      </c>
      <c r="AP1636" s="7">
        <f ca="1"/>
        <v>0.10757992797713996</v>
      </c>
      <c r="AQ1636" s="7" t="e">
        <f ca="1"/>
        <v>#REF!</v>
      </c>
      <c r="AR1636" s="7" t="e">
        <f ca="1"/>
        <v>#REF!</v>
      </c>
      <c r="AS1636" s="7">
        <f ca="1"/>
        <v>2.349487559997844</v>
      </c>
      <c r="AT1636" s="7" t="e">
        <f ca="1"/>
        <v>#REF!</v>
      </c>
      <c r="AU1636" s="7" t="e">
        <f ca="1"/>
        <v>#REF!</v>
      </c>
      <c r="AV1636" s="7" t="e">
        <f ca="1"/>
        <v>#REF!</v>
      </c>
    </row>
    <row r="1637" spans="37:48" x14ac:dyDescent="0.25">
      <c r="AK1637" t="str">
        <f ca="1"/>
        <v>Obs. 2924</v>
      </c>
      <c r="AL1637" s="7">
        <f ca="1"/>
        <v>59.2</v>
      </c>
      <c r="AN1637" s="7" t="e">
        <f ca="1"/>
        <v>#REF!</v>
      </c>
      <c r="AO1637" s="7" t="e">
        <f ca="1"/>
        <v>#REF!</v>
      </c>
      <c r="AP1637" s="7">
        <f ca="1"/>
        <v>9.3968628239616298E-2</v>
      </c>
      <c r="AQ1637" s="7" t="e">
        <f ca="1"/>
        <v>#REF!</v>
      </c>
      <c r="AR1637" s="7" t="e">
        <f ca="1"/>
        <v>#REF!</v>
      </c>
      <c r="AS1637" s="7">
        <f ca="1"/>
        <v>2.349487559997844</v>
      </c>
      <c r="AT1637" s="7" t="e">
        <f ca="1"/>
        <v>#REF!</v>
      </c>
      <c r="AU1637" s="7" t="e">
        <f ca="1"/>
        <v>#REF!</v>
      </c>
      <c r="AV1637" s="7" t="e">
        <f ca="1"/>
        <v>#REF!</v>
      </c>
    </row>
    <row r="1638" spans="37:48" x14ac:dyDescent="0.25">
      <c r="AK1638" t="str">
        <f ca="1"/>
        <v>Obs. 2925</v>
      </c>
      <c r="AL1638" s="7">
        <f ca="1"/>
        <v>58</v>
      </c>
      <c r="AN1638" s="7" t="e">
        <f ca="1"/>
        <v>#REF!</v>
      </c>
      <c r="AO1638" s="7" t="e">
        <f ca="1"/>
        <v>#REF!</v>
      </c>
      <c r="AP1638" s="7">
        <f ca="1"/>
        <v>9.4063508319142342E-2</v>
      </c>
      <c r="AQ1638" s="7" t="e">
        <f ca="1"/>
        <v>#REF!</v>
      </c>
      <c r="AR1638" s="7" t="e">
        <f ca="1"/>
        <v>#REF!</v>
      </c>
      <c r="AS1638" s="7">
        <f ca="1"/>
        <v>2.349487559997844</v>
      </c>
      <c r="AT1638" s="7" t="e">
        <f ca="1"/>
        <v>#REF!</v>
      </c>
      <c r="AU1638" s="7" t="e">
        <f ca="1"/>
        <v>#REF!</v>
      </c>
      <c r="AV1638" s="7" t="e">
        <f ca="1"/>
        <v>#REF!</v>
      </c>
    </row>
    <row r="1639" spans="37:48" x14ac:dyDescent="0.25">
      <c r="AK1639" t="str">
        <f ca="1"/>
        <v>Obs. 2926</v>
      </c>
      <c r="AL1639" s="7">
        <f ca="1"/>
        <v>56.6</v>
      </c>
      <c r="AN1639" s="7" t="e">
        <f ca="1"/>
        <v>#REF!</v>
      </c>
      <c r="AO1639" s="7" t="e">
        <f ca="1"/>
        <v>#REF!</v>
      </c>
      <c r="AP1639" s="7">
        <f ca="1"/>
        <v>8.9078463316601478E-2</v>
      </c>
      <c r="AQ1639" s="7" t="e">
        <f ca="1"/>
        <v>#REF!</v>
      </c>
      <c r="AR1639" s="7" t="e">
        <f ca="1"/>
        <v>#REF!</v>
      </c>
      <c r="AS1639" s="7">
        <f ca="1"/>
        <v>2.428517260365656</v>
      </c>
      <c r="AT1639" s="7" t="e">
        <f ca="1"/>
        <v>#REF!</v>
      </c>
      <c r="AU1639" s="7" t="e">
        <f ca="1"/>
        <v>#REF!</v>
      </c>
      <c r="AV1639" s="7" t="e">
        <f ca="1"/>
        <v>#REF!</v>
      </c>
    </row>
    <row r="1640" spans="37:48" x14ac:dyDescent="0.25">
      <c r="AK1640" t="str">
        <f ca="1"/>
        <v>Obs. 2927</v>
      </c>
      <c r="AL1640" s="7">
        <f ca="1"/>
        <v>54.9</v>
      </c>
      <c r="AN1640" s="7" t="e">
        <f ca="1"/>
        <v>#REF!</v>
      </c>
      <c r="AO1640" s="7" t="e">
        <f ca="1"/>
        <v>#REF!</v>
      </c>
      <c r="AP1640" s="7">
        <f ca="1"/>
        <v>7.6881053055960241E-2</v>
      </c>
      <c r="AQ1640" s="7" t="e">
        <f ca="1"/>
        <v>#REF!</v>
      </c>
      <c r="AR1640" s="7" t="e">
        <f ca="1"/>
        <v>#REF!</v>
      </c>
      <c r="AS1640" s="7">
        <f ca="1"/>
        <v>2.428517260365656</v>
      </c>
      <c r="AT1640" s="7" t="e">
        <f ca="1"/>
        <v>#REF!</v>
      </c>
      <c r="AU1640" s="7" t="e">
        <f ca="1"/>
        <v>#REF!</v>
      </c>
      <c r="AV1640" s="7" t="e">
        <f ca="1"/>
        <v>#REF!</v>
      </c>
    </row>
    <row r="1641" spans="37:48" x14ac:dyDescent="0.25">
      <c r="AK1641" t="str">
        <f ca="1"/>
        <v>Obs. 2928</v>
      </c>
      <c r="AL1641" s="7">
        <f ca="1"/>
        <v>52.4</v>
      </c>
      <c r="AN1641" s="7" t="e">
        <f ca="1"/>
        <v>#REF!</v>
      </c>
      <c r="AO1641" s="7" t="e">
        <f ca="1"/>
        <v>#REF!</v>
      </c>
      <c r="AP1641" s="7">
        <f ca="1"/>
        <v>8.4755120370809692E-2</v>
      </c>
      <c r="AQ1641" s="7" t="e">
        <f ca="1"/>
        <v>#REF!</v>
      </c>
      <c r="AR1641" s="7" t="e">
        <f ca="1"/>
        <v>#REF!</v>
      </c>
      <c r="AS1641" s="7">
        <f ca="1"/>
        <v>2.428517260365656</v>
      </c>
      <c r="AT1641" s="7" t="e">
        <f ca="1"/>
        <v>#REF!</v>
      </c>
      <c r="AU1641" s="7" t="e">
        <f ca="1"/>
        <v>#REF!</v>
      </c>
      <c r="AV1641" s="7" t="e">
        <f ca="1"/>
        <v>#REF!</v>
      </c>
    </row>
    <row r="1642" spans="37:48" x14ac:dyDescent="0.25">
      <c r="AK1642" t="str">
        <f ca="1"/>
        <v>Obs. 2929</v>
      </c>
      <c r="AL1642" s="7">
        <f ca="1"/>
        <v>50</v>
      </c>
      <c r="AN1642" s="7" t="e">
        <f ca="1"/>
        <v>#REF!</v>
      </c>
      <c r="AO1642" s="7" t="e">
        <f ca="1"/>
        <v>#REF!</v>
      </c>
      <c r="AP1642" s="7">
        <f ca="1"/>
        <v>7.0440623017160447E-2</v>
      </c>
      <c r="AQ1642" s="7" t="e">
        <f ca="1"/>
        <v>#REF!</v>
      </c>
      <c r="AR1642" s="7" t="e">
        <f ca="1"/>
        <v>#REF!</v>
      </c>
      <c r="AS1642" s="7">
        <f ca="1"/>
        <v>2.428517260365656</v>
      </c>
      <c r="AT1642" s="7" t="e">
        <f ca="1"/>
        <v>#REF!</v>
      </c>
      <c r="AU1642" s="7" t="e">
        <f ca="1"/>
        <v>#REF!</v>
      </c>
      <c r="AV1642" s="7" t="e">
        <f ca="1"/>
        <v>#REF!</v>
      </c>
    </row>
    <row r="1643" spans="37:48" x14ac:dyDescent="0.25">
      <c r="AK1643" t="str">
        <f ca="1"/>
        <v>Obs. 2930</v>
      </c>
      <c r="AL1643" s="7">
        <f ca="1"/>
        <v>48.2</v>
      </c>
      <c r="AN1643" s="7" t="e">
        <f ca="1"/>
        <v>#REF!</v>
      </c>
      <c r="AO1643" s="7" t="e">
        <f ca="1"/>
        <v>#REF!</v>
      </c>
      <c r="AP1643" s="7">
        <f ca="1"/>
        <v>7.0108959538189006E-2</v>
      </c>
      <c r="AQ1643" s="7" t="e">
        <f ca="1"/>
        <v>#REF!</v>
      </c>
      <c r="AR1643" s="7" t="e">
        <f ca="1"/>
        <v>#REF!</v>
      </c>
      <c r="AS1643" s="7">
        <f ca="1"/>
        <v>2.428517260365656</v>
      </c>
      <c r="AT1643" s="7" t="e">
        <f ca="1"/>
        <v>#REF!</v>
      </c>
      <c r="AU1643" s="7" t="e">
        <f ca="1"/>
        <v>#REF!</v>
      </c>
      <c r="AV1643" s="7" t="e">
        <f ca="1"/>
        <v>#REF!</v>
      </c>
    </row>
    <row r="1644" spans="37:48" x14ac:dyDescent="0.25">
      <c r="AK1644" t="str">
        <f ca="1"/>
        <v>Obs. 2931</v>
      </c>
      <c r="AL1644" s="7">
        <f ca="1"/>
        <v>46.6</v>
      </c>
      <c r="AN1644" s="7" t="e">
        <f ca="1"/>
        <v>#REF!</v>
      </c>
      <c r="AO1644" s="7" t="e">
        <f ca="1"/>
        <v>#REF!</v>
      </c>
      <c r="AP1644" s="7">
        <f ca="1"/>
        <v>8.2664596149349595E-2</v>
      </c>
      <c r="AQ1644" s="7" t="e">
        <f ca="1"/>
        <v>#REF!</v>
      </c>
      <c r="AR1644" s="7" t="e">
        <f ca="1"/>
        <v>#REF!</v>
      </c>
      <c r="AS1644" s="7">
        <f ca="1"/>
        <v>2.428517260365656</v>
      </c>
      <c r="AT1644" s="7" t="e">
        <f ca="1"/>
        <v>#REF!</v>
      </c>
      <c r="AU1644" s="7" t="e">
        <f ca="1"/>
        <v>#REF!</v>
      </c>
      <c r="AV1644" s="7" t="e">
        <f ca="1"/>
        <v>#REF!</v>
      </c>
    </row>
    <row r="1645" spans="37:48" x14ac:dyDescent="0.25">
      <c r="AK1645" t="str">
        <f ca="1"/>
        <v>Obs. 2932</v>
      </c>
      <c r="AL1645" s="7">
        <f ca="1"/>
        <v>45.4</v>
      </c>
      <c r="AN1645" s="7" t="e">
        <f ca="1"/>
        <v>#REF!</v>
      </c>
      <c r="AO1645" s="7" t="e">
        <f ca="1"/>
        <v>#REF!</v>
      </c>
      <c r="AP1645" s="7">
        <f ca="1"/>
        <v>0.10196799171054864</v>
      </c>
      <c r="AQ1645" s="7" t="e">
        <f ca="1"/>
        <v>#REF!</v>
      </c>
      <c r="AR1645" s="7" t="e">
        <f ca="1"/>
        <v>#REF!</v>
      </c>
      <c r="AS1645" s="7">
        <f ca="1"/>
        <v>2.6570161854420777</v>
      </c>
      <c r="AT1645" s="7" t="e">
        <f ca="1"/>
        <v>#REF!</v>
      </c>
      <c r="AU1645" s="7" t="e">
        <f ca="1"/>
        <v>#REF!</v>
      </c>
      <c r="AV1645" s="7" t="e">
        <f ca="1"/>
        <v>#REF!</v>
      </c>
    </row>
    <row r="1646" spans="37:48" x14ac:dyDescent="0.25">
      <c r="AK1646" t="str">
        <f ca="1"/>
        <v>Obs. 2933</v>
      </c>
      <c r="AL1646" s="7">
        <f ca="1"/>
        <v>44.6</v>
      </c>
      <c r="AN1646" s="7" t="e">
        <f ca="1"/>
        <v>#REF!</v>
      </c>
      <c r="AO1646" s="7" t="e">
        <f ca="1"/>
        <v>#REF!</v>
      </c>
      <c r="AP1646" s="7">
        <f ca="1"/>
        <v>7.2975628822651087E-2</v>
      </c>
      <c r="AQ1646" s="7" t="e">
        <f ca="1"/>
        <v>#REF!</v>
      </c>
      <c r="AR1646" s="7" t="e">
        <f ca="1"/>
        <v>#REF!</v>
      </c>
      <c r="AS1646" s="7">
        <f ca="1"/>
        <v>2.6570161854420777</v>
      </c>
      <c r="AT1646" s="7" t="e">
        <f ca="1"/>
        <v>#REF!</v>
      </c>
      <c r="AU1646" s="7" t="e">
        <f ca="1"/>
        <v>#REF!</v>
      </c>
      <c r="AV1646" s="7" t="e">
        <f ca="1"/>
        <v>#REF!</v>
      </c>
    </row>
    <row r="1647" spans="37:48" x14ac:dyDescent="0.25">
      <c r="AK1647" t="str">
        <f ca="1"/>
        <v>Obs. 2934</v>
      </c>
      <c r="AL1647" s="7">
        <f ca="1"/>
        <v>44.3</v>
      </c>
      <c r="AN1647" s="7" t="e">
        <f ca="1"/>
        <v>#REF!</v>
      </c>
      <c r="AO1647" s="7" t="e">
        <f ca="1"/>
        <v>#REF!</v>
      </c>
      <c r="AP1647" s="7">
        <f ca="1"/>
        <v>7.70424910129201E-2</v>
      </c>
      <c r="AQ1647" s="7" t="e">
        <f ca="1"/>
        <v>#REF!</v>
      </c>
      <c r="AR1647" s="7" t="e">
        <f ca="1"/>
        <v>#REF!</v>
      </c>
      <c r="AS1647" s="7">
        <f ca="1"/>
        <v>2.6570161854420777</v>
      </c>
      <c r="AT1647" s="7" t="e">
        <f ca="1"/>
        <v>#REF!</v>
      </c>
      <c r="AU1647" s="7" t="e">
        <f ca="1"/>
        <v>#REF!</v>
      </c>
      <c r="AV1647" s="7" t="e">
        <f ca="1"/>
        <v>#REF!</v>
      </c>
    </row>
    <row r="1648" spans="37:48" x14ac:dyDescent="0.25">
      <c r="AK1648" t="str">
        <f ca="1"/>
        <v>Obs. 2935</v>
      </c>
      <c r="AL1648" s="7">
        <f ca="1"/>
        <v>44.5</v>
      </c>
      <c r="AN1648" s="7" t="e">
        <f ca="1"/>
        <v>#REF!</v>
      </c>
      <c r="AO1648" s="7" t="e">
        <f ca="1"/>
        <v>#REF!</v>
      </c>
      <c r="AP1648" s="7">
        <f ca="1"/>
        <v>9.6874195050675529E-2</v>
      </c>
      <c r="AQ1648" s="7" t="e">
        <f ca="1"/>
        <v>#REF!</v>
      </c>
      <c r="AR1648" s="7" t="e">
        <f ca="1"/>
        <v>#REF!</v>
      </c>
      <c r="AS1648" s="7">
        <f ca="1"/>
        <v>2.6570161854420777</v>
      </c>
      <c r="AT1648" s="7" t="e">
        <f ca="1"/>
        <v>#REF!</v>
      </c>
      <c r="AU1648" s="7" t="e">
        <f ca="1"/>
        <v>#REF!</v>
      </c>
      <c r="AV1648" s="7" t="e">
        <f ca="1"/>
        <v>#REF!</v>
      </c>
    </row>
    <row r="1649" spans="37:48" x14ac:dyDescent="0.25">
      <c r="AK1649" t="str">
        <f ca="1"/>
        <v>Obs. 2936</v>
      </c>
      <c r="AL1649" s="7">
        <f ca="1"/>
        <v>44.8</v>
      </c>
      <c r="AN1649" s="7" t="e">
        <f ca="1"/>
        <v>#REF!</v>
      </c>
      <c r="AO1649" s="7" t="e">
        <f ca="1"/>
        <v>#REF!</v>
      </c>
      <c r="AP1649" s="7">
        <f ca="1"/>
        <v>0.12591521689277052</v>
      </c>
      <c r="AQ1649" s="7" t="e">
        <f ca="1"/>
        <v>#REF!</v>
      </c>
      <c r="AR1649" s="7" t="e">
        <f ca="1"/>
        <v>#REF!</v>
      </c>
      <c r="AS1649" s="7">
        <f ca="1"/>
        <v>2.6570161854420777</v>
      </c>
      <c r="AT1649" s="7" t="e">
        <f ca="1"/>
        <v>#REF!</v>
      </c>
      <c r="AU1649" s="7" t="e">
        <f ca="1"/>
        <v>#REF!</v>
      </c>
      <c r="AV1649" s="7" t="e">
        <f ca="1"/>
        <v>#REF!</v>
      </c>
    </row>
    <row r="1650" spans="37:48" x14ac:dyDescent="0.25">
      <c r="AK1650" t="str">
        <f ca="1"/>
        <v>Obs. 2937</v>
      </c>
      <c r="AL1650" s="7">
        <f ca="1"/>
        <v>45.3</v>
      </c>
      <c r="AN1650" s="7" t="e">
        <f ca="1"/>
        <v>#REF!</v>
      </c>
      <c r="AO1650" s="7" t="e">
        <f ca="1"/>
        <v>#REF!</v>
      </c>
      <c r="AP1650" s="7">
        <f ca="1"/>
        <v>0.11189048993724934</v>
      </c>
      <c r="AQ1650" s="7" t="e">
        <f ca="1"/>
        <v>#REF!</v>
      </c>
      <c r="AR1650" s="7" t="e">
        <f ca="1"/>
        <v>#REF!</v>
      </c>
      <c r="AS1650" s="7">
        <f ca="1"/>
        <v>2.6570161854420777</v>
      </c>
      <c r="AT1650" s="7" t="e">
        <f ca="1"/>
        <v>#REF!</v>
      </c>
      <c r="AU1650" s="7" t="e">
        <f ca="1"/>
        <v>#REF!</v>
      </c>
      <c r="AV1650" s="7" t="e">
        <f ca="1"/>
        <v>#REF!</v>
      </c>
    </row>
    <row r="1651" spans="37:48" x14ac:dyDescent="0.25">
      <c r="AK1651" t="str">
        <f ca="1"/>
        <v>Obs. 2938</v>
      </c>
      <c r="AL1651" s="7">
        <f ca="1"/>
        <v>46</v>
      </c>
      <c r="AN1651" s="7" t="e">
        <f ca="1"/>
        <v>#REF!</v>
      </c>
      <c r="AO1651" s="7" t="e">
        <f ca="1"/>
        <v>#REF!</v>
      </c>
      <c r="AP1651" s="7">
        <f ca="1"/>
        <v>0.10401007073158872</v>
      </c>
      <c r="AQ1651" s="7" t="e">
        <f ca="1"/>
        <v>#REF!</v>
      </c>
      <c r="AR1651" s="7" t="e">
        <f ca="1"/>
        <v>#REF!</v>
      </c>
      <c r="AS1651" s="7">
        <f ca="1"/>
        <v>2.6570161854420777</v>
      </c>
      <c r="AT1651" s="7" t="e">
        <f ca="1"/>
        <v>#REF!</v>
      </c>
      <c r="AU1651" s="7" t="e">
        <f ca="1"/>
        <v>#REF!</v>
      </c>
      <c r="AV1651" s="7" t="e">
        <f ca="1"/>
        <v>#REF!</v>
      </c>
    </row>
  </sheetData>
  <conditionalFormatting sqref="C2">
    <cfRule type="expression" dxfId="37" priority="10" stopIfTrue="1">
      <formula>AND($C$2=FALSE,SUMPRODUCT(N(_xlfn.TAKE(Spec_Role,COLUMNS(Source_Data))="Predictor (x)"),N(_xlfn.TAKE(Spec_Include,COLUMNS(Source_Data))=TRUE),N(_xlfn.TAKE(Spec_Type,COLUMNS(Source_Data))="Categorical"))&gt;0)</formula>
    </cfRule>
    <cfRule type="expression" dxfId="36" priority="11">
      <formula>SUMPRODUCT(N(_xlfn.TAKE(Spec_Role,COLUMNS(Source_Data))="Predictor (x)"),N(_xlfn.TAKE(Spec_Include,COLUMNS(Source_Data))=TRUE),N(_xlfn.TAKE(Spec_Type,COLUMNS(Source_Data))="Categorical"))&gt;0</formula>
    </cfRule>
  </conditionalFormatting>
  <conditionalFormatting sqref="C4:G27">
    <cfRule type="expression" dxfId="35" priority="1">
      <formula>$B4&lt;&gt;"Predictor (x)"</formula>
    </cfRule>
  </conditionalFormatting>
  <conditionalFormatting sqref="E1">
    <cfRule type="expression" dxfId="34" priority="7">
      <formula>$E$1&lt;&gt;""</formula>
    </cfRule>
  </conditionalFormatting>
  <conditionalFormatting sqref="E4:E27">
    <cfRule type="expression" dxfId="33" priority="6">
      <formula>AND($E4&lt;&gt;"",ISNA(Dummy_Levels(INDEX(Source_Data,0,ROW()-3),$E4,Sample_Include())))</formula>
    </cfRule>
  </conditionalFormatting>
  <conditionalFormatting sqref="H4:H27">
    <cfRule type="expression" dxfId="32" priority="4">
      <formula>AND($H4=TRUE,SUMPRODUCT(N(_xlfn.TAKE(Spec_Sequence,COLUMNS(Source_Data))=TRUE))&gt;1)</formula>
    </cfRule>
  </conditionalFormatting>
  <conditionalFormatting sqref="H4:J27">
    <cfRule type="expression" dxfId="31" priority="3">
      <formula>$H4&lt;&gt;TRUE</formula>
    </cfRule>
  </conditionalFormatting>
  <conditionalFormatting sqref="I2">
    <cfRule type="expression" dxfId="30" priority="8" stopIfTrue="1">
      <formula>OR(ISNUMBER(SEARCH("off-grid",$I$2)),ISNUMBER(SEARCH("calendar",$I$2)))</formula>
    </cfRule>
    <cfRule type="expression" dxfId="29" priority="9">
      <formula>OR(ISNUMBER(SEARCH("regularity",$I$2)),ISNUMBER(SEARCH("no natural",$I$2)))</formula>
    </cfRule>
  </conditionalFormatting>
  <conditionalFormatting sqref="K4:K27">
    <cfRule type="expression" dxfId="28" priority="5">
      <formula>AND($B4="Predictor (x)",$C4=TRUE,$D4="Categorical",N($K4)&lt;=1)</formula>
    </cfRule>
  </conditionalFormatting>
  <conditionalFormatting sqref="K4:L27">
    <cfRule type="expression" dxfId="27" priority="2">
      <formula>$B4&lt;&gt;"Predictor (x)"</formula>
    </cfRule>
  </conditionalFormatting>
  <conditionalFormatting sqref="U3:U1048576">
    <cfRule type="expression" dxfId="26" priority="12">
      <formula>AND(ISNUMBER(U3),U3&gt;5,U3&lt;=10)</formula>
    </cfRule>
    <cfRule type="expression" dxfId="25" priority="13">
      <formula>AND(ISNUMBER(U3),U3&gt;10)</formula>
    </cfRule>
  </conditionalFormatting>
  <conditionalFormatting sqref="AB5">
    <cfRule type="expression" dxfId="24" priority="14">
      <formula>AND(ISNUMBER(AB5),AB5&lt;0)</formula>
    </cfRule>
  </conditionalFormatting>
  <conditionalFormatting sqref="AB10">
    <cfRule type="expression" dxfId="23" priority="15">
      <formula>AND(ISNUMBER(AB10),AB10&lt;0.98,AB10&gt;=0.95)</formula>
    </cfRule>
    <cfRule type="expression" dxfId="22" priority="16">
      <formula>AND(ISNUMBER(AB10),AB10&lt;0.95)</formula>
    </cfRule>
  </conditionalFormatting>
  <conditionalFormatting sqref="AB21:AB1048576">
    <cfRule type="expression" dxfId="21" priority="17">
      <formula>AND(ISNUMBER(AB21),AB21&gt;$Y$12)</formula>
    </cfRule>
  </conditionalFormatting>
  <conditionalFormatting sqref="AC15">
    <cfRule type="expression" dxfId="20" priority="18">
      <formula>AND(ISNUMBER(AC15),AC15&gt;$Y$12)</formula>
    </cfRule>
  </conditionalFormatting>
  <conditionalFormatting sqref="AP3:AP1048576">
    <cfRule type="expression" dxfId="19" priority="19">
      <formula>AND(ISNUMBER(AP3),AP3&gt;2*$AB$6)</formula>
    </cfRule>
    <cfRule type="expression" dxfId="18" priority="20">
      <formula>AND(ISNUMBER(AP3),AP3&gt;3*$AB$6)</formula>
    </cfRule>
  </conditionalFormatting>
  <conditionalFormatting sqref="AQ3:AQ1048576">
    <cfRule type="expression" dxfId="17" priority="21">
      <formula>AND(ISNUMBER(AQ3),ABS(AQ3)&gt;2,ABS(AQ3)&lt;3)</formula>
    </cfRule>
    <cfRule type="expression" dxfId="16" priority="22">
      <formula>AND(ISNUMBER(AQ3),ABS(AQ3)&gt;=3)</formula>
    </cfRule>
  </conditionalFormatting>
  <conditionalFormatting sqref="AR3:AR1048576">
    <cfRule type="expression" dxfId="15" priority="25">
      <formula>AND(ISNUMBER(AR3),AR3&gt;4/$Y$8,AR3&lt;=0.9)</formula>
    </cfRule>
    <cfRule type="expression" dxfId="14" priority="26">
      <formula>AND(ISNUMBER(AR3),AR3&gt;0.9)</formula>
    </cfRule>
  </conditionalFormatting>
  <conditionalFormatting sqref="AT3:AT1048576">
    <cfRule type="expression" dxfId="13" priority="23">
      <formula>AND(ISNUMBER(AT3),ABS(AT3)&gt;2,ABS(AT3)&lt;3)</formula>
    </cfRule>
    <cfRule type="expression" dxfId="12" priority="24">
      <formula>AND(ISNUMBER(AT3),ABS(AT3)&gt;=3)</formula>
    </cfRule>
  </conditionalFormatting>
  <conditionalFormatting sqref="AU3:AU1048576">
    <cfRule type="expression" dxfId="11" priority="27">
      <formula>AND(ISNUMBER(AU3),AU3&gt;1.414,AU3&lt;=1.732)</formula>
    </cfRule>
    <cfRule type="expression" dxfId="10" priority="28">
      <formula>AND(ISNUMBER(AU3),AU3&gt;1.732)</formula>
    </cfRule>
  </conditionalFormatting>
  <conditionalFormatting sqref="AV3:AV1048576">
    <cfRule type="expression" dxfId="9" priority="29">
      <formula>AND(ISNUMBER(AV3),ABS(AV3)&gt;2*$Y$7,ABS(AV3)&lt;=3*$Y$7)</formula>
    </cfRule>
    <cfRule type="expression" dxfId="8" priority="30">
      <formula>AND(ISNUMBER(AV3),ABS(AV3)&gt;3*$Y$7)</formula>
    </cfRule>
  </conditionalFormatting>
  <dataValidations count="5">
    <dataValidation type="list" allowBlank="1" showInputMessage="1" showErrorMessage="1" sqref="C2 C4:C16000" xr:uid="{6CF652CF-330B-419E-B661-8FC1BC2E43D2}">
      <formula1>"TRUE,FALSE"</formula1>
    </dataValidation>
    <dataValidation type="list" allowBlank="1" showInputMessage="1" showErrorMessage="1" sqref="B4:B16000" xr:uid="{79D41F94-0346-4DB7-A81C-E2935586BDAE}">
      <formula1>"Response (y),Predictor (x),Identifier (Row Label),Filter,Omit"</formula1>
    </dataValidation>
    <dataValidation type="list" allowBlank="1" showInputMessage="1" showErrorMessage="1" sqref="D4:D16000" xr:uid="{74A3FC00-9CF0-410C-87BB-77EDF67AF0AB}">
      <formula1>"Continuous,Categorical"</formula1>
    </dataValidation>
    <dataValidation type="list" allowBlank="1" showInputMessage="1" showErrorMessage="1" sqref="G4:G16000" xr:uid="{4B1164D7-4AB3-4C97-9579-34D138665646}">
      <formula1>"None"</formula1>
    </dataValidation>
    <dataValidation type="list" allowBlank="1" showInputMessage="1" showErrorMessage="1" sqref="H4:H16000" xr:uid="{8162380A-3459-4CD1-96FC-E4BAF9391818}">
      <formula1>"TRUE"</formula1>
    </dataValidation>
  </dataValidations>
  <pageMargins left="0.7" right="0.7" top="0.75" bottom="0.75" header="0.3" footer="0.3"/>
  <drawing r:id="rId1"/>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13</vt:i4>
      </vt:variant>
    </vt:vector>
  </HeadingPairs>
  <TitlesOfParts>
    <vt:vector size="19" baseType="lpstr">
      <vt:lpstr>LAMBDA_functions</vt:lpstr>
      <vt:lpstr>Life Expectancy Data</vt:lpstr>
      <vt:lpstr>Regression Instructions</vt:lpstr>
      <vt:lpstr>Diagnostic Guide</vt:lpstr>
      <vt:lpstr>Version History</vt:lpstr>
      <vt:lpstr>Regression</vt:lpstr>
      <vt:lpstr>Regression!Allow_Intercept</vt:lpstr>
      <vt:lpstr>Regression!alpha</vt:lpstr>
      <vt:lpstr>Regression!Source_Table</vt:lpstr>
      <vt:lpstr>Regression!Spec_Base_Period_Delta</vt:lpstr>
      <vt:lpstr>Regression!Spec_Include</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2026-07-13T02:37:28Z</dcterms:modified>
</cp:coreProperties>
</file>