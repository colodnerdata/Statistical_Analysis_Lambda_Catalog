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32DF384B-EC8C-448D-BC9E-F806F7DDD172}"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68" r:id="rId5"/>
    <sheet name="Regression" sheetId="7" r:id="rId6"/>
    <sheet name="Diagnostic Guide" sheetId="6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Predictions" comment="Predictions in response units: Predictions(X, Y, Include) + (FILTER(Y_Full, Include) - FILTER(Y, Include)), then Back_Transform_Response. Six recognised (response, predictor) pairs; else #N/A. Under FE, Y_Full - Y is the group mean.">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_xlfn._xlws.FILTER(_xlpm.Y_Full,_xlpm.filt_arg)-_xlfn._xlws.FILTER(_xlpm.Y,_xlpm.filt_arg),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 / SST_unit; SST_unit is the centered or uncentered total matching SS_Total's convention. Under FE + Log this is a TOTAL statistic (not within) because exp(within deviation) predicts nothing. Reduces to R_Squared when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Dependent_Variable(_xlpm.Y_Full,_xlpm.fil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Dependent_Variable(Y_Full, Include) - Unit_Space_Predictions(...). Reads Y_Full (not within-demeaned Y) so the result is in original units. Reduces to Residuals(X, Y, Include) when no transforms and no FE.">_xlfn.LAMBDA(_xlpm.X,_xlpm.Y,_xlpm.Y_Full,_xlop.Include,_xlop.Context,_xlop.Method,_xlfn.LET(_xlpm.context_arg,IF(_xlfn.ISOMITTED(_xlpm.Context),Model_Context(),_xlpm.Context),_xlpm.filt_arg,IF(_xlfn.ISOMITTED(_xlpm.Include),TRUE,_xlpm.Include),Dependent_Variable(_xlpm.Y_Full,_xlpm.filt_arg)-Unit_Space_Predictions(_xlpm.X,_xlpm.Y,_xlpm.Y_Full,_xlpm.filt_arg,_xlpm.context_arg,IF(_xlfn.ISOMITTED(_xlpm.Method),"Duan",_xlpm.Method))))</definedName>
    <definedName name="Unit_Space_RMSE" comment="SQRT(SUMSQ(y − ŷ_unit) / Residual_Degrees_Of_Freedom(X, Y, Include, Context)). The same divisor SE_Regression uses, so the None / no-F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Dependent_Variable(_xlpm.Y_Full,_xlpm.fil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J15" i="7"/>
  <c r="O15" i="7"/>
  <c r="L15" i="7"/>
  <c r="K15" i="7"/>
  <c r="J15" i="7"/>
  <c r="O14" i="7"/>
  <c r="L14" i="7"/>
  <c r="K14" i="7"/>
  <c r="J14" i="7"/>
  <c r="O13" i="7"/>
  <c r="L13" i="7"/>
  <c r="K13" i="7"/>
  <c r="J13" i="7"/>
  <c r="AK12" i="7"/>
  <c r="AE12" i="7" a="1"/>
  <c r="O12" i="7"/>
  <c r="L12" i="7"/>
  <c r="K12" i="7"/>
  <c r="J12" i="7"/>
  <c r="AE11" i="7" a="1"/>
  <c r="O11" i="7"/>
  <c r="L11" i="7"/>
  <c r="K11" i="7"/>
  <c r="J11" i="7"/>
  <c r="AE10" i="7" a="1"/>
  <c r="BD96" i="7" s="1"/>
  <c r="O10" i="7"/>
  <c r="L10" i="7"/>
  <c r="K10" i="7"/>
  <c r="J10" i="7"/>
  <c r="O9" i="7"/>
  <c r="L9" i="7"/>
  <c r="K9" i="7"/>
  <c r="J9" i="7"/>
  <c r="AB8" i="7" a="1"/>
  <c r="BD99" i="7" s="1"/>
  <c r="O8" i="7"/>
  <c r="L8" i="7"/>
  <c r="K8" i="7"/>
  <c r="J8" i="7"/>
  <c r="AE7" i="7" a="1"/>
  <c r="AB7" i="7" a="1"/>
  <c r="O7" i="7"/>
  <c r="L7" i="7"/>
  <c r="K7" i="7"/>
  <c r="J7" i="7"/>
  <c r="AE6" i="7" a="1"/>
  <c r="BD100" i="7" s="1"/>
  <c r="O6" i="7"/>
  <c r="L6" i="7"/>
  <c r="K6" i="7"/>
  <c r="J6" i="7"/>
  <c r="BS5" i="7" a="1"/>
  <c r="AH5" i="7" a="1"/>
  <c r="O5" i="7"/>
  <c r="L5" i="7"/>
  <c r="K5" i="7"/>
  <c r="J5" i="7"/>
  <c r="BS4" i="7" a="1"/>
  <c r="AE4" i="7" a="1"/>
  <c r="BD101" i="7" s="1"/>
  <c r="O4" i="7"/>
  <c r="L4" i="7"/>
  <c r="K4" i="7"/>
  <c r="J4" i="7"/>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AB2" i="7" a="1"/>
  <c r="P2" i="7" a="1"/>
  <c r="L2" i="7" a="1"/>
  <c r="K2" i="7" a="1"/>
  <c r="J2" i="7" a="1"/>
  <c r="I2"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20" i="7" a="1"/>
  <c r="AK62" i="7" a="1"/>
  <c r="AK61" i="7" a="1"/>
  <c r="AK50" i="7" a="1"/>
  <c r="AK59" i="7" a="1"/>
  <c r="AK58" i="7" a="1"/>
  <c r="AK57" i="7" a="1"/>
  <c r="AK56" i="7" a="1"/>
  <c r="AK55" i="7" a="1"/>
  <c r="AK54" i="7" a="1"/>
  <c r="AK53" i="7" a="1"/>
  <c r="AK52" i="7" a="1"/>
  <c r="AK51" i="7" a="1"/>
  <c r="AK19" i="7" a="1"/>
  <c r="AK3" i="7" s="1"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3" i="7" a="1"/>
  <c r="AK14" i="7" a="1"/>
  <c r="AH8" i="7" a="1"/>
  <c r="AH6" i="7" a="1"/>
  <c r="AH9" i="7" a="1"/>
  <c r="AH7" i="7" a="1"/>
  <c r="AE8" i="7" a="1"/>
  <c r="AF21" i="7" a="1"/>
  <c r="AC21" i="7" a="1"/>
  <c r="AG21" i="7" a="1"/>
  <c r="AD16" i="7" a="1"/>
  <c r="AE21" i="7" a="1"/>
  <c r="AD21" i="7" a="1"/>
  <c r="AE9" i="7" a="1"/>
  <c r="AB16" i="7" a="1"/>
  <c r="AC17" i="7" a="1"/>
  <c r="AE15" i="7" a="1"/>
  <c r="AB17" i="7" a="1"/>
  <c r="AC15" i="7" a="1"/>
  <c r="AB6" i="7" a="1"/>
  <c r="BD97" i="7" s="1"/>
  <c r="AB15" i="7" a="1"/>
  <c r="AF15" i="7" a="1"/>
  <c r="BS6" i="7" a="1"/>
  <c r="AB4" i="7" a="1"/>
  <c r="AH21" i="7" a="1"/>
  <c r="AE5" i="7" a="1"/>
  <c r="AD15" i="7" a="1"/>
  <c r="AB5" i="7" a="1"/>
  <c r="BF97" i="7"/>
  <c r="BE97" i="7"/>
  <c r="BD95" i="7"/>
  <c r="AL3" i="7" l="1" a="1"/>
  <c r="AL8" i="7" a="1"/>
  <c r="AL10" i="7" a="1"/>
  <c r="AL7" i="7" a="1"/>
  <c r="AL9" i="7" a="1"/>
  <c r="AH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D5A35CB1-42AA-4C03-9AFE-E15F595AE41E}">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1C236122-78C0-4840-9EBA-4989CE590765}">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D0C54629-2BD8-466C-8D7A-39FB42A0DB1C}">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1C87CEF4-4873-4153-9850-BBFDC4571146}">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6740D539-915D-40A9-942A-5C7E3AD4BFF5}">
      <text>
        <r>
          <rPr>
            <b/>
            <sz val="9"/>
            <color indexed="81"/>
            <rFont val="Tahoma"/>
            <family val="2"/>
          </rPr>
          <t>Shows whether the data have a longer tail on one side. Positive means a longer right tail; negative means a longer left tail.</t>
        </r>
      </text>
    </comment>
    <comment ref="W2" authorId="0" shapeId="0" xr:uid="{5C2EABA8-27A0-4771-8FB2-2FD996C40B43}">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0B6A43C7-60B3-4DEE-A492-143A29614876}">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49C084F3-9B70-4973-B7C2-88FA24127872}">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8D3B9831-268D-473A-A002-2FFE385E79FD}">
      <text>
        <r>
          <rPr>
            <b/>
            <sz val="9"/>
            <color indexed="81"/>
            <rFont val="Tahoma"/>
            <family val="2"/>
          </rPr>
          <t>The actual observed outcome values.</t>
        </r>
      </text>
    </comment>
    <comment ref="AP2" authorId="0" shapeId="0" xr:uid="{0E962309-6C56-4A5C-B3D1-A4C47BA4B44B}">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67818641-CEC7-4E2D-B3BF-DE6027AFEE0D}">
      <text>
        <r>
          <rPr>
            <b/>
            <sz val="9"/>
            <color indexed="81"/>
            <rFont val="Tahoma"/>
            <family val="2"/>
          </rPr>
          <t>Actual Y minus predicted Y. Positive means the row came in above the model's prediction; negative means below.</t>
        </r>
      </text>
    </comment>
    <comment ref="AR2" authorId="0" shapeId="0" xr:uid="{BE6629EB-2767-4F30-B556-629DD66CFAEF}">
      <text>
        <r>
          <rPr>
            <b/>
            <sz val="9"/>
            <color indexed="81"/>
            <rFont val="Tahoma"/>
            <family val="2"/>
          </rPr>
          <t>Leverage. It shows how unusual a row's predictor values are relative to the rest of the data.</t>
        </r>
      </text>
    </comment>
    <comment ref="AS2" authorId="0" shapeId="0" xr:uid="{6A8A67BA-7E43-4AD0-A4F7-ACBAE7E66B8F}">
      <text>
        <r>
          <rPr>
            <b/>
            <sz val="9"/>
            <color indexed="81"/>
            <rFont val="Tahoma"/>
            <family val="2"/>
          </rPr>
          <t>Residuals scaled to account for overall error size and leverage, making outliers easier to compare fairly.</t>
        </r>
      </text>
    </comment>
    <comment ref="AT2" authorId="0" shapeId="0" xr:uid="{5095EE78-BCA1-47DA-B658-331D941994BE}">
      <text>
        <r>
          <rPr>
            <b/>
            <sz val="9"/>
            <color indexed="81"/>
            <rFont val="Tahoma"/>
            <family val="2"/>
          </rPr>
          <t>How much a single row can pull the fitted coefficients and predictions around.</t>
        </r>
      </text>
    </comment>
    <comment ref="AU2" authorId="0" shapeId="0" xr:uid="{992BC1F3-4FFF-4794-86C8-13394AC610A4}">
      <text>
        <r>
          <rPr>
            <b/>
            <sz val="9"/>
            <color indexed="81"/>
            <rFont val="Tahoma"/>
            <family val="2"/>
          </rPr>
          <t>Expected bell-curve quantiles used for the Q-Q comparison.</t>
        </r>
      </text>
    </comment>
    <comment ref="AV2" authorId="0" shapeId="0" xr:uid="{D87AD34D-56A3-4B9B-8FD9-65D7AFDB3338}">
      <text>
        <r>
          <rPr>
            <b/>
            <sz val="9"/>
            <color indexed="81"/>
            <rFont val="Tahoma"/>
            <family val="2"/>
          </rPr>
          <t>Studentized residuals sorted from smallest to largest for the Q-Q plot.</t>
        </r>
      </text>
    </comment>
    <comment ref="AW2" authorId="0" shapeId="0" xr:uid="{2A3368B8-6FE5-46D7-8E0E-285D4AA2F3EE}">
      <text>
        <r>
          <rPr>
            <b/>
            <sz val="9"/>
            <color indexed="81"/>
            <rFont val="Tahoma"/>
            <family val="2"/>
          </rPr>
          <t>The square root of the absolute studentized residual. A flat pattern suggests stable error spread.</t>
        </r>
      </text>
    </comment>
    <comment ref="AX2" authorId="0" shapeId="0" xr:uid="{5E00AFC4-4D6B-44F7-99C8-C5AAF9C77B0E}">
      <text>
        <r>
          <rPr>
            <b/>
            <sz val="9"/>
            <color indexed="81"/>
            <rFont val="Tahoma"/>
            <family val="2"/>
          </rPr>
          <t>The prediction error for a row when that row is left out of the fitting step (the leave-one-out / LOOCV residual). Summing its squares gives PRESS.</t>
        </r>
      </text>
    </comment>
    <comment ref="AY2" authorId="0" shapeId="0" xr:uid="{748E2981-871C-4FEC-8AB5-D59A706156F5}">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4FDED349-9C4C-45A1-B910-15F364909519}">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6F3E9090-B588-40D8-9224-799E18F2D2E1}">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FD7FF52C-593B-444A-8EFE-466C34B5A890}">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DD386804-72E6-4003-B23C-808E4701967A}">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59DEF3EB-51F5-43B7-B1D8-9A805143D6C0}">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AA2F9B9D-92C0-4389-B35A-D2547874872A}">
      <text>
        <r>
          <rPr>
            <b/>
            <sz val="9"/>
            <color indexed="81"/>
            <rFont val="Tahoma"/>
            <family val="2"/>
          </rPr>
          <t>Reserved for a future release — not yet used by any formula.</t>
        </r>
      </text>
    </comment>
    <comment ref="G3" authorId="0" shapeId="0" xr:uid="{646071FB-EF7B-4338-9BE6-A63E75AAF808}">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30A9D45B-F2A7-4A93-A9AD-607C57DD38C2}">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61EE0ADF-2EA1-4393-A82E-429EA43278CA}">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6506BFA4-F6EB-4B9D-B763-941A3DC8496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F7DD3C78-A8C7-47D2-A2B7-1A7AA2DB3A21}">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80A2298-EC35-4A03-8069-0CB7843C11FB}">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F2D320B6-2626-4911-A3F2-E16B54AEDA6C}">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5E836927-2500-4FBB-A98E-BD4CC636F5CF}">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E77AF42-4C6D-4FC6-B94E-8F320001B9BE}">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9EF45C18-0E88-483A-B602-9FCB197EB215}">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BEC25373-BB35-403C-AE8B-BBBBCAEA5D49}">
      <text>
        <r>
          <rPr>
            <b/>
            <sz val="9"/>
            <color indexed="81"/>
            <rFont val="Tahoma"/>
            <family val="2"/>
          </rPr>
          <t>How closely the model's predicted Y values track the actual Y values overall.</t>
        </r>
      </text>
    </comment>
    <comment ref="AD4" authorId="0" shapeId="0" xr:uid="{C1206B75-57E8-4BEC-85F7-0D3D5E6E9A3C}">
      <text>
        <r>
          <rPr>
            <b/>
            <sz val="9"/>
            <color indexed="81"/>
            <rFont val="Tahoma"/>
            <family val="2"/>
          </rPr>
          <t>A leave-one-out prediction error score. Lower is better because it means the model predicts unseen rows more accurately.</t>
        </r>
      </text>
    </comment>
    <comment ref="AJ4" authorId="0" shapeId="0" xr:uid="{561F4C20-9A1E-44CE-AE07-091823A6AC3B}">
      <text>
        <r>
          <rPr>
            <b/>
            <sz val="9"/>
            <color indexed="81"/>
            <rFont val="Tahoma"/>
            <family val="2"/>
          </rPr>
          <t>Standard error for the MEAN of Y at the chosen X values. Builds the confidence interval — the narrower band — for where the average response sits.</t>
        </r>
      </text>
    </comment>
    <comment ref="AA5" authorId="0" shapeId="0" xr:uid="{6C8DAC12-32F5-40D8-8715-9D00A68D348C}">
      <text>
        <r>
          <rPr>
            <b/>
            <sz val="9"/>
            <color indexed="81"/>
            <rFont val="Tahoma"/>
            <family val="2"/>
          </rPr>
          <t>The share of the outcome's variation explained by the model.</t>
        </r>
      </text>
    </comment>
    <comment ref="AD5" authorId="0" shapeId="0" xr:uid="{FD4D9CE0-69E2-4DD8-B5AE-DE24D2265CE8}">
      <text>
        <r>
          <rPr>
            <b/>
            <sz val="9"/>
            <color indexed="81"/>
            <rFont val="Tahoma"/>
            <family val="2"/>
          </rPr>
          <t>An out-of-sample version of R Square based on leave-one-out prediction. Negative values mean the model predicts worse than just using the average Y.</t>
        </r>
      </text>
    </comment>
    <comment ref="AJ5" authorId="0" shapeId="0" xr:uid="{B5B5D6C2-208A-4E3D-84D6-CF21895B85E6}">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D7D8EFF4-3171-438B-85CB-277366455BA5}">
      <text>
        <r>
          <rPr>
            <b/>
            <sz val="9"/>
            <color indexed="81"/>
            <rFont val="Tahoma"/>
            <family val="2"/>
          </rPr>
          <t>R Square with a penalty for adding predictors that do not help enough.</t>
        </r>
      </text>
    </comment>
    <comment ref="AD6" authorId="0" shapeId="0" xr:uid="{1EF6F37F-D64C-4FBE-85C0-9F20F0125DF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1958464F-64B6-4E58-B140-0F2FE0298D33}">
      <text>
        <r>
          <rPr>
            <b/>
            <sz val="9"/>
            <color indexed="81"/>
            <rFont val="Tahoma"/>
            <family val="2"/>
          </rPr>
          <t>The t-distribution cutoff at the chosen confidence level. Multiply by SE (Mean) to get the CI half-width and by SE (New Obs) to get the PI half-width.</t>
        </r>
      </text>
    </comment>
    <comment ref="AA7" authorId="0" shapeId="0" xr:uid="{BF4D6983-B079-48BE-BBC1-84C856F7939B}">
      <text>
        <r>
          <rPr>
            <b/>
            <sz val="9"/>
            <color indexed="81"/>
            <rFont val="Tahoma"/>
            <family val="2"/>
          </rPr>
          <t>The typical size of the model's prediction errors, measured in the same units as Y.</t>
        </r>
      </text>
    </comment>
    <comment ref="AD7" authorId="0" shapeId="0" xr:uid="{4AEB0D0D-EB51-4581-BE6F-65871E080BDB}">
      <text>
        <r>
          <rPr>
            <b/>
            <sz val="9"/>
            <color indexed="81"/>
            <rFont val="Tahoma"/>
            <family val="2"/>
          </rPr>
          <t>A model-comparison score that balances fit against complexity. Lower is better when comparing models on the same data.</t>
        </r>
      </text>
    </comment>
    <comment ref="AJ7" authorId="0" shapeId="0" xr:uid="{58DFDE50-399D-4A79-9CB0-A1F31DB188E3}">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E7C9A25D-78AF-49FF-A576-BBA5442B0840}">
      <text>
        <r>
          <rPr>
            <b/>
            <sz val="9"/>
            <color indexed="81"/>
            <rFont val="Tahoma"/>
            <family val="2"/>
          </rPr>
          <t>The number of rows actually used in the regression after filtering.</t>
        </r>
      </text>
    </comment>
    <comment ref="AD8" authorId="0" shapeId="0" xr:uid="{9E5D804F-FA9B-439D-893C-BEDFC3827DDC}">
      <text>
        <r>
          <rPr>
            <b/>
            <sz val="9"/>
            <color indexed="81"/>
            <rFont val="Tahoma"/>
            <family val="2"/>
          </rPr>
          <t>Another model-comparison score like AIC, but it penalizes extra predictors more strongly.</t>
        </r>
      </text>
    </comment>
    <comment ref="AJ8" authorId="0" shapeId="0" xr:uid="{3CBF74A2-6A6D-4132-AFB4-645E25583879}">
      <text>
        <r>
          <rPr>
            <b/>
            <sz val="9"/>
            <color indexed="81"/>
            <rFont val="Tahoma"/>
            <family val="2"/>
          </rPr>
          <t>Upper bound of the confidence interval for the MEAN response at the chosen X values.</t>
        </r>
      </text>
    </comment>
    <comment ref="AD9" authorId="0" shapeId="0" xr:uid="{D1335F40-85E8-4FDD-BBDC-E71E9E62C3F1}">
      <text>
        <r>
          <rPr>
            <b/>
            <sz val="9"/>
            <color indexed="81"/>
            <rFont val="Tahoma"/>
            <family val="2"/>
          </rPr>
          <t>AIC with an extra correction for small samples.</t>
        </r>
      </text>
    </comment>
    <comment ref="AJ9" authorId="0" shapeId="0" xr:uid="{C4FF8667-9A6B-4FCF-8376-F9FE3444EDE6}">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1DBE26FD-DE45-40D4-9EF3-9D3C7059A516}">
      <text>
        <r>
          <rPr>
            <b/>
            <sz val="9"/>
            <color indexed="81"/>
            <rFont val="Tahoma"/>
            <family val="2"/>
          </rPr>
          <t>A numeric check of how close the residuals are to a normal bell shape. Values closer to 1 are better.</t>
        </r>
      </text>
    </comment>
    <comment ref="AJ10" authorId="0" shapeId="0" xr:uid="{E3BEA89F-BF15-4EBA-8C55-A394ECB4D487}">
      <text>
        <r>
          <rPr>
            <b/>
            <sz val="9"/>
            <color indexed="81"/>
            <rFont val="Tahoma"/>
            <family val="2"/>
          </rPr>
          <t>Upper bound of the prediction interval for a SINGLE new observation at the chosen X values.</t>
        </r>
      </text>
    </comment>
    <comment ref="AD11" authorId="0" shapeId="0" xr:uid="{F3F2EE23-2106-413A-9DFE-1C9FEF56B6DB}">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67163858-CB08-431C-8D52-389E497934D7}">
      <text>
        <r>
          <rPr>
            <b/>
            <sz val="9"/>
            <color indexed="81"/>
            <rFont val="Tahoma"/>
            <family val="2"/>
          </rPr>
          <t>The probability level associated with the interval. With alpha 0.05, this is 95%.</t>
        </r>
      </text>
    </comment>
    <comment ref="AA12" authorId="0" shapeId="0" xr:uid="{A9307736-33AA-4C2A-BAF7-51589E4D569B}">
      <text>
        <r>
          <rPr>
            <b/>
            <sz val="9"/>
            <color indexed="81"/>
            <rFont val="Tahoma"/>
            <family val="2"/>
          </rPr>
          <t>The cutoff for statistical significance. At 0.05, results with p-values below 0.05 are treated as statistically significant.</t>
        </r>
      </text>
    </comment>
    <comment ref="AD12" authorId="0" shapeId="0" xr:uid="{A57AF7D7-3611-4BEA-818F-C4EA4DD892DE}">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953917CE-388B-4C76-A554-4EF4249E917D}">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2693688A-2309-48BB-A36E-96F18FD443A8}">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CD498A49-3E1F-46E3-8C50-FED096CC403C}">
      <text>
        <r>
          <rPr>
            <b/>
            <sz val="9"/>
            <color indexed="81"/>
            <rFont val="Tahoma"/>
            <family val="2"/>
          </rPr>
          <t>The number of independent data points available to estimate each part of the model — total rows minus one for each estimated parameter.</t>
        </r>
      </text>
    </comment>
    <comment ref="AC14" authorId="0" shapeId="0" xr:uid="{27B39E7C-A4AD-4A13-BC9A-E97F7CCA6A9E}">
      <text>
        <r>
          <rPr>
            <b/>
            <sz val="9"/>
            <color indexed="81"/>
            <rFont val="Tahoma"/>
            <family val="2"/>
          </rPr>
          <t>The total variation attributed to that source — regression, residual, or total. The raw material from which MS and F are calculated.</t>
        </r>
      </text>
    </comment>
    <comment ref="AD14" authorId="0" shapeId="0" xr:uid="{3844219C-6202-4D8B-AEBC-9D5F7E9BB656}">
      <text>
        <r>
          <rPr>
            <b/>
            <sz val="9"/>
            <color indexed="81"/>
            <rFont val="Tahoma"/>
            <family val="2"/>
          </rPr>
          <t>Sum of squares averaged over its degrees of freedom — a per-unit measure of variation for that source.</t>
        </r>
      </text>
    </comment>
    <comment ref="AE14" authorId="0" shapeId="0" xr:uid="{CD0785D7-82CA-4642-A3A9-E8F78ACF6791}">
      <text>
        <r>
          <rPr>
            <b/>
            <sz val="9"/>
            <color indexed="81"/>
            <rFont val="Tahoma"/>
            <family val="2"/>
          </rPr>
          <t>The model-vs-noise ratio used in the overall regression significance test.</t>
        </r>
      </text>
    </comment>
    <comment ref="AF14" authorId="0" shapeId="0" xr:uid="{DD8E84EA-E0B5-441A-BD53-7BF10D0A97F1}">
      <text>
        <r>
          <rPr>
            <b/>
            <sz val="9"/>
            <color indexed="81"/>
            <rFont val="Tahoma"/>
            <family val="2"/>
          </rPr>
          <t>The p-value for the overall F test. Small values mean the model as a whole is unlikely to be pure noise.</t>
        </r>
      </text>
    </comment>
    <comment ref="AJ14" authorId="0" shapeId="0" xr:uid="{701A959F-ACFE-4FBB-B1B6-59F2D03AC6E8}">
      <text>
        <r>
          <rPr>
            <b/>
            <sz val="9"/>
            <color indexed="81"/>
            <rFont val="Tahoma"/>
            <family val="2"/>
          </rPr>
          <t>Number of analysis-sample observations in the selected FE group. The Tᵢ used to scale the within-group mean's standard error.</t>
        </r>
      </text>
    </comment>
    <comment ref="AA15" authorId="0" shapeId="0" xr:uid="{76B9D40E-D014-4CCB-AA8E-3858F70D4C5D}">
      <text>
        <r>
          <rPr>
            <b/>
            <sz val="9"/>
            <color indexed="81"/>
            <rFont val="Tahoma"/>
            <family val="2"/>
          </rPr>
          <t>The variation explained by the predictors taken together.</t>
        </r>
      </text>
    </comment>
    <comment ref="AA16" authorId="0" shapeId="0" xr:uid="{69EB0259-D846-43FB-A275-2DB4EA4BCD6B}">
      <text>
        <r>
          <rPr>
            <b/>
            <sz val="9"/>
            <color indexed="81"/>
            <rFont val="Tahoma"/>
            <family val="2"/>
          </rPr>
          <t>The variation the model does not explain.</t>
        </r>
      </text>
    </comment>
    <comment ref="AA17" authorId="0" shapeId="0" xr:uid="{F08B71F9-6AD5-4C87-B97A-7477438AF1E0}">
      <text>
        <r>
          <rPr>
            <b/>
            <sz val="9"/>
            <color indexed="81"/>
            <rFont val="Tahoma"/>
            <family val="2"/>
          </rPr>
          <t>All variation in the outcome before splitting it into explained and unexplained parts.</t>
        </r>
      </text>
    </comment>
    <comment ref="AJ17" authorId="0" shapeId="0" xr:uid="{8E8B241D-CF69-43A4-9212-40531E9A50CC}">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B0859B04-FA14-46CF-AAAB-C5D008632CFA}">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8ECCDE23-4980-43A6-ADC4-4764645FC44A}">
      <text>
        <r>
          <rPr>
            <b/>
            <sz val="9"/>
            <color indexed="81"/>
            <rFont val="Tahoma"/>
            <family val="2"/>
          </rPr>
          <t>The fitted weights used to turn predictor values into predictions.</t>
        </r>
      </text>
    </comment>
    <comment ref="AC20" authorId="0" shapeId="0" xr:uid="{017CA33D-C954-4BDC-8AF9-82B4259ED049}">
      <text>
        <r>
          <rPr>
            <b/>
            <sz val="9"/>
            <color indexed="81"/>
            <rFont val="Tahoma"/>
            <family val="2"/>
          </rPr>
          <t>How uncertain each coefficient estimate is.</t>
        </r>
      </text>
    </comment>
    <comment ref="AD20" authorId="0" shapeId="0" xr:uid="{A8A2C955-5E19-41E8-BB07-DC261CD94195}">
      <text>
        <r>
          <rPr>
            <b/>
            <sz val="9"/>
            <color indexed="81"/>
            <rFont val="Tahoma"/>
            <family val="2"/>
          </rPr>
          <t>How many standard errors the coefficient is away from zero.</t>
        </r>
      </text>
    </comment>
    <comment ref="AE20" authorId="0" shapeId="0" xr:uid="{D46B946C-0FC1-41B0-AEB6-0040E9F8EDAD}">
      <text>
        <r>
          <rPr>
            <b/>
            <sz val="9"/>
            <color indexed="81"/>
            <rFont val="Tahoma"/>
            <family val="2"/>
          </rPr>
          <t>How surprising this coefficient would be if its true effect were zero. Smaller values mean stronger evidence of a real effect.</t>
        </r>
      </text>
    </comment>
    <comment ref="AF20" authorId="0" shapeId="0" xr:uid="{B6D66931-83C4-4511-BC3B-E0A88CB41A22}">
      <text>
        <r>
          <rPr>
            <b/>
            <sz val="9"/>
            <color indexed="81"/>
            <rFont val="Tahoma"/>
            <family val="2"/>
          </rPr>
          <t>The lower bound of the 95% confidence interval.</t>
        </r>
      </text>
    </comment>
    <comment ref="AG20" authorId="0" shapeId="0" xr:uid="{D68D726E-93C9-4A80-9818-1BE596B07815}">
      <text>
        <r>
          <rPr>
            <b/>
            <sz val="9"/>
            <color indexed="81"/>
            <rFont val="Tahoma"/>
            <family val="2"/>
          </rPr>
          <t>The upper bound of the 95% confidence interval.</t>
        </r>
      </text>
    </comment>
    <comment ref="AH20" authorId="0" shapeId="0" xr:uid="{E43BCD0A-BBB8-46DE-A11E-1175E694638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<sst xmlns="http://schemas.openxmlformats.org/spreadsheetml/2006/main" count="8881" uniqueCount="1933">
  <si>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</si>
  <si>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</si>
  <si>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</si>
  <si>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</si>
  <si>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</si>
  <si>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</si>
  <si>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</si>
  <si>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</si>
  <si>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</si>
  <si>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</si>
  <si>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</si>
  <si>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</si>
  <si>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</si>
  <si>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</si>
  <si>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</si>
  <si>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</si>
  <si>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</si>
  <si>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</si>
  <si>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</si>
  <si>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</si>
  <si>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</si>
  <si>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</si>
  <si>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</si>
  <si>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</si>
  <si>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</si>
  <si>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</si>
  <si>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</si>
  <si>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</si>
  <si>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</si>
  <si>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</si>
  <si>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</si>
  <si>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</si>
  <si>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</si>
  <si>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</si>
  <si>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</si>
  <si>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</si>
  <si>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</si>
  <si>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</si>
  <si>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</si>
  <si>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</si>
  <si>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</si>
  <si>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</si>
  <si>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</si>
  <si>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</si>
  <si>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</si>
  <si>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</si>
  <si>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</si>
  <si>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</si>
  <si>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</si>
  <si>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</si>
  <si>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</si>
  <si>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</si>
  <si>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</si>
  <si>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</si>
  <si>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</si>
  <si>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</si>
  <si>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</si>
  <si>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</si>
  <si>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</si>
  <si>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</si>
  <si>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</si>
  <si>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</si>
  <si>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</si>
  <si>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</si>
  <si>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</si>
  <si>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</si>
  <si>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</si>
  <si>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</si>
  <si>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</si>
  <si>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</si>
  <si>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</si>
  <si>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</si>
  <si>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</si>
  <si>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</si>
  <si>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</si>
  <si>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</si>
  <si>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</si>
  <si>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</si>
  <si>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</si>
  <si>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</si>
  <si>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</si>
  <si>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</si>
  <si>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</si>
  <si>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</si>
  <si>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</si>
  <si>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</si>
  <si>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</si>
  <si>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</si>
  <si>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</si>
  <si>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</si>
  <si>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</si>
  <si>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</si>
  <si>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</si>
  <si>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</si>
  <si>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</si>
  <si>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</si>
  <si>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</si>
  <si>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</si>
  <si>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</si>
  <si>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</si>
  <si>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</si>
  <si>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</si>
  <si>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</si>
  <si>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</si>
  <si>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</si>
  <si>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</si>
  <si>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</si>
  <si>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</si>
  <si>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</si>
  <si>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</si>
  <si>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</si>
  <si>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</si>
  <si>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</si>
  <si>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</si>
  <si>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</si>
  <si>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</si>
  <si>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</si>
  <si>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</si>
  <si>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</si>
  <si>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</si>
  <si>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</si>
  <si>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</si>
  <si>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</si>
  <si>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</si>
  <si>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</si>
  <si>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</si>
  <si>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</si>
  <si>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</si>
  <si>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</si>
  <si>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</si>
  <si>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</si>
  <si>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</si>
  <si>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</si>
  <si>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</si>
  <si>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</si>
  <si>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</si>
  <si>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</si>
  <si>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</si>
  <si>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</si>
  <si>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</si>
  <si>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</si>
  <si>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</si>
  <si>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</si>
  <si>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</si>
  <si>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</si>
  <si>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</si>
  <si>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</si>
  <si>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</si>
  <si>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</si>
  <si>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</si>
  <si>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</si>
  <si>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</si>
  <si>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</si>
  <si>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</si>
  <si>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</si>
  <si>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</si>
  <si>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</si>
  <si>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</si>
  <si>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</si>
  <si>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</si>
  <si>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</si>
  <si>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</si>
  <si>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</si>
  <si>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</si>
  <si>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</si>
  <si>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</si>
  <si>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</si>
  <si>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</si>
  <si>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</si>
  <si>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</si>
  <si>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</si>
  <si>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</si>
  <si>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</si>
  <si>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</si>
  <si>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</si>
  <si>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</si>
  <si>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</si>
  <si>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</si>
  <si>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</si>
  <si>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</si>
  <si>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</si>
  <si>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</si>
  <si>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</si>
  <si>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</si>
  <si>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</si>
  <si>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</si>
  <si>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</si>
  <si>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</si>
  <si>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</si>
  <si>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</si>
  <si>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</si>
  <si>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</si>
  <si>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</si>
  <si>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</si>
  <si>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</si>
  <si>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</si>
  <si>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</si>
  <si>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</si>
  <si>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</si>
  <si>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</si>
  <si>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</si>
  <si>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</si>
  <si>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</si>
  <si>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</si>
  <si>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</si>
  <si>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</si>
  <si>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</si>
  <si>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</si>
  <si>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</si>
  <si>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</si>
  <si>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</si>
  <si>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</si>
  <si>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</si>
  <si>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</si>
  <si>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</si>
  <si>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</si>
  <si>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</si>
  <si>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</si>
  <si>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</si>
  <si>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</si>
  <si>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</si>
  <si>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</si>
  <si>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</si>
  <si>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</si>
  <si>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</si>
  <si>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</si>
  <si>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</si>
  <si>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</si>
  <si>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</si>
  <si>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</si>
  <si>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</si>
  <si>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</si>
  <si>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</si>
  <si>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</si>
  <si>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</si>
  <si>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</si>
  <si>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</si>
  <si>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</si>
  <si>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</si>
  <si>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</si>
  <si>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</si>
  <si>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</si>
  <si>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</si>
  <si>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</si>
  <si>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</si>
  <si>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</si>
  <si>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</si>
  <si>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</si>
  <si>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</si>
  <si>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</si>
  <si>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</si>
  <si>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</si>
  <si>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</si>
  <si>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</si>
  <si>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</si>
  <si>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</si>
  <si>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</si>
  <si>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</si>
  <si>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</si>
  <si>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</si>
  <si>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</si>
  <si>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</si>
  <si>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</si>
  <si>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</si>
  <si>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</si>
  <si>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</si>
  <si>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</si>
  <si>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</si>
  <si>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</si>
  <si>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</si>
  <si>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</si>
  <si>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</si>
  <si>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</si>
  <si>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</si>
  <si>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</si>
  <si>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</si>
  <si>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</si>
  <si>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</si>
  <si>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</si>
  <si>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</si>
  <si>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</si>
  <si>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</si>
  <si>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</si>
  <si>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</si>
  <si>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</si>
  <si>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</si>
  <si>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</si>
  <si>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</si>
  <si>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</si>
  <si>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</si>
  <si>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</si>
  <si>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</si>
  <si>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</si>
  <si>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</si>
  <si>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</si>
  <si>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</si>
  <si>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</si>
  <si>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</si>
  <si>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</si>
  <si>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</si>
  <si>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</si>
  <si>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</si>
  <si>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</si>
  <si>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</si>
  <si>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</si>
  <si>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</si>
  <si>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</si>
  <si>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</si>
  <si>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</si>
  <si>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</si>
  <si>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</si>
  <si>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</si>
  <si>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</si>
  <si>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</si>
  <si>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</si>
  <si>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</si>
  <si>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</si>
  <si>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</si>
  <si>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</si>
  <si>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</si>
  <si>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</si>
  <si>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</si>
  <si>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</si>
  <si>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</si>
  <si>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</si>
  <si>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</si>
  <si>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</si>
  <si>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</si>
  <si>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</si>
  <si>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</si>
  <si>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</si>
  <si>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</si>
  <si>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</si>
  <si>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</si>
  <si>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</si>
  <si>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</si>
  <si>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</si>
  <si>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</si>
  <si>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</si>
  <si>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</si>
  <si>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</si>
  <si>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</si>
  <si>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</si>
  <si>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</si>
  <si>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</si>
  <si>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</si>
  <si>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</si>
  <si>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</si>
  <si>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</si>
  <si>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</si>
  <si>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</si>
  <si>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</si>
  <si>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</si>
  <si>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</si>
  <si>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</si>
  <si>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</si>
  <si>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</si>
  <si>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</si>
  <si>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</si>
  <si>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</si>
  <si>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</si>
  <si>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</si>
  <si>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</si>
  <si>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</si>
  <si>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</si>
  <si>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</si>
  <si>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</si>
  <si>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</si>
  <si>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</si>
  <si>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</si>
  <si>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</si>
  <si>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</si>
  <si>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</si>
  <si>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</si>
  <si>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</si>
  <si>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</si>
  <si>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</si>
  <si>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</si>
  <si>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</si>
  <si>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</si>
  <si>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</si>
  <si>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</si>
  <si>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</si>
  <si>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</si>
  <si>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</si>
  <si>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</si>
  <si>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</si>
  <si>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</si>
  <si>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</si>
  <si>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</si>
  <si>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</si>
  <si>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</si>
  <si>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</si>
  <si>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</si>
  <si>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</si>
  <si>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</si>
  <si>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</si>
  <si>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</si>
  <si>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</si>
  <si>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</si>
  <si>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</si>
  <si>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</si>
  <si>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</si>
  <si>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</si>
  <si>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</si>
  <si>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</si>
  <si>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</si>
  <si>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</si>
  <si>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</si>
  <si>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</si>
  <si>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</si>
  <si>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</si>
  <si>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</si>
  <si>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</si>
  <si>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</si>
  <si>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</si>
  <si>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</si>
  <si>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</si>
  <si>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</si>
  <si>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</si>
  <si>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</si>
  <si>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</si>
  <si>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</si>
  <si>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</si>
  <si>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</si>
  <si>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</si>
  <si>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</si>
  <si>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</si>
  <si>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</si>
  <si>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</si>
  <si>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</si>
  <si>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</si>
  <si>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</si>
  <si>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</si>
  <si>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</si>
  <si>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</si>
  <si>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</si>
  <si>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</si>
  <si>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</si>
  <si>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</si>
  <si>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</si>
  <si>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</si>
  <si>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</si>
  <si>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</si>
  <si>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</si>
  <si>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</si>
  <si>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</si>
  <si>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</si>
  <si>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</si>
  <si>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</si>
  <si>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</si>
  <si>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</si>
  <si>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</si>
  <si>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</si>
  <si>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</si>
  <si>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</si>
  <si>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</si>
  <si>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</si>
  <si>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</si>
  <si>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</si>
  <si>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</si>
  <si>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</si>
  <si>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</si>
  <si>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</si>
  <si>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</si>
  <si>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</si>
  <si>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</si>
  <si>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</si>
  <si>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</si>
  <si>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</si>
  <si>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</si>
  <si>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</si>
  <si>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</si>
  <si>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</si>
  <si>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</si>
  <si>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</si>
  <si>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</si>
  <si>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</si>
  <si>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</si>
  <si>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</si>
  <si>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</si>
  <si>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</si>
  <si>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</si>
  <si>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</si>
  <si>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</si>
  <si>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</si>
  <si>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</si>
  <si>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</si>
  <si>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</si>
  <si>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</si>
  <si>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</si>
  <si>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</si>
  <si>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</si>
  <si>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</si>
  <si>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</si>
  <si>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</si>
  <si>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</si>
  <si>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</si>
  <si>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</si>
  <si>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</si>
  <si>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</si>
  <si>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</si>
  <si>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</si>
  <si>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</si>
  <si>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</si>
  <si>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</si>
  <si>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</si>
  <si>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</si>
  <si>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</si>
  <si>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</si>
  <si>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</si>
  <si>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</si>
  <si>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</si>
  <si>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</si>
  <si>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</si>
  <si>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</si>
  <si>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</si>
  <si>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</si>
  <si>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</si>
  <si>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</si>
  <si>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</si>
  <si>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</si>
  <si>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</si>
  <si>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</si>
  <si>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</si>
  <si>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</si>
  <si>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</si>
  <si>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</si>
  <si>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</si>
  <si>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</si>
  <si>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</si>
  <si>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</si>
  <si>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</si>
  <si>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</si>
  <si>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</si>
  <si>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</si>
  <si>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</si>
  <si>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</si>
  <si>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</si>
  <si>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</si>
  <si>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</si>
  <si>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</si>
  <si>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</si>
  <si>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</si>
  <si>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</si>
  <si>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</si>
  <si>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</si>
  <si>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</si>
  <si>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</si>
  <si>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</si>
  <si>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</si>
  <si>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</si>
  <si>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</si>
  <si>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</si>
  <si>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</si>
  <si>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</si>
  <si>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</si>
  <si>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</si>
  <si>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</si>
  <si>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</si>
  <si>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</si>
  <si>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</si>
  <si>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</si>
  <si>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</si>
  <si>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</si>
  <si>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</si>
  <si>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</si>
  <si>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</si>
  <si>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</si>
  <si>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</si>
  <si>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</si>
  <si>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</si>
  <si>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</si>
  <si>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</si>
  <si>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</si>
  <si>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</si>
  <si>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</si>
  <si>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</si>
  <si>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</si>
  <si>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</si>
  <si>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</si>
  <si>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</si>
  <si>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</si>
  <si>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</si>
  <si>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</si>
  <si>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</si>
  <si>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</si>
  <si>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</si>
  <si>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</si>
  <si>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</si>
  <si>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</si>
  <si>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</si>
  <si>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</si>
  <si>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</si>
  <si>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</si>
  <si>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</si>
  <si>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</si>
  <si>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</si>
  <si>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</si>
  <si>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</si>
  <si>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</si>
  <si>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</si>
  <si>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</si>
  <si>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</si>
  <si>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</si>
  <si>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</si>
  <si>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</si>
  <si>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</si>
  <si>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</si>
  <si>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</si>
  <si>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</si>
  <si>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</si>
  <si>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</si>
  <si>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</si>
  <si>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</si>
  <si>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</si>
  <si>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</si>
  <si>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</si>
  <si>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</si>
  <si>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</si>
  <si>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</si>
  <si>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</si>
  <si>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</si>
  <si>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</si>
  <si>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</si>
  <si>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</si>
  <si>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</si>
  <si>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</si>
  <si>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</si>
  <si>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</si>
  <si>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</si>
  <si>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</si>
  <si>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</si>
  <si>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</si>
  <si>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</si>
  <si>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</si>
  <si>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</si>
  <si>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</si>
  <si>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</si>
  <si>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</si>
  <si>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</si>
  <si>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</si>
  <si>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</si>
  <si>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</si>
  <si>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</si>
  <si>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</si>
  <si>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</si>
  <si>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</si>
  <si>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</si>
  <si>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</si>
  <si>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</si>
  <si>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</si>
  <si>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</si>
  <si>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</si>
  <si>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</si>
  <si>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</si>
  <si>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</si>
  <si>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</si>
  <si>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</si>
  <si>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</si>
  <si>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</si>
  <si>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</si>
  <si>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</si>
  <si>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</si>
  <si>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</si>
  <si>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</si>
  <si>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</si>
  <si>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</si>
  <si>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</si>
  <si>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</si>
  <si>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</si>
  <si>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</si>
  <si>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</si>
  <si>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</si>
  <si>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</si>
  <si>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</si>
  <si>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</si>
  <si>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</si>
  <si>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</si>
  <si>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</si>
  <si>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</si>
  <si>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</si>
  <si>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</si>
  <si>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</si>
  <si>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</si>
  <si>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</si>
  <si>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</si>
  <si>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</si>
  <si>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</si>
  <si>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</si>
  <si>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</si>
  <si>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</si>
  <si>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</si>
  <si>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</si>
  <si>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</si>
  <si>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</si>
  <si>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</si>
  <si>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</si>
  <si>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</si>
  <si>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</si>
  <si>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</si>
  <si>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</si>
  <si>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</si>
  <si>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</si>
  <si>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</si>
  <si>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</si>
  <si>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</si>
  <si>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</si>
  <si>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</si>
  <si>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</si>
  <si>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</si>
  <si>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</si>
  <si>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</si>
  <si>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</si>
  <si>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</si>
  <si>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</si>
  <si>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</si>
  <si>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</si>
  <si>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</si>
  <si>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</si>
  <si>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</si>
  <si>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</si>
  <si>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</si>
  <si>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</si>
  <si>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</si>
  <si>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</si>
  <si>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</si>
  <si>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</si>
  <si>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</si>
  <si>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</si>
  <si>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</si>
  <si>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</si>
  <si>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</si>
  <si>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</si>
  <si>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</si>
  <si>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</si>
  <si>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</si>
  <si>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</si>
  <si>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</si>
  <si>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</si>
  <si>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</si>
  <si>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</si>
  <si>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</si>
  <si>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</si>
  <si>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</si>
  <si>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</si>
  <si>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</si>
  <si>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</si>
  <si>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</si>
  <si>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</si>
  <si>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</si>
  <si>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</si>
  <si>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</si>
  <si>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</si>
  <si>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</si>
  <si>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</si>
  <si>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</si>
  <si>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</si>
  <si>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</si>
  <si>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</si>
  <si>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</si>
  <si>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</si>
  <si>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</si>
  <si>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</si>
  <si>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</si>
  <si>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</si>
  <si>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</si>
  <si>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</si>
  <si>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</si>
  <si>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</si>
  <si>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</si>
  <si>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</si>
  <si>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</si>
  <si>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</si>
  <si>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</si>
  <si>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</si>
  <si>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</si>
  <si>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</si>
  <si>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</si>
  <si>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</si>
  <si>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</si>
  <si>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</si>
  <si>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</si>
  <si>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</si>
  <si>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</si>
  <si>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</si>
  <si>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</si>
  <si>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</si>
  <si>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</si>
  <si>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</si>
  <si>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</si>
  <si>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</si>
  <si>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</si>
  <si>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</si>
  <si>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</si>
  <si>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</si>
  <si>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</si>
  <si>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</si>
  <si>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</si>
  <si>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</si>
  <si>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</si>
  <si>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</si>
  <si>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</si>
  <si>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</si>
  <si>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</si>
  <si>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</si>
  <si>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</si>
  <si>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</si>
  <si>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</si>
  <si>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</si>
  <si>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</si>
  <si>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</si>
  <si>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</si>
  <si>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</si>
  <si>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</si>
  <si>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</si>
  <si>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</si>
  <si>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</si>
  <si>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</si>
  <si>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</si>
  <si>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</si>
  <si>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</si>
  <si>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</si>
  <si>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</si>
  <si>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</si>
  <si>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</si>
  <si>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</si>
  <si>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</si>
  <si>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</si>
  <si>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</si>
  <si>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</si>
  <si>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</si>
  <si>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</si>
  <si>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</si>
  <si>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</si>
  <si>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</si>
  <si>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</si>
  <si>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</si>
  <si>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</si>
  <si>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</si>
  <si>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</si>
  <si>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</si>
  <si>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</si>
  <si>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</si>
  <si>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</si>
  <si>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</si>
  <si>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</si>
  <si>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</si>
  <si>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</si>
  <si>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</si>
  <si>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</si>
  <si>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</si>
  <si>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</si>
  <si>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</si>
  <si>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</si>
  <si>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</si>
  <si>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</si>
  <si>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</si>
  <si>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</si>
  <si>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</si>
  <si>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</si>
  <si>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</si>
  <si>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</si>
  <si>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</si>
  <si>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</si>
  <si>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</si>
  <si>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</si>
  <si>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</si>
  <si>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</si>
  <si>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</si>
  <si>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</si>
  <si>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</si>
  <si>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</si>
  <si>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</si>
  <si>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</si>
  <si>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</si>
  <si>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</si>
  <si>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</si>
  <si>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</si>
  <si>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</si>
  <si>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</si>
  <si>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</si>
  <si>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</si>
  <si>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</si>
  <si>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</si>
  <si>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</si>
  <si>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</si>
  <si>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</si>
  <si>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</si>
  <si>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</si>
  <si>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</si>
  <si>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</si>
  <si>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</si>
  <si>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</si>
  <si>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</si>
  <si>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</si>
  <si>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</si>
  <si>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</si>
  <si>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</si>
  <si>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</si>
  <si>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</si>
  <si>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</si>
  <si>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</si>
  <si>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</si>
  <si>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</si>
  <si>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</si>
  <si>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</si>
  <si>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</si>
  <si>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</si>
  <si>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</si>
  <si>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</si>
  <si>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</si>
  <si>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</si>
  <si>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</si>
  <si>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</si>
  <si>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</si>
  <si>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</si>
  <si>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</si>
  <si>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</si>
  <si>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</si>
  <si>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</si>
  <si>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</si>
  <si>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</si>
  <si>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</si>
  <si>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</si>
  <si>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</si>
  <si>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</si>
  <si>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</si>
  <si>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</si>
  <si>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</si>
  <si>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</si>
  <si>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</si>
  <si>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</si>
  <si>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</si>
  <si>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</si>
  <si>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</si>
  <si>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</si>
  <si>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</si>
  <si>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</si>
  <si>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</si>
  <si>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</si>
  <si>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</si>
  <si>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</si>
  <si>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</si>
  <si>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</si>
  <si>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</si>
  <si>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</si>
  <si>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</si>
  <si>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</si>
  <si>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</si>
  <si>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</si>
  <si>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</si>
  <si>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</si>
  <si>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</si>
  <si>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</si>
  <si>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</si>
  <si>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</si>
  <si>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</si>
  <si>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</si>
  <si>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</si>
  <si>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</si>
  <si>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</si>
  <si>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</si>
  <si>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</si>
  <si>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</si>
  <si>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</si>
  <si>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</si>
  <si>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</si>
  <si>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</si>
  <si>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</si>
  <si>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</si>
  <si>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</si>
  <si>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</si>
  <si>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</si>
  <si>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</si>
  <si>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</si>
  <si>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</si>
  <si>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</si>
  <si>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</si>
  <si>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</si>
  <si>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</si>
  <si>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</si>
  <si>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</si>
  <si>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</si>
  <si>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</si>
  <si>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</si>
  <si>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</si>
  <si>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</si>
  <si>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</si>
  <si>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</si>
  <si>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</si>
  <si>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</si>
  <si>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</si>
  <si>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</si>
  <si>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</si>
  <si>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</si>
  <si>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</si>
  <si>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</si>
  <si>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</si>
  <si>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</si>
  <si>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</si>
  <si>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</si>
  <si>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</si>
  <si>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</si>
  <si>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</si>
  <si>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</si>
  <si>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</si>
  <si>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</si>
  <si>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</si>
  <si>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</si>
  <si>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</si>
  <si>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</si>
  <si>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</si>
  <si>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</si>
  <si>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</si>
  <si>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</si>
  <si>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</si>
  <si>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</si>
  <si>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</si>
  <si>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</si>
  <si>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</si>
  <si>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</si>
  <si>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</si>
  <si>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</si>
  <si>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</si>
  <si>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</si>
  <si>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</si>
  <si>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</si>
  <si>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</si>
  <si>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</si>
  <si>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</si>
  <si>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</si>
  <si>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</si>
  <si>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</si>
  <si>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</si>
  <si>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</si>
  <si>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</si>
  <si>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</si>
  <si>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</si>
  <si>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</si>
  <si>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</si>
  <si>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</si>
  <si>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</si>
  <si>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</si>
  <si>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</si>
  <si>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</si>
  <si>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</si>
  <si>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</si>
  <si>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</si>
  <si>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</si>
  <si>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</si>
  <si>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</si>
  <si>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</si>
  <si>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</si>
  <si>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</si>
  <si>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</si>
  <si>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</si>
  <si>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</si>
  <si>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</si>
  <si>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</si>
  <si>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</si>
  <si>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</si>
  <si>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</si>
  <si>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</si>
  <si>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</si>
  <si>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</si>
  <si>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</si>
  <si>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</si>
  <si>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</si>
  <si>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</si>
  <si>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</si>
  <si>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</si>
  <si>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</si>
  <si>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</si>
  <si>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</si>
  <si>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</si>
  <si>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</si>
  <si>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</si>
  <si>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</si>
  <si>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</si>
  <si>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</si>
  <si>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</si>
  <si>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</si>
  <si>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</si>
  <si>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</si>
  <si>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</si>
  <si>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</si>
  <si>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</si>
  <si>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</si>
  <si>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</si>
  <si>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</si>
  <si>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</si>
  <si>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</si>
  <si>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</si>
  <si>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</si>
  <si>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</si>
  <si>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</si>
  <si>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</si>
  <si>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</si>
  <si>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</si>
  <si>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</si>
  <si>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</si>
  <si>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</si>
  <si>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</si>
  <si>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</si>
  <si>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</si>
  <si>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</si>
  <si>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</si>
  <si>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</si>
  <si>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</si>
  <si>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</si>
  <si>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</si>
  <si>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</si>
  <si>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</si>
  <si>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</si>
  <si>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</si>
  <si>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</si>
  <si>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</si>
  <si>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</si>
  <si>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</si>
  <si>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</si>
  <si>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</si>
  <si>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</si>
  <si>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</si>
  <si>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</si>
  <si>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</si>
  <si>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</si>
  <si>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</si>
  <si>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</si>
  <si>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</si>
  <si>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</si>
  <si>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</si>
  <si>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</si>
  <si>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</si>
  <si>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</si>
  <si>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</si>
  <si>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</si>
  <si>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</si>
  <si>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</si>
  <si>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</si>
  <si>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</si>
  <si>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</si>
  <si>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</si>
  <si>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</si>
  <si>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</si>
  <si>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</si>
  <si>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</si>
  <si>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</si>
  <si>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</si>
  <si>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</si>
  <si>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</si>
  <si>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</si>
  <si>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</si>
  <si>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</si>
  <si>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</si>
  <si>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</si>
  <si>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</si>
  <si>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</si>
  <si>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</si>
  <si>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</si>
  <si>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</si>
  <si>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</si>
  <si>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</si>
  <si>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</si>
  <si>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</si>
  <si>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</si>
  <si>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</si>
  <si>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</si>
  <si>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</si>
  <si>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</si>
  <si>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</si>
  <si>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</si>
  <si>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</si>
  <si>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</si>
  <si>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</si>
  <si>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</si>
  <si>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</si>
  <si>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</si>
  <si>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</si>
  <si>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</si>
  <si>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</si>
  <si>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</si>
  <si>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</si>
  <si>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</si>
  <si>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</si>
  <si>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</si>
  <si>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</si>
  <si>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</si>
  <si>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</si>
  <si>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</si>
  <si>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</si>
  <si>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</si>
  <si>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</si>
  <si>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</si>
  <si>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</si>
  <si>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</si>
  <si>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</si>
  <si>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</si>
  <si>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</si>
  <si>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</si>
  <si>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</si>
  <si>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</si>
  <si>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</si>
  <si>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</si>
  <si>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</si>
  <si>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</si>
  <si>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</si>
  <si>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</si>
  <si>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</si>
  <si>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</si>
  <si>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</si>
  <si>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</si>
  <si>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</si>
  <si>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</si>
  <si>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</si>
  <si>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</si>
  <si>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</si>
  <si>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</si>
  <si>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</si>
  <si>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</si>
  <si>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</si>
  <si>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</si>
  <si>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</si>
  <si>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</si>
  <si>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</si>
  <si>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</si>
  <si>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</si>
  <si>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</si>
  <si>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</si>
  <si>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</si>
  <si>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</si>
  <si>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</si>
  <si>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</si>
  <si>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</si>
  <si>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</si>
  <si>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</si>
  <si>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</si>
  <si>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</si>
  <si>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</si>
  <si>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</si>
  <si>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</si>
  <si>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</si>
  <si>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</si>
  <si>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</si>
  <si>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</si>
  <si>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</si>
  <si>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</si>
  <si>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</si>
  <si>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</si>
  <si>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</si>
  <si>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</si>
  <si>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</si>
  <si>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</si>
  <si>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</si>
  <si>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</si>
  <si>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</si>
  <si>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</si>
  <si>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</si>
  <si>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</si>
  <si>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</si>
  <si>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</si>
  <si>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</si>
  <si>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</si>
  <si>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</si>
  <si>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</si>
  <si>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</si>
  <si>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</si>
  <si>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</si>
  <si>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</si>
  <si>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</si>
  <si>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</si>
  <si>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</si>
  <si>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</si>
  <si>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</si>
  <si>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</si>
  <si>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</si>
  <si>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</si>
  <si>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</si>
  <si>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</si>
  <si>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</si>
  <si>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</si>
  <si>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</si>
  <si>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</si>
  <si>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</si>
  <si>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</si>
  <si>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</si>
  <si>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</si>
  <si>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</si>
  <si>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</si>
  <si>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</si>
  <si>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</si>
  <si>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</si>
  <si>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</si>
  <si>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</si>
  <si>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</si>
  <si>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</si>
  <si>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</si>
  <si>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</si>
  <si>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</si>
  <si>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</si>
  <si>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</si>
  <si>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</si>
  <si>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</si>
  <si>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</si>
  <si>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</si>
  <si>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</si>
  <si>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</si>
  <si>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</si>
  <si>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</si>
  <si>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</si>
  <si>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</si>
  <si>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</si>
  <si>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</si>
  <si>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</si>
  <si>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</si>
  <si>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</si>
  <si>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</si>
  <si>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</si>
  <si>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</si>
  <si>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</si>
  <si>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</si>
  <si>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</si>
  <si>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</si>
  <si>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</si>
  <si>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</si>
  <si>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</si>
  <si>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</si>
  <si>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</si>
  <si>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</si>
  <si>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</si>
  <si>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</si>
  <si>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</si>
  <si>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</si>
  <si>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</si>
  <si>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</si>
  <si>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</si>
  <si>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</si>
  <si>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</si>
  <si>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</si>
  <si>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</si>
  <si>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</si>
  <si>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</si>
  <si>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</si>
  <si>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</si>
  <si>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</si>
  <si>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</si>
  <si>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</si>
  <si>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</si>
  <si>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</si>
  <si>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</si>
  <si>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</si>
  <si>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</si>
  <si>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</si>
  <si>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</si>
  <si>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</si>
  <si>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</si>
  <si>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</si>
  <si>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</si>
  <si>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</si>
  <si>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</si>
  <si>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</si>
  <si>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</si>
  <si>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</si>
  <si>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</si>
  <si>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</si>
  <si>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</si>
  <si>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</si>
  <si>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</si>
  <si>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</si>
  <si>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</si>
  <si>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</si>
  <si>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</si>
  <si>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</si>
  <si>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</si>
  <si>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</si>
  <si>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</si>
  <si>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</si>
  <si>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</si>
  <si>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</si>
  <si>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</si>
  <si>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</si>
  <si>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</si>
  <si>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</si>
  <si>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</si>
  <si>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</si>
  <si>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</si>
  <si>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</si>
  <si>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</si>
  <si>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</si>
  <si>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</si>
  <si>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</si>
  <si>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</si>
  <si>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</si>
  <si>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</si>
  <si>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</si>
  <si>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</si>
  <si>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</si>
  <si>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</si>
  <si>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</si>
  <si>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</si>
  <si>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</si>
  <si>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</si>
  <si>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</si>
  <si>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</si>
  <si>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</si>
  <si>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</si>
  <si>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</si>
  <si>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</si>
  <si>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</si>
  <si>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</si>
  <si>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</si>
  <si>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</si>
  <si>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</si>
  <si>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</si>
  <si>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</si>
  <si>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</si>
  <si>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</si>
  <si>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</si>
  <si>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</si>
  <si>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</si>
  <si>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</si>
  <si>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</si>
  <si>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</si>
  <si>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</si>
  <si>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</si>
  <si>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</si>
  <si>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</si>
  <si>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</si>
  <si>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</si>
  <si>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</si>
  <si>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</si>
  <si>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</si>
  <si>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</si>
  <si>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</si>
  <si>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</si>
  <si>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</si>
  <si>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</si>
  <si>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</si>
  <si>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</si>
  <si>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</si>
  <si>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</si>
  <si>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</si>
  <si>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</si>
  <si>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</si>
  <si>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</si>
  <si>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</si>
  <si>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</si>
  <si>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</si>
  <si>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</si>
  <si>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</si>
  <si>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</si>
  <si>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</si>
  <si>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</si>
  <si>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</si>
  <si>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</si>
  <si>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</si>
  <si>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</si>
  <si>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</si>
  <si>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</si>
  <si>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</si>
  <si>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</si>
  <si>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</si>
  <si>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</si>
  <si>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</si>
  <si>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</si>
  <si>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</si>
  <si>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</si>
  <si>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</si>
  <si>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</si>
  <si>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</si>
  <si>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</si>
  <si>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</si>
  <si>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</si>
  <si>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</si>
  <si>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</si>
  <si>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</si>
  <si>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</si>
  <si>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</si>
  <si>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</si>
  <si>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</si>
  <si>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</si>
  <si>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</si>
  <si>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</si>
  <si>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</si>
  <si>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</si>
  <si>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</si>
  <si>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</si>
  <si>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</si>
  <si>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</si>
  <si>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</si>
  <si>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</si>
  <si>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</si>
  <si>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</si>
  <si>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</si>
  <si>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</si>
  <si>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</si>
  <si>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</si>
  <si>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</si>
  <si>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</si>
  <si>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</si>
  <si>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</si>
  <si>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</si>
  <si>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</si>
  <si>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</si>
  <si>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</si>
  <si>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</si>
  <si>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</si>
  <si>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</si>
  <si>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</si>
  <si>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</si>
  <si>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</si>
  <si>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</si>
  <si>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</si>
  <si>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</si>
  <si>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</si>
  <si>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</si>
  <si>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</si>
  <si>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</si>
  <si>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</si>
  <si>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</si>
  <si>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</si>
  <si>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</si>
  <si>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</si>
  <si>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</si>
  <si>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</si>
  <si>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</si>
  <si>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</si>
  <si>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</si>
  <si>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</si>
  <si>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</si>
  <si>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</si>
  <si>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</si>
  <si>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</si>
  <si>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</si>
  <si>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</si>
  <si>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</si>
  <si>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</si>
  <si>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</si>
  <si>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</si>
  <si>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</si>
  <si>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</si>
  <si>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</si>
  <si>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</si>
  <si>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</si>
  <si>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</si>
  <si>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</si>
  <si>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</si>
  <si>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</si>
  <si>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</si>
  <si>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</si>
  <si>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</si>
  <si>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</si>
  <si>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</si>
  <si>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</si>
  <si>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</si>
  <si>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</si>
  <si>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</si>
  <si>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</si>
  <si>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</si>
  <si>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</si>
  <si>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</si>
  <si>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</si>
  <si>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</si>
  <si>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</si>
  <si>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</si>
  <si>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</si>
  <si>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</si>
  <si>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</si>
  <si>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</si>
  <si>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</si>
  <si>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</si>
  <si>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</si>
  <si>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</si>
  <si>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</si>
  <si>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</si>
  <si>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</si>
  <si>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</si>
  <si>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</si>
  <si>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</si>
  <si>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</si>
  <si>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</si>
  <si>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</si>
  <si>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</si>
  <si>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</si>
  <si>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</si>
  <si>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</si>
  <si>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</si>
  <si>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</si>
  <si>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</si>
  <si>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</si>
  <si>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</si>
  <si>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</si>
  <si>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</si>
  <si>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</si>
  <si>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</si>
  <si>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</si>
  <si>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</si>
  <si>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</si>
  <si>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</si>
  <si>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</si>
  <si>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</si>
  <si>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</si>
  <si>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</si>
  <si>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</si>
  <si>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</si>
  <si>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</si>
  <si>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</si>
  <si>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</si>
  <si>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</si>
  <si>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</si>
  <si>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</si>
  <si>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</si>
  <si>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</si>
  <si>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</si>
  <si>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</si>
  <si>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</si>
  <si>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</si>
  <si>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</si>
  <si>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</si>
  <si>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</si>
  <si>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</si>
  <si>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</si>
  <si>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</si>
  <si>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</si>
  <si>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</si>
  <si>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</si>
  <si>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</si>
  <si>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</si>
  <si>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</si>
  <si>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</si>
  <si>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</si>
  <si>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</si>
  <si>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</si>
  <si>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</si>
  <si>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</si>
  <si>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</si>
  <si>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</si>
  <si>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</si>
  <si>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</si>
  <si>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</si>
  <si>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</si>
  <si>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</si>
  <si>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</si>
  <si>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</si>
  <si>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</si>
  <si>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</si>
  <si>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</si>
  <si>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</si>
  <si>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</si>
  <si>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</si>
  <si>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</si>
  <si>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</si>
  <si>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</si>
  <si>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</si>
  <si>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</si>
  <si>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</si>
  <si>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</si>
  <si>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</si>
  <si>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</si>
  <si>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</si>
  <si>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</si>
  <si>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</si>
  <si>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</si>
  <si>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</si>
  <si>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</si>
  <si>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</si>
  <si>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</si>
  <si>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</si>
  <si>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</si>
  <si>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</si>
  <si>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</si>
  <si>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</si>
  <si>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</si>
  <si>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</si>
  <si>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</si>
  <si>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</si>
  <si>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</si>
  <si>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</si>
  <si>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</si>
  <si>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</si>
  <si>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</si>
  <si>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</si>
  <si>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</si>
  <si>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</si>
  <si>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</si>
  <si>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</si>
  <si>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</si>
  <si>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</si>
  <si>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</si>
  <si>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</si>
  <si>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</si>
  <si>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</si>
  <si>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</si>
  <si>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</si>
  <si>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</si>
  <si>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</si>
  <si>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</si>
  <si>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</si>
  <si>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</si>
  <si>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</si>
  <si>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</si>
  <si>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</si>
  <si>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</si>
  <si>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</si>
  <si>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</si>
  <si>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</si>
  <si>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</si>
  <si>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</si>
  <si>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</si>
  <si>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</si>
  <si>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</si>
  <si>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</si>
  <si>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</si>
  <si>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</si>
  <si>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</si>
  <si>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</si>
  <si>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</si>
  <si>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</si>
  <si>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</si>
  <si>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</si>
  <si>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</si>
  <si>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</si>
  <si>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</si>
  <si>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</si>
  <si>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</si>
  <si>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</si>
  <si>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</si>
  <si>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</si>
  <si>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</si>
  <si>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</si>
  <si>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</si>
  <si>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</si>
  <si>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</si>
  <si>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</si>
  <si>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</si>
  <si>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</si>
  <si>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</si>
  <si>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</si>
  <si>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</si>
  <si>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</si>
  <si>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</si>
  <si>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</si>
  <si>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</si>
  <si>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</si>
  <si>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</si>
  <si>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</si>
  <si>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</si>
  <si>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</si>
  <si>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</si>
  <si>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</si>
  <si>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</si>
  <si>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</si>
  <si>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</si>
  <si>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</si>
  <si>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</si>
  <si>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</si>
  <si>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</si>
  <si>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</si>
  <si>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</si>
  <si>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</si>
  <si>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</si>
  <si>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</si>
  <si>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</si>
  <si>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</si>
  <si>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</si>
  <si>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</si>
  <si>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</si>
  <si>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</si>
  <si>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</si>
  <si>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</si>
  <si>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</si>
  <si>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</si>
  <si>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</si>
  <si>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</si>
  <si>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</si>
  <si>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</si>
  <si>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</si>
  <si>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</si>
  <si>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</si>
  <si>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</si>
  <si>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</si>
  <si>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</si>
  <si>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</si>
  <si>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</si>
  <si>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</si>
  <si>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</si>
  <si>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</si>
  <si>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</si>
  <si>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</si>
  <si>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</si>
  <si>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</si>
  <si>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</si>
  <si>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</si>
  <si>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</si>
  <si>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</si>
  <si>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</si>
  <si>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</si>
  <si>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</si>
  <si>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</si>
  <si>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</si>
  <si>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</si>
  <si>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</si>
  <si>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</si>
  <si>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</si>
  <si>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</si>
  <si>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</si>
  <si>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</si>
  <si>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</si>
  <si>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</si>
  <si>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</si>
  <si>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</si>
  <si>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</si>
  <si>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</si>
  <si>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</si>
  <si>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</si>
  <si>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</si>
  <si>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</si>
  <si>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</si>
  <si>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</si>
  <si>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</si>
  <si>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</si>
  <si>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</si>
  <si>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</si>
  <si>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</si>
  <si>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</si>
  <si>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</si>
  <si>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</si>
  <si>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</si>
  <si>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</si>
  <si>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</si>
  <si>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</si>
  <si>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</si>
  <si>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</si>
  <si>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</si>
  <si>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</si>
  <si>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</si>
  <si>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</si>
  <si>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</si>
  <si>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</si>
  <si>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</si>
  <si>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</si>
  <si>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</si>
  <si>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</si>
  <si>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</si>
  <si>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</si>
  <si>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</si>
  <si>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</si>
  <si>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</si>
  <si>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</si>
  <si>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</si>
  <si>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</si>
  <si>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</si>
  <si>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</si>
  <si>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</si>
  <si>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</si>
  <si>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</si>
  <si>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</si>
  <si>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</si>
  <si>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</si>
  <si>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</si>
  <si>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</si>
  <si>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</si>
  <si>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</si>
  <si>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</si>
  <si>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</si>
  <si>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</si>
  <si>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</si>
  <si>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</si>
  <si>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</si>
  <si>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</si>
  <si>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</si>
  <si>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</si>
  <si>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</si>
  <si>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</si>
  <si>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</si>
  <si>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</si>
  <si>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</si>
  <si>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</si>
  <si>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</si>
  <si>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</si>
  <si>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</si>
  <si>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</si>
  <si>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</si>
  <si>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</si>
  <si>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</si>
  <si>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</si>
  <si>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</si>
  <si>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</si>
  <si>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FILTER(Y_Full, filt_arg) - FILTER(Y, filt_arg),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</si>
  <si>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</si>
  <si>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</si>
  <si>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</si>
  <si>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Unit_Space_Predictions returns Predictions(X, Y, Include) plus a level shift, back-transformed to response units. The level shift is FILTER(Y_Full, Include) − FILTER(Y, Include): when no Fixed Effects row is declared Y_Full and Y are the same column and the shift is exactly zero;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</si>
  <si>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Unit_Space_Residuals</t>
  </si>
  <si>
    <t>=LAMBDA(X, Y, Y_Full, [Include], [Context], [Method],
  LET(
    context_arg, IF(ISOMITTED(Context), Model_Context(), Context),
    filt_arg,    IF(ISOMITTED(Include), TRUE, Include),
    Dependent_Variable(Y_Full, filt_arg) - Unit_Space_Predictions(X, Y, Y_Full, filt_arg, context_arg, IF(ISOMITTED(Method),"Duan",Method))
  )
)</t>
  </si>
  <si>
    <t>X: design matrix — the constructed model columns, including the intercept column when the model has one
Y: single-column outcome in fit space: transformed under Log, within-demeaned under FE
Y_Full: single-column outcome in response space (Response_Column() — NOT within-demeaned) used to read off the observed response in original units
[Include]: boolean array — TRUE includes the row, FALSE excludes it
[Context]: the materialized Model_Context() 4x1 array; defaults to VSTACK(TRUE,0,"None","None") when omitted
[Method]: Duan (default) or Naive; passed through to Unit_Space_Predictions</t>
  </si>
  <si>
    <t>n × 1 column of unit-space residuals (observed response in original units minus back-transformed fitted value). #N/A outside the six recognised (response, predictor) pairs.</t>
  </si>
  <si>
    <t>Residuals in response units — observed y minus back-transformed fitted value.</t>
  </si>
  <si>
    <t>Unit_Space_Residuals returns the observed response in original units minus the back-transformed fitted value: Dependent_Variable(Y_Full, Include) − Unit_Space_Predictions(X, Y, Y_Full, Include, Context, Method). Reads Y_Full directly (not the within-demeaned Y) so the result is in response units, never fit units.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</si>
  <si>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Unit_Space_R_Squared</t>
  </si>
  <si>
    <t>=LAMBDA(X, Y, Y_Full, [Include], [Context], [Method],
  LET(
    context_arg, IF(ISOMITTED(Context), Model_Context(), Context),
    filt_arg,    IF(ISOMITTED(Include), TRUE, Include),
    method_arg,  IF(ISOMITTED(Method), "Duan", Method),
    y_unit,      Dependent_Variable(Y_Full, filt_arg),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</si>
  <si>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single-column outcome in response space (Response_Column() — NOT within-demeaned). The observed response in original units.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</si>
  <si>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</si>
  <si>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</si>
  <si>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</si>
  <si>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</si>
  <si>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</si>
  <si>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X: design matrix — the constructed model columns, including the intercept column when the model has one
Y: single-column outcome in fit space: transformed under Log, within-demeaned under FE
Y_Full: single-column outcome in response space (Response_Column() — NOT within-demeaned)
[Include]: boolean array — TRUE includes the row, FALSE excludes it
[Context]: the materialized Model_Context() 4x1 array; defaults to VSTACK(TRUE,0,"None","None") when omitted
[Method]: Duan (default) or Naive; passed through to Unit_Space_R_Squared</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</si>
  <si>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</si>
  <si>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</si>
  <si>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</si>
  <si>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</si>
  <si>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=LAMBDA(X, Y, Y_Full, [Include], [Context], [Method],
  LET(
    context_arg, IF(ISOMITTED(Context), Model_Context(), Context),
    filt_arg,    IF(ISOMITTED(Include), TRUE, Include),
    method_arg,  IF(ISOMITTED(Method), "Duan", Method),
    y_unit,      Dependent_Variable(Y_Full, filt_arg),
    pred_unit,   Unit_Space_Predictions(X, Y, Y_Full, filt_arg, context_arg, method_arg),
    SQRT(SUMSQ(y_unit - pred_unit) / Residual_Degrees_Of_Freedom(X, Y, filt_arg, context_arg))
  )
)</t>
  </si>
  <si>
    <t>X: design matrix — the constructed model columns, including the intercept column when the model has one
Y: single-column outcome in fit space: transformed under Log, within-demeaned under FE
Y_Full: single-column outcome in response space (Response_Column() — NOT within-demeaned)
[Include]: boolean array — TRUE includes the row, FALSE excludes it
[Context]: the materialized Model_Context() 4x1 array; defaults to VSTACK(TRUE,0,"None","None") when omitted
[Method]: Duan (default) or Naive; passed through to Unit_Space_Predictions</t>
  </si>
  <si>
    <t>Unit-space RMSE as a scalar. SQRT(SSE_unit / df_residual) — the same divisor SE_Regression uses, so the None / no-FE case reduces to SE_Regression exactly.</t>
  </si>
  <si>
    <t>RMSE in response units — SUMSQ(unit residuals) / df_residual, df corrected for FE.</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</si>
  <si>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</si>
  <si>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</si>
  <si>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</si>
  <si>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Seven new catalog functions under the Back-Transformation subcategory (Smearing_Factor, Back_Transform_Response, Unit_Space_Predictions,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</si>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</sst>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6D4B-490D-9EC9-426E57D8B840}"/>
            </c:ext>
          </c:extLst>
        </c:ser>
        <c:dLbls>
          <c:showLegendKey val="0"/>
          <c:showVal val="0"/>
          <c:showCatName val="0"/>
          <c:showSerName val="0"/>
          <c:showPercent val="0"/>
          <c:showBubbleSize val="0"/>
        </c:dLbls>
        <c:axId val="2004870128"/>
        <c:axId val="1884336432"/>
      </c:scatterChart>
      <c:valAx>
        <c:axId val="2004870128"/>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884336432"/>
        <c:crosses val="autoZero"/>
        <c:crossBetween val="midCat"/>
      </c:valAx>
      <c:valAx>
        <c:axId val="1884336432"/>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20048701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E715-4273-B77D-99CB3D450F1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E715-4273-B77D-99CB3D450F1E}"/>
            </c:ext>
          </c:extLst>
        </c:ser>
        <c:dLbls>
          <c:showLegendKey val="0"/>
          <c:showVal val="0"/>
          <c:showCatName val="0"/>
          <c:showSerName val="0"/>
          <c:showPercent val="0"/>
          <c:showBubbleSize val="0"/>
        </c:dLbls>
        <c:axId val="2004873840"/>
        <c:axId val="1884334512"/>
      </c:scatterChart>
      <c:valAx>
        <c:axId val="2004873840"/>
        <c:scaling>
          <c:orientation val="minMax"/>
          <c:max val="4.2007262122566909"/>
          <c:min val="-3.4516826175693711"/>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884334512"/>
        <c:crosses val="autoZero"/>
        <c:crossBetween val="midCat"/>
      </c:valAx>
      <c:valAx>
        <c:axId val="1884334512"/>
        <c:scaling>
          <c:orientation val="minMax"/>
          <c:max val="4.2007262122566909"/>
          <c:min val="-3.4516826175693711"/>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20048738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1052-4479-A210-5743A9169014}"/>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1052-4479-A210-5743A9169014}"/>
            </c:ext>
          </c:extLst>
        </c:ser>
        <c:dLbls>
          <c:showLegendKey val="0"/>
          <c:showVal val="0"/>
          <c:showCatName val="0"/>
          <c:showSerName val="0"/>
          <c:showPercent val="0"/>
          <c:showBubbleSize val="0"/>
        </c:dLbls>
        <c:axId val="2006970064"/>
        <c:axId val="1884356592"/>
      </c:scatterChart>
      <c:valAx>
        <c:axId val="2006970064"/>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884356592"/>
        <c:crosses val="autoZero"/>
        <c:crossBetween val="midCat"/>
      </c:valAx>
      <c:valAx>
        <c:axId val="1884356592"/>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20069700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430F-4963-A04E-989FEE71E138}"/>
            </c:ext>
          </c:extLst>
        </c:ser>
        <c:dLbls>
          <c:showLegendKey val="0"/>
          <c:showVal val="0"/>
          <c:showCatName val="0"/>
          <c:showSerName val="0"/>
          <c:showPercent val="0"/>
          <c:showBubbleSize val="0"/>
        </c:dLbls>
        <c:axId val="1888477264"/>
        <c:axId val="1884353232"/>
      </c:scatterChart>
      <c:valAx>
        <c:axId val="1888477264"/>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884353232"/>
        <c:crosses val="autoZero"/>
        <c:crossBetween val="midCat"/>
      </c:valAx>
      <c:valAx>
        <c:axId val="1884353232"/>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8884772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2E79-4936-9FFB-8EE1A184F1F7}"/>
            </c:ext>
          </c:extLst>
        </c:ser>
        <c:dLbls>
          <c:showLegendKey val="0"/>
          <c:showVal val="0"/>
          <c:showCatName val="0"/>
          <c:showSerName val="0"/>
          <c:showPercent val="0"/>
          <c:showBubbleSize val="0"/>
        </c:dLbls>
        <c:gapWidth val="150"/>
        <c:axId val="395841232"/>
        <c:axId val="1884368592"/>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2E79-4936-9FFB-8EE1A184F1F7}"/>
            </c:ext>
          </c:extLst>
        </c:ser>
        <c:dLbls>
          <c:showLegendKey val="0"/>
          <c:showVal val="0"/>
          <c:showCatName val="0"/>
          <c:showSerName val="0"/>
          <c:showPercent val="0"/>
          <c:showBubbleSize val="0"/>
        </c:dLbls>
        <c:marker val="1"/>
        <c:smooth val="0"/>
        <c:axId val="395841232"/>
        <c:axId val="1884368592"/>
      </c:lineChart>
      <c:catAx>
        <c:axId val="395841232"/>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884368592"/>
        <c:crosses val="autoZero"/>
        <c:auto val="1"/>
        <c:lblAlgn val="ctr"/>
        <c:lblOffset val="100"/>
        <c:noMultiLvlLbl val="0"/>
      </c:catAx>
      <c:valAx>
        <c:axId val="1884368592"/>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3958412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EC11-457A-8BB2-E2553F0E3E12}"/>
            </c:ext>
          </c:extLst>
        </c:ser>
        <c:dLbls>
          <c:showLegendKey val="0"/>
          <c:showVal val="0"/>
          <c:showCatName val="0"/>
          <c:showSerName val="0"/>
          <c:showPercent val="0"/>
          <c:showBubbleSize val="0"/>
        </c:dLbls>
        <c:axId val="395840304"/>
        <c:axId val="1884396912"/>
      </c:scatterChart>
      <c:valAx>
        <c:axId val="395840304"/>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884396912"/>
        <c:crosses val="autoZero"/>
        <c:crossBetween val="midCat"/>
      </c:valAx>
      <c:valAx>
        <c:axId val="1884396912"/>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3958403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3A43-4CC8-854C-68BDBFAC176D}"/>
            </c:ext>
          </c:extLst>
        </c:ser>
        <c:dLbls>
          <c:showLegendKey val="0"/>
          <c:showVal val="0"/>
          <c:showCatName val="0"/>
          <c:showSerName val="0"/>
          <c:showPercent val="0"/>
          <c:showBubbleSize val="0"/>
        </c:dLbls>
        <c:gapWidth val="150"/>
        <c:axId val="395840304"/>
        <c:axId val="1884394992"/>
      </c:barChart>
      <c:catAx>
        <c:axId val="395840304"/>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884394992"/>
        <c:crosses val="autoZero"/>
        <c:auto val="1"/>
        <c:lblAlgn val="ctr"/>
        <c:lblOffset val="100"/>
        <c:noMultiLvlLbl val="0"/>
      </c:catAx>
      <c:valAx>
        <c:axId val="1884394992"/>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3958403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8BB26B28-998E-A743-A4FF-FF444123D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FE5E86A4-208F-10F4-4A31-A191DFC92A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6210D5CC-2184-0A96-30C3-96E85F0F86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1F8E431D-EE7C-F3EA-132E-5B7C2B84A8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6A99008D-4F61-2045-1F3D-A1C9AA505D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6" name="Chart 15">
          <a:extLst>
            <a:ext uri="{FF2B5EF4-FFF2-40B4-BE49-F238E27FC236}">
              <a16:creationId xmlns:a16="http://schemas.microsoft.com/office/drawing/2014/main" id="{07FE78C4-9D56-E421-8776-F68D226C80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7" name="Chart 16">
          <a:extLst>
            <a:ext uri="{FF2B5EF4-FFF2-40B4-BE49-F238E27FC236}">
              <a16:creationId xmlns:a16="http://schemas.microsoft.com/office/drawing/2014/main" id="{9703B971-F5F6-BDE3-DBA6-20D0BDE1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3A296B-7EE6-4C85-961A-CC14F5E857B8}" name="MileageData" displayName="MileageData" ref="A1:L407" totalsRowShown="0">
  <autoFilter ref="A1:L407" xr:uid="{5D3A296B-7EE6-4C85-961A-CC14F5E857B8}"/>
  <tableColumns count="12">
    <tableColumn id="1" xr3:uid="{E9DA4D9B-C949-449C-BCBA-8B2357DCDF81}" name="MPG"/>
    <tableColumn id="2" xr3:uid="{55BDFDCD-2A45-4570-AB1C-7C707C843DA0}" name="Cylinders"/>
    <tableColumn id="3" xr3:uid="{FEB517AB-0E0D-4B07-8157-4260F832A936}" name="Displacement"/>
    <tableColumn id="4" xr3:uid="{876EFD3E-8554-4F4E-BCF7-61D929F4A3EE}" name="Horsepower"/>
    <tableColumn id="5" xr3:uid="{892F7B57-B08E-47D0-A885-0570618309FF}" name="Weight"/>
    <tableColumn id="6" xr3:uid="{288A5EF5-DDD4-4B29-8DDF-90D56943D031}" name="Acceleration"/>
    <tableColumn id="7" xr3:uid="{A596F606-BE9E-4F4A-9D9F-6FC03AC4FEF8}" name="Model Year"/>
    <tableColumn id="8" xr3:uid="{151DCE2D-3EF5-4B12-B99A-66DF7FCE35E7}" name="Origin"/>
    <tableColumn id="9" xr3:uid="{5CCDCEEC-797A-4B0D-821F-997A8EF08768}" name="Car Name"/>
    <tableColumn id="10" xr3:uid="{6E656A9E-D278-40CA-BC32-7ED345ADAF4D}" name="Make"/>
    <tableColumn id="11" xr3:uid="{D3B48DF0-28CD-4B06-989E-43CF80BE944E}" name="Model?"/>
    <tableColumn id="12" xr3:uid="{B4E5EEE1-98C9-455D-B790-9D8ABDF5F82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B96508-30BE-40C4-B0E9-A97CE0F45E2C}" name="LifeExpectancyData" displayName="LifeExpectancyData" ref="A1:W2939" totalsRowShown="0">
  <autoFilter ref="A1:W2939" xr:uid="{57B96508-30BE-40C4-B0E9-A97CE0F45E2C}"/>
  <tableColumns count="23">
    <tableColumn id="1" xr3:uid="{13FCD3F7-C827-4AF6-B1CD-E44CEED2865E}" name="Country"/>
    <tableColumn id="2" xr3:uid="{A6B8605F-22D9-482F-9862-CCAA05A7F062}" name="Year"/>
    <tableColumn id="3" xr3:uid="{B893CC15-EE41-4E40-897A-A5D62BC6C88D}" name="Status"/>
    <tableColumn id="4" xr3:uid="{0F8F3AA2-C867-40B0-8C9A-C9523BA4491B}" name="Life expectancy"/>
    <tableColumn id="5" xr3:uid="{7E5B57AF-BADC-4A82-8428-67BFA3E3EBE4}" name="Adult Mortality"/>
    <tableColumn id="6" xr3:uid="{D47F569A-18D0-4FF5-807E-D2A793A8584E}" name="infant deaths"/>
    <tableColumn id="7" xr3:uid="{04405CDA-C091-46A7-89FF-B4278ACC03DD}" name="Alcohol"/>
    <tableColumn id="8" xr3:uid="{85E3A425-24B4-458D-B192-BB9A4EF4A58C}" name="percentage expenditure"/>
    <tableColumn id="9" xr3:uid="{059A7137-3A9A-4E17-8E01-623EBBB23478}" name="Hepatitis B"/>
    <tableColumn id="10" xr3:uid="{83FE12F6-04EA-4E3C-AF2F-BAAB24F37EA4}" name="Measles"/>
    <tableColumn id="11" xr3:uid="{0611011C-0B6A-406E-9CA9-313D41D5948F}" name="BMI"/>
    <tableColumn id="12" xr3:uid="{8E064574-6D68-469C-96FA-D8A4B78A617A}" name="under-five deaths"/>
    <tableColumn id="13" xr3:uid="{42964E67-F961-4D2F-90A4-367D88BC9191}" name="Polio"/>
    <tableColumn id="14" xr3:uid="{AEC5BE30-6520-4AD0-8148-83018E41DFBA}" name="Total expenditure"/>
    <tableColumn id="15" xr3:uid="{9DDA81A6-78F2-475F-8360-EE46153B71ED}" name="Diphtheria"/>
    <tableColumn id="16" xr3:uid="{24EB8E24-E9E6-476B-AA22-4D5EC281F297}" name="HIV/AIDS"/>
    <tableColumn id="17" xr3:uid="{C1FEA564-CDE6-4BE5-9584-873B61B7A76C}" name="GDP"/>
    <tableColumn id="18" xr3:uid="{EA9C3EE6-7C8B-4932-BC61-35A5FFDB255A}" name="Population"/>
    <tableColumn id="19" xr3:uid="{15701214-64EE-42D5-8811-3E3C150406A8}" name="thinness 1-19 years"/>
    <tableColumn id="20" xr3:uid="{F973E66A-57A7-452B-875C-3232ABA21452}" name="thinness 5-9 years"/>
    <tableColumn id="21" xr3:uid="{AB0ED5D2-617D-4CF4-9BF4-4920E4170134}" name="Income composition of resources"/>
    <tableColumn id="22" xr3:uid="{1F471FC8-2388-4ABB-AD02-015D30DEE961}" name="Schooling"/>
    <tableColumn id="23" xr3:uid="{46999051-F714-47FC-8800-6A7E6CD41AA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381554-222A-4321-B6ED-1B051D9B6EF7}" name="ProductionLotsData" displayName="ProductionLotsData" ref="A1:K52" totalsRowShown="0">
  <autoFilter ref="A1:K52" xr:uid="{5A381554-222A-4321-B6ED-1B051D9B6EF7}"/>
  <tableColumns count="11">
    <tableColumn id="1" xr3:uid="{1498D749-7D59-40B1-A6FD-32A1842D023B}" name="Lot_ID"/>
    <tableColumn id="2" xr3:uid="{C1B880D9-1A5C-417A-9295-2C4B27BA1536}" name="Facility"/>
    <tableColumn id="3" xr3:uid="{FCB801E8-4C99-4807-B088-F29242D81B6F}" name="Fiscal_Year"/>
    <tableColumn id="4" xr3:uid="{64262612-5FDC-40A4-9B06-4317793296F6}" name="Lot_Quantity"/>
    <tableColumn id="5" xr3:uid="{30B51E33-D08B-4B03-90F7-C8E1B31D6207}" name="Cumulative_Units"/>
    <tableColumn id="6" xr3:uid="{122AB972-BFE7-48D1-9C71-ABC3A52A2CA7}" name="Experience_Stock"/>
    <tableColumn id="7" xr3:uid="{0A480CD4-6385-47E1-8740-9C0FAAD9E7C7}" name="Unit_Cost_BY"/>
    <tableColumn id="8" xr3:uid="{DC582EF6-F6A3-44CE-9D09-487A0F9F181C}" name="log Cum Units"/>
    <tableColumn id="9" xr3:uid="{5EB69590-1F9C-48F2-9547-668DB758B6E6}" name="log experience"/>
    <tableColumn id="10" xr3:uid="{BBB18927-A0B7-47BF-B23E-0D5617427367}" name="log Unit Cost"/>
    <tableColumn id="11" xr3:uid="{61F9D9B5-DE59-4000-AC0A-494DF1E0E851}"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18BD9B3-8206-49FE-854F-B3C5065ED796}" name="SpecTable" displayName="SpecTable" ref="B3:O15" totalsRowShown="0" headerRowDxfId="60">
  <autoFilter ref="B3:O15" xr:uid="{518BD9B3-8206-49FE-854F-B3C5065ED796}"/>
  <tableColumns count="14">
    <tableColumn id="1" xr3:uid="{AF3D8290-04E9-4A5C-AB86-FC6FE8B7EB09}" name="Role"/>
    <tableColumn id="2" xr3:uid="{74652FA8-E227-4306-B9CF-21D665B4C69B}" name="Include"/>
    <tableColumn id="3" xr3:uid="{50FC91C5-8A85-4648-87EB-B3C1C9589678}" name="Type"/>
    <tableColumn id="4" xr3:uid="{68B86199-EA3F-4E7A-8C3C-C7020445619D}" name="Reference Level"/>
    <tableColumn id="5" xr3:uid="{EFD5543C-D6AB-4E3D-85E2-D2A948055014}" name="Order"/>
    <tableColumn id="6" xr3:uid="{805FD0C6-0798-4D73-9D7B-605FC97DCC31}" name="Transform"/>
    <tableColumn id="7" xr3:uid="{683F633F-BA9F-4D28-ADE6-54EACA4EF575}" name="Sequence"/>
    <tableColumn id="8" xr3:uid="{3BF7D242-CB9A-4A32-A298-66A7D793D1FF}" name="Sequence Period"/>
    <tableColumn id="9" xr3:uid="{F631059B-C4EC-449F-94D6-004F1CEBD32B}" name="Period In Use" dataDxfId="59">
      <calculatedColumnFormula>IF(SpecTable[[#This Row],[Sequence]]&lt;&gt;TRUE,"",IF(N(SpecTable[[#This Row],[Sequence Period]])&lt;&gt;0,SpecTable[[#This Row],[Sequence Period]],IFERROR(Base_Period_Delta_Candidate(),"")))</calculatedColumnFormula>
    </tableColumn>
    <tableColumn id="10" xr3:uid="{0385E0C7-2223-4FC5-9775-C3CF0856528C}"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5A7AA336-54DC-468F-ADE9-13C692F9D284}"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C7C9CDD8-26C9-44C1-8BEC-319AC853F913}" name="Interaction Term"/>
    <tableColumn id="13" xr3:uid="{BA5F6D8B-B6A8-4828-84E7-DEC744868794}" name="Interaction Operation"/>
    <tableColumn id="14" xr3:uid="{E1C88237-94A9-48D5-A30D-79954AED317F}"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30F5B7-B778-48DF-800D-F9C69FB4F7A3}" name="LAMBDAFunctionsCatalog" displayName="LAMBDAFunctionsCatalog" ref="A1:G139" totalsRowShown="0" headerRowDxfId="55" dataDxfId="54">
  <autoFilter ref="A1:G139" xr:uid="{C830F5B7-B778-48DF-800D-F9C69FB4F7A3}"/>
  <tableColumns count="7">
    <tableColumn id="1" xr3:uid="{108CFE91-7D7A-4F6F-9B30-1CEEDC2D58EF}" name="Function Name" dataDxfId="53"/>
    <tableColumn id="2" xr3:uid="{D6D9709D-61DD-4E9D-9C23-01A00B6AE39D}" name="Scope" dataDxfId="52"/>
    <tableColumn id="3" xr3:uid="{F1041CED-B07A-4E4B-9653-048397AD4159}" name="Definition" dataDxfId="51"/>
    <tableColumn id="4" xr3:uid="{5AF8DDCD-4102-4BEC-824B-2BEFC4F336E3}" name="Arguments" dataDxfId="50"/>
    <tableColumn id="5" xr3:uid="{C878C317-5CB7-44BA-9870-74B739404C59}" name="Yields" dataDxfId="49"/>
    <tableColumn id="6" xr3:uid="{65DE9E1F-3058-4307-B95E-9980FE6BBE6D}" name="Plain-Language Summary" dataDxfId="48"/>
    <tableColumn id="7" xr3:uid="{A5B1524E-20ED-4AAB-972F-C81EABF22354}"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2"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1869</v>
      </c>
      <c r="B7" s="18">
        <v>46236</v>
      </c>
      <c r="C7" t="s">
        <v>812</v>
      </c>
      <c r="D7" s="2" t="s">
        <v>1870</v>
      </c>
    </row>
    <row r="8" spans="1:4" ht="150" x14ac:dyDescent="0.25">
      <c r="A8" t="s">
        <v>1871</v>
      </c>
      <c r="B8" s="18">
        <v>46236</v>
      </c>
      <c r="C8" t="s">
        <v>812</v>
      </c>
      <c r="D8" s="2" t="s">
        <v>1872</v>
      </c>
    </row>
    <row r="9" spans="1:4" ht="300" x14ac:dyDescent="0.25">
      <c r="A9" t="s">
        <v>1847</v>
      </c>
      <c r="B9" s="18">
        <v>46236</v>
      </c>
      <c r="C9" t="s">
        <v>815</v>
      </c>
      <c r="D9" s="2" t="s">
        <v>1855</v>
      </c>
    </row>
    <row r="10" spans="1:4" ht="225" x14ac:dyDescent="0.25">
      <c r="A10" t="s">
        <v>1873</v>
      </c>
      <c r="B10" s="18">
        <v>46237</v>
      </c>
      <c r="C10" t="s">
        <v>812</v>
      </c>
      <c r="D10" s="2" t="s">
        <v>1874</v>
      </c>
    </row>
    <row r="11" spans="1:4" ht="390" x14ac:dyDescent="0.25">
      <c r="A11" t="s">
        <v>1918</v>
      </c>
      <c r="B11" s="18">
        <v>46237</v>
      </c>
      <c r="C11" t="s">
        <v>812</v>
      </c>
      <c r="D11" s="2" t="s">
        <v>1919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5C596-3867-46BE-8610-E02BFB79B5DF}">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1853</v>
      </c>
    </row>
    <row r="9" spans="1:1" ht="180" x14ac:dyDescent="0.25">
      <c r="A9" s="2" t="s">
        <v>1696</v>
      </c>
    </row>
    <row r="10" spans="1:1" ht="90" x14ac:dyDescent="0.25">
      <c r="A10" s="2" t="s">
        <v>805</v>
      </c>
    </row>
    <row r="11" spans="1:1" ht="360" x14ac:dyDescent="0.25">
      <c r="A11" s="2" t="s">
        <v>1917</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1851</v>
      </c>
      <c r="O1" s="3">
        <f>SUM(_xlfn.TAKE(Spec_Design_Columns,COLUMNS(Source_Data)))+N(Allow_Intercept)</f>
        <v>17</v>
      </c>
      <c r="P1" s="3" t="s">
        <v>878</v>
      </c>
      <c r="Q1" s="3" t="s">
        <v>879</v>
      </c>
      <c r="S1" s="4" t="s">
        <v>607</v>
      </c>
      <c r="AA1" s="4" t="s">
        <v>610</v>
      </c>
      <c r="AJ1" s="36" t="s">
        <v>634</v>
      </c>
      <c r="AK1" s="37"/>
      <c r="AL1" s="44"/>
      <c r="AN1" s="4" t="s">
        <v>643</v>
      </c>
      <c r="BR1" s="36" t="s">
        <v>1856</v>
      </c>
      <c r="BS1" s="45"/>
      <c r="BU1" s="4" t="s">
        <v>1845</v>
      </c>
      <c r="BW1" s="4" t="s">
        <v>1852</v>
      </c>
    </row>
    <row r="2" spans="1:91"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6" t="s">
        <v>1920</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1928</v>
      </c>
      <c r="AL2" s="35" t="s">
        <v>1929</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1930</v>
      </c>
      <c r="BA2" s="28" t="s">
        <v>1931</v>
      </c>
      <c r="BR2" s="8" t="s">
        <v>1857</v>
      </c>
      <c r="BS2" s="24" t="b">
        <f>Allow_Intercept</f>
        <v>1</v>
      </c>
      <c r="BU2" s="3" t="s">
        <v>1932</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876</v>
      </c>
      <c r="J3" s="34" t="s">
        <v>877</v>
      </c>
      <c r="K3" s="34" t="s">
        <v>780</v>
      </c>
      <c r="L3" s="34" t="s">
        <v>799</v>
      </c>
      <c r="M3" s="34" t="s">
        <v>1848</v>
      </c>
      <c r="N3" s="34" t="s">
        <v>1849</v>
      </c>
      <c r="O3" s="34" t="s">
        <v>1850</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1921</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1858</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1922</v>
      </c>
      <c r="AH4" s="33" t="str">
        <f ca="1">IFERROR(IF(OR($AH$4="Duan",$AH$4="Naive"),$AH$4,"Duan"),"Duan")</f>
        <v>Duan</v>
      </c>
      <c r="AJ4" s="8" t="s">
        <v>1609</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1859</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1923</v>
      </c>
      <c r="AH5" s="11" cm="1">
        <f t="array" ref="AH5">Smearing_Factor(Design_Columns(),Design_Response(),Sample_Include(),Fit_Context())</f>
        <v>1</v>
      </c>
      <c r="AJ5" s="8" t="s">
        <v>1610</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1860</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1924</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1861</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1925</v>
      </c>
      <c r="AH7" s="11" cm="1">
        <f t="array" ref="AH7">Unit_Space_Adjusted_R_Squared(Design_Columns(),Design_Response(),Response_Column(),Sample_Include(),Fit_Context(),$AH$4)</f>
        <v>0.84556143954924157</v>
      </c>
      <c r="AJ7" s="8" t="s">
        <v>1611</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1926</v>
      </c>
      <c r="AH8" s="11" cm="1">
        <f t="array" ref="AH8">Unit_Space_RMSE(Design_Columns(),Design_Response(),Response_Column(),Sample_Include(),Fit_Context(),$AH$4)</f>
        <v>3.0672642753818775</v>
      </c>
      <c r="AJ8" s="8" t="s">
        <v>1612</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1927</v>
      </c>
      <c r="AH9" s="25" t="str" cm="1">
        <f t="array" ref="AH9">IF(Context_Response_Transform(Fit_Context())="Log","Original units (back-transformed)","Same as fit space")</f>
        <v>Same as fit space</v>
      </c>
      <c r="AJ9" s="8" t="s">
        <v>1613</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1616</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allowBlank="1" showInputMessage="1" showErrorMessage="1" sqref="AH4" xr:uid="{3BA5A193-BE55-4564-A734-60B6E05F6FE9}">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6E9A-61E1-42EE-89D6-E40C5204DE64}">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9"/>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1862</v>
      </c>
      <c r="D115" s="2"/>
      <c r="E115" s="2" t="s">
        <v>1863</v>
      </c>
      <c r="F115" s="2" t="s">
        <v>1690</v>
      </c>
      <c r="G115" s="2" t="s">
        <v>1864</v>
      </c>
    </row>
    <row r="116" spans="1:7" ht="375" x14ac:dyDescent="0.25">
      <c r="A116" s="2" t="s">
        <v>794</v>
      </c>
      <c r="B116" s="2" t="s">
        <v>624</v>
      </c>
      <c r="C116" s="1" t="s">
        <v>1865</v>
      </c>
      <c r="D116" s="2"/>
      <c r="E116" s="2" t="s">
        <v>1866</v>
      </c>
      <c r="F116" s="2" t="s">
        <v>1691</v>
      </c>
      <c r="G116" s="2" t="s">
        <v>1765</v>
      </c>
    </row>
    <row r="117" spans="1:7" ht="409.5" x14ac:dyDescent="0.25">
      <c r="A117" s="2" t="s">
        <v>1692</v>
      </c>
      <c r="B117" s="2" t="s">
        <v>624</v>
      </c>
      <c r="C117" s="1" t="s">
        <v>1867</v>
      </c>
      <c r="D117" s="2"/>
      <c r="E117" s="2" t="s">
        <v>1868</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1846</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row r="133" spans="1:7" ht="315" x14ac:dyDescent="0.25">
      <c r="A133" s="2" t="s">
        <v>1875</v>
      </c>
      <c r="B133" s="2" t="s">
        <v>785</v>
      </c>
      <c r="C133" s="1" t="s">
        <v>1876</v>
      </c>
      <c r="D133" s="2" t="s">
        <v>1877</v>
      </c>
      <c r="E133" s="2" t="s">
        <v>1878</v>
      </c>
      <c r="F133" s="2" t="s">
        <v>1879</v>
      </c>
      <c r="G133" s="2" t="s">
        <v>1880</v>
      </c>
    </row>
    <row r="134" spans="1:7" ht="360" x14ac:dyDescent="0.25">
      <c r="A134" s="2" t="s">
        <v>1881</v>
      </c>
      <c r="B134" s="2" t="s">
        <v>785</v>
      </c>
      <c r="C134" s="1" t="s">
        <v>1882</v>
      </c>
      <c r="D134" s="2" t="s">
        <v>1883</v>
      </c>
      <c r="E134" s="2" t="s">
        <v>1884</v>
      </c>
      <c r="F134" s="2" t="s">
        <v>1885</v>
      </c>
      <c r="G134" s="2" t="s">
        <v>1886</v>
      </c>
    </row>
    <row r="135" spans="1:7" ht="409.5" x14ac:dyDescent="0.25">
      <c r="A135" s="2" t="s">
        <v>1887</v>
      </c>
      <c r="B135" s="2" t="s">
        <v>785</v>
      </c>
      <c r="C135" s="1" t="s">
        <v>1888</v>
      </c>
      <c r="D135" s="2" t="s">
        <v>1889</v>
      </c>
      <c r="E135" s="2" t="s">
        <v>1890</v>
      </c>
      <c r="F135" s="2" t="s">
        <v>1891</v>
      </c>
      <c r="G135" s="2" t="s">
        <v>1892</v>
      </c>
    </row>
    <row r="136" spans="1:7" ht="360" x14ac:dyDescent="0.25">
      <c r="A136" s="2" t="s">
        <v>1893</v>
      </c>
      <c r="B136" s="2" t="s">
        <v>785</v>
      </c>
      <c r="C136" s="1" t="s">
        <v>1894</v>
      </c>
      <c r="D136" s="2" t="s">
        <v>1895</v>
      </c>
      <c r="E136" s="2" t="s">
        <v>1896</v>
      </c>
      <c r="F136" s="2" t="s">
        <v>1897</v>
      </c>
      <c r="G136" s="2" t="s">
        <v>1898</v>
      </c>
    </row>
    <row r="137" spans="1:7" ht="405" x14ac:dyDescent="0.25">
      <c r="A137" s="2" t="s">
        <v>1899</v>
      </c>
      <c r="B137" s="2" t="s">
        <v>785</v>
      </c>
      <c r="C137" s="1" t="s">
        <v>1900</v>
      </c>
      <c r="D137" s="2" t="s">
        <v>1901</v>
      </c>
      <c r="E137" s="2" t="s">
        <v>1902</v>
      </c>
      <c r="F137" s="2" t="s">
        <v>1903</v>
      </c>
      <c r="G137" s="2" t="s">
        <v>1904</v>
      </c>
    </row>
    <row r="138" spans="1:7" ht="330" x14ac:dyDescent="0.25">
      <c r="A138" s="2" t="s">
        <v>1905</v>
      </c>
      <c r="B138" s="2" t="s">
        <v>785</v>
      </c>
      <c r="C138" s="1" t="s">
        <v>1906</v>
      </c>
      <c r="D138" s="2" t="s">
        <v>1907</v>
      </c>
      <c r="E138" s="2" t="s">
        <v>1908</v>
      </c>
      <c r="F138" s="2" t="s">
        <v>1909</v>
      </c>
      <c r="G138" s="2" t="s">
        <v>1910</v>
      </c>
    </row>
    <row r="139" spans="1:7" ht="330" x14ac:dyDescent="0.25">
      <c r="A139" s="2" t="s">
        <v>1911</v>
      </c>
      <c r="B139" s="2" t="s">
        <v>785</v>
      </c>
      <c r="C139" s="1" t="s">
        <v>1912</v>
      </c>
      <c r="D139" s="2" t="s">
        <v>1913</v>
      </c>
      <c r="E139" s="2" t="s">
        <v>1914</v>
      </c>
      <c r="F139" s="2" t="s">
        <v>1915</v>
      </c>
      <c r="G139" s="2" t="s">
        <v>1916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2026-08-04T02:29:18Z</dcterms:modified>
</cp:coreProperties>
</file>